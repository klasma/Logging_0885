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46106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46106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46106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46106</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46106</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46106</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46106</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46106</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46106</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46106</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46106</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15285-2026</t>
        </is>
      </c>
      <c r="B22" s="1" t="n">
        <v>46105.6156712963</v>
      </c>
      <c r="C22" s="1" t="n">
        <v>46106</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Havsörn
Talltita</t>
        </is>
      </c>
      <c r="S22">
        <f>HYPERLINK("https://klasma.github.io/Logging_0885/artfynd/A 15285-2026 artfynd.xlsx", "A 15285-2026")</f>
        <v/>
      </c>
      <c r="T22">
        <f>HYPERLINK("https://klasma.github.io/Logging_0885/kartor/A 15285-2026 karta.png", "A 15285-2026")</f>
        <v/>
      </c>
      <c r="V22">
        <f>HYPERLINK("https://klasma.github.io/Logging_0885/klagomål/A 15285-2026 FSC-klagomål.docx", "A 15285-2026")</f>
        <v/>
      </c>
      <c r="W22">
        <f>HYPERLINK("https://klasma.github.io/Logging_0885/klagomålsmail/A 15285-2026 FSC-klagomål mail.docx", "A 15285-2026")</f>
        <v/>
      </c>
      <c r="X22">
        <f>HYPERLINK("https://klasma.github.io/Logging_0885/tillsyn/A 15285-2026 tillsynsbegäran.docx", "A 15285-2026")</f>
        <v/>
      </c>
      <c r="Y22">
        <f>HYPERLINK("https://klasma.github.io/Logging_0885/tillsynsmail/A 15285-2026 tillsynsbegäran mail.docx", "A 15285-2026")</f>
        <v/>
      </c>
      <c r="Z22">
        <f>HYPERLINK("https://klasma.github.io/Logging_0885/fåglar/A 15285-2026 prioriterade fågelarter.docx", "A 15285-2026")</f>
        <v/>
      </c>
    </row>
    <row r="23" ht="15" customHeight="1">
      <c r="A23" t="inlineStr">
        <is>
          <t>A 44008-2022</t>
        </is>
      </c>
      <c r="B23" s="1" t="n">
        <v>44838</v>
      </c>
      <c r="C23" s="1" t="n">
        <v>46106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46106</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46106</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32174-2022</t>
        </is>
      </c>
      <c r="B26" s="1" t="n">
        <v>44781</v>
      </c>
      <c r="C26" s="1" t="n">
        <v>46106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46106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9253-2026</t>
        </is>
      </c>
      <c r="B28" s="1" t="n">
        <v>46070.51003472223</v>
      </c>
      <c r="C28" s="1" t="n">
        <v>46106</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4164-2023</t>
        </is>
      </c>
      <c r="B29" s="1" t="n">
        <v>44953</v>
      </c>
      <c r="C29" s="1" t="n">
        <v>46106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46106</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46106</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46106</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46106</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28785-2025</t>
        </is>
      </c>
      <c r="B34" s="1" t="n">
        <v>45820.46159722222</v>
      </c>
      <c r="C34" s="1" t="n">
        <v>46106</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46106</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46106</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24704-2023</t>
        </is>
      </c>
      <c r="B37" s="1" t="n">
        <v>45084</v>
      </c>
      <c r="C37" s="1" t="n">
        <v>46106</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45693-2025</t>
        </is>
      </c>
      <c r="B38" s="1" t="n">
        <v>45923</v>
      </c>
      <c r="C38" s="1" t="n">
        <v>46106</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9745-2023</t>
        </is>
      </c>
      <c r="B39" s="1" t="n">
        <v>44984</v>
      </c>
      <c r="C39" s="1" t="n">
        <v>46106</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43603-2024</t>
        </is>
      </c>
      <c r="B40" s="1" t="n">
        <v>45569.44700231482</v>
      </c>
      <c r="C40" s="1" t="n">
        <v>46106</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14789-2021</t>
        </is>
      </c>
      <c r="B41" s="1" t="n">
        <v>44280</v>
      </c>
      <c r="C41" s="1" t="n">
        <v>46106</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3302-2026</t>
        </is>
      </c>
      <c r="B42" s="1" t="n">
        <v>46041</v>
      </c>
      <c r="C42" s="1" t="n">
        <v>46106</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24048-2025</t>
        </is>
      </c>
      <c r="B43" s="1" t="n">
        <v>45796.4959375</v>
      </c>
      <c r="C43" s="1" t="n">
        <v>46106</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46106</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42761-2021</t>
        </is>
      </c>
      <c r="B45" s="1" t="n">
        <v>44428</v>
      </c>
      <c r="C45" s="1" t="n">
        <v>46106</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32665-2022</t>
        </is>
      </c>
      <c r="B46" s="1" t="n">
        <v>44783</v>
      </c>
      <c r="C46" s="1" t="n">
        <v>46106</v>
      </c>
      <c r="D46" t="inlineStr">
        <is>
          <t>KALMAR LÄN</t>
        </is>
      </c>
      <c r="E46" t="inlineStr">
        <is>
          <t>BORGHOLM</t>
        </is>
      </c>
      <c r="F46" t="inlineStr">
        <is>
          <t>Sveaskog</t>
        </is>
      </c>
      <c r="G46" t="n">
        <v>4.2</v>
      </c>
      <c r="H46" t="n">
        <v>0</v>
      </c>
      <c r="I46" t="n">
        <v>0</v>
      </c>
      <c r="J46" t="n">
        <v>0</v>
      </c>
      <c r="K46" t="n">
        <v>0</v>
      </c>
      <c r="L46" t="n">
        <v>0</v>
      </c>
      <c r="M46" t="n">
        <v>0</v>
      </c>
      <c r="N46" t="n">
        <v>0</v>
      </c>
      <c r="O46" t="n">
        <v>0</v>
      </c>
      <c r="P46" t="n">
        <v>0</v>
      </c>
      <c r="Q46" t="n">
        <v>0</v>
      </c>
      <c r="R46" s="2" t="inlineStr"/>
    </row>
    <row r="47" ht="15" customHeight="1">
      <c r="A47" t="inlineStr">
        <is>
          <t>A 10348-2022</t>
        </is>
      </c>
      <c r="B47" s="1" t="n">
        <v>44623</v>
      </c>
      <c r="C47" s="1" t="n">
        <v>46106</v>
      </c>
      <c r="D47" t="inlineStr">
        <is>
          <t>KALMAR LÄN</t>
        </is>
      </c>
      <c r="E47" t="inlineStr">
        <is>
          <t>BORGHOLM</t>
        </is>
      </c>
      <c r="G47" t="n">
        <v>0.4</v>
      </c>
      <c r="H47" t="n">
        <v>0</v>
      </c>
      <c r="I47" t="n">
        <v>0</v>
      </c>
      <c r="J47" t="n">
        <v>0</v>
      </c>
      <c r="K47" t="n">
        <v>0</v>
      </c>
      <c r="L47" t="n">
        <v>0</v>
      </c>
      <c r="M47" t="n">
        <v>0</v>
      </c>
      <c r="N47" t="n">
        <v>0</v>
      </c>
      <c r="O47" t="n">
        <v>0</v>
      </c>
      <c r="P47" t="n">
        <v>0</v>
      </c>
      <c r="Q47" t="n">
        <v>0</v>
      </c>
      <c r="R47" s="2" t="inlineStr"/>
    </row>
    <row r="48" ht="15" customHeight="1">
      <c r="A48" t="inlineStr">
        <is>
          <t>A 28345-2022</t>
        </is>
      </c>
      <c r="B48" s="1" t="n">
        <v>44747</v>
      </c>
      <c r="C48" s="1" t="n">
        <v>46106</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44681-2022</t>
        </is>
      </c>
      <c r="B49" s="1" t="n">
        <v>44840</v>
      </c>
      <c r="C49" s="1" t="n">
        <v>46106</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32608-2022</t>
        </is>
      </c>
      <c r="B50" s="1" t="n">
        <v>44783</v>
      </c>
      <c r="C50" s="1" t="n">
        <v>46106</v>
      </c>
      <c r="D50" t="inlineStr">
        <is>
          <t>KALMAR LÄN</t>
        </is>
      </c>
      <c r="E50" t="inlineStr">
        <is>
          <t>BORGHOLM</t>
        </is>
      </c>
      <c r="F50" t="inlineStr">
        <is>
          <t>Sveaskog</t>
        </is>
      </c>
      <c r="G50" t="n">
        <v>1.6</v>
      </c>
      <c r="H50" t="n">
        <v>0</v>
      </c>
      <c r="I50" t="n">
        <v>0</v>
      </c>
      <c r="J50" t="n">
        <v>0</v>
      </c>
      <c r="K50" t="n">
        <v>0</v>
      </c>
      <c r="L50" t="n">
        <v>0</v>
      </c>
      <c r="M50" t="n">
        <v>0</v>
      </c>
      <c r="N50" t="n">
        <v>0</v>
      </c>
      <c r="O50" t="n">
        <v>0</v>
      </c>
      <c r="P50" t="n">
        <v>0</v>
      </c>
      <c r="Q50" t="n">
        <v>0</v>
      </c>
      <c r="R50" s="2" t="inlineStr"/>
    </row>
    <row r="51" ht="15" customHeight="1">
      <c r="A51" t="inlineStr">
        <is>
          <t>A 61828-2021</t>
        </is>
      </c>
      <c r="B51" s="1" t="n">
        <v>44501</v>
      </c>
      <c r="C51" s="1" t="n">
        <v>46106</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56188-2021</t>
        </is>
      </c>
      <c r="B52" s="1" t="n">
        <v>44477.83525462963</v>
      </c>
      <c r="C52" s="1" t="n">
        <v>46106</v>
      </c>
      <c r="D52" t="inlineStr">
        <is>
          <t>KALMAR LÄN</t>
        </is>
      </c>
      <c r="E52" t="inlineStr">
        <is>
          <t>BORGHOLM</t>
        </is>
      </c>
      <c r="G52" t="n">
        <v>1.8</v>
      </c>
      <c r="H52" t="n">
        <v>0</v>
      </c>
      <c r="I52" t="n">
        <v>0</v>
      </c>
      <c r="J52" t="n">
        <v>0</v>
      </c>
      <c r="K52" t="n">
        <v>0</v>
      </c>
      <c r="L52" t="n">
        <v>0</v>
      </c>
      <c r="M52" t="n">
        <v>0</v>
      </c>
      <c r="N52" t="n">
        <v>0</v>
      </c>
      <c r="O52" t="n">
        <v>0</v>
      </c>
      <c r="P52" t="n">
        <v>0</v>
      </c>
      <c r="Q52" t="n">
        <v>0</v>
      </c>
      <c r="R52" s="2" t="inlineStr"/>
    </row>
    <row r="53" ht="15" customHeight="1">
      <c r="A53" t="inlineStr">
        <is>
          <t>A 56983-2021</t>
        </is>
      </c>
      <c r="B53" s="1" t="n">
        <v>44482</v>
      </c>
      <c r="C53" s="1" t="n">
        <v>46106</v>
      </c>
      <c r="D53" t="inlineStr">
        <is>
          <t>KALMAR LÄN</t>
        </is>
      </c>
      <c r="E53" t="inlineStr">
        <is>
          <t>BORGHOLM</t>
        </is>
      </c>
      <c r="G53" t="n">
        <v>1.2</v>
      </c>
      <c r="H53" t="n">
        <v>0</v>
      </c>
      <c r="I53" t="n">
        <v>0</v>
      </c>
      <c r="J53" t="n">
        <v>0</v>
      </c>
      <c r="K53" t="n">
        <v>0</v>
      </c>
      <c r="L53" t="n">
        <v>0</v>
      </c>
      <c r="M53" t="n">
        <v>0</v>
      </c>
      <c r="N53" t="n">
        <v>0</v>
      </c>
      <c r="O53" t="n">
        <v>0</v>
      </c>
      <c r="P53" t="n">
        <v>0</v>
      </c>
      <c r="Q53" t="n">
        <v>0</v>
      </c>
      <c r="R53" s="2" t="inlineStr"/>
    </row>
    <row r="54" ht="15" customHeight="1">
      <c r="A54" t="inlineStr">
        <is>
          <t>A 27437-2022</t>
        </is>
      </c>
      <c r="B54" s="1" t="n">
        <v>44742.55567129629</v>
      </c>
      <c r="C54" s="1" t="n">
        <v>46106</v>
      </c>
      <c r="D54" t="inlineStr">
        <is>
          <t>KALMAR LÄN</t>
        </is>
      </c>
      <c r="E54" t="inlineStr">
        <is>
          <t>BORGHOLM</t>
        </is>
      </c>
      <c r="G54" t="n">
        <v>0.6</v>
      </c>
      <c r="H54" t="n">
        <v>0</v>
      </c>
      <c r="I54" t="n">
        <v>0</v>
      </c>
      <c r="J54" t="n">
        <v>0</v>
      </c>
      <c r="K54" t="n">
        <v>0</v>
      </c>
      <c r="L54" t="n">
        <v>0</v>
      </c>
      <c r="M54" t="n">
        <v>0</v>
      </c>
      <c r="N54" t="n">
        <v>0</v>
      </c>
      <c r="O54" t="n">
        <v>0</v>
      </c>
      <c r="P54" t="n">
        <v>0</v>
      </c>
      <c r="Q54" t="n">
        <v>0</v>
      </c>
      <c r="R54" s="2" t="inlineStr"/>
    </row>
    <row r="55" ht="15" customHeight="1">
      <c r="A55" t="inlineStr">
        <is>
          <t>A 62631-2021</t>
        </is>
      </c>
      <c r="B55" s="1" t="n">
        <v>44503</v>
      </c>
      <c r="C55" s="1" t="n">
        <v>46106</v>
      </c>
      <c r="D55" t="inlineStr">
        <is>
          <t>KALMAR LÄN</t>
        </is>
      </c>
      <c r="E55" t="inlineStr">
        <is>
          <t>BORGHOLM</t>
        </is>
      </c>
      <c r="G55" t="n">
        <v>1</v>
      </c>
      <c r="H55" t="n">
        <v>0</v>
      </c>
      <c r="I55" t="n">
        <v>0</v>
      </c>
      <c r="J55" t="n">
        <v>0</v>
      </c>
      <c r="K55" t="n">
        <v>0</v>
      </c>
      <c r="L55" t="n">
        <v>0</v>
      </c>
      <c r="M55" t="n">
        <v>0</v>
      </c>
      <c r="N55" t="n">
        <v>0</v>
      </c>
      <c r="O55" t="n">
        <v>0</v>
      </c>
      <c r="P55" t="n">
        <v>0</v>
      </c>
      <c r="Q55" t="n">
        <v>0</v>
      </c>
      <c r="R55" s="2" t="inlineStr"/>
    </row>
    <row r="56" ht="15" customHeight="1">
      <c r="A56" t="inlineStr">
        <is>
          <t>A 32180-2022</t>
        </is>
      </c>
      <c r="B56" s="1" t="n">
        <v>44781</v>
      </c>
      <c r="C56" s="1" t="n">
        <v>46106</v>
      </c>
      <c r="D56" t="inlineStr">
        <is>
          <t>KALMAR LÄN</t>
        </is>
      </c>
      <c r="E56" t="inlineStr">
        <is>
          <t>BORGHOLM</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42785-2021</t>
        </is>
      </c>
      <c r="B57" s="1" t="n">
        <v>44428</v>
      </c>
      <c r="C57" s="1" t="n">
        <v>46106</v>
      </c>
      <c r="D57" t="inlineStr">
        <is>
          <t>KALMAR LÄN</t>
        </is>
      </c>
      <c r="E57" t="inlineStr">
        <is>
          <t>BORGHOLM</t>
        </is>
      </c>
      <c r="G57" t="n">
        <v>2.8</v>
      </c>
      <c r="H57" t="n">
        <v>0</v>
      </c>
      <c r="I57" t="n">
        <v>0</v>
      </c>
      <c r="J57" t="n">
        <v>0</v>
      </c>
      <c r="K57" t="n">
        <v>0</v>
      </c>
      <c r="L57" t="n">
        <v>0</v>
      </c>
      <c r="M57" t="n">
        <v>0</v>
      </c>
      <c r="N57" t="n">
        <v>0</v>
      </c>
      <c r="O57" t="n">
        <v>0</v>
      </c>
      <c r="P57" t="n">
        <v>0</v>
      </c>
      <c r="Q57" t="n">
        <v>0</v>
      </c>
      <c r="R57" s="2" t="inlineStr"/>
    </row>
    <row r="58" ht="15" customHeight="1">
      <c r="A58" t="inlineStr">
        <is>
          <t>A 3878-2023</t>
        </is>
      </c>
      <c r="B58" s="1" t="n">
        <v>44951</v>
      </c>
      <c r="C58" s="1" t="n">
        <v>46106</v>
      </c>
      <c r="D58" t="inlineStr">
        <is>
          <t>KALMAR LÄN</t>
        </is>
      </c>
      <c r="E58" t="inlineStr">
        <is>
          <t>BORGHOLM</t>
        </is>
      </c>
      <c r="G58" t="n">
        <v>1.7</v>
      </c>
      <c r="H58" t="n">
        <v>0</v>
      </c>
      <c r="I58" t="n">
        <v>0</v>
      </c>
      <c r="J58" t="n">
        <v>0</v>
      </c>
      <c r="K58" t="n">
        <v>0</v>
      </c>
      <c r="L58" t="n">
        <v>0</v>
      </c>
      <c r="M58" t="n">
        <v>0</v>
      </c>
      <c r="N58" t="n">
        <v>0</v>
      </c>
      <c r="O58" t="n">
        <v>0</v>
      </c>
      <c r="P58" t="n">
        <v>0</v>
      </c>
      <c r="Q58" t="n">
        <v>0</v>
      </c>
      <c r="R58" s="2" t="inlineStr"/>
    </row>
    <row r="59" ht="15" customHeight="1">
      <c r="A59" t="inlineStr">
        <is>
          <t>A 12937-2022</t>
        </is>
      </c>
      <c r="B59" s="1" t="n">
        <v>44642</v>
      </c>
      <c r="C59" s="1" t="n">
        <v>46106</v>
      </c>
      <c r="D59" t="inlineStr">
        <is>
          <t>KALMAR LÄN</t>
        </is>
      </c>
      <c r="E59" t="inlineStr">
        <is>
          <t>BORGHOLM</t>
        </is>
      </c>
      <c r="F59" t="inlineStr">
        <is>
          <t>Sveaskog</t>
        </is>
      </c>
      <c r="G59" t="n">
        <v>1.8</v>
      </c>
      <c r="H59" t="n">
        <v>0</v>
      </c>
      <c r="I59" t="n">
        <v>0</v>
      </c>
      <c r="J59" t="n">
        <v>0</v>
      </c>
      <c r="K59" t="n">
        <v>0</v>
      </c>
      <c r="L59" t="n">
        <v>0</v>
      </c>
      <c r="M59" t="n">
        <v>0</v>
      </c>
      <c r="N59" t="n">
        <v>0</v>
      </c>
      <c r="O59" t="n">
        <v>0</v>
      </c>
      <c r="P59" t="n">
        <v>0</v>
      </c>
      <c r="Q59" t="n">
        <v>0</v>
      </c>
      <c r="R59" s="2" t="inlineStr"/>
    </row>
    <row r="60" ht="15" customHeight="1">
      <c r="A60" t="inlineStr">
        <is>
          <t>A 9034-2025</t>
        </is>
      </c>
      <c r="B60" s="1" t="n">
        <v>45713</v>
      </c>
      <c r="C60" s="1" t="n">
        <v>46106</v>
      </c>
      <c r="D60" t="inlineStr">
        <is>
          <t>KALMAR LÄN</t>
        </is>
      </c>
      <c r="E60" t="inlineStr">
        <is>
          <t>BORGHOLM</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13548-2025</t>
        </is>
      </c>
      <c r="B61" s="1" t="n">
        <v>45736.53827546296</v>
      </c>
      <c r="C61" s="1" t="n">
        <v>46106</v>
      </c>
      <c r="D61" t="inlineStr">
        <is>
          <t>KALMAR LÄN</t>
        </is>
      </c>
      <c r="E61" t="inlineStr">
        <is>
          <t>BORGHOLM</t>
        </is>
      </c>
      <c r="G61" t="n">
        <v>1</v>
      </c>
      <c r="H61" t="n">
        <v>0</v>
      </c>
      <c r="I61" t="n">
        <v>0</v>
      </c>
      <c r="J61" t="n">
        <v>0</v>
      </c>
      <c r="K61" t="n">
        <v>0</v>
      </c>
      <c r="L61" t="n">
        <v>0</v>
      </c>
      <c r="M61" t="n">
        <v>0</v>
      </c>
      <c r="N61" t="n">
        <v>0</v>
      </c>
      <c r="O61" t="n">
        <v>0</v>
      </c>
      <c r="P61" t="n">
        <v>0</v>
      </c>
      <c r="Q61" t="n">
        <v>0</v>
      </c>
      <c r="R61" s="2" t="inlineStr"/>
    </row>
    <row r="62" ht="15" customHeight="1">
      <c r="A62" t="inlineStr">
        <is>
          <t>A 64303-2023</t>
        </is>
      </c>
      <c r="B62" s="1" t="n">
        <v>45280</v>
      </c>
      <c r="C62" s="1" t="n">
        <v>46106</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21908-2022</t>
        </is>
      </c>
      <c r="B63" s="1" t="n">
        <v>44711</v>
      </c>
      <c r="C63" s="1" t="n">
        <v>46106</v>
      </c>
      <c r="D63" t="inlineStr">
        <is>
          <t>KALMAR LÄN</t>
        </is>
      </c>
      <c r="E63" t="inlineStr">
        <is>
          <t>BORGHOLM</t>
        </is>
      </c>
      <c r="G63" t="n">
        <v>4.7</v>
      </c>
      <c r="H63" t="n">
        <v>0</v>
      </c>
      <c r="I63" t="n">
        <v>0</v>
      </c>
      <c r="J63" t="n">
        <v>0</v>
      </c>
      <c r="K63" t="n">
        <v>0</v>
      </c>
      <c r="L63" t="n">
        <v>0</v>
      </c>
      <c r="M63" t="n">
        <v>0</v>
      </c>
      <c r="N63" t="n">
        <v>0</v>
      </c>
      <c r="O63" t="n">
        <v>0</v>
      </c>
      <c r="P63" t="n">
        <v>0</v>
      </c>
      <c r="Q63" t="n">
        <v>0</v>
      </c>
      <c r="R63" s="2" t="inlineStr"/>
    </row>
    <row r="64" ht="15" customHeight="1">
      <c r="A64" t="inlineStr">
        <is>
          <t>A 55367-2024</t>
        </is>
      </c>
      <c r="B64" s="1" t="n">
        <v>45621.87075231481</v>
      </c>
      <c r="C64" s="1" t="n">
        <v>46106</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27357-2025</t>
        </is>
      </c>
      <c r="B65" s="1" t="n">
        <v>45812.63650462963</v>
      </c>
      <c r="C65" s="1" t="n">
        <v>46106</v>
      </c>
      <c r="D65" t="inlineStr">
        <is>
          <t>KALMAR LÄN</t>
        </is>
      </c>
      <c r="E65" t="inlineStr">
        <is>
          <t>BORGHOLM</t>
        </is>
      </c>
      <c r="F65" t="inlineStr">
        <is>
          <t>Sveaskog</t>
        </is>
      </c>
      <c r="G65" t="n">
        <v>4.5</v>
      </c>
      <c r="H65" t="n">
        <v>0</v>
      </c>
      <c r="I65" t="n">
        <v>0</v>
      </c>
      <c r="J65" t="n">
        <v>0</v>
      </c>
      <c r="K65" t="n">
        <v>0</v>
      </c>
      <c r="L65" t="n">
        <v>0</v>
      </c>
      <c r="M65" t="n">
        <v>0</v>
      </c>
      <c r="N65" t="n">
        <v>0</v>
      </c>
      <c r="O65" t="n">
        <v>0</v>
      </c>
      <c r="P65" t="n">
        <v>0</v>
      </c>
      <c r="Q65" t="n">
        <v>0</v>
      </c>
      <c r="R65" s="2" t="inlineStr"/>
    </row>
    <row r="66" ht="15" customHeight="1">
      <c r="A66" t="inlineStr">
        <is>
          <t>A 27366-2025</t>
        </is>
      </c>
      <c r="B66" s="1" t="n">
        <v>45812.64475694444</v>
      </c>
      <c r="C66" s="1" t="n">
        <v>46106</v>
      </c>
      <c r="D66" t="inlineStr">
        <is>
          <t>KALMAR LÄN</t>
        </is>
      </c>
      <c r="E66" t="inlineStr">
        <is>
          <t>BORGHOLM</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28782-2025</t>
        </is>
      </c>
      <c r="B67" s="1" t="n">
        <v>45820.45572916666</v>
      </c>
      <c r="C67" s="1" t="n">
        <v>46106</v>
      </c>
      <c r="D67" t="inlineStr">
        <is>
          <t>KALMAR LÄN</t>
        </is>
      </c>
      <c r="E67" t="inlineStr">
        <is>
          <t>BORGHOLM</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4159-2024</t>
        </is>
      </c>
      <c r="B68" s="1" t="n">
        <v>45323</v>
      </c>
      <c r="C68" s="1" t="n">
        <v>46106</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32921-2023</t>
        </is>
      </c>
      <c r="B69" s="1" t="n">
        <v>45125</v>
      </c>
      <c r="C69" s="1" t="n">
        <v>46106</v>
      </c>
      <c r="D69" t="inlineStr">
        <is>
          <t>KALMAR LÄN</t>
        </is>
      </c>
      <c r="E69" t="inlineStr">
        <is>
          <t>BORGHOLM</t>
        </is>
      </c>
      <c r="G69" t="n">
        <v>2.9</v>
      </c>
      <c r="H69" t="n">
        <v>0</v>
      </c>
      <c r="I69" t="n">
        <v>0</v>
      </c>
      <c r="J69" t="n">
        <v>0</v>
      </c>
      <c r="K69" t="n">
        <v>0</v>
      </c>
      <c r="L69" t="n">
        <v>0</v>
      </c>
      <c r="M69" t="n">
        <v>0</v>
      </c>
      <c r="N69" t="n">
        <v>0</v>
      </c>
      <c r="O69" t="n">
        <v>0</v>
      </c>
      <c r="P69" t="n">
        <v>0</v>
      </c>
      <c r="Q69" t="n">
        <v>0</v>
      </c>
      <c r="R69" s="2" t="inlineStr"/>
    </row>
    <row r="70" ht="15" customHeight="1">
      <c r="A70" t="inlineStr">
        <is>
          <t>A 7481-2026</t>
        </is>
      </c>
      <c r="B70" s="1" t="n">
        <v>46059.51359953704</v>
      </c>
      <c r="C70" s="1" t="n">
        <v>46106</v>
      </c>
      <c r="D70" t="inlineStr">
        <is>
          <t>KALMAR LÄN</t>
        </is>
      </c>
      <c r="E70" t="inlineStr">
        <is>
          <t>BORGHOLM</t>
        </is>
      </c>
      <c r="G70" t="n">
        <v>1.9</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46106</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15272-2026</t>
        </is>
      </c>
      <c r="B72" s="1" t="n">
        <v>46105.60017361111</v>
      </c>
      <c r="C72" s="1" t="n">
        <v>46106</v>
      </c>
      <c r="D72" t="inlineStr">
        <is>
          <t>KALMAR LÄN</t>
        </is>
      </c>
      <c r="E72" t="inlineStr">
        <is>
          <t>BORGHOLM</t>
        </is>
      </c>
      <c r="F72" t="inlineStr">
        <is>
          <t>Sveaskog</t>
        </is>
      </c>
      <c r="G72" t="n">
        <v>2.9</v>
      </c>
      <c r="H72" t="n">
        <v>0</v>
      </c>
      <c r="I72" t="n">
        <v>0</v>
      </c>
      <c r="J72" t="n">
        <v>0</v>
      </c>
      <c r="K72" t="n">
        <v>0</v>
      </c>
      <c r="L72" t="n">
        <v>0</v>
      </c>
      <c r="M72" t="n">
        <v>0</v>
      </c>
      <c r="N72" t="n">
        <v>0</v>
      </c>
      <c r="O72" t="n">
        <v>0</v>
      </c>
      <c r="P72" t="n">
        <v>0</v>
      </c>
      <c r="Q72" t="n">
        <v>0</v>
      </c>
      <c r="R72" s="2" t="inlineStr"/>
    </row>
    <row r="73" ht="15" customHeight="1">
      <c r="A73" t="inlineStr">
        <is>
          <t>A 31699-2022</t>
        </is>
      </c>
      <c r="B73" s="1" t="n">
        <v>44776</v>
      </c>
      <c r="C73" s="1" t="n">
        <v>46106</v>
      </c>
      <c r="D73" t="inlineStr">
        <is>
          <t>KALMAR LÄN</t>
        </is>
      </c>
      <c r="E73" t="inlineStr">
        <is>
          <t>BORGHOLM</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46106</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15264-2026</t>
        </is>
      </c>
      <c r="B75" s="1" t="n">
        <v>46105.59372685185</v>
      </c>
      <c r="C75" s="1" t="n">
        <v>46106</v>
      </c>
      <c r="D75" t="inlineStr">
        <is>
          <t>KALMAR LÄN</t>
        </is>
      </c>
      <c r="E75" t="inlineStr">
        <is>
          <t>BORGHOLM</t>
        </is>
      </c>
      <c r="F75" t="inlineStr">
        <is>
          <t>Sveaskog</t>
        </is>
      </c>
      <c r="G75" t="n">
        <v>1.7</v>
      </c>
      <c r="H75" t="n">
        <v>0</v>
      </c>
      <c r="I75" t="n">
        <v>0</v>
      </c>
      <c r="J75" t="n">
        <v>0</v>
      </c>
      <c r="K75" t="n">
        <v>0</v>
      </c>
      <c r="L75" t="n">
        <v>0</v>
      </c>
      <c r="M75" t="n">
        <v>0</v>
      </c>
      <c r="N75" t="n">
        <v>0</v>
      </c>
      <c r="O75" t="n">
        <v>0</v>
      </c>
      <c r="P75" t="n">
        <v>0</v>
      </c>
      <c r="Q75" t="n">
        <v>0</v>
      </c>
      <c r="R75" s="2" t="inlineStr"/>
    </row>
    <row r="76" ht="15" customHeight="1">
      <c r="A76" t="inlineStr">
        <is>
          <t>A 42232-2025</t>
        </is>
      </c>
      <c r="B76" s="1" t="n">
        <v>45904.55591435185</v>
      </c>
      <c r="C76" s="1" t="n">
        <v>46106</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63276-2023</t>
        </is>
      </c>
      <c r="B77" s="1" t="n">
        <v>45273.82195601852</v>
      </c>
      <c r="C77" s="1" t="n">
        <v>46106</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15279-2026</t>
        </is>
      </c>
      <c r="B78" s="1" t="n">
        <v>46105.61030092592</v>
      </c>
      <c r="C78" s="1" t="n">
        <v>46106</v>
      </c>
      <c r="D78" t="inlineStr">
        <is>
          <t>KALMAR LÄN</t>
        </is>
      </c>
      <c r="E78" t="inlineStr">
        <is>
          <t>BORGHOLM</t>
        </is>
      </c>
      <c r="F78" t="inlineStr">
        <is>
          <t>Sveaskog</t>
        </is>
      </c>
      <c r="G78" t="n">
        <v>4.6</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46106</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1614-2025</t>
        </is>
      </c>
      <c r="B80" s="1" t="n">
        <v>45670.60094907408</v>
      </c>
      <c r="C80" s="1" t="n">
        <v>46106</v>
      </c>
      <c r="D80" t="inlineStr">
        <is>
          <t>KALMAR LÄN</t>
        </is>
      </c>
      <c r="E80" t="inlineStr">
        <is>
          <t>BORGHOLM</t>
        </is>
      </c>
      <c r="G80" t="n">
        <v>1.4</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46106</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36269-2025</t>
        </is>
      </c>
      <c r="B82" s="1" t="n">
        <v>45867.61736111111</v>
      </c>
      <c r="C82" s="1" t="n">
        <v>46106</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46106</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46106</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46106</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1757-2025</t>
        </is>
      </c>
      <c r="B86" s="1" t="n">
        <v>45671.42195601852</v>
      </c>
      <c r="C86" s="1" t="n">
        <v>46106</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7960-2023</t>
        </is>
      </c>
      <c r="B87" s="1" t="n">
        <v>44973</v>
      </c>
      <c r="C87" s="1" t="n">
        <v>46106</v>
      </c>
      <c r="D87" t="inlineStr">
        <is>
          <t>KALMAR LÄN</t>
        </is>
      </c>
      <c r="E87" t="inlineStr">
        <is>
          <t>BORGHOLM</t>
        </is>
      </c>
      <c r="G87" t="n">
        <v>2.1</v>
      </c>
      <c r="H87" t="n">
        <v>0</v>
      </c>
      <c r="I87" t="n">
        <v>0</v>
      </c>
      <c r="J87" t="n">
        <v>0</v>
      </c>
      <c r="K87" t="n">
        <v>0</v>
      </c>
      <c r="L87" t="n">
        <v>0</v>
      </c>
      <c r="M87" t="n">
        <v>0</v>
      </c>
      <c r="N87" t="n">
        <v>0</v>
      </c>
      <c r="O87" t="n">
        <v>0</v>
      </c>
      <c r="P87" t="n">
        <v>0</v>
      </c>
      <c r="Q87" t="n">
        <v>0</v>
      </c>
      <c r="R87" s="2" t="inlineStr"/>
    </row>
    <row r="88" ht="15" customHeight="1">
      <c r="A88" t="inlineStr">
        <is>
          <t>A 29656-2023</t>
        </is>
      </c>
      <c r="B88" s="1" t="n">
        <v>45107</v>
      </c>
      <c r="C88" s="1" t="n">
        <v>46106</v>
      </c>
      <c r="D88" t="inlineStr">
        <is>
          <t>KALMAR LÄN</t>
        </is>
      </c>
      <c r="E88" t="inlineStr">
        <is>
          <t>BORGHOLM</t>
        </is>
      </c>
      <c r="G88" t="n">
        <v>4.1</v>
      </c>
      <c r="H88" t="n">
        <v>0</v>
      </c>
      <c r="I88" t="n">
        <v>0</v>
      </c>
      <c r="J88" t="n">
        <v>0</v>
      </c>
      <c r="K88" t="n">
        <v>0</v>
      </c>
      <c r="L88" t="n">
        <v>0</v>
      </c>
      <c r="M88" t="n">
        <v>0</v>
      </c>
      <c r="N88" t="n">
        <v>0</v>
      </c>
      <c r="O88" t="n">
        <v>0</v>
      </c>
      <c r="P88" t="n">
        <v>0</v>
      </c>
      <c r="Q88" t="n">
        <v>0</v>
      </c>
      <c r="R88" s="2" t="inlineStr"/>
    </row>
    <row r="89" ht="15" customHeight="1">
      <c r="A89" t="inlineStr">
        <is>
          <t>A 9050-2025</t>
        </is>
      </c>
      <c r="B89" s="1" t="n">
        <v>45713.63512731482</v>
      </c>
      <c r="C89" s="1" t="n">
        <v>46106</v>
      </c>
      <c r="D89" t="inlineStr">
        <is>
          <t>KALMAR LÄN</t>
        </is>
      </c>
      <c r="E89" t="inlineStr">
        <is>
          <t>BORGHOLM</t>
        </is>
      </c>
      <c r="F89" t="inlineStr">
        <is>
          <t>Sveaskog</t>
        </is>
      </c>
      <c r="G89" t="n">
        <v>2.5</v>
      </c>
      <c r="H89" t="n">
        <v>0</v>
      </c>
      <c r="I89" t="n">
        <v>0</v>
      </c>
      <c r="J89" t="n">
        <v>0</v>
      </c>
      <c r="K89" t="n">
        <v>0</v>
      </c>
      <c r="L89" t="n">
        <v>0</v>
      </c>
      <c r="M89" t="n">
        <v>0</v>
      </c>
      <c r="N89" t="n">
        <v>0</v>
      </c>
      <c r="O89" t="n">
        <v>0</v>
      </c>
      <c r="P89" t="n">
        <v>0</v>
      </c>
      <c r="Q89" t="n">
        <v>0</v>
      </c>
      <c r="R89" s="2" t="inlineStr"/>
    </row>
    <row r="90" ht="15" customHeight="1">
      <c r="A90" t="inlineStr">
        <is>
          <t>A 7669-2024</t>
        </is>
      </c>
      <c r="B90" s="1" t="n">
        <v>45348.82498842593</v>
      </c>
      <c r="C90" s="1" t="n">
        <v>46106</v>
      </c>
      <c r="D90" t="inlineStr">
        <is>
          <t>KALMAR LÄN</t>
        </is>
      </c>
      <c r="E90" t="inlineStr">
        <is>
          <t>BORGHOLM</t>
        </is>
      </c>
      <c r="G90" t="n">
        <v>2.3</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46106</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46106</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61723-2025</t>
        </is>
      </c>
      <c r="B93" s="1" t="n">
        <v>46002.58388888889</v>
      </c>
      <c r="C93" s="1" t="n">
        <v>46106</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32919-2023</t>
        </is>
      </c>
      <c r="B94" s="1" t="n">
        <v>45125</v>
      </c>
      <c r="C94" s="1" t="n">
        <v>46106</v>
      </c>
      <c r="D94" t="inlineStr">
        <is>
          <t>KALMAR LÄN</t>
        </is>
      </c>
      <c r="E94" t="inlineStr">
        <is>
          <t>BORGHOLM</t>
        </is>
      </c>
      <c r="G94" t="n">
        <v>2.7</v>
      </c>
      <c r="H94" t="n">
        <v>0</v>
      </c>
      <c r="I94" t="n">
        <v>0</v>
      </c>
      <c r="J94" t="n">
        <v>0</v>
      </c>
      <c r="K94" t="n">
        <v>0</v>
      </c>
      <c r="L94" t="n">
        <v>0</v>
      </c>
      <c r="M94" t="n">
        <v>0</v>
      </c>
      <c r="N94" t="n">
        <v>0</v>
      </c>
      <c r="O94" t="n">
        <v>0</v>
      </c>
      <c r="P94" t="n">
        <v>0</v>
      </c>
      <c r="Q94" t="n">
        <v>0</v>
      </c>
      <c r="R94" s="2" t="inlineStr"/>
    </row>
    <row r="95" ht="15" customHeight="1">
      <c r="A95" t="inlineStr">
        <is>
          <t>A 44678-2022</t>
        </is>
      </c>
      <c r="B95" s="1" t="n">
        <v>44840.65100694444</v>
      </c>
      <c r="C95" s="1" t="n">
        <v>46106</v>
      </c>
      <c r="D95" t="inlineStr">
        <is>
          <t>KALMAR LÄN</t>
        </is>
      </c>
      <c r="E95" t="inlineStr">
        <is>
          <t>BORGHOLM</t>
        </is>
      </c>
      <c r="G95" t="n">
        <v>2.4</v>
      </c>
      <c r="H95" t="n">
        <v>0</v>
      </c>
      <c r="I95" t="n">
        <v>0</v>
      </c>
      <c r="J95" t="n">
        <v>0</v>
      </c>
      <c r="K95" t="n">
        <v>0</v>
      </c>
      <c r="L95" t="n">
        <v>0</v>
      </c>
      <c r="M95" t="n">
        <v>0</v>
      </c>
      <c r="N95" t="n">
        <v>0</v>
      </c>
      <c r="O95" t="n">
        <v>0</v>
      </c>
      <c r="P95" t="n">
        <v>0</v>
      </c>
      <c r="Q95" t="n">
        <v>0</v>
      </c>
      <c r="R95" s="2" t="inlineStr"/>
    </row>
    <row r="96" ht="15" customHeight="1">
      <c r="A96" t="inlineStr">
        <is>
          <t>A 9104-2026</t>
        </is>
      </c>
      <c r="B96" s="1" t="n">
        <v>46069</v>
      </c>
      <c r="C96" s="1" t="n">
        <v>46106</v>
      </c>
      <c r="D96" t="inlineStr">
        <is>
          <t>KALMAR LÄN</t>
        </is>
      </c>
      <c r="E96" t="inlineStr">
        <is>
          <t>BORGHOLM</t>
        </is>
      </c>
      <c r="G96" t="n">
        <v>1.3</v>
      </c>
      <c r="H96" t="n">
        <v>0</v>
      </c>
      <c r="I96" t="n">
        <v>0</v>
      </c>
      <c r="J96" t="n">
        <v>0</v>
      </c>
      <c r="K96" t="n">
        <v>0</v>
      </c>
      <c r="L96" t="n">
        <v>0</v>
      </c>
      <c r="M96" t="n">
        <v>0</v>
      </c>
      <c r="N96" t="n">
        <v>0</v>
      </c>
      <c r="O96" t="n">
        <v>0</v>
      </c>
      <c r="P96" t="n">
        <v>0</v>
      </c>
      <c r="Q96" t="n">
        <v>0</v>
      </c>
      <c r="R96" s="2" t="inlineStr"/>
    </row>
    <row r="97" ht="15" customHeight="1">
      <c r="A97" t="inlineStr">
        <is>
          <t>A 9259-2026</t>
        </is>
      </c>
      <c r="B97" s="1" t="n">
        <v>46070.51917824074</v>
      </c>
      <c r="C97" s="1" t="n">
        <v>46106</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46106</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46106</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9905-2026</t>
        </is>
      </c>
      <c r="B100" s="1" t="n">
        <v>46073.4108912037</v>
      </c>
      <c r="C100" s="1" t="n">
        <v>46106</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5175-2024</t>
        </is>
      </c>
      <c r="B101" s="1" t="n">
        <v>45330</v>
      </c>
      <c r="C101" s="1" t="n">
        <v>46106</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46106</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19867-2024</t>
        </is>
      </c>
      <c r="B103" s="1" t="n">
        <v>45433</v>
      </c>
      <c r="C103" s="1" t="n">
        <v>46106</v>
      </c>
      <c r="D103" t="inlineStr">
        <is>
          <t>KALMAR LÄN</t>
        </is>
      </c>
      <c r="E103" t="inlineStr">
        <is>
          <t>BORGHOLM</t>
        </is>
      </c>
      <c r="G103" t="n">
        <v>3.9</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46106</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46106</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46106</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46106</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46106</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50129-2021</t>
        </is>
      </c>
      <c r="B109" s="1" t="n">
        <v>44456</v>
      </c>
      <c r="C109" s="1" t="n">
        <v>46106</v>
      </c>
      <c r="D109" t="inlineStr">
        <is>
          <t>KALMAR LÄN</t>
        </is>
      </c>
      <c r="E109" t="inlineStr">
        <is>
          <t>BORGHOLM</t>
        </is>
      </c>
      <c r="G109" t="n">
        <v>1.6</v>
      </c>
      <c r="H109" t="n">
        <v>0</v>
      </c>
      <c r="I109" t="n">
        <v>0</v>
      </c>
      <c r="J109" t="n">
        <v>0</v>
      </c>
      <c r="K109" t="n">
        <v>0</v>
      </c>
      <c r="L109" t="n">
        <v>0</v>
      </c>
      <c r="M109" t="n">
        <v>0</v>
      </c>
      <c r="N109" t="n">
        <v>0</v>
      </c>
      <c r="O109" t="n">
        <v>0</v>
      </c>
      <c r="P109" t="n">
        <v>0</v>
      </c>
      <c r="Q109" t="n">
        <v>0</v>
      </c>
      <c r="R109" s="2" t="inlineStr"/>
    </row>
    <row r="110" ht="15" customHeight="1">
      <c r="A110" t="inlineStr">
        <is>
          <t>A 13043-2024</t>
        </is>
      </c>
      <c r="B110" s="1" t="n">
        <v>45385.60111111111</v>
      </c>
      <c r="C110" s="1" t="n">
        <v>46106</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34780-2022</t>
        </is>
      </c>
      <c r="B111" s="1" t="n">
        <v>44795</v>
      </c>
      <c r="C111" s="1" t="n">
        <v>46106</v>
      </c>
      <c r="D111" t="inlineStr">
        <is>
          <t>KALMAR LÄN</t>
        </is>
      </c>
      <c r="E111" t="inlineStr">
        <is>
          <t>BORGHOLM</t>
        </is>
      </c>
      <c r="F111" t="inlineStr">
        <is>
          <t>Sveaskog</t>
        </is>
      </c>
      <c r="G111" t="n">
        <v>6.7</v>
      </c>
      <c r="H111" t="n">
        <v>0</v>
      </c>
      <c r="I111" t="n">
        <v>0</v>
      </c>
      <c r="J111" t="n">
        <v>0</v>
      </c>
      <c r="K111" t="n">
        <v>0</v>
      </c>
      <c r="L111" t="n">
        <v>0</v>
      </c>
      <c r="M111" t="n">
        <v>0</v>
      </c>
      <c r="N111" t="n">
        <v>0</v>
      </c>
      <c r="O111" t="n">
        <v>0</v>
      </c>
      <c r="P111" t="n">
        <v>0</v>
      </c>
      <c r="Q111" t="n">
        <v>0</v>
      </c>
      <c r="R111" s="2" t="inlineStr"/>
    </row>
    <row r="112" ht="15" customHeight="1">
      <c r="A112" t="inlineStr">
        <is>
          <t>A 9044-2025</t>
        </is>
      </c>
      <c r="B112" s="1" t="n">
        <v>45713.6275</v>
      </c>
      <c r="C112" s="1" t="n">
        <v>46106</v>
      </c>
      <c r="D112" t="inlineStr">
        <is>
          <t>KALMAR LÄN</t>
        </is>
      </c>
      <c r="E112" t="inlineStr">
        <is>
          <t>BORGHOLM</t>
        </is>
      </c>
      <c r="F112" t="inlineStr">
        <is>
          <t>Sveaskog</t>
        </is>
      </c>
      <c r="G112" t="n">
        <v>4</v>
      </c>
      <c r="H112" t="n">
        <v>0</v>
      </c>
      <c r="I112" t="n">
        <v>0</v>
      </c>
      <c r="J112" t="n">
        <v>0</v>
      </c>
      <c r="K112" t="n">
        <v>0</v>
      </c>
      <c r="L112" t="n">
        <v>0</v>
      </c>
      <c r="M112" t="n">
        <v>0</v>
      </c>
      <c r="N112" t="n">
        <v>0</v>
      </c>
      <c r="O112" t="n">
        <v>0</v>
      </c>
      <c r="P112" t="n">
        <v>0</v>
      </c>
      <c r="Q112" t="n">
        <v>0</v>
      </c>
      <c r="R112" s="2" t="inlineStr"/>
    </row>
    <row r="113" ht="15" customHeight="1">
      <c r="A113" t="inlineStr">
        <is>
          <t>A 20878-2024</t>
        </is>
      </c>
      <c r="B113" s="1" t="n">
        <v>45439.44748842593</v>
      </c>
      <c r="C113" s="1" t="n">
        <v>46106</v>
      </c>
      <c r="D113" t="inlineStr">
        <is>
          <t>KALMAR LÄN</t>
        </is>
      </c>
      <c r="E113" t="inlineStr">
        <is>
          <t>BORGHOLM</t>
        </is>
      </c>
      <c r="G113" t="n">
        <v>1.9</v>
      </c>
      <c r="H113" t="n">
        <v>0</v>
      </c>
      <c r="I113" t="n">
        <v>0</v>
      </c>
      <c r="J113" t="n">
        <v>0</v>
      </c>
      <c r="K113" t="n">
        <v>0</v>
      </c>
      <c r="L113" t="n">
        <v>0</v>
      </c>
      <c r="M113" t="n">
        <v>0</v>
      </c>
      <c r="N113" t="n">
        <v>0</v>
      </c>
      <c r="O113" t="n">
        <v>0</v>
      </c>
      <c r="P113" t="n">
        <v>0</v>
      </c>
      <c r="Q113" t="n">
        <v>0</v>
      </c>
      <c r="R113" s="2" t="inlineStr"/>
    </row>
    <row r="114" ht="15" customHeight="1">
      <c r="A114" t="inlineStr">
        <is>
          <t>A 17699-2025</t>
        </is>
      </c>
      <c r="B114" s="1" t="n">
        <v>45758.41846064815</v>
      </c>
      <c r="C114" s="1" t="n">
        <v>46106</v>
      </c>
      <c r="D114" t="inlineStr">
        <is>
          <t>KALMAR LÄN</t>
        </is>
      </c>
      <c r="E114" t="inlineStr">
        <is>
          <t>BORGHOLM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20287-2025</t>
        </is>
      </c>
      <c r="B115" s="1" t="n">
        <v>45774.60741898148</v>
      </c>
      <c r="C115" s="1" t="n">
        <v>46106</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26160-2024</t>
        </is>
      </c>
      <c r="B116" s="1" t="n">
        <v>45468</v>
      </c>
      <c r="C116" s="1" t="n">
        <v>46106</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c r="T116">
        <f>HYPERLINK("https://klasma.github.io/Logging_0885/kartor/A 26160-2024 karta.png", "A 26160-2024")</f>
        <v/>
      </c>
      <c r="V116">
        <f>HYPERLINK("https://klasma.github.io/Logging_0885/klagomål/A 26160-2024 FSC-klagomål.docx", "A 26160-2024")</f>
        <v/>
      </c>
      <c r="W116">
        <f>HYPERLINK("https://klasma.github.io/Logging_0885/klagomålsmail/A 26160-2024 FSC-klagomål mail.docx", "A 26160-2024")</f>
        <v/>
      </c>
      <c r="X116">
        <f>HYPERLINK("https://klasma.github.io/Logging_0885/tillsyn/A 26160-2024 tillsynsbegäran.docx", "A 26160-2024")</f>
        <v/>
      </c>
      <c r="Y116">
        <f>HYPERLINK("https://klasma.github.io/Logging_0885/tillsynsmail/A 26160-2024 tillsynsbegäran mail.docx", "A 26160-2024")</f>
        <v/>
      </c>
    </row>
    <row r="117" ht="15" customHeight="1">
      <c r="A117" t="inlineStr">
        <is>
          <t>A 63075-2023</t>
        </is>
      </c>
      <c r="B117" s="1" t="n">
        <v>45273</v>
      </c>
      <c r="C117" s="1" t="n">
        <v>46106</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17978-2021</t>
        </is>
      </c>
      <c r="B118" s="1" t="n">
        <v>44301</v>
      </c>
      <c r="C118" s="1" t="n">
        <v>46106</v>
      </c>
      <c r="D118" t="inlineStr">
        <is>
          <t>KALMAR LÄN</t>
        </is>
      </c>
      <c r="E118" t="inlineStr">
        <is>
          <t>BORGHOLM</t>
        </is>
      </c>
      <c r="G118" t="n">
        <v>6</v>
      </c>
      <c r="H118" t="n">
        <v>0</v>
      </c>
      <c r="I118" t="n">
        <v>0</v>
      </c>
      <c r="J118" t="n">
        <v>0</v>
      </c>
      <c r="K118" t="n">
        <v>0</v>
      </c>
      <c r="L118" t="n">
        <v>0</v>
      </c>
      <c r="M118" t="n">
        <v>0</v>
      </c>
      <c r="N118" t="n">
        <v>0</v>
      </c>
      <c r="O118" t="n">
        <v>0</v>
      </c>
      <c r="P118" t="n">
        <v>0</v>
      </c>
      <c r="Q118" t="n">
        <v>0</v>
      </c>
      <c r="R118" s="2" t="inlineStr"/>
    </row>
    <row r="119" ht="15" customHeight="1">
      <c r="A119" t="inlineStr">
        <is>
          <t>A 22785-2025</t>
        </is>
      </c>
      <c r="B119" s="1" t="n">
        <v>45789.64186342592</v>
      </c>
      <c r="C119" s="1" t="n">
        <v>46106</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12534-2022</t>
        </is>
      </c>
      <c r="B120" s="1" t="n">
        <v>44638</v>
      </c>
      <c r="C120" s="1" t="n">
        <v>46106</v>
      </c>
      <c r="D120" t="inlineStr">
        <is>
          <t>KALMAR LÄN</t>
        </is>
      </c>
      <c r="E120" t="inlineStr">
        <is>
          <t>BORGHOLM</t>
        </is>
      </c>
      <c r="G120" t="n">
        <v>8.6</v>
      </c>
      <c r="H120" t="n">
        <v>0</v>
      </c>
      <c r="I120" t="n">
        <v>0</v>
      </c>
      <c r="J120" t="n">
        <v>0</v>
      </c>
      <c r="K120" t="n">
        <v>0</v>
      </c>
      <c r="L120" t="n">
        <v>0</v>
      </c>
      <c r="M120" t="n">
        <v>0</v>
      </c>
      <c r="N120" t="n">
        <v>0</v>
      </c>
      <c r="O120" t="n">
        <v>0</v>
      </c>
      <c r="P120" t="n">
        <v>0</v>
      </c>
      <c r="Q120" t="n">
        <v>0</v>
      </c>
      <c r="R120" s="2" t="inlineStr"/>
    </row>
    <row r="121" ht="15" customHeight="1">
      <c r="A121" t="inlineStr">
        <is>
          <t>A 40339-2023</t>
        </is>
      </c>
      <c r="B121" s="1" t="n">
        <v>45169.62733796296</v>
      </c>
      <c r="C121" s="1" t="n">
        <v>46106</v>
      </c>
      <c r="D121" t="inlineStr">
        <is>
          <t>KALMAR LÄN</t>
        </is>
      </c>
      <c r="E121" t="inlineStr">
        <is>
          <t>BORGHOLM</t>
        </is>
      </c>
      <c r="G121" t="n">
        <v>3.8</v>
      </c>
      <c r="H121" t="n">
        <v>0</v>
      </c>
      <c r="I121" t="n">
        <v>0</v>
      </c>
      <c r="J121" t="n">
        <v>0</v>
      </c>
      <c r="K121" t="n">
        <v>0</v>
      </c>
      <c r="L121" t="n">
        <v>0</v>
      </c>
      <c r="M121" t="n">
        <v>0</v>
      </c>
      <c r="N121" t="n">
        <v>0</v>
      </c>
      <c r="O121" t="n">
        <v>0</v>
      </c>
      <c r="P121" t="n">
        <v>0</v>
      </c>
      <c r="Q121" t="n">
        <v>0</v>
      </c>
      <c r="R121" s="2" t="inlineStr"/>
    </row>
    <row r="122" ht="15" customHeight="1">
      <c r="A122" t="inlineStr">
        <is>
          <t>A 24166-2022</t>
        </is>
      </c>
      <c r="B122" s="1" t="n">
        <v>44725</v>
      </c>
      <c r="C122" s="1" t="n">
        <v>46106</v>
      </c>
      <c r="D122" t="inlineStr">
        <is>
          <t>KALMAR LÄN</t>
        </is>
      </c>
      <c r="E122" t="inlineStr">
        <is>
          <t>BORGHOLM</t>
        </is>
      </c>
      <c r="G122" t="n">
        <v>10.7</v>
      </c>
      <c r="H122" t="n">
        <v>0</v>
      </c>
      <c r="I122" t="n">
        <v>0</v>
      </c>
      <c r="J122" t="n">
        <v>0</v>
      </c>
      <c r="K122" t="n">
        <v>0</v>
      </c>
      <c r="L122" t="n">
        <v>0</v>
      </c>
      <c r="M122" t="n">
        <v>0</v>
      </c>
      <c r="N122" t="n">
        <v>0</v>
      </c>
      <c r="O122" t="n">
        <v>0</v>
      </c>
      <c r="P122" t="n">
        <v>0</v>
      </c>
      <c r="Q122" t="n">
        <v>0</v>
      </c>
      <c r="R122" s="2" t="inlineStr"/>
    </row>
    <row r="123" ht="15" customHeight="1">
      <c r="A123" t="inlineStr">
        <is>
          <t>A 26190-2025</t>
        </is>
      </c>
      <c r="B123" s="1" t="n">
        <v>45805.48349537037</v>
      </c>
      <c r="C123" s="1" t="n">
        <v>46106</v>
      </c>
      <c r="D123" t="inlineStr">
        <is>
          <t>KALMAR LÄN</t>
        </is>
      </c>
      <c r="E123" t="inlineStr">
        <is>
          <t>BORGHOLM</t>
        </is>
      </c>
      <c r="G123" t="n">
        <v>3.2</v>
      </c>
      <c r="H123" t="n">
        <v>0</v>
      </c>
      <c r="I123" t="n">
        <v>0</v>
      </c>
      <c r="J123" t="n">
        <v>0</v>
      </c>
      <c r="K123" t="n">
        <v>0</v>
      </c>
      <c r="L123" t="n">
        <v>0</v>
      </c>
      <c r="M123" t="n">
        <v>0</v>
      </c>
      <c r="N123" t="n">
        <v>0</v>
      </c>
      <c r="O123" t="n">
        <v>0</v>
      </c>
      <c r="P123" t="n">
        <v>0</v>
      </c>
      <c r="Q123" t="n">
        <v>0</v>
      </c>
      <c r="R123" s="2" t="inlineStr"/>
    </row>
    <row r="124">
      <c r="A124" t="inlineStr">
        <is>
          <t>A 26160-2025</t>
        </is>
      </c>
      <c r="B124" s="1" t="n">
        <v>45805.4490162037</v>
      </c>
      <c r="C124" s="1" t="n">
        <v>46106</v>
      </c>
      <c r="D124" t="inlineStr">
        <is>
          <t>KALMAR LÄN</t>
        </is>
      </c>
      <c r="E124" t="inlineStr">
        <is>
          <t>BORGHOLM</t>
        </is>
      </c>
      <c r="G124" t="n">
        <v>3.7</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2026-03-25T11:29:43Z</dcterms:created>
  <dcterms:modified xmlns:dcterms="http://purl.org/dc/terms/" xmlns:xsi="http://www.w3.org/2001/XMLSchema-instance" xsi:type="dcterms:W3CDTF">2026-03-25T11:29:43Z</dcterms:modified>
</cp:coreProperties>
</file>