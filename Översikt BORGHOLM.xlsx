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45912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45912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45912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45912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45912</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45912</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45912</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45912</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45912</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45912</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45912</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45912</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45912</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45912</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45912</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45912</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32174-2022</t>
        </is>
      </c>
      <c r="B18" s="1" t="n">
        <v>44781</v>
      </c>
      <c r="C18" s="1" t="n">
        <v>45912</v>
      </c>
      <c r="D18" t="inlineStr">
        <is>
          <t>KALMAR LÄN</t>
        </is>
      </c>
      <c r="E18" t="inlineStr">
        <is>
          <t>BORGHOLM</t>
        </is>
      </c>
      <c r="F18" t="inlineStr">
        <is>
          <t>Sveaskog</t>
        </is>
      </c>
      <c r="G18" t="n">
        <v>1.6</v>
      </c>
      <c r="H18" t="n">
        <v>1</v>
      </c>
      <c r="I18" t="n">
        <v>1</v>
      </c>
      <c r="J18" t="n">
        <v>1</v>
      </c>
      <c r="K18" t="n">
        <v>0</v>
      </c>
      <c r="L18" t="n">
        <v>0</v>
      </c>
      <c r="M18" t="n">
        <v>0</v>
      </c>
      <c r="N18" t="n">
        <v>0</v>
      </c>
      <c r="O18" t="n">
        <v>1</v>
      </c>
      <c r="P18" t="n">
        <v>0</v>
      </c>
      <c r="Q18" t="n">
        <v>2</v>
      </c>
      <c r="R18" s="2" t="inlineStr">
        <is>
          <t>Backklöver
Tvåblad</t>
        </is>
      </c>
      <c r="S18">
        <f>HYPERLINK("https://klasma.github.io/Logging_0885/artfynd/A 32174-2022 artfynd.xlsx", "A 32174-2022")</f>
        <v/>
      </c>
      <c r="T18">
        <f>HYPERLINK("https://klasma.github.io/Logging_0885/kartor/A 32174-2022 karta.png", "A 32174-2022")</f>
        <v/>
      </c>
      <c r="V18">
        <f>HYPERLINK("https://klasma.github.io/Logging_0885/klagomål/A 32174-2022 FSC-klagomål.docx", "A 32174-2022")</f>
        <v/>
      </c>
      <c r="W18">
        <f>HYPERLINK("https://klasma.github.io/Logging_0885/klagomålsmail/A 32174-2022 FSC-klagomål mail.docx", "A 32174-2022")</f>
        <v/>
      </c>
      <c r="X18">
        <f>HYPERLINK("https://klasma.github.io/Logging_0885/tillsyn/A 32174-2022 tillsynsbegäran.docx", "A 32174-2022")</f>
        <v/>
      </c>
      <c r="Y18">
        <f>HYPERLINK("https://klasma.github.io/Logging_0885/tillsynsmail/A 32174-2022 tillsynsbegäran mail.docx", "A 32174-2022")</f>
        <v/>
      </c>
    </row>
    <row r="19" ht="15" customHeight="1">
      <c r="A19" t="inlineStr">
        <is>
          <t>A 13556-2025</t>
        </is>
      </c>
      <c r="B19" s="1" t="n">
        <v>45736.54759259259</v>
      </c>
      <c r="C19" s="1" t="n">
        <v>45912</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43756-2022</t>
        </is>
      </c>
      <c r="B20" s="1" t="n">
        <v>44837</v>
      </c>
      <c r="C20" s="1" t="n">
        <v>45912</v>
      </c>
      <c r="D20" t="inlineStr">
        <is>
          <t>KALMAR LÄN</t>
        </is>
      </c>
      <c r="E20" t="inlineStr">
        <is>
          <t>BORGHOLM</t>
        </is>
      </c>
      <c r="G20" t="n">
        <v>2.2</v>
      </c>
      <c r="H20" t="n">
        <v>1</v>
      </c>
      <c r="I20" t="n">
        <v>1</v>
      </c>
      <c r="J20" t="n">
        <v>0</v>
      </c>
      <c r="K20" t="n">
        <v>0</v>
      </c>
      <c r="L20" t="n">
        <v>0</v>
      </c>
      <c r="M20" t="n">
        <v>0</v>
      </c>
      <c r="N20" t="n">
        <v>0</v>
      </c>
      <c r="O20" t="n">
        <v>0</v>
      </c>
      <c r="P20" t="n">
        <v>0</v>
      </c>
      <c r="Q20" t="n">
        <v>2</v>
      </c>
      <c r="R20" s="2" t="inlineStr">
        <is>
          <t>Murgröna
Blåsippa</t>
        </is>
      </c>
      <c r="S20">
        <f>HYPERLINK("https://klasma.github.io/Logging_0885/artfynd/A 43756-2022 artfynd.xlsx", "A 43756-2022")</f>
        <v/>
      </c>
      <c r="T20">
        <f>HYPERLINK("https://klasma.github.io/Logging_0885/kartor/A 43756-2022 karta.png", "A 43756-2022")</f>
        <v/>
      </c>
      <c r="V20">
        <f>HYPERLINK("https://klasma.github.io/Logging_0885/klagomål/A 43756-2022 FSC-klagomål.docx", "A 43756-2022")</f>
        <v/>
      </c>
      <c r="W20">
        <f>HYPERLINK("https://klasma.github.io/Logging_0885/klagomålsmail/A 43756-2022 FSC-klagomål mail.docx", "A 43756-2022")</f>
        <v/>
      </c>
      <c r="X20">
        <f>HYPERLINK("https://klasma.github.io/Logging_0885/tillsyn/A 43756-2022 tillsynsbegäran.docx", "A 43756-2022")</f>
        <v/>
      </c>
      <c r="Y20">
        <f>HYPERLINK("https://klasma.github.io/Logging_0885/tillsynsmail/A 43756-2022 tillsynsbegäran mail.docx", "A 43756-2022")</f>
        <v/>
      </c>
    </row>
    <row r="21" ht="15" customHeight="1">
      <c r="A21" t="inlineStr">
        <is>
          <t>A 28779-2025</t>
        </is>
      </c>
      <c r="B21" s="1" t="n">
        <v>45820.44920138889</v>
      </c>
      <c r="C21" s="1" t="n">
        <v>45912</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38860-2025</t>
        </is>
      </c>
      <c r="B22" s="1" t="n">
        <v>45887.5609375</v>
      </c>
      <c r="C22" s="1" t="n">
        <v>45912</v>
      </c>
      <c r="D22" t="inlineStr">
        <is>
          <t>KALMAR LÄN</t>
        </is>
      </c>
      <c r="E22" t="inlineStr">
        <is>
          <t>BORGHOLM</t>
        </is>
      </c>
      <c r="G22" t="n">
        <v>5.6</v>
      </c>
      <c r="H22" t="n">
        <v>2</v>
      </c>
      <c r="I22" t="n">
        <v>1</v>
      </c>
      <c r="J22" t="n">
        <v>0</v>
      </c>
      <c r="K22" t="n">
        <v>0</v>
      </c>
      <c r="L22" t="n">
        <v>0</v>
      </c>
      <c r="M22" t="n">
        <v>0</v>
      </c>
      <c r="N22" t="n">
        <v>0</v>
      </c>
      <c r="O22" t="n">
        <v>0</v>
      </c>
      <c r="P22" t="n">
        <v>0</v>
      </c>
      <c r="Q22" t="n">
        <v>2</v>
      </c>
      <c r="R22" s="2" t="inlineStr">
        <is>
          <t>Skogsknipprot
Revlummer</t>
        </is>
      </c>
      <c r="S22">
        <f>HYPERLINK("https://klasma.github.io/Logging_0885/artfynd/A 38860-2025 artfynd.xlsx", "A 38860-2025")</f>
        <v/>
      </c>
      <c r="T22">
        <f>HYPERLINK("https://klasma.github.io/Logging_0885/kartor/A 38860-2025 karta.png", "A 38860-2025")</f>
        <v/>
      </c>
      <c r="V22">
        <f>HYPERLINK("https://klasma.github.io/Logging_0885/klagomål/A 38860-2025 FSC-klagomål.docx", "A 38860-2025")</f>
        <v/>
      </c>
      <c r="W22">
        <f>HYPERLINK("https://klasma.github.io/Logging_0885/klagomålsmail/A 38860-2025 FSC-klagomål mail.docx", "A 38860-2025")</f>
        <v/>
      </c>
      <c r="X22">
        <f>HYPERLINK("https://klasma.github.io/Logging_0885/tillsyn/A 38860-2025 tillsynsbegäran.docx", "A 38860-2025")</f>
        <v/>
      </c>
      <c r="Y22">
        <f>HYPERLINK("https://klasma.github.io/Logging_0885/tillsynsmail/A 38860-2025 tillsynsbegäran mail.docx", "A 38860-2025")</f>
        <v/>
      </c>
    </row>
    <row r="23" ht="15" customHeight="1">
      <c r="A23" t="inlineStr">
        <is>
          <t>A 44008-2022</t>
        </is>
      </c>
      <c r="B23" s="1" t="n">
        <v>44838</v>
      </c>
      <c r="C23" s="1" t="n">
        <v>45912</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4164-2023</t>
        </is>
      </c>
      <c r="B24" s="1" t="n">
        <v>44953</v>
      </c>
      <c r="C24" s="1" t="n">
        <v>45912</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34944-2022</t>
        </is>
      </c>
      <c r="B25" s="1" t="n">
        <v>44796</v>
      </c>
      <c r="C25" s="1" t="n">
        <v>45912</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3871-2021</t>
        </is>
      </c>
      <c r="B26" s="1" t="n">
        <v>44222</v>
      </c>
      <c r="C26" s="1" t="n">
        <v>45912</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45912</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45912</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14789-2021</t>
        </is>
      </c>
      <c r="B29" s="1" t="n">
        <v>44280</v>
      </c>
      <c r="C29" s="1" t="n">
        <v>45912</v>
      </c>
      <c r="D29" t="inlineStr">
        <is>
          <t>KALMAR LÄN</t>
        </is>
      </c>
      <c r="E29" t="inlineStr">
        <is>
          <t>BORGHOLM</t>
        </is>
      </c>
      <c r="G29" t="n">
        <v>1</v>
      </c>
      <c r="H29" t="n">
        <v>1</v>
      </c>
      <c r="I29" t="n">
        <v>1</v>
      </c>
      <c r="J29" t="n">
        <v>0</v>
      </c>
      <c r="K29" t="n">
        <v>0</v>
      </c>
      <c r="L29" t="n">
        <v>0</v>
      </c>
      <c r="M29" t="n">
        <v>0</v>
      </c>
      <c r="N29" t="n">
        <v>0</v>
      </c>
      <c r="O29" t="n">
        <v>0</v>
      </c>
      <c r="P29" t="n">
        <v>0</v>
      </c>
      <c r="Q29" t="n">
        <v>1</v>
      </c>
      <c r="R29" s="2" t="inlineStr">
        <is>
          <t>Skogsknipprot</t>
        </is>
      </c>
      <c r="S29">
        <f>HYPERLINK("https://klasma.github.io/Logging_0885/artfynd/A 14789-2021 artfynd.xlsx", "A 14789-2021")</f>
        <v/>
      </c>
      <c r="T29">
        <f>HYPERLINK("https://klasma.github.io/Logging_0885/kartor/A 14789-2021 karta.png", "A 14789-2021")</f>
        <v/>
      </c>
      <c r="V29">
        <f>HYPERLINK("https://klasma.github.io/Logging_0885/klagomål/A 14789-2021 FSC-klagomål.docx", "A 14789-2021")</f>
        <v/>
      </c>
      <c r="W29">
        <f>HYPERLINK("https://klasma.github.io/Logging_0885/klagomålsmail/A 14789-2021 FSC-klagomål mail.docx", "A 14789-2021")</f>
        <v/>
      </c>
      <c r="X29">
        <f>HYPERLINK("https://klasma.github.io/Logging_0885/tillsyn/A 14789-2021 tillsynsbegäran.docx", "A 14789-2021")</f>
        <v/>
      </c>
      <c r="Y29">
        <f>HYPERLINK("https://klasma.github.io/Logging_0885/tillsynsmail/A 14789-2021 tillsynsbegäran mail.docx", "A 14789-2021")</f>
        <v/>
      </c>
    </row>
    <row r="30" ht="15" customHeight="1">
      <c r="A30" t="inlineStr">
        <is>
          <t>A 13558-2025</t>
        </is>
      </c>
      <c r="B30" s="1" t="n">
        <v>45736.54974537037</v>
      </c>
      <c r="C30" s="1" t="n">
        <v>45912</v>
      </c>
      <c r="D30" t="inlineStr">
        <is>
          <t>KALMAR LÄN</t>
        </is>
      </c>
      <c r="E30" t="inlineStr">
        <is>
          <t>BORGHOLM</t>
        </is>
      </c>
      <c r="G30" t="n">
        <v>0.7</v>
      </c>
      <c r="H30" t="n">
        <v>0</v>
      </c>
      <c r="I30" t="n">
        <v>0</v>
      </c>
      <c r="J30" t="n">
        <v>1</v>
      </c>
      <c r="K30" t="n">
        <v>0</v>
      </c>
      <c r="L30" t="n">
        <v>0</v>
      </c>
      <c r="M30" t="n">
        <v>0</v>
      </c>
      <c r="N30" t="n">
        <v>0</v>
      </c>
      <c r="O30" t="n">
        <v>1</v>
      </c>
      <c r="P30" t="n">
        <v>0</v>
      </c>
      <c r="Q30" t="n">
        <v>1</v>
      </c>
      <c r="R30" s="2" t="inlineStr">
        <is>
          <t>Backruta</t>
        </is>
      </c>
      <c r="S30">
        <f>HYPERLINK("https://klasma.github.io/Logging_0885/artfynd/A 13558-2025 artfynd.xlsx", "A 13558-2025")</f>
        <v/>
      </c>
      <c r="T30">
        <f>HYPERLINK("https://klasma.github.io/Logging_0885/kartor/A 13558-2025 karta.png", "A 13558-2025")</f>
        <v/>
      </c>
      <c r="V30">
        <f>HYPERLINK("https://klasma.github.io/Logging_0885/klagomål/A 13558-2025 FSC-klagomål.docx", "A 13558-2025")</f>
        <v/>
      </c>
      <c r="W30">
        <f>HYPERLINK("https://klasma.github.io/Logging_0885/klagomålsmail/A 13558-2025 FSC-klagomål mail.docx", "A 13558-2025")</f>
        <v/>
      </c>
      <c r="X30">
        <f>HYPERLINK("https://klasma.github.io/Logging_0885/tillsyn/A 13558-2025 tillsynsbegäran.docx", "A 13558-2025")</f>
        <v/>
      </c>
      <c r="Y30">
        <f>HYPERLINK("https://klasma.github.io/Logging_0885/tillsynsmail/A 13558-2025 tillsynsbegäran mail.docx", "A 13558-2025")</f>
        <v/>
      </c>
    </row>
    <row r="31" ht="15" customHeight="1">
      <c r="A31" t="inlineStr">
        <is>
          <t>A 24701-2023</t>
        </is>
      </c>
      <c r="B31" s="1" t="n">
        <v>45084</v>
      </c>
      <c r="C31" s="1" t="n">
        <v>45912</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24048-2025</t>
        </is>
      </c>
      <c r="B32" s="1" t="n">
        <v>45796.4959375</v>
      </c>
      <c r="C32" s="1" t="n">
        <v>45912</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41640-2023</t>
        </is>
      </c>
      <c r="B33" s="1" t="n">
        <v>45175</v>
      </c>
      <c r="C33" s="1" t="n">
        <v>45912</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28785-2025</t>
        </is>
      </c>
      <c r="B34" s="1" t="n">
        <v>45820.46159722222</v>
      </c>
      <c r="C34" s="1" t="n">
        <v>45912</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45912</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24704-2023</t>
        </is>
      </c>
      <c r="B36" s="1" t="n">
        <v>45084</v>
      </c>
      <c r="C36" s="1" t="n">
        <v>45912</v>
      </c>
      <c r="D36" t="inlineStr">
        <is>
          <t>KALMAR LÄN</t>
        </is>
      </c>
      <c r="E36" t="inlineStr">
        <is>
          <t>BORGHOLM</t>
        </is>
      </c>
      <c r="G36" t="n">
        <v>3.5</v>
      </c>
      <c r="H36" t="n">
        <v>0</v>
      </c>
      <c r="I36" t="n">
        <v>0</v>
      </c>
      <c r="J36" t="n">
        <v>0</v>
      </c>
      <c r="K36" t="n">
        <v>0</v>
      </c>
      <c r="L36" t="n">
        <v>1</v>
      </c>
      <c r="M36" t="n">
        <v>0</v>
      </c>
      <c r="N36" t="n">
        <v>0</v>
      </c>
      <c r="O36" t="n">
        <v>1</v>
      </c>
      <c r="P36" t="n">
        <v>1</v>
      </c>
      <c r="Q36" t="n">
        <v>1</v>
      </c>
      <c r="R36" s="2" t="inlineStr">
        <is>
          <t>Ask</t>
        </is>
      </c>
      <c r="S36">
        <f>HYPERLINK("https://klasma.github.io/Logging_0885/artfynd/A 24704-2023 artfynd.xlsx", "A 24704-2023")</f>
        <v/>
      </c>
      <c r="T36">
        <f>HYPERLINK("https://klasma.github.io/Logging_0885/kartor/A 24704-2023 karta.png", "A 24704-2023")</f>
        <v/>
      </c>
      <c r="V36">
        <f>HYPERLINK("https://klasma.github.io/Logging_0885/klagomål/A 24704-2023 FSC-klagomål.docx", "A 24704-2023")</f>
        <v/>
      </c>
      <c r="W36">
        <f>HYPERLINK("https://klasma.github.io/Logging_0885/klagomålsmail/A 24704-2023 FSC-klagomål mail.docx", "A 24704-2023")</f>
        <v/>
      </c>
      <c r="X36">
        <f>HYPERLINK("https://klasma.github.io/Logging_0885/tillsyn/A 24704-2023 tillsynsbegäran.docx", "A 24704-2023")</f>
        <v/>
      </c>
      <c r="Y36">
        <f>HYPERLINK("https://klasma.github.io/Logging_0885/tillsynsmail/A 24704-2023 tillsynsbegäran mail.docx", "A 24704-2023")</f>
        <v/>
      </c>
    </row>
    <row r="37" ht="15" customHeight="1">
      <c r="A37" t="inlineStr">
        <is>
          <t>A 34885-2025</t>
        </is>
      </c>
      <c r="B37" s="1" t="n">
        <v>45849.47128472223</v>
      </c>
      <c r="C37" s="1" t="n">
        <v>45912</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12785-2021</t>
        </is>
      </c>
      <c r="B38" s="1" t="n">
        <v>44270</v>
      </c>
      <c r="C38" s="1" t="n">
        <v>45912</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9745-2023</t>
        </is>
      </c>
      <c r="B39" s="1" t="n">
        <v>44984</v>
      </c>
      <c r="C39" s="1" t="n">
        <v>45912</v>
      </c>
      <c r="D39" t="inlineStr">
        <is>
          <t>KALMAR LÄN</t>
        </is>
      </c>
      <c r="E39" t="inlineStr">
        <is>
          <t>BORGHOLM</t>
        </is>
      </c>
      <c r="G39" t="n">
        <v>1.2</v>
      </c>
      <c r="H39" t="n">
        <v>1</v>
      </c>
      <c r="I39" t="n">
        <v>1</v>
      </c>
      <c r="J39" t="n">
        <v>0</v>
      </c>
      <c r="K39" t="n">
        <v>0</v>
      </c>
      <c r="L39" t="n">
        <v>0</v>
      </c>
      <c r="M39" t="n">
        <v>0</v>
      </c>
      <c r="N39" t="n">
        <v>0</v>
      </c>
      <c r="O39" t="n">
        <v>0</v>
      </c>
      <c r="P39" t="n">
        <v>0</v>
      </c>
      <c r="Q39" t="n">
        <v>1</v>
      </c>
      <c r="R39" s="2" t="inlineStr">
        <is>
          <t>Skogsknipprot</t>
        </is>
      </c>
      <c r="S39">
        <f>HYPERLINK("https://klasma.github.io/Logging_0885/artfynd/A 9745-2023 artfynd.xlsx", "A 9745-2023")</f>
        <v/>
      </c>
      <c r="T39">
        <f>HYPERLINK("https://klasma.github.io/Logging_0885/kartor/A 9745-2023 karta.png", "A 9745-2023")</f>
        <v/>
      </c>
      <c r="V39">
        <f>HYPERLINK("https://klasma.github.io/Logging_0885/klagomål/A 9745-2023 FSC-klagomål.docx", "A 9745-2023")</f>
        <v/>
      </c>
      <c r="W39">
        <f>HYPERLINK("https://klasma.github.io/Logging_0885/klagomålsmail/A 9745-2023 FSC-klagomål mail.docx", "A 9745-2023")</f>
        <v/>
      </c>
      <c r="X39">
        <f>HYPERLINK("https://klasma.github.io/Logging_0885/tillsyn/A 9745-2023 tillsynsbegäran.docx", "A 9745-2023")</f>
        <v/>
      </c>
      <c r="Y39">
        <f>HYPERLINK("https://klasma.github.io/Logging_0885/tillsynsmail/A 9745-2023 tillsynsbegäran mail.docx", "A 9745-2023")</f>
        <v/>
      </c>
    </row>
    <row r="40" ht="15" customHeight="1">
      <c r="A40" t="inlineStr">
        <is>
          <t>A 43603-2024</t>
        </is>
      </c>
      <c r="B40" s="1" t="n">
        <v>45569.44700231482</v>
      </c>
      <c r="C40" s="1" t="n">
        <v>45912</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56499-2020</t>
        </is>
      </c>
      <c r="B41" s="1" t="n">
        <v>44137</v>
      </c>
      <c r="C41" s="1" t="n">
        <v>45912</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45912</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58113-2020</t>
        </is>
      </c>
      <c r="B43" s="1" t="n">
        <v>44144</v>
      </c>
      <c r="C43" s="1" t="n">
        <v>45912</v>
      </c>
      <c r="D43" t="inlineStr">
        <is>
          <t>KALMAR LÄN</t>
        </is>
      </c>
      <c r="E43" t="inlineStr">
        <is>
          <t>BORGHOLM</t>
        </is>
      </c>
      <c r="F43" t="inlineStr">
        <is>
          <t>Sveaskog</t>
        </is>
      </c>
      <c r="G43" t="n">
        <v>3</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45912</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45912</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45912</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45912</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45912</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45912</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45912</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45912</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45912</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45912</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45912</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45912</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45912</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45912</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45912</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45912</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45912</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45912</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45912</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56479-2020</t>
        </is>
      </c>
      <c r="B63" s="1" t="n">
        <v>44137</v>
      </c>
      <c r="C63" s="1" t="n">
        <v>45912</v>
      </c>
      <c r="D63" t="inlineStr">
        <is>
          <t>KALMAR LÄN</t>
        </is>
      </c>
      <c r="E63" t="inlineStr">
        <is>
          <t>BORGHOLM</t>
        </is>
      </c>
      <c r="F63" t="inlineStr">
        <is>
          <t>Sveaskog</t>
        </is>
      </c>
      <c r="G63" t="n">
        <v>2.6</v>
      </c>
      <c r="H63" t="n">
        <v>0</v>
      </c>
      <c r="I63" t="n">
        <v>0</v>
      </c>
      <c r="J63" t="n">
        <v>0</v>
      </c>
      <c r="K63" t="n">
        <v>0</v>
      </c>
      <c r="L63" t="n">
        <v>0</v>
      </c>
      <c r="M63" t="n">
        <v>0</v>
      </c>
      <c r="N63" t="n">
        <v>0</v>
      </c>
      <c r="O63" t="n">
        <v>0</v>
      </c>
      <c r="P63" t="n">
        <v>0</v>
      </c>
      <c r="Q63" t="n">
        <v>0</v>
      </c>
      <c r="R63" s="2" t="inlineStr"/>
    </row>
    <row r="64" ht="15" customHeight="1">
      <c r="A64" t="inlineStr">
        <is>
          <t>A 42785-2021</t>
        </is>
      </c>
      <c r="B64" s="1" t="n">
        <v>44428</v>
      </c>
      <c r="C64" s="1" t="n">
        <v>45912</v>
      </c>
      <c r="D64" t="inlineStr">
        <is>
          <t>KALMAR LÄN</t>
        </is>
      </c>
      <c r="E64" t="inlineStr">
        <is>
          <t>BORGHOLM</t>
        </is>
      </c>
      <c r="G64" t="n">
        <v>2.8</v>
      </c>
      <c r="H64" t="n">
        <v>0</v>
      </c>
      <c r="I64" t="n">
        <v>0</v>
      </c>
      <c r="J64" t="n">
        <v>0</v>
      </c>
      <c r="K64" t="n">
        <v>0</v>
      </c>
      <c r="L64" t="n">
        <v>0</v>
      </c>
      <c r="M64" t="n">
        <v>0</v>
      </c>
      <c r="N64" t="n">
        <v>0</v>
      </c>
      <c r="O64" t="n">
        <v>0</v>
      </c>
      <c r="P64" t="n">
        <v>0</v>
      </c>
      <c r="Q64" t="n">
        <v>0</v>
      </c>
      <c r="R64" s="2" t="inlineStr"/>
    </row>
    <row r="65" ht="15" customHeight="1">
      <c r="A65" t="inlineStr">
        <is>
          <t>A 58253-2020</t>
        </is>
      </c>
      <c r="B65" s="1" t="n">
        <v>44144</v>
      </c>
      <c r="C65" s="1" t="n">
        <v>45912</v>
      </c>
      <c r="D65" t="inlineStr">
        <is>
          <t>KALMAR LÄN</t>
        </is>
      </c>
      <c r="E65" t="inlineStr">
        <is>
          <t>BORGHOLM</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45912</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45912</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45912</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45912</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9034-2025</t>
        </is>
      </c>
      <c r="B70" s="1" t="n">
        <v>45713</v>
      </c>
      <c r="C70" s="1" t="n">
        <v>45912</v>
      </c>
      <c r="D70" t="inlineStr">
        <is>
          <t>KALMAR LÄN</t>
        </is>
      </c>
      <c r="E70" t="inlineStr">
        <is>
          <t>BORGHOLM</t>
        </is>
      </c>
      <c r="F70" t="inlineStr">
        <is>
          <t>Sveaskog</t>
        </is>
      </c>
      <c r="G70" t="n">
        <v>6.8</v>
      </c>
      <c r="H70" t="n">
        <v>0</v>
      </c>
      <c r="I70" t="n">
        <v>0</v>
      </c>
      <c r="J70" t="n">
        <v>0</v>
      </c>
      <c r="K70" t="n">
        <v>0</v>
      </c>
      <c r="L70" t="n">
        <v>0</v>
      </c>
      <c r="M70" t="n">
        <v>0</v>
      </c>
      <c r="N70" t="n">
        <v>0</v>
      </c>
      <c r="O70" t="n">
        <v>0</v>
      </c>
      <c r="P70" t="n">
        <v>0</v>
      </c>
      <c r="Q70" t="n">
        <v>0</v>
      </c>
      <c r="R70" s="2" t="inlineStr"/>
    </row>
    <row r="71" ht="15" customHeight="1">
      <c r="A71" t="inlineStr">
        <is>
          <t>A 3878-2023</t>
        </is>
      </c>
      <c r="B71" s="1" t="n">
        <v>44951</v>
      </c>
      <c r="C71" s="1" t="n">
        <v>45912</v>
      </c>
      <c r="D71" t="inlineStr">
        <is>
          <t>KALMAR LÄN</t>
        </is>
      </c>
      <c r="E71" t="inlineStr">
        <is>
          <t>BORGHOLM</t>
        </is>
      </c>
      <c r="G71" t="n">
        <v>1.7</v>
      </c>
      <c r="H71" t="n">
        <v>0</v>
      </c>
      <c r="I71" t="n">
        <v>0</v>
      </c>
      <c r="J71" t="n">
        <v>0</v>
      </c>
      <c r="K71" t="n">
        <v>0</v>
      </c>
      <c r="L71" t="n">
        <v>0</v>
      </c>
      <c r="M71" t="n">
        <v>0</v>
      </c>
      <c r="N71" t="n">
        <v>0</v>
      </c>
      <c r="O71" t="n">
        <v>0</v>
      </c>
      <c r="P71" t="n">
        <v>0</v>
      </c>
      <c r="Q71" t="n">
        <v>0</v>
      </c>
      <c r="R71" s="2" t="inlineStr"/>
    </row>
    <row r="72" ht="15" customHeight="1">
      <c r="A72" t="inlineStr">
        <is>
          <t>A 13548-2025</t>
        </is>
      </c>
      <c r="B72" s="1" t="n">
        <v>45736.53827546296</v>
      </c>
      <c r="C72" s="1" t="n">
        <v>45912</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12937-2022</t>
        </is>
      </c>
      <c r="B73" s="1" t="n">
        <v>44642</v>
      </c>
      <c r="C73" s="1" t="n">
        <v>45912</v>
      </c>
      <c r="D73" t="inlineStr">
        <is>
          <t>KALMAR LÄN</t>
        </is>
      </c>
      <c r="E73" t="inlineStr">
        <is>
          <t>BORGHOLM</t>
        </is>
      </c>
      <c r="F73" t="inlineStr">
        <is>
          <t>Sveaskog</t>
        </is>
      </c>
      <c r="G73" t="n">
        <v>1.8</v>
      </c>
      <c r="H73" t="n">
        <v>0</v>
      </c>
      <c r="I73" t="n">
        <v>0</v>
      </c>
      <c r="J73" t="n">
        <v>0</v>
      </c>
      <c r="K73" t="n">
        <v>0</v>
      </c>
      <c r="L73" t="n">
        <v>0</v>
      </c>
      <c r="M73" t="n">
        <v>0</v>
      </c>
      <c r="N73" t="n">
        <v>0</v>
      </c>
      <c r="O73" t="n">
        <v>0</v>
      </c>
      <c r="P73" t="n">
        <v>0</v>
      </c>
      <c r="Q73" t="n">
        <v>0</v>
      </c>
      <c r="R73" s="2" t="inlineStr"/>
    </row>
    <row r="74" ht="15" customHeight="1">
      <c r="A74" t="inlineStr">
        <is>
          <t>A 31840-2021</t>
        </is>
      </c>
      <c r="B74" s="1" t="n">
        <v>44370</v>
      </c>
      <c r="C74" s="1" t="n">
        <v>45912</v>
      </c>
      <c r="D74" t="inlineStr">
        <is>
          <t>KALMAR LÄN</t>
        </is>
      </c>
      <c r="E74" t="inlineStr">
        <is>
          <t>BORGHOLM</t>
        </is>
      </c>
      <c r="F74" t="inlineStr">
        <is>
          <t>Sveaskog</t>
        </is>
      </c>
      <c r="G74" t="n">
        <v>2.8</v>
      </c>
      <c r="H74" t="n">
        <v>0</v>
      </c>
      <c r="I74" t="n">
        <v>0</v>
      </c>
      <c r="J74" t="n">
        <v>0</v>
      </c>
      <c r="K74" t="n">
        <v>0</v>
      </c>
      <c r="L74" t="n">
        <v>0</v>
      </c>
      <c r="M74" t="n">
        <v>0</v>
      </c>
      <c r="N74" t="n">
        <v>0</v>
      </c>
      <c r="O74" t="n">
        <v>0</v>
      </c>
      <c r="P74" t="n">
        <v>0</v>
      </c>
      <c r="Q74" t="n">
        <v>0</v>
      </c>
      <c r="R74" s="2" t="inlineStr"/>
    </row>
    <row r="75" ht="15" customHeight="1">
      <c r="A75" t="inlineStr">
        <is>
          <t>A 17978-2021</t>
        </is>
      </c>
      <c r="B75" s="1" t="n">
        <v>44301</v>
      </c>
      <c r="C75" s="1" t="n">
        <v>45912</v>
      </c>
      <c r="D75" t="inlineStr">
        <is>
          <t>KALMAR LÄN</t>
        </is>
      </c>
      <c r="E75" t="inlineStr">
        <is>
          <t>BORGHOLM</t>
        </is>
      </c>
      <c r="G75" t="n">
        <v>6</v>
      </c>
      <c r="H75" t="n">
        <v>0</v>
      </c>
      <c r="I75" t="n">
        <v>0</v>
      </c>
      <c r="J75" t="n">
        <v>0</v>
      </c>
      <c r="K75" t="n">
        <v>0</v>
      </c>
      <c r="L75" t="n">
        <v>0</v>
      </c>
      <c r="M75" t="n">
        <v>0</v>
      </c>
      <c r="N75" t="n">
        <v>0</v>
      </c>
      <c r="O75" t="n">
        <v>0</v>
      </c>
      <c r="P75" t="n">
        <v>0</v>
      </c>
      <c r="Q75" t="n">
        <v>0</v>
      </c>
      <c r="R75" s="2" t="inlineStr"/>
    </row>
    <row r="76" ht="15" customHeight="1">
      <c r="A76" t="inlineStr">
        <is>
          <t>A 22785-2025</t>
        </is>
      </c>
      <c r="B76" s="1" t="n">
        <v>45789.64186342592</v>
      </c>
      <c r="C76" s="1" t="n">
        <v>45912</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12534-2022</t>
        </is>
      </c>
      <c r="B77" s="1" t="n">
        <v>44638</v>
      </c>
      <c r="C77" s="1" t="n">
        <v>45912</v>
      </c>
      <c r="D77" t="inlineStr">
        <is>
          <t>KALMAR LÄN</t>
        </is>
      </c>
      <c r="E77" t="inlineStr">
        <is>
          <t>BORGHOLM</t>
        </is>
      </c>
      <c r="G77" t="n">
        <v>8.6</v>
      </c>
      <c r="H77" t="n">
        <v>0</v>
      </c>
      <c r="I77" t="n">
        <v>0</v>
      </c>
      <c r="J77" t="n">
        <v>0</v>
      </c>
      <c r="K77" t="n">
        <v>0</v>
      </c>
      <c r="L77" t="n">
        <v>0</v>
      </c>
      <c r="M77" t="n">
        <v>0</v>
      </c>
      <c r="N77" t="n">
        <v>0</v>
      </c>
      <c r="O77" t="n">
        <v>0</v>
      </c>
      <c r="P77" t="n">
        <v>0</v>
      </c>
      <c r="Q77" t="n">
        <v>0</v>
      </c>
      <c r="R77" s="2" t="inlineStr"/>
    </row>
    <row r="78" ht="15" customHeight="1">
      <c r="A78" t="inlineStr">
        <is>
          <t>A 64303-2023</t>
        </is>
      </c>
      <c r="B78" s="1" t="n">
        <v>45280</v>
      </c>
      <c r="C78" s="1" t="n">
        <v>45912</v>
      </c>
      <c r="D78" t="inlineStr">
        <is>
          <t>KALMAR LÄN</t>
        </is>
      </c>
      <c r="E78" t="inlineStr">
        <is>
          <t>BORGHOLM</t>
        </is>
      </c>
      <c r="G78" t="n">
        <v>1.2</v>
      </c>
      <c r="H78" t="n">
        <v>0</v>
      </c>
      <c r="I78" t="n">
        <v>0</v>
      </c>
      <c r="J78" t="n">
        <v>0</v>
      </c>
      <c r="K78" t="n">
        <v>0</v>
      </c>
      <c r="L78" t="n">
        <v>0</v>
      </c>
      <c r="M78" t="n">
        <v>0</v>
      </c>
      <c r="N78" t="n">
        <v>0</v>
      </c>
      <c r="O78" t="n">
        <v>0</v>
      </c>
      <c r="P78" t="n">
        <v>0</v>
      </c>
      <c r="Q78" t="n">
        <v>0</v>
      </c>
      <c r="R78" s="2" t="inlineStr"/>
    </row>
    <row r="79" ht="15" customHeight="1">
      <c r="A79" t="inlineStr">
        <is>
          <t>A 32919-2023</t>
        </is>
      </c>
      <c r="B79" s="1" t="n">
        <v>45125</v>
      </c>
      <c r="C79" s="1" t="n">
        <v>45912</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40339-2023</t>
        </is>
      </c>
      <c r="B80" s="1" t="n">
        <v>45169.62733796296</v>
      </c>
      <c r="C80" s="1" t="n">
        <v>45912</v>
      </c>
      <c r="D80" t="inlineStr">
        <is>
          <t>KALMAR LÄN</t>
        </is>
      </c>
      <c r="E80" t="inlineStr">
        <is>
          <t>BORGHOLM</t>
        </is>
      </c>
      <c r="G80" t="n">
        <v>3.8</v>
      </c>
      <c r="H80" t="n">
        <v>0</v>
      </c>
      <c r="I80" t="n">
        <v>0</v>
      </c>
      <c r="J80" t="n">
        <v>0</v>
      </c>
      <c r="K80" t="n">
        <v>0</v>
      </c>
      <c r="L80" t="n">
        <v>0</v>
      </c>
      <c r="M80" t="n">
        <v>0</v>
      </c>
      <c r="N80" t="n">
        <v>0</v>
      </c>
      <c r="O80" t="n">
        <v>0</v>
      </c>
      <c r="P80" t="n">
        <v>0</v>
      </c>
      <c r="Q80" t="n">
        <v>0</v>
      </c>
      <c r="R80" s="2" t="inlineStr"/>
    </row>
    <row r="81" ht="15" customHeight="1">
      <c r="A81" t="inlineStr">
        <is>
          <t>A 24166-2022</t>
        </is>
      </c>
      <c r="B81" s="1" t="n">
        <v>44725</v>
      </c>
      <c r="C81" s="1" t="n">
        <v>45912</v>
      </c>
      <c r="D81" t="inlineStr">
        <is>
          <t>KALMAR LÄN</t>
        </is>
      </c>
      <c r="E81" t="inlineStr">
        <is>
          <t>BORGHOLM</t>
        </is>
      </c>
      <c r="G81" t="n">
        <v>10.7</v>
      </c>
      <c r="H81" t="n">
        <v>0</v>
      </c>
      <c r="I81" t="n">
        <v>0</v>
      </c>
      <c r="J81" t="n">
        <v>0</v>
      </c>
      <c r="K81" t="n">
        <v>0</v>
      </c>
      <c r="L81" t="n">
        <v>0</v>
      </c>
      <c r="M81" t="n">
        <v>0</v>
      </c>
      <c r="N81" t="n">
        <v>0</v>
      </c>
      <c r="O81" t="n">
        <v>0</v>
      </c>
      <c r="P81" t="n">
        <v>0</v>
      </c>
      <c r="Q81" t="n">
        <v>0</v>
      </c>
      <c r="R81" s="2" t="inlineStr"/>
    </row>
    <row r="82" ht="15" customHeight="1">
      <c r="A82" t="inlineStr">
        <is>
          <t>A 44678-2022</t>
        </is>
      </c>
      <c r="B82" s="1" t="n">
        <v>44840.65100694444</v>
      </c>
      <c r="C82" s="1" t="n">
        <v>45912</v>
      </c>
      <c r="D82" t="inlineStr">
        <is>
          <t>KALMAR LÄN</t>
        </is>
      </c>
      <c r="E82" t="inlineStr">
        <is>
          <t>BORGHOLM</t>
        </is>
      </c>
      <c r="G82" t="n">
        <v>2.4</v>
      </c>
      <c r="H82" t="n">
        <v>0</v>
      </c>
      <c r="I82" t="n">
        <v>0</v>
      </c>
      <c r="J82" t="n">
        <v>0</v>
      </c>
      <c r="K82" t="n">
        <v>0</v>
      </c>
      <c r="L82" t="n">
        <v>0</v>
      </c>
      <c r="M82" t="n">
        <v>0</v>
      </c>
      <c r="N82" t="n">
        <v>0</v>
      </c>
      <c r="O82" t="n">
        <v>0</v>
      </c>
      <c r="P82" t="n">
        <v>0</v>
      </c>
      <c r="Q82" t="n">
        <v>0</v>
      </c>
      <c r="R82" s="2" t="inlineStr"/>
    </row>
    <row r="83" ht="15" customHeight="1">
      <c r="A83" t="inlineStr">
        <is>
          <t>A 21908-2022</t>
        </is>
      </c>
      <c r="B83" s="1" t="n">
        <v>44711</v>
      </c>
      <c r="C83" s="1" t="n">
        <v>45912</v>
      </c>
      <c r="D83" t="inlineStr">
        <is>
          <t>KALMAR LÄN</t>
        </is>
      </c>
      <c r="E83" t="inlineStr">
        <is>
          <t>BORGHOLM</t>
        </is>
      </c>
      <c r="G83" t="n">
        <v>4.7</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45912</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31720-2022</t>
        </is>
      </c>
      <c r="B85" s="1" t="n">
        <v>44776</v>
      </c>
      <c r="C85" s="1" t="n">
        <v>45912</v>
      </c>
      <c r="D85" t="inlineStr">
        <is>
          <t>KALMAR LÄN</t>
        </is>
      </c>
      <c r="E85" t="inlineStr">
        <is>
          <t>BORGHOLM</t>
        </is>
      </c>
      <c r="F85" t="inlineStr">
        <is>
          <t>Sveaskog</t>
        </is>
      </c>
      <c r="G85" t="n">
        <v>4.5</v>
      </c>
      <c r="H85" t="n">
        <v>0</v>
      </c>
      <c r="I85" t="n">
        <v>0</v>
      </c>
      <c r="J85" t="n">
        <v>0</v>
      </c>
      <c r="K85" t="n">
        <v>0</v>
      </c>
      <c r="L85" t="n">
        <v>0</v>
      </c>
      <c r="M85" t="n">
        <v>0</v>
      </c>
      <c r="N85" t="n">
        <v>0</v>
      </c>
      <c r="O85" t="n">
        <v>0</v>
      </c>
      <c r="P85" t="n">
        <v>0</v>
      </c>
      <c r="Q85" t="n">
        <v>0</v>
      </c>
      <c r="R85" s="2" t="inlineStr"/>
    </row>
    <row r="86" ht="15" customHeight="1">
      <c r="A86" t="inlineStr">
        <is>
          <t>A 26190-2025</t>
        </is>
      </c>
      <c r="B86" s="1" t="n">
        <v>45805.48349537037</v>
      </c>
      <c r="C86" s="1" t="n">
        <v>45912</v>
      </c>
      <c r="D86" t="inlineStr">
        <is>
          <t>KALMAR LÄN</t>
        </is>
      </c>
      <c r="E86" t="inlineStr">
        <is>
          <t>BORGHOLM</t>
        </is>
      </c>
      <c r="G86" t="n">
        <v>3.2</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45912</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44547-2021</t>
        </is>
      </c>
      <c r="B88" s="1" t="n">
        <v>44435</v>
      </c>
      <c r="C88" s="1" t="n">
        <v>45912</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5175-2024</t>
        </is>
      </c>
      <c r="B89" s="1" t="n">
        <v>45330</v>
      </c>
      <c r="C89" s="1" t="n">
        <v>45912</v>
      </c>
      <c r="D89" t="inlineStr">
        <is>
          <t>KALMAR LÄN</t>
        </is>
      </c>
      <c r="E89" t="inlineStr">
        <is>
          <t>BORGHOLM</t>
        </is>
      </c>
      <c r="G89" t="n">
        <v>1.5</v>
      </c>
      <c r="H89" t="n">
        <v>0</v>
      </c>
      <c r="I89" t="n">
        <v>0</v>
      </c>
      <c r="J89" t="n">
        <v>0</v>
      </c>
      <c r="K89" t="n">
        <v>0</v>
      </c>
      <c r="L89" t="n">
        <v>0</v>
      </c>
      <c r="M89" t="n">
        <v>0</v>
      </c>
      <c r="N89" t="n">
        <v>0</v>
      </c>
      <c r="O89" t="n">
        <v>0</v>
      </c>
      <c r="P89" t="n">
        <v>0</v>
      </c>
      <c r="Q89" t="n">
        <v>0</v>
      </c>
      <c r="R89" s="2" t="inlineStr"/>
    </row>
    <row r="90" ht="15" customHeight="1">
      <c r="A90" t="inlineStr">
        <is>
          <t>A 34951-2022</t>
        </is>
      </c>
      <c r="B90" s="1" t="n">
        <v>44796</v>
      </c>
      <c r="C90" s="1" t="n">
        <v>45912</v>
      </c>
      <c r="D90" t="inlineStr">
        <is>
          <t>KALMAR LÄN</t>
        </is>
      </c>
      <c r="E90" t="inlineStr">
        <is>
          <t>BORGHOLM</t>
        </is>
      </c>
      <c r="F90" t="inlineStr">
        <is>
          <t>Sveaskog</t>
        </is>
      </c>
      <c r="G90" t="n">
        <v>4.6</v>
      </c>
      <c r="H90" t="n">
        <v>0</v>
      </c>
      <c r="I90" t="n">
        <v>0</v>
      </c>
      <c r="J90" t="n">
        <v>0</v>
      </c>
      <c r="K90" t="n">
        <v>0</v>
      </c>
      <c r="L90" t="n">
        <v>0</v>
      </c>
      <c r="M90" t="n">
        <v>0</v>
      </c>
      <c r="N90" t="n">
        <v>0</v>
      </c>
      <c r="O90" t="n">
        <v>0</v>
      </c>
      <c r="P90" t="n">
        <v>0</v>
      </c>
      <c r="Q90" t="n">
        <v>0</v>
      </c>
      <c r="R90" s="2" t="inlineStr"/>
    </row>
    <row r="91" ht="15" customHeight="1">
      <c r="A91" t="inlineStr">
        <is>
          <t>A 19867-2024</t>
        </is>
      </c>
      <c r="B91" s="1" t="n">
        <v>45433</v>
      </c>
      <c r="C91" s="1" t="n">
        <v>45912</v>
      </c>
      <c r="D91" t="inlineStr">
        <is>
          <t>KALMAR LÄN</t>
        </is>
      </c>
      <c r="E91" t="inlineStr">
        <is>
          <t>BORGHOLM</t>
        </is>
      </c>
      <c r="G91" t="n">
        <v>3.9</v>
      </c>
      <c r="H91" t="n">
        <v>0</v>
      </c>
      <c r="I91" t="n">
        <v>0</v>
      </c>
      <c r="J91" t="n">
        <v>0</v>
      </c>
      <c r="K91" t="n">
        <v>0</v>
      </c>
      <c r="L91" t="n">
        <v>0</v>
      </c>
      <c r="M91" t="n">
        <v>0</v>
      </c>
      <c r="N91" t="n">
        <v>0</v>
      </c>
      <c r="O91" t="n">
        <v>0</v>
      </c>
      <c r="P91" t="n">
        <v>0</v>
      </c>
      <c r="Q91" t="n">
        <v>0</v>
      </c>
      <c r="R91" s="2" t="inlineStr"/>
    </row>
    <row r="92" ht="15" customHeight="1">
      <c r="A92" t="inlineStr">
        <is>
          <t>A 4878-2021</t>
        </is>
      </c>
      <c r="B92" s="1" t="n">
        <v>44225</v>
      </c>
      <c r="C92" s="1" t="n">
        <v>45912</v>
      </c>
      <c r="D92" t="inlineStr">
        <is>
          <t>KALMAR LÄN</t>
        </is>
      </c>
      <c r="E92" t="inlineStr">
        <is>
          <t>BORGHOLM</t>
        </is>
      </c>
      <c r="G92" t="n">
        <v>3</v>
      </c>
      <c r="H92" t="n">
        <v>0</v>
      </c>
      <c r="I92" t="n">
        <v>0</v>
      </c>
      <c r="J92" t="n">
        <v>0</v>
      </c>
      <c r="K92" t="n">
        <v>0</v>
      </c>
      <c r="L92" t="n">
        <v>0</v>
      </c>
      <c r="M92" t="n">
        <v>0</v>
      </c>
      <c r="N92" t="n">
        <v>0</v>
      </c>
      <c r="O92" t="n">
        <v>0</v>
      </c>
      <c r="P92" t="n">
        <v>0</v>
      </c>
      <c r="Q92" t="n">
        <v>0</v>
      </c>
      <c r="R92" s="2" t="inlineStr"/>
    </row>
    <row r="93" ht="15" customHeight="1">
      <c r="A93" t="inlineStr">
        <is>
          <t>A 27357-2025</t>
        </is>
      </c>
      <c r="B93" s="1" t="n">
        <v>45812.63650462963</v>
      </c>
      <c r="C93" s="1" t="n">
        <v>45912</v>
      </c>
      <c r="D93" t="inlineStr">
        <is>
          <t>KALMAR LÄN</t>
        </is>
      </c>
      <c r="E93" t="inlineStr">
        <is>
          <t>BORGHOLM</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27366-2025</t>
        </is>
      </c>
      <c r="B94" s="1" t="n">
        <v>45812.64475694444</v>
      </c>
      <c r="C94" s="1" t="n">
        <v>45912</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13383-2023</t>
        </is>
      </c>
      <c r="B95" s="1" t="n">
        <v>45005</v>
      </c>
      <c r="C95" s="1" t="n">
        <v>45912</v>
      </c>
      <c r="D95" t="inlineStr">
        <is>
          <t>KALMAR LÄN</t>
        </is>
      </c>
      <c r="E95" t="inlineStr">
        <is>
          <t>BORGHOLM</t>
        </is>
      </c>
      <c r="G95" t="n">
        <v>0.8</v>
      </c>
      <c r="H95" t="n">
        <v>0</v>
      </c>
      <c r="I95" t="n">
        <v>0</v>
      </c>
      <c r="J95" t="n">
        <v>0</v>
      </c>
      <c r="K95" t="n">
        <v>0</v>
      </c>
      <c r="L95" t="n">
        <v>0</v>
      </c>
      <c r="M95" t="n">
        <v>0</v>
      </c>
      <c r="N95" t="n">
        <v>0</v>
      </c>
      <c r="O95" t="n">
        <v>0</v>
      </c>
      <c r="P95" t="n">
        <v>0</v>
      </c>
      <c r="Q95" t="n">
        <v>0</v>
      </c>
      <c r="R95" s="2" t="inlineStr"/>
    </row>
    <row r="96" ht="15" customHeight="1">
      <c r="A96" t="inlineStr">
        <is>
          <t>A 65144-2020</t>
        </is>
      </c>
      <c r="B96" s="1" t="n">
        <v>44172</v>
      </c>
      <c r="C96" s="1" t="n">
        <v>45912</v>
      </c>
      <c r="D96" t="inlineStr">
        <is>
          <t>KALMAR LÄN</t>
        </is>
      </c>
      <c r="E96" t="inlineStr">
        <is>
          <t>BORGHOLM</t>
        </is>
      </c>
      <c r="G96" t="n">
        <v>1.7</v>
      </c>
      <c r="H96" t="n">
        <v>0</v>
      </c>
      <c r="I96" t="n">
        <v>0</v>
      </c>
      <c r="J96" t="n">
        <v>0</v>
      </c>
      <c r="K96" t="n">
        <v>0</v>
      </c>
      <c r="L96" t="n">
        <v>0</v>
      </c>
      <c r="M96" t="n">
        <v>0</v>
      </c>
      <c r="N96" t="n">
        <v>0</v>
      </c>
      <c r="O96" t="n">
        <v>0</v>
      </c>
      <c r="P96" t="n">
        <v>0</v>
      </c>
      <c r="Q96" t="n">
        <v>0</v>
      </c>
      <c r="R96" s="2" t="inlineStr"/>
    </row>
    <row r="97" ht="15" customHeight="1">
      <c r="A97" t="inlineStr">
        <is>
          <t>A 61438-2023</t>
        </is>
      </c>
      <c r="B97" s="1" t="n">
        <v>45264</v>
      </c>
      <c r="C97" s="1" t="n">
        <v>45912</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13041-2024</t>
        </is>
      </c>
      <c r="B98" s="1" t="n">
        <v>45385.60065972222</v>
      </c>
      <c r="C98" s="1" t="n">
        <v>45912</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53050-2021</t>
        </is>
      </c>
      <c r="B99" s="1" t="n">
        <v>44467</v>
      </c>
      <c r="C99" s="1" t="n">
        <v>45912</v>
      </c>
      <c r="D99" t="inlineStr">
        <is>
          <t>KALMAR LÄN</t>
        </is>
      </c>
      <c r="E99" t="inlineStr">
        <is>
          <t>BORGHOLM</t>
        </is>
      </c>
      <c r="G99" t="n">
        <v>3.6</v>
      </c>
      <c r="H99" t="n">
        <v>0</v>
      </c>
      <c r="I99" t="n">
        <v>0</v>
      </c>
      <c r="J99" t="n">
        <v>0</v>
      </c>
      <c r="K99" t="n">
        <v>0</v>
      </c>
      <c r="L99" t="n">
        <v>0</v>
      </c>
      <c r="M99" t="n">
        <v>0</v>
      </c>
      <c r="N99" t="n">
        <v>0</v>
      </c>
      <c r="O99" t="n">
        <v>0</v>
      </c>
      <c r="P99" t="n">
        <v>0</v>
      </c>
      <c r="Q99" t="n">
        <v>0</v>
      </c>
      <c r="R99" s="2" t="inlineStr"/>
    </row>
    <row r="100" ht="15" customHeight="1">
      <c r="A100" t="inlineStr">
        <is>
          <t>A 4159-2024</t>
        </is>
      </c>
      <c r="B100" s="1" t="n">
        <v>45323</v>
      </c>
      <c r="C100" s="1" t="n">
        <v>45912</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4165-2023</t>
        </is>
      </c>
      <c r="B101" s="1" t="n">
        <v>44953</v>
      </c>
      <c r="C101" s="1" t="n">
        <v>45912</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28782-2025</t>
        </is>
      </c>
      <c r="B102" s="1" t="n">
        <v>45820.45572916666</v>
      </c>
      <c r="C102" s="1" t="n">
        <v>45912</v>
      </c>
      <c r="D102" t="inlineStr">
        <is>
          <t>KALMAR LÄN</t>
        </is>
      </c>
      <c r="E102" t="inlineStr">
        <is>
          <t>BORGHOLM</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45912</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32921-2023</t>
        </is>
      </c>
      <c r="B104" s="1" t="n">
        <v>45125</v>
      </c>
      <c r="C104" s="1" t="n">
        <v>45912</v>
      </c>
      <c r="D104" t="inlineStr">
        <is>
          <t>KALMAR LÄN</t>
        </is>
      </c>
      <c r="E104" t="inlineStr">
        <is>
          <t>BORGHOLM</t>
        </is>
      </c>
      <c r="G104" t="n">
        <v>2.9</v>
      </c>
      <c r="H104" t="n">
        <v>0</v>
      </c>
      <c r="I104" t="n">
        <v>0</v>
      </c>
      <c r="J104" t="n">
        <v>0</v>
      </c>
      <c r="K104" t="n">
        <v>0</v>
      </c>
      <c r="L104" t="n">
        <v>0</v>
      </c>
      <c r="M104" t="n">
        <v>0</v>
      </c>
      <c r="N104" t="n">
        <v>0</v>
      </c>
      <c r="O104" t="n">
        <v>0</v>
      </c>
      <c r="P104" t="n">
        <v>0</v>
      </c>
      <c r="Q104" t="n">
        <v>0</v>
      </c>
      <c r="R104" s="2" t="inlineStr"/>
    </row>
    <row r="105" ht="15" customHeight="1">
      <c r="A105" t="inlineStr">
        <is>
          <t>A 31699-2022</t>
        </is>
      </c>
      <c r="B105" s="1" t="n">
        <v>44776</v>
      </c>
      <c r="C105" s="1" t="n">
        <v>45912</v>
      </c>
      <c r="D105" t="inlineStr">
        <is>
          <t>KALMAR LÄN</t>
        </is>
      </c>
      <c r="E105" t="inlineStr">
        <is>
          <t>BORGHOLM</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63276-2023</t>
        </is>
      </c>
      <c r="B106" s="1" t="n">
        <v>45273.82195601852</v>
      </c>
      <c r="C106" s="1" t="n">
        <v>45912</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1614-2025</t>
        </is>
      </c>
      <c r="B107" s="1" t="n">
        <v>45670.60094907408</v>
      </c>
      <c r="C107" s="1" t="n">
        <v>45912</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13043-2024</t>
        </is>
      </c>
      <c r="B108" s="1" t="n">
        <v>45385.60111111111</v>
      </c>
      <c r="C108" s="1" t="n">
        <v>45912</v>
      </c>
      <c r="D108" t="inlineStr">
        <is>
          <t>KALMAR LÄN</t>
        </is>
      </c>
      <c r="E108" t="inlineStr">
        <is>
          <t>BORGHOLM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34780-2022</t>
        </is>
      </c>
      <c r="B109" s="1" t="n">
        <v>44795</v>
      </c>
      <c r="C109" s="1" t="n">
        <v>45912</v>
      </c>
      <c r="D109" t="inlineStr">
        <is>
          <t>KALMAR LÄN</t>
        </is>
      </c>
      <c r="E109" t="inlineStr">
        <is>
          <t>BORGHOLM</t>
        </is>
      </c>
      <c r="F109" t="inlineStr">
        <is>
          <t>Sveaskog</t>
        </is>
      </c>
      <c r="G109" t="n">
        <v>6.7</v>
      </c>
      <c r="H109" t="n">
        <v>0</v>
      </c>
      <c r="I109" t="n">
        <v>0</v>
      </c>
      <c r="J109" t="n">
        <v>0</v>
      </c>
      <c r="K109" t="n">
        <v>0</v>
      </c>
      <c r="L109" t="n">
        <v>0</v>
      </c>
      <c r="M109" t="n">
        <v>0</v>
      </c>
      <c r="N109" t="n">
        <v>0</v>
      </c>
      <c r="O109" t="n">
        <v>0</v>
      </c>
      <c r="P109" t="n">
        <v>0</v>
      </c>
      <c r="Q109" t="n">
        <v>0</v>
      </c>
      <c r="R109" s="2" t="inlineStr"/>
    </row>
    <row r="110" ht="15" customHeight="1">
      <c r="A110" t="inlineStr">
        <is>
          <t>A 9076-2025</t>
        </is>
      </c>
      <c r="B110" s="1" t="n">
        <v>45713.6596875</v>
      </c>
      <c r="C110" s="1" t="n">
        <v>45912</v>
      </c>
      <c r="D110" t="inlineStr">
        <is>
          <t>KALMAR LÄN</t>
        </is>
      </c>
      <c r="E110" t="inlineStr">
        <is>
          <t>BORGHOLM</t>
        </is>
      </c>
      <c r="F110" t="inlineStr">
        <is>
          <t>Sveaskog</t>
        </is>
      </c>
      <c r="G110" t="n">
        <v>4.2</v>
      </c>
      <c r="H110" t="n">
        <v>0</v>
      </c>
      <c r="I110" t="n">
        <v>0</v>
      </c>
      <c r="J110" t="n">
        <v>0</v>
      </c>
      <c r="K110" t="n">
        <v>0</v>
      </c>
      <c r="L110" t="n">
        <v>0</v>
      </c>
      <c r="M110" t="n">
        <v>0</v>
      </c>
      <c r="N110" t="n">
        <v>0</v>
      </c>
      <c r="O110" t="n">
        <v>0</v>
      </c>
      <c r="P110" t="n">
        <v>0</v>
      </c>
      <c r="Q110" t="n">
        <v>0</v>
      </c>
      <c r="R110" s="2" t="inlineStr"/>
    </row>
    <row r="111" ht="15" customHeight="1">
      <c r="A111" t="inlineStr">
        <is>
          <t>A 1757-2025</t>
        </is>
      </c>
      <c r="B111" s="1" t="n">
        <v>45671.42195601852</v>
      </c>
      <c r="C111" s="1" t="n">
        <v>45912</v>
      </c>
      <c r="D111" t="inlineStr">
        <is>
          <t>KALMAR LÄN</t>
        </is>
      </c>
      <c r="E111" t="inlineStr">
        <is>
          <t>BORGHOLM</t>
        </is>
      </c>
      <c r="G111" t="n">
        <v>1.4</v>
      </c>
      <c r="H111" t="n">
        <v>0</v>
      </c>
      <c r="I111" t="n">
        <v>0</v>
      </c>
      <c r="J111" t="n">
        <v>0</v>
      </c>
      <c r="K111" t="n">
        <v>0</v>
      </c>
      <c r="L111" t="n">
        <v>0</v>
      </c>
      <c r="M111" t="n">
        <v>0</v>
      </c>
      <c r="N111" t="n">
        <v>0</v>
      </c>
      <c r="O111" t="n">
        <v>0</v>
      </c>
      <c r="P111" t="n">
        <v>0</v>
      </c>
      <c r="Q111" t="n">
        <v>0</v>
      </c>
      <c r="R111" s="2" t="inlineStr"/>
    </row>
    <row r="112" ht="15" customHeight="1">
      <c r="A112" t="inlineStr">
        <is>
          <t>A 7960-2023</t>
        </is>
      </c>
      <c r="B112" s="1" t="n">
        <v>44973</v>
      </c>
      <c r="C112" s="1" t="n">
        <v>45912</v>
      </c>
      <c r="D112" t="inlineStr">
        <is>
          <t>KALMAR LÄN</t>
        </is>
      </c>
      <c r="E112" t="inlineStr">
        <is>
          <t>BORGHOLM</t>
        </is>
      </c>
      <c r="G112" t="n">
        <v>2.1</v>
      </c>
      <c r="H112" t="n">
        <v>0</v>
      </c>
      <c r="I112" t="n">
        <v>0</v>
      </c>
      <c r="J112" t="n">
        <v>0</v>
      </c>
      <c r="K112" t="n">
        <v>0</v>
      </c>
      <c r="L112" t="n">
        <v>0</v>
      </c>
      <c r="M112" t="n">
        <v>0</v>
      </c>
      <c r="N112" t="n">
        <v>0</v>
      </c>
      <c r="O112" t="n">
        <v>0</v>
      </c>
      <c r="P112" t="n">
        <v>0</v>
      </c>
      <c r="Q112" t="n">
        <v>0</v>
      </c>
      <c r="R112" s="2" t="inlineStr"/>
    </row>
    <row r="113" ht="15" customHeight="1">
      <c r="A113" t="inlineStr">
        <is>
          <t>A 41831-2025</t>
        </is>
      </c>
      <c r="B113" s="1" t="n">
        <v>45902.67887731481</v>
      </c>
      <c r="C113" s="1" t="n">
        <v>45912</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41950-2025</t>
        </is>
      </c>
      <c r="B114" s="1" t="n">
        <v>45903.45767361111</v>
      </c>
      <c r="C114" s="1" t="n">
        <v>45912</v>
      </c>
      <c r="D114" t="inlineStr">
        <is>
          <t>KALMAR LÄN</t>
        </is>
      </c>
      <c r="E114" t="inlineStr">
        <is>
          <t>BORGHOLM</t>
        </is>
      </c>
      <c r="G114" t="n">
        <v>1.8</v>
      </c>
      <c r="H114" t="n">
        <v>0</v>
      </c>
      <c r="I114" t="n">
        <v>0</v>
      </c>
      <c r="J114" t="n">
        <v>0</v>
      </c>
      <c r="K114" t="n">
        <v>0</v>
      </c>
      <c r="L114" t="n">
        <v>0</v>
      </c>
      <c r="M114" t="n">
        <v>0</v>
      </c>
      <c r="N114" t="n">
        <v>0</v>
      </c>
      <c r="O114" t="n">
        <v>0</v>
      </c>
      <c r="P114" t="n">
        <v>0</v>
      </c>
      <c r="Q114" t="n">
        <v>0</v>
      </c>
      <c r="R114" s="2" t="inlineStr"/>
    </row>
    <row r="115" ht="15" customHeight="1">
      <c r="A115" t="inlineStr">
        <is>
          <t>A 9044-2025</t>
        </is>
      </c>
      <c r="B115" s="1" t="n">
        <v>45713.6275</v>
      </c>
      <c r="C115" s="1" t="n">
        <v>45912</v>
      </c>
      <c r="D115" t="inlineStr">
        <is>
          <t>KALMAR LÄN</t>
        </is>
      </c>
      <c r="E115" t="inlineStr">
        <is>
          <t>BORGHOLM</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42232-2025</t>
        </is>
      </c>
      <c r="B116" s="1" t="n">
        <v>45904.55591435185</v>
      </c>
      <c r="C116" s="1" t="n">
        <v>45912</v>
      </c>
      <c r="D116" t="inlineStr">
        <is>
          <t>KALMAR LÄN</t>
        </is>
      </c>
      <c r="E116" t="inlineStr">
        <is>
          <t>BORGHOLM</t>
        </is>
      </c>
      <c r="F116" t="inlineStr">
        <is>
          <t>Sveaskog</t>
        </is>
      </c>
      <c r="G116" t="n">
        <v>1.7</v>
      </c>
      <c r="H116" t="n">
        <v>0</v>
      </c>
      <c r="I116" t="n">
        <v>0</v>
      </c>
      <c r="J116" t="n">
        <v>0</v>
      </c>
      <c r="K116" t="n">
        <v>0</v>
      </c>
      <c r="L116" t="n">
        <v>0</v>
      </c>
      <c r="M116" t="n">
        <v>0</v>
      </c>
      <c r="N116" t="n">
        <v>0</v>
      </c>
      <c r="O116" t="n">
        <v>0</v>
      </c>
      <c r="P116" t="n">
        <v>0</v>
      </c>
      <c r="Q116" t="n">
        <v>0</v>
      </c>
      <c r="R116" s="2" t="inlineStr"/>
    </row>
    <row r="117" ht="15" customHeight="1">
      <c r="A117" t="inlineStr">
        <is>
          <t>A 36269-2025</t>
        </is>
      </c>
      <c r="B117" s="1" t="n">
        <v>45867.61736111111</v>
      </c>
      <c r="C117" s="1" t="n">
        <v>45912</v>
      </c>
      <c r="D117" t="inlineStr">
        <is>
          <t>KALMAR LÄN</t>
        </is>
      </c>
      <c r="E117" t="inlineStr">
        <is>
          <t>BORGHOLM</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20878-2024</t>
        </is>
      </c>
      <c r="B118" s="1" t="n">
        <v>45439.44748842593</v>
      </c>
      <c r="C118" s="1" t="n">
        <v>45912</v>
      </c>
      <c r="D118" t="inlineStr">
        <is>
          <t>KALMAR LÄN</t>
        </is>
      </c>
      <c r="E118" t="inlineStr">
        <is>
          <t>BORGHOLM</t>
        </is>
      </c>
      <c r="G118" t="n">
        <v>1.9</v>
      </c>
      <c r="H118" t="n">
        <v>0</v>
      </c>
      <c r="I118" t="n">
        <v>0</v>
      </c>
      <c r="J118" t="n">
        <v>0</v>
      </c>
      <c r="K118" t="n">
        <v>0</v>
      </c>
      <c r="L118" t="n">
        <v>0</v>
      </c>
      <c r="M118" t="n">
        <v>0</v>
      </c>
      <c r="N118" t="n">
        <v>0</v>
      </c>
      <c r="O118" t="n">
        <v>0</v>
      </c>
      <c r="P118" t="n">
        <v>0</v>
      </c>
      <c r="Q118" t="n">
        <v>0</v>
      </c>
      <c r="R118" s="2" t="inlineStr"/>
    </row>
    <row r="119" ht="15" customHeight="1">
      <c r="A119" t="inlineStr">
        <is>
          <t>A 17699-2025</t>
        </is>
      </c>
      <c r="B119" s="1" t="n">
        <v>45758.41846064815</v>
      </c>
      <c r="C119" s="1" t="n">
        <v>45912</v>
      </c>
      <c r="D119" t="inlineStr">
        <is>
          <t>KALMAR LÄN</t>
        </is>
      </c>
      <c r="E119" t="inlineStr">
        <is>
          <t>BORGHOLM</t>
        </is>
      </c>
      <c r="G119" t="n">
        <v>0.7</v>
      </c>
      <c r="H119" t="n">
        <v>0</v>
      </c>
      <c r="I119" t="n">
        <v>0</v>
      </c>
      <c r="J119" t="n">
        <v>0</v>
      </c>
      <c r="K119" t="n">
        <v>0</v>
      </c>
      <c r="L119" t="n">
        <v>0</v>
      </c>
      <c r="M119" t="n">
        <v>0</v>
      </c>
      <c r="N119" t="n">
        <v>0</v>
      </c>
      <c r="O119" t="n">
        <v>0</v>
      </c>
      <c r="P119" t="n">
        <v>0</v>
      </c>
      <c r="Q119" t="n">
        <v>0</v>
      </c>
      <c r="R119" s="2" t="inlineStr"/>
    </row>
    <row r="120" ht="15" customHeight="1">
      <c r="A120" t="inlineStr">
        <is>
          <t>A 29656-2023</t>
        </is>
      </c>
      <c r="B120" s="1" t="n">
        <v>45107</v>
      </c>
      <c r="C120" s="1" t="n">
        <v>45912</v>
      </c>
      <c r="D120" t="inlineStr">
        <is>
          <t>KALMAR LÄN</t>
        </is>
      </c>
      <c r="E120" t="inlineStr">
        <is>
          <t>BORGHOLM</t>
        </is>
      </c>
      <c r="G120" t="n">
        <v>4.1</v>
      </c>
      <c r="H120" t="n">
        <v>0</v>
      </c>
      <c r="I120" t="n">
        <v>0</v>
      </c>
      <c r="J120" t="n">
        <v>0</v>
      </c>
      <c r="K120" t="n">
        <v>0</v>
      </c>
      <c r="L120" t="n">
        <v>0</v>
      </c>
      <c r="M120" t="n">
        <v>0</v>
      </c>
      <c r="N120" t="n">
        <v>0</v>
      </c>
      <c r="O120" t="n">
        <v>0</v>
      </c>
      <c r="P120" t="n">
        <v>0</v>
      </c>
      <c r="Q120" t="n">
        <v>0</v>
      </c>
      <c r="R120" s="2" t="inlineStr"/>
    </row>
    <row r="121" ht="15" customHeight="1">
      <c r="A121" t="inlineStr">
        <is>
          <t>A 20287-2025</t>
        </is>
      </c>
      <c r="B121" s="1" t="n">
        <v>45774.60741898148</v>
      </c>
      <c r="C121" s="1" t="n">
        <v>45912</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43542-2025</t>
        </is>
      </c>
      <c r="B122" s="1" t="n">
        <v>45911.61123842592</v>
      </c>
      <c r="C122" s="1" t="n">
        <v>45912</v>
      </c>
      <c r="D122" t="inlineStr">
        <is>
          <t>KALMAR LÄN</t>
        </is>
      </c>
      <c r="E122" t="inlineStr">
        <is>
          <t>BORGHOLM</t>
        </is>
      </c>
      <c r="G122" t="n">
        <v>2.4</v>
      </c>
      <c r="H122" t="n">
        <v>0</v>
      </c>
      <c r="I122" t="n">
        <v>0</v>
      </c>
      <c r="J122" t="n">
        <v>0</v>
      </c>
      <c r="K122" t="n">
        <v>0</v>
      </c>
      <c r="L122" t="n">
        <v>0</v>
      </c>
      <c r="M122" t="n">
        <v>0</v>
      </c>
      <c r="N122" t="n">
        <v>0</v>
      </c>
      <c r="O122" t="n">
        <v>0</v>
      </c>
      <c r="P122" t="n">
        <v>0</v>
      </c>
      <c r="Q122" t="n">
        <v>0</v>
      </c>
      <c r="R122" s="2" t="inlineStr"/>
    </row>
    <row r="123" ht="15" customHeight="1">
      <c r="A123" t="inlineStr">
        <is>
          <t>A 26160-2024</t>
        </is>
      </c>
      <c r="B123" s="1" t="n">
        <v>45468</v>
      </c>
      <c r="C123" s="1" t="n">
        <v>45912</v>
      </c>
      <c r="D123" t="inlineStr">
        <is>
          <t>KALMAR LÄN</t>
        </is>
      </c>
      <c r="E123" t="inlineStr">
        <is>
          <t>BORGHOLM</t>
        </is>
      </c>
      <c r="G123" t="n">
        <v>0.4</v>
      </c>
      <c r="H123" t="n">
        <v>0</v>
      </c>
      <c r="I123" t="n">
        <v>0</v>
      </c>
      <c r="J123" t="n">
        <v>0</v>
      </c>
      <c r="K123" t="n">
        <v>0</v>
      </c>
      <c r="L123" t="n">
        <v>0</v>
      </c>
      <c r="M123" t="n">
        <v>0</v>
      </c>
      <c r="N123" t="n">
        <v>0</v>
      </c>
      <c r="O123" t="n">
        <v>0</v>
      </c>
      <c r="P123" t="n">
        <v>0</v>
      </c>
      <c r="Q123" t="n">
        <v>0</v>
      </c>
      <c r="R123" s="2" t="inlineStr"/>
      <c r="T123">
        <f>HYPERLINK("https://klasma.github.io/Logging_0885/kartor/A 26160-2024 karta.png", "A 26160-2024")</f>
        <v/>
      </c>
      <c r="V123">
        <f>HYPERLINK("https://klasma.github.io/Logging_0885/klagomål/A 26160-2024 FSC-klagomål.docx", "A 26160-2024")</f>
        <v/>
      </c>
      <c r="W123">
        <f>HYPERLINK("https://klasma.github.io/Logging_0885/klagomålsmail/A 26160-2024 FSC-klagomål mail.docx", "A 26160-2024")</f>
        <v/>
      </c>
      <c r="X123">
        <f>HYPERLINK("https://klasma.github.io/Logging_0885/tillsyn/A 26160-2024 tillsynsbegäran.docx", "A 26160-2024")</f>
        <v/>
      </c>
      <c r="Y123">
        <f>HYPERLINK("https://klasma.github.io/Logging_0885/tillsynsmail/A 26160-2024 tillsynsbegäran mail.docx", "A 26160-2024")</f>
        <v/>
      </c>
    </row>
    <row r="124" ht="15" customHeight="1">
      <c r="A124" t="inlineStr">
        <is>
          <t>A 9050-2025</t>
        </is>
      </c>
      <c r="B124" s="1" t="n">
        <v>45713.63512731482</v>
      </c>
      <c r="C124" s="1" t="n">
        <v>45912</v>
      </c>
      <c r="D124" t="inlineStr">
        <is>
          <t>KALMAR LÄN</t>
        </is>
      </c>
      <c r="E124" t="inlineStr">
        <is>
          <t>BORGHOLM</t>
        </is>
      </c>
      <c r="F124" t="inlineStr">
        <is>
          <t>Sveaskog</t>
        </is>
      </c>
      <c r="G124" t="n">
        <v>2.5</v>
      </c>
      <c r="H124" t="n">
        <v>0</v>
      </c>
      <c r="I124" t="n">
        <v>0</v>
      </c>
      <c r="J124" t="n">
        <v>0</v>
      </c>
      <c r="K124" t="n">
        <v>0</v>
      </c>
      <c r="L124" t="n">
        <v>0</v>
      </c>
      <c r="M124" t="n">
        <v>0</v>
      </c>
      <c r="N124" t="n">
        <v>0</v>
      </c>
      <c r="O124" t="n">
        <v>0</v>
      </c>
      <c r="P124" t="n">
        <v>0</v>
      </c>
      <c r="Q124" t="n">
        <v>0</v>
      </c>
      <c r="R124" s="2" t="inlineStr"/>
    </row>
    <row r="125" ht="15" customHeight="1">
      <c r="A125" t="inlineStr">
        <is>
          <t>A 9028-2025</t>
        </is>
      </c>
      <c r="B125" s="1" t="n">
        <v>45713</v>
      </c>
      <c r="C125" s="1" t="n">
        <v>45912</v>
      </c>
      <c r="D125" t="inlineStr">
        <is>
          <t>KALMAR LÄN</t>
        </is>
      </c>
      <c r="E125" t="inlineStr">
        <is>
          <t>BORGHOLM</t>
        </is>
      </c>
      <c r="F125" t="inlineStr">
        <is>
          <t>Sveaskog</t>
        </is>
      </c>
      <c r="G125" t="n">
        <v>3</v>
      </c>
      <c r="H125" t="n">
        <v>0</v>
      </c>
      <c r="I125" t="n">
        <v>0</v>
      </c>
      <c r="J125" t="n">
        <v>0</v>
      </c>
      <c r="K125" t="n">
        <v>0</v>
      </c>
      <c r="L125" t="n">
        <v>0</v>
      </c>
      <c r="M125" t="n">
        <v>0</v>
      </c>
      <c r="N125" t="n">
        <v>0</v>
      </c>
      <c r="O125" t="n">
        <v>0</v>
      </c>
      <c r="P125" t="n">
        <v>0</v>
      </c>
      <c r="Q125" t="n">
        <v>0</v>
      </c>
      <c r="R125" s="2" t="inlineStr"/>
    </row>
    <row r="126" ht="15" customHeight="1">
      <c r="A126" t="inlineStr">
        <is>
          <t>A 63075-2023</t>
        </is>
      </c>
      <c r="B126" s="1" t="n">
        <v>45273</v>
      </c>
      <c r="C126" s="1" t="n">
        <v>45912</v>
      </c>
      <c r="D126" t="inlineStr">
        <is>
          <t>KALMAR LÄN</t>
        </is>
      </c>
      <c r="E126" t="inlineStr">
        <is>
          <t>BORGHOLM</t>
        </is>
      </c>
      <c r="G126" t="n">
        <v>1.1</v>
      </c>
      <c r="H126" t="n">
        <v>0</v>
      </c>
      <c r="I126" t="n">
        <v>0</v>
      </c>
      <c r="J126" t="n">
        <v>0</v>
      </c>
      <c r="K126" t="n">
        <v>0</v>
      </c>
      <c r="L126" t="n">
        <v>0</v>
      </c>
      <c r="M126" t="n">
        <v>0</v>
      </c>
      <c r="N126" t="n">
        <v>0</v>
      </c>
      <c r="O126" t="n">
        <v>0</v>
      </c>
      <c r="P126" t="n">
        <v>0</v>
      </c>
      <c r="Q126" t="n">
        <v>0</v>
      </c>
      <c r="R126" s="2" t="inlineStr"/>
    </row>
    <row r="127">
      <c r="A127" t="inlineStr">
        <is>
          <t>A 7669-2024</t>
        </is>
      </c>
      <c r="B127" s="1" t="n">
        <v>45348.82498842593</v>
      </c>
      <c r="C127" s="1" t="n">
        <v>45912</v>
      </c>
      <c r="D127" t="inlineStr">
        <is>
          <t>KALMAR LÄN</t>
        </is>
      </c>
      <c r="E127" t="inlineStr">
        <is>
          <t>BORGHOLM</t>
        </is>
      </c>
      <c r="G127" t="n">
        <v>2.3</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2025-09-12T08:53:30Z</dcterms:created>
  <dcterms:modified xmlns:dcterms="http://purl.org/dc/terms/" xmlns:xsi="http://www.w3.org/2001/XMLSchema-instance" xsi:type="dcterms:W3CDTF">2025-09-12T08:53:31Z</dcterms:modified>
</cp:coreProperties>
</file>