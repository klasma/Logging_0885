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46263</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46263</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46263</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46263</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46263</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46263</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46263</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46263</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46263</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46263</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46263</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46263</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46263</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46263</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46263</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46263</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46263</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46263</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46263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46263</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46263</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46263</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46263</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46263</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46263</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46263</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46263</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46263</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46263</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46263</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46263</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46263</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46263</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46263</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46263</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46263</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46263</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46263</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46263</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46263</v>
      </c>
      <c r="F43" t="inlineStr">
        <is>
          <t>KALMAR LÄN</t>
        </is>
      </c>
      <c r="G43" t="inlineStr">
        <is>
          <t>BORGHOLM</t>
        </is>
      </c>
      <c r="I43" t="n">
        <v>1.4</v>
      </c>
      <c r="J43" t="n">
        <v>2</v>
      </c>
      <c r="K43" t="n">
        <v>2</v>
      </c>
      <c r="L43" t="n">
        <v>1</v>
      </c>
      <c r="M43" t="n">
        <v>0</v>
      </c>
      <c r="N43" t="n">
        <v>0</v>
      </c>
      <c r="O43" t="n">
        <v>0</v>
      </c>
      <c r="P43" t="n">
        <v>0</v>
      </c>
      <c r="Q43" t="n">
        <v>1</v>
      </c>
      <c r="R43" t="n">
        <v>0</v>
      </c>
      <c r="S43" t="n">
        <v>4</v>
      </c>
      <c r="T43" t="n">
        <v>11</v>
      </c>
      <c r="U43" t="n">
        <v>6</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4164-2023</t>
        </is>
      </c>
      <c r="B44" t="inlineStr">
        <is>
          <t>avverkningsanmälan</t>
        </is>
      </c>
      <c r="C44" t="inlineStr">
        <is>
          <t>Föryngringsavverkning</t>
        </is>
      </c>
      <c r="D44" s="1" t="n">
        <v>44953</v>
      </c>
      <c r="E44" s="1" t="n">
        <v>46263</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7960-2023</t>
        </is>
      </c>
      <c r="B45" t="inlineStr">
        <is>
          <t>avverkningsanmälan</t>
        </is>
      </c>
      <c r="C45" t="inlineStr">
        <is>
          <t>Föryngringsavverkning</t>
        </is>
      </c>
      <c r="D45" s="1" t="n">
        <v>44973</v>
      </c>
      <c r="E45" s="1" t="n">
        <v>46263</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46263</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2740-2022</t>
        </is>
      </c>
      <c r="B47" t="inlineStr">
        <is>
          <t>samrådsanmälan</t>
        </is>
      </c>
      <c r="C47" t="inlineStr">
        <is>
          <t>Annan skogsbruksåtgärd</t>
        </is>
      </c>
      <c r="D47" s="1" t="n">
        <v>44704</v>
      </c>
      <c r="E47" s="1" t="n">
        <v>46263</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46263</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46263</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46263</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24048-2025</t>
        </is>
      </c>
      <c r="B51" t="inlineStr">
        <is>
          <t>avverkningsanmälan</t>
        </is>
      </c>
      <c r="C51" t="inlineStr">
        <is>
          <t>Föryngringsavverkning</t>
        </is>
      </c>
      <c r="D51" s="1" t="n">
        <v>45796</v>
      </c>
      <c r="E51" s="1" t="n">
        <v>46263</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43542-2025</t>
        </is>
      </c>
      <c r="B52" t="inlineStr">
        <is>
          <t>avverkningsanmälan</t>
        </is>
      </c>
      <c r="C52" t="inlineStr">
        <is>
          <t>Föryngringsavverkning</t>
        </is>
      </c>
      <c r="D52" s="1" t="n">
        <v>45911</v>
      </c>
      <c r="E52" s="1" t="n">
        <v>46263</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46263</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15285-2026</t>
        </is>
      </c>
      <c r="B54" t="inlineStr">
        <is>
          <t>avverkningsanmälan</t>
        </is>
      </c>
      <c r="C54" t="inlineStr">
        <is>
          <t>Avverkning för att bevara och utveckla /försöksver</t>
        </is>
      </c>
      <c r="D54" s="1" t="n">
        <v>46105</v>
      </c>
      <c r="E54" s="1" t="n">
        <v>46263</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43756-2022</t>
        </is>
      </c>
      <c r="B55" t="inlineStr">
        <is>
          <t>avverkningsanmälan</t>
        </is>
      </c>
      <c r="C55" t="inlineStr">
        <is>
          <t>Föryngringsavverkning</t>
        </is>
      </c>
      <c r="D55" s="1" t="n">
        <v>44837</v>
      </c>
      <c r="E55" s="1" t="n">
        <v>46263</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31520-2026</t>
        </is>
      </c>
      <c r="B56" t="inlineStr">
        <is>
          <t>avverkningsanmälan</t>
        </is>
      </c>
      <c r="C56" t="inlineStr">
        <is>
          <t>Avverkning för att bevara och utveckla /försöksver</t>
        </is>
      </c>
      <c r="D56" s="1" t="n">
        <v>46223</v>
      </c>
      <c r="E56" s="1" t="n">
        <v>46263</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26849-2026</t>
        </is>
      </c>
      <c r="B57" t="inlineStr">
        <is>
          <t>avverkningsanmälan</t>
        </is>
      </c>
      <c r="C57" t="inlineStr">
        <is>
          <t>Föryngringsavverkning</t>
        </is>
      </c>
      <c r="D57" s="1" t="n">
        <v>46185</v>
      </c>
      <c r="E57" s="1" t="n">
        <v>46263</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46263</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S 846-2026</t>
        </is>
      </c>
      <c r="B59" t="inlineStr">
        <is>
          <t>samrådsanmälan</t>
        </is>
      </c>
      <c r="C59" t="inlineStr">
        <is>
          <t>Annan skogsbruksåtgärd</t>
        </is>
      </c>
      <c r="D59" s="1" t="n">
        <v>46105</v>
      </c>
      <c r="E59" s="1" t="n">
        <v>46263</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46263</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46263</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46263</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46263</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60141-2025</t>
        </is>
      </c>
      <c r="B64" t="inlineStr">
        <is>
          <t>avverkningsanmälan</t>
        </is>
      </c>
      <c r="C64" t="inlineStr">
        <is>
          <t>Föryngringsavverkning</t>
        </is>
      </c>
      <c r="D64" s="1" t="n">
        <v>45994</v>
      </c>
      <c r="E64" s="1" t="n">
        <v>46263</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46263</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44678-2022</t>
        </is>
      </c>
      <c r="B66" t="inlineStr">
        <is>
          <t>avverkningsanmälan</t>
        </is>
      </c>
      <c r="C66" t="inlineStr">
        <is>
          <t>Föryngringsavverkning</t>
        </is>
      </c>
      <c r="D66" s="1" t="n">
        <v>44840</v>
      </c>
      <c r="E66" s="1" t="n">
        <v>46263</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50129-2021</t>
        </is>
      </c>
      <c r="B67" t="inlineStr">
        <is>
          <t>avverkningsanmälan</t>
        </is>
      </c>
      <c r="C67" t="inlineStr">
        <is>
          <t>Avverkning för annat ändamål</t>
        </is>
      </c>
      <c r="D67" s="1" t="n">
        <v>44456</v>
      </c>
      <c r="E67" s="1" t="n">
        <v>46263</v>
      </c>
      <c r="F67" t="inlineStr">
        <is>
          <t>KALMAR LÄN</t>
        </is>
      </c>
      <c r="G67" t="inlineStr">
        <is>
          <t>BORGHOLM</t>
        </is>
      </c>
      <c r="I67" t="n">
        <v>1.6</v>
      </c>
      <c r="J67" t="n">
        <v>1</v>
      </c>
      <c r="K67" t="n">
        <v>1</v>
      </c>
      <c r="L67" t="n">
        <v>0</v>
      </c>
      <c r="M67" t="n">
        <v>0</v>
      </c>
      <c r="N67" t="n">
        <v>0</v>
      </c>
      <c r="O67" t="n">
        <v>0</v>
      </c>
      <c r="P67" t="n">
        <v>0</v>
      </c>
      <c r="Q67" t="n">
        <v>0</v>
      </c>
      <c r="R67" t="n">
        <v>0</v>
      </c>
      <c r="S67" t="n">
        <v>2</v>
      </c>
      <c r="T67" t="n">
        <v>2</v>
      </c>
      <c r="U67" t="n">
        <v>2</v>
      </c>
      <c r="V67" s="2" t="inlineStr">
        <is>
          <t>Murgröna
Blåsippa</t>
        </is>
      </c>
      <c r="W67">
        <f>HYPERLINK("https://klasma.github.io/Logging_0885/artfynd/A 50129-2021 artfynd.xlsx", "A 50129-2021")</f>
        <v/>
      </c>
      <c r="X67">
        <f>HYPERLINK("https://klasma.github.io/Logging_0885/kartor/A 50129-2021 karta.png", "A 50129-2021")</f>
        <v/>
      </c>
      <c r="Y67">
        <f>HYPERLINK("https://klasma.github.io/Logging_0885/kartor_geotiff/A 50129-2021 georefererad karta.tif", "A 50129-2021")</f>
        <v/>
      </c>
      <c r="AA67">
        <f>HYPERLINK("https://klasma.github.io/Logging_0885/klagomål/A 50129-2021 FSC-klagomål.docx", "A 50129-2021")</f>
        <v/>
      </c>
      <c r="AB67">
        <f>HYPERLINK("https://klasma.github.io/Logging_0885/klagomålsmail/A 50129-2021 FSC-klagomål mail.docx", "A 50129-2021")</f>
        <v/>
      </c>
      <c r="AC67">
        <f>HYPERLINK("https://klasma.github.io/Logging_0885/tillsyn/A 50129-2021 tillsynsbegäran.docx", "A 50129-2021")</f>
        <v/>
      </c>
      <c r="AD67">
        <f>HYPERLINK("https://klasma.github.io/Logging_0885/tillsynsmail/A 50129-2021 tillsynsbegäran mail.docx", "A 50129-2021")</f>
        <v/>
      </c>
    </row>
    <row r="68" ht="15" customHeight="1">
      <c r="A68" t="inlineStr">
        <is>
          <t>A 9253-2026</t>
        </is>
      </c>
      <c r="B68" t="inlineStr">
        <is>
          <t>avverkningsanmälan</t>
        </is>
      </c>
      <c r="C68" t="inlineStr">
        <is>
          <t>Föryngringsavverkning</t>
        </is>
      </c>
      <c r="D68" s="1" t="n">
        <v>46070</v>
      </c>
      <c r="E68" s="1" t="n">
        <v>46263</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17699-2025</t>
        </is>
      </c>
      <c r="B69" t="inlineStr">
        <is>
          <t>avverkningsanmälan</t>
        </is>
      </c>
      <c r="C69" t="inlineStr">
        <is>
          <t>Föryngringsavverkning</t>
        </is>
      </c>
      <c r="D69" s="1" t="n">
        <v>45758</v>
      </c>
      <c r="E69" s="1" t="n">
        <v>46263</v>
      </c>
      <c r="F69" t="inlineStr">
        <is>
          <t>KALMAR LÄN</t>
        </is>
      </c>
      <c r="G69" t="inlineStr">
        <is>
          <t>BORGHOLM</t>
        </is>
      </c>
      <c r="I69" t="n">
        <v>0.7</v>
      </c>
      <c r="J69" t="n">
        <v>0</v>
      </c>
      <c r="K69" t="n">
        <v>0</v>
      </c>
      <c r="L69" t="n">
        <v>2</v>
      </c>
      <c r="M69" t="n">
        <v>0</v>
      </c>
      <c r="N69" t="n">
        <v>0</v>
      </c>
      <c r="O69" t="n">
        <v>0</v>
      </c>
      <c r="P69" t="n">
        <v>0</v>
      </c>
      <c r="Q69" t="n">
        <v>2</v>
      </c>
      <c r="R69" t="n">
        <v>0</v>
      </c>
      <c r="S69" t="n">
        <v>2</v>
      </c>
      <c r="T69" t="n">
        <v>2</v>
      </c>
      <c r="U69" t="n">
        <v>2</v>
      </c>
      <c r="V69" s="2" t="inlineStr">
        <is>
          <t>Backtimjan
Klibbveronika</t>
        </is>
      </c>
      <c r="W69">
        <f>HYPERLINK("https://klasma.github.io/Logging_0885/artfynd/A 17699-2025 artfynd.xlsx", "A 17699-2025")</f>
        <v/>
      </c>
      <c r="X69">
        <f>HYPERLINK("https://klasma.github.io/Logging_0885/kartor/A 17699-2025 karta.png", "A 17699-2025")</f>
        <v/>
      </c>
      <c r="Y69">
        <f>HYPERLINK("https://klasma.github.io/Logging_0885/kartor_geotiff/A 17699-2025 georefererad karta.tif", "A 17699-2025")</f>
        <v/>
      </c>
      <c r="AA69">
        <f>HYPERLINK("https://klasma.github.io/Logging_0885/klagomål/A 17699-2025 FSC-klagomål.docx", "A 17699-2025")</f>
        <v/>
      </c>
      <c r="AB69">
        <f>HYPERLINK("https://klasma.github.io/Logging_0885/klagomålsmail/A 17699-2025 FSC-klagomål mail.docx", "A 17699-2025")</f>
        <v/>
      </c>
      <c r="AC69">
        <f>HYPERLINK("https://klasma.github.io/Logging_0885/tillsyn/A 17699-2025 tillsynsbegäran.docx", "A 17699-2025")</f>
        <v/>
      </c>
      <c r="AD69">
        <f>HYPERLINK("https://klasma.github.io/Logging_0885/tillsynsmail/A 17699-2025 tillsynsbegäran mail.docx", "A 17699-2025")</f>
        <v/>
      </c>
    </row>
    <row r="70" ht="15" customHeight="1">
      <c r="A70" t="inlineStr">
        <is>
          <t>A 21908-2022</t>
        </is>
      </c>
      <c r="B70" t="inlineStr">
        <is>
          <t>avverkningsanmälan</t>
        </is>
      </c>
      <c r="C70" t="inlineStr">
        <is>
          <t>Föryngringsavverkning</t>
        </is>
      </c>
      <c r="D70" s="1" t="n">
        <v>44711</v>
      </c>
      <c r="E70" s="1" t="n">
        <v>46263</v>
      </c>
      <c r="F70" t="inlineStr">
        <is>
          <t>KALMAR LÄN</t>
        </is>
      </c>
      <c r="G70" t="inlineStr">
        <is>
          <t>BORGHOLM</t>
        </is>
      </c>
      <c r="I70" t="n">
        <v>4.7</v>
      </c>
      <c r="J70" t="n">
        <v>1</v>
      </c>
      <c r="K70" t="n">
        <v>2</v>
      </c>
      <c r="L70" t="n">
        <v>0</v>
      </c>
      <c r="M70" t="n">
        <v>0</v>
      </c>
      <c r="N70" t="n">
        <v>0</v>
      </c>
      <c r="O70" t="n">
        <v>0</v>
      </c>
      <c r="P70" t="n">
        <v>0</v>
      </c>
      <c r="Q70" t="n">
        <v>0</v>
      </c>
      <c r="R70" t="n">
        <v>0</v>
      </c>
      <c r="S70" t="n">
        <v>2</v>
      </c>
      <c r="T70" t="n">
        <v>2</v>
      </c>
      <c r="U70" t="n">
        <v>2</v>
      </c>
      <c r="V70" s="2" t="inlineStr">
        <is>
          <t>Myskmadra
Skogsknipprot</t>
        </is>
      </c>
      <c r="W70">
        <f>HYPERLINK("https://klasma.github.io/Logging_0885/artfynd/A 21908-2022 artfynd.xlsx", "A 21908-2022")</f>
        <v/>
      </c>
      <c r="X70">
        <f>HYPERLINK("https://klasma.github.io/Logging_0885/kartor/A 21908-2022 karta.png", "A 21908-2022")</f>
        <v/>
      </c>
      <c r="Y70">
        <f>HYPERLINK("https://klasma.github.io/Logging_0885/kartor_geotiff/A 21908-2022 georefererad karta.tif", "A 21908-2022")</f>
        <v/>
      </c>
      <c r="AA70">
        <f>HYPERLINK("https://klasma.github.io/Logging_0885/klagomål/A 21908-2022 FSC-klagomål.docx", "A 21908-2022")</f>
        <v/>
      </c>
      <c r="AB70">
        <f>HYPERLINK("https://klasma.github.io/Logging_0885/klagomålsmail/A 21908-2022 FSC-klagomål mail.docx", "A 21908-2022")</f>
        <v/>
      </c>
      <c r="AC70">
        <f>HYPERLINK("https://klasma.github.io/Logging_0885/tillsyn/A 21908-2022 tillsynsbegäran.docx", "A 21908-2022")</f>
        <v/>
      </c>
      <c r="AD70">
        <f>HYPERLINK("https://klasma.github.io/Logging_0885/tillsynsmail/A 21908-2022 tillsynsbegäran mail.docx", "A 21908-2022")</f>
        <v/>
      </c>
    </row>
    <row r="71" ht="15" customHeight="1">
      <c r="A71" t="inlineStr">
        <is>
          <t>A 24322-2026</t>
        </is>
      </c>
      <c r="B71" t="inlineStr">
        <is>
          <t>avverkningsanmälan</t>
        </is>
      </c>
      <c r="C71" t="inlineStr">
        <is>
          <t>Föryngringsavverkning</t>
        </is>
      </c>
      <c r="D71" s="1" t="n">
        <v>46169</v>
      </c>
      <c r="E71" s="1" t="n">
        <v>46263</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29411-2026</t>
        </is>
      </c>
      <c r="B72" t="inlineStr">
        <is>
          <t>avverkningsanmälan</t>
        </is>
      </c>
      <c r="C72" t="inlineStr">
        <is>
          <t>Avverkning för att bevara och utveckla /försöksver</t>
        </is>
      </c>
      <c r="D72" s="1" t="n">
        <v>46203</v>
      </c>
      <c r="E72" s="1" t="n">
        <v>46263</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46263</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46263</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46263</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46263</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46263</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46263</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46263</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41831-2025</t>
        </is>
      </c>
      <c r="B80" t="inlineStr">
        <is>
          <t>avverkningsanmälan</t>
        </is>
      </c>
      <c r="C80" t="inlineStr">
        <is>
          <t>Föryngringsavverkning</t>
        </is>
      </c>
      <c r="D80" s="1" t="n">
        <v>45902</v>
      </c>
      <c r="E80" s="1" t="n">
        <v>46263</v>
      </c>
      <c r="F80" t="inlineStr">
        <is>
          <t>KALMAR LÄN</t>
        </is>
      </c>
      <c r="G80" t="inlineStr">
        <is>
          <t>BORGHOLM</t>
        </is>
      </c>
      <c r="I80" t="n">
        <v>1.5</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HYPERLINK("https://klasma.github.io/Logging_0885/artfynd/A 41831-2025 artfynd.xlsx", "A 41831-2025")</f>
        <v/>
      </c>
      <c r="X80">
        <f>HYPERLINK("https://klasma.github.io/Logging_0885/kartor/A 41831-2025 karta.png", "A 41831-2025")</f>
        <v/>
      </c>
      <c r="Y80">
        <f>HYPERLINK("https://klasma.github.io/Logging_0885/kartor_geotiff/A 41831-2025 georefererad karta.tif", "A 41831-2025")</f>
        <v/>
      </c>
      <c r="AA80">
        <f>HYPERLINK("https://klasma.github.io/Logging_0885/klagomål/A 41831-2025 FSC-klagomål.docx", "A 41831-2025")</f>
        <v/>
      </c>
      <c r="AB80">
        <f>HYPERLINK("https://klasma.github.io/Logging_0885/klagomålsmail/A 41831-2025 FSC-klagomål mail.docx", "A 41831-2025")</f>
        <v/>
      </c>
      <c r="AC80">
        <f>HYPERLINK("https://klasma.github.io/Logging_0885/tillsyn/A 41831-2025 tillsynsbegäran.docx", "A 41831-2025")</f>
        <v/>
      </c>
      <c r="AD80">
        <f>HYPERLINK("https://klasma.github.io/Logging_0885/tillsynsmail/A 41831-2025 tillsynsbegäran mail.docx", "A 41831-2025")</f>
        <v/>
      </c>
    </row>
    <row r="81" ht="15" customHeight="1">
      <c r="A81" t="inlineStr">
        <is>
          <t>A 9745-2023</t>
        </is>
      </c>
      <c r="B81" t="inlineStr">
        <is>
          <t>avverkningsanmälan</t>
        </is>
      </c>
      <c r="C81" t="inlineStr">
        <is>
          <t>Föryngringsavverkning</t>
        </is>
      </c>
      <c r="D81" s="1" t="n">
        <v>44984</v>
      </c>
      <c r="E81" s="1" t="n">
        <v>46263</v>
      </c>
      <c r="F81" t="inlineStr">
        <is>
          <t>KALMAR LÄN</t>
        </is>
      </c>
      <c r="G81" t="inlineStr">
        <is>
          <t>BORGHOLM</t>
        </is>
      </c>
      <c r="I81" t="n">
        <v>1.2</v>
      </c>
      <c r="J81" t="n">
        <v>1</v>
      </c>
      <c r="K81" t="n">
        <v>1</v>
      </c>
      <c r="L81" t="n">
        <v>0</v>
      </c>
      <c r="M81" t="n">
        <v>0</v>
      </c>
      <c r="N81" t="n">
        <v>0</v>
      </c>
      <c r="O81" t="n">
        <v>0</v>
      </c>
      <c r="P81" t="n">
        <v>0</v>
      </c>
      <c r="Q81" t="n">
        <v>0</v>
      </c>
      <c r="R81" t="n">
        <v>0</v>
      </c>
      <c r="S81" t="n">
        <v>1</v>
      </c>
      <c r="T81" t="n">
        <v>2</v>
      </c>
      <c r="U81" t="n">
        <v>1</v>
      </c>
      <c r="V81" s="2" t="inlineStr">
        <is>
          <t>Skogsknipprot</t>
        </is>
      </c>
      <c r="W81">
        <f>HYPERLINK("https://klasma.github.io/Logging_0885/artfynd/A 9745-2023 artfynd.xlsx", "A 9745-2023")</f>
        <v/>
      </c>
      <c r="X81">
        <f>HYPERLINK("https://klasma.github.io/Logging_0885/kartor/A 9745-2023 karta.png", "A 9745-2023")</f>
        <v/>
      </c>
      <c r="Y81">
        <f>HYPERLINK("https://klasma.github.io/Logging_0885/kartor_geotiff/A 9745-2023 georefererad karta.tif", "A 9745-2023")</f>
        <v/>
      </c>
      <c r="AA81">
        <f>HYPERLINK("https://klasma.github.io/Logging_0885/klagomål/A 9745-2023 FSC-klagomål.docx", "A 9745-2023")</f>
        <v/>
      </c>
      <c r="AB81">
        <f>HYPERLINK("https://klasma.github.io/Logging_0885/klagomålsmail/A 9745-2023 FSC-klagomål mail.docx", "A 9745-2023")</f>
        <v/>
      </c>
      <c r="AC81">
        <f>HYPERLINK("https://klasma.github.io/Logging_0885/tillsyn/A 9745-2023 tillsynsbegäran.docx", "A 9745-2023")</f>
        <v/>
      </c>
      <c r="AD81">
        <f>HYPERLINK("https://klasma.github.io/Logging_0885/tillsynsmail/A 9745-2023 tillsynsbegäran mail.docx", "A 9745-2023")</f>
        <v/>
      </c>
    </row>
    <row r="82" ht="15" customHeight="1">
      <c r="A82" t="inlineStr">
        <is>
          <t>A 20878-2024</t>
        </is>
      </c>
      <c r="B82" t="inlineStr">
        <is>
          <t>avverkningsanmälan</t>
        </is>
      </c>
      <c r="C82" t="inlineStr">
        <is>
          <t>Föryngringsavverkning</t>
        </is>
      </c>
      <c r="D82" s="1" t="n">
        <v>45439</v>
      </c>
      <c r="E82" s="1" t="n">
        <v>46263</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HYPERLINK("https://klasma.github.io/Logging_0885/artfynd/A 20878-2024 artfynd.xlsx", "A 20878-2024")</f>
        <v/>
      </c>
      <c r="X82">
        <f>HYPERLINK("https://klasma.github.io/Logging_0885/kartor/A 20878-2024 karta.png", "A 20878-2024")</f>
        <v/>
      </c>
      <c r="Y82">
        <f>HYPERLINK("https://klasma.github.io/Logging_0885/kartor_geotiff/A 20878-2024 georefererad karta.tif", "A 20878-2024")</f>
        <v/>
      </c>
      <c r="AA82">
        <f>HYPERLINK("https://klasma.github.io/Logging_0885/klagomål/A 20878-2024 FSC-klagomål.docx", "A 20878-2024")</f>
        <v/>
      </c>
      <c r="AB82">
        <f>HYPERLINK("https://klasma.github.io/Logging_0885/klagomålsmail/A 20878-2024 FSC-klagomål mail.docx", "A 20878-2024")</f>
        <v/>
      </c>
      <c r="AC82">
        <f>HYPERLINK("https://klasma.github.io/Logging_0885/tillsyn/A 20878-2024 tillsynsbegäran.docx", "A 20878-2024")</f>
        <v/>
      </c>
      <c r="AD82">
        <f>HYPERLINK("https://klasma.github.io/Logging_0885/tillsynsmail/A 20878-2024 tillsynsbegäran mail.docx", "A 20878-2024")</f>
        <v/>
      </c>
    </row>
    <row r="83" ht="15" customHeight="1">
      <c r="A83" t="inlineStr">
        <is>
          <t>A 28782-2025</t>
        </is>
      </c>
      <c r="B83" t="inlineStr">
        <is>
          <t>avverkningsanmälan</t>
        </is>
      </c>
      <c r="C83" t="inlineStr">
        <is>
          <t>Avverkning för att bevara och utveckla /försöksver</t>
        </is>
      </c>
      <c r="D83" s="1" t="n">
        <v>45820</v>
      </c>
      <c r="E83" s="1" t="n">
        <v>46263</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46263</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31720-2022</t>
        </is>
      </c>
      <c r="B85" t="inlineStr">
        <is>
          <t>avverkningsanmälan</t>
        </is>
      </c>
      <c r="C85" t="inlineStr">
        <is>
          <t>Föryngringsavverkning</t>
        </is>
      </c>
      <c r="D85" s="1" t="n">
        <v>44776</v>
      </c>
      <c r="E85" s="1" t="n">
        <v>46263</v>
      </c>
      <c r="F85" t="inlineStr">
        <is>
          <t>KALMAR LÄN</t>
        </is>
      </c>
      <c r="G85" t="inlineStr">
        <is>
          <t>BORGHOLM</t>
        </is>
      </c>
      <c r="H85" t="inlineStr">
        <is>
          <t>Sveaskog</t>
        </is>
      </c>
      <c r="I85" t="n">
        <v>4.5</v>
      </c>
      <c r="J85" t="n">
        <v>1</v>
      </c>
      <c r="K85" t="n">
        <v>1</v>
      </c>
      <c r="L85" t="n">
        <v>0</v>
      </c>
      <c r="M85" t="n">
        <v>0</v>
      </c>
      <c r="N85" t="n">
        <v>0</v>
      </c>
      <c r="O85" t="n">
        <v>0</v>
      </c>
      <c r="P85" t="n">
        <v>0</v>
      </c>
      <c r="Q85" t="n">
        <v>0</v>
      </c>
      <c r="R85" t="n">
        <v>0</v>
      </c>
      <c r="S85" t="n">
        <v>1</v>
      </c>
      <c r="T85" t="n">
        <v>1</v>
      </c>
      <c r="U85" t="n">
        <v>1</v>
      </c>
      <c r="V85" s="2" t="inlineStr">
        <is>
          <t>Tvåblad</t>
        </is>
      </c>
      <c r="W85">
        <f>HYPERLINK("https://klasma.github.io/Logging_0885/artfynd/A 31720-2022 artfynd.xlsx", "A 31720-2022")</f>
        <v/>
      </c>
      <c r="X85">
        <f>HYPERLINK("https://klasma.github.io/Logging_0885/kartor/A 31720-2022 karta.png", "A 31720-2022")</f>
        <v/>
      </c>
      <c r="Y85">
        <f>HYPERLINK("https://klasma.github.io/Logging_0885/kartor_geotiff/A 31720-2022 georefererad karta.tif", "A 31720-2022")</f>
        <v/>
      </c>
      <c r="AA85">
        <f>HYPERLINK("https://klasma.github.io/Logging_0885/klagomål/A 31720-2022 FSC-klagomål.docx", "A 31720-2022")</f>
        <v/>
      </c>
      <c r="AB85">
        <f>HYPERLINK("https://klasma.github.io/Logging_0885/klagomålsmail/A 31720-2022 FSC-klagomål mail.docx", "A 31720-2022")</f>
        <v/>
      </c>
      <c r="AC85">
        <f>HYPERLINK("https://klasma.github.io/Logging_0885/tillsyn/A 31720-2022 tillsynsbegäran.docx", "A 31720-2022")</f>
        <v/>
      </c>
      <c r="AD85">
        <f>HYPERLINK("https://klasma.github.io/Logging_0885/tillsynsmail/A 31720-2022 tillsynsbegäran mail.docx", "A 31720-2022")</f>
        <v/>
      </c>
    </row>
    <row r="86" ht="15" customHeight="1">
      <c r="A86" t="inlineStr">
        <is>
          <t>A 24701-2023</t>
        </is>
      </c>
      <c r="B86" t="inlineStr">
        <is>
          <t>avverkningsanmälan</t>
        </is>
      </c>
      <c r="C86" t="inlineStr">
        <is>
          <t>Föryngringsavverkning</t>
        </is>
      </c>
      <c r="D86" s="1" t="n">
        <v>45084</v>
      </c>
      <c r="E86" s="1" t="n">
        <v>46263</v>
      </c>
      <c r="F86" t="inlineStr">
        <is>
          <t>KALMAR LÄN</t>
        </is>
      </c>
      <c r="G86" t="inlineStr">
        <is>
          <t>BORGHOLM</t>
        </is>
      </c>
      <c r="I86" t="n">
        <v>3</v>
      </c>
      <c r="J86" t="n">
        <v>0</v>
      </c>
      <c r="K86" t="n">
        <v>0</v>
      </c>
      <c r="L86" t="n">
        <v>0</v>
      </c>
      <c r="M86" t="n">
        <v>0</v>
      </c>
      <c r="N86" t="n">
        <v>1</v>
      </c>
      <c r="O86" t="n">
        <v>0</v>
      </c>
      <c r="P86" t="n">
        <v>0</v>
      </c>
      <c r="Q86" t="n">
        <v>1</v>
      </c>
      <c r="R86" t="n">
        <v>1</v>
      </c>
      <c r="S86" t="n">
        <v>1</v>
      </c>
      <c r="T86" t="n">
        <v>3</v>
      </c>
      <c r="U86" t="n">
        <v>0</v>
      </c>
      <c r="V86" s="2" t="inlineStr">
        <is>
          <t>Ask</t>
        </is>
      </c>
      <c r="W86">
        <f>HYPERLINK("https://klasma.github.io/Logging_0885/artfynd/A 24701-2023 artfynd.xlsx", "A 24701-2023")</f>
        <v/>
      </c>
      <c r="X86">
        <f>HYPERLINK("https://klasma.github.io/Logging_0885/kartor/A 24701-2023 karta.png", "A 24701-2023")</f>
        <v/>
      </c>
      <c r="Y86">
        <f>HYPERLINK("https://klasma.github.io/Logging_0885/kartor_geotiff/A 24701-2023 georefererad karta.tif", "A 24701-2023")</f>
        <v/>
      </c>
      <c r="AA86">
        <f>HYPERLINK("https://klasma.github.io/Logging_0885/klagomål/A 24701-2023 FSC-klagomål.docx", "A 24701-2023")</f>
        <v/>
      </c>
      <c r="AB86">
        <f>HYPERLINK("https://klasma.github.io/Logging_0885/klagomålsmail/A 24701-2023 FSC-klagomål mail.docx", "A 24701-2023")</f>
        <v/>
      </c>
      <c r="AC86">
        <f>HYPERLINK("https://klasma.github.io/Logging_0885/tillsyn/A 24701-2023 tillsynsbegäran.docx", "A 24701-2023")</f>
        <v/>
      </c>
      <c r="AD86">
        <f>HYPERLINK("https://klasma.github.io/Logging_0885/tillsynsmail/A 24701-2023 tillsynsbegäran mail.docx", "A 24701-2023")</f>
        <v/>
      </c>
    </row>
    <row r="87" ht="15" customHeight="1">
      <c r="A87" t="inlineStr">
        <is>
          <t>A 3302-2026</t>
        </is>
      </c>
      <c r="B87" t="inlineStr">
        <is>
          <t>avverkningsanmälan</t>
        </is>
      </c>
      <c r="C87" t="inlineStr">
        <is>
          <t>Avverkning för annat ändamål</t>
        </is>
      </c>
      <c r="D87" s="1" t="n">
        <v>46041</v>
      </c>
      <c r="E87" s="1" t="n">
        <v>46263</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7481-2026</t>
        </is>
      </c>
      <c r="B88" t="inlineStr">
        <is>
          <t>avverkningsanmälan</t>
        </is>
      </c>
      <c r="C88" t="inlineStr">
        <is>
          <t>Föryngringsavverkning</t>
        </is>
      </c>
      <c r="D88" s="1" t="n">
        <v>46059</v>
      </c>
      <c r="E88" s="1" t="n">
        <v>46263</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46263</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24704-2023</t>
        </is>
      </c>
      <c r="B90" t="inlineStr">
        <is>
          <t>avverkningsanmälan</t>
        </is>
      </c>
      <c r="C90" t="inlineStr">
        <is>
          <t>Föryngringsavverkning</t>
        </is>
      </c>
      <c r="D90" s="1" t="n">
        <v>45084</v>
      </c>
      <c r="E90" s="1" t="n">
        <v>46263</v>
      </c>
      <c r="F90" t="inlineStr">
        <is>
          <t>KALMAR LÄN</t>
        </is>
      </c>
      <c r="G90" t="inlineStr">
        <is>
          <t>BORGHOLM</t>
        </is>
      </c>
      <c r="I90" t="n">
        <v>3.5</v>
      </c>
      <c r="J90" t="n">
        <v>0</v>
      </c>
      <c r="K90" t="n">
        <v>0</v>
      </c>
      <c r="L90" t="n">
        <v>0</v>
      </c>
      <c r="M90" t="n">
        <v>0</v>
      </c>
      <c r="N90" t="n">
        <v>1</v>
      </c>
      <c r="O90" t="n">
        <v>0</v>
      </c>
      <c r="P90" t="n">
        <v>0</v>
      </c>
      <c r="Q90" t="n">
        <v>1</v>
      </c>
      <c r="R90" t="n">
        <v>1</v>
      </c>
      <c r="S90" t="n">
        <v>1</v>
      </c>
      <c r="T90" t="n">
        <v>2</v>
      </c>
      <c r="U90" t="n">
        <v>0</v>
      </c>
      <c r="V90" s="2" t="inlineStr">
        <is>
          <t>Ask</t>
        </is>
      </c>
      <c r="W90">
        <f>HYPERLINK("https://klasma.github.io/Logging_0885/artfynd/A 24704-2023 artfynd.xlsx", "A 24704-2023")</f>
        <v/>
      </c>
      <c r="X90">
        <f>HYPERLINK("https://klasma.github.io/Logging_0885/kartor/A 24704-2023 karta.png", "A 24704-2023")</f>
        <v/>
      </c>
      <c r="Y90">
        <f>HYPERLINK("https://klasma.github.io/Logging_0885/kartor_geotiff/A 24704-2023 georefererad karta.tif", "A 24704-2023")</f>
        <v/>
      </c>
      <c r="AA90">
        <f>HYPERLINK("https://klasma.github.io/Logging_0885/klagomål/A 24704-2023 FSC-klagomål.docx", "A 24704-2023")</f>
        <v/>
      </c>
      <c r="AB90">
        <f>HYPERLINK("https://klasma.github.io/Logging_0885/klagomålsmail/A 24704-2023 FSC-klagomål mail.docx", "A 24704-2023")</f>
        <v/>
      </c>
      <c r="AC90">
        <f>HYPERLINK("https://klasma.github.io/Logging_0885/tillsyn/A 24704-2023 tillsynsbegäran.docx", "A 24704-2023")</f>
        <v/>
      </c>
      <c r="AD90">
        <f>HYPERLINK("https://klasma.github.io/Logging_0885/tillsynsmail/A 24704-2023 tillsynsbegäran mail.docx", "A 24704-2023")</f>
        <v/>
      </c>
    </row>
    <row r="91" ht="15" customHeight="1">
      <c r="A91" t="inlineStr">
        <is>
          <t>A 9905-2026</t>
        </is>
      </c>
      <c r="B91" t="inlineStr">
        <is>
          <t>avverkningsanmälan</t>
        </is>
      </c>
      <c r="C91" t="inlineStr">
        <is>
          <t>Föryngringsavverkning</t>
        </is>
      </c>
      <c r="D91" s="1" t="n">
        <v>46073</v>
      </c>
      <c r="E91" s="1" t="n">
        <v>46263</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19867-2024</t>
        </is>
      </c>
      <c r="B92" t="inlineStr">
        <is>
          <t>avverkningsanmälan</t>
        </is>
      </c>
      <c r="C92" t="inlineStr">
        <is>
          <t>Föryngringsavverkning</t>
        </is>
      </c>
      <c r="D92" s="1" t="n">
        <v>45433</v>
      </c>
      <c r="E92" s="1" t="n">
        <v>46263</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63276-2023</t>
        </is>
      </c>
      <c r="B93" t="inlineStr">
        <is>
          <t>avverkningsanmälan</t>
        </is>
      </c>
      <c r="C93" t="inlineStr">
        <is>
          <t>Föryngringsavverkning</t>
        </is>
      </c>
      <c r="D93" s="1" t="n">
        <v>45273</v>
      </c>
      <c r="E93" s="1" t="n">
        <v>46263</v>
      </c>
      <c r="F93" t="inlineStr">
        <is>
          <t>KALMAR LÄN</t>
        </is>
      </c>
      <c r="G93" t="inlineStr">
        <is>
          <t>BORGHOLM</t>
        </is>
      </c>
      <c r="I93" t="n">
        <v>5</v>
      </c>
      <c r="J93" t="n">
        <v>0</v>
      </c>
      <c r="K93" t="n">
        <v>0</v>
      </c>
      <c r="L93" t="n">
        <v>0</v>
      </c>
      <c r="M93" t="n">
        <v>1</v>
      </c>
      <c r="N93" t="n">
        <v>0</v>
      </c>
      <c r="O93" t="n">
        <v>0</v>
      </c>
      <c r="P93" t="n">
        <v>0</v>
      </c>
      <c r="Q93" t="n">
        <v>1</v>
      </c>
      <c r="R93" t="n">
        <v>1</v>
      </c>
      <c r="S93" t="n">
        <v>1</v>
      </c>
      <c r="T93" t="n">
        <v>1</v>
      </c>
      <c r="U93" t="n">
        <v>0</v>
      </c>
      <c r="V93" s="2" t="inlineStr">
        <is>
          <t>Elaphomyces barrioi</t>
        </is>
      </c>
      <c r="W93">
        <f>HYPERLINK("https://klasma.github.io/Logging_0885/artfynd/A 63276-2023 artfynd.xlsx", "A 63276-2023")</f>
        <v/>
      </c>
      <c r="X93">
        <f>HYPERLINK("https://klasma.github.io/Logging_0885/kartor/A 63276-2023 karta.png", "A 63276-2023")</f>
        <v/>
      </c>
      <c r="Y93">
        <f>HYPERLINK("https://klasma.github.io/Logging_0885/kartor_geotiff/A 63276-2023 georefererad karta.tif", "A 63276-2023")</f>
        <v/>
      </c>
      <c r="AA93">
        <f>HYPERLINK("https://klasma.github.io/Logging_0885/klagomål/A 63276-2023 FSC-klagomål.docx", "A 63276-2023")</f>
        <v/>
      </c>
      <c r="AB93">
        <f>HYPERLINK("https://klasma.github.io/Logging_0885/klagomålsmail/A 63276-2023 FSC-klagomål mail.docx", "A 63276-2023")</f>
        <v/>
      </c>
      <c r="AC93">
        <f>HYPERLINK("https://klasma.github.io/Logging_0885/tillsyn/A 63276-2023 tillsynsbegäran.docx", "A 63276-2023")</f>
        <v/>
      </c>
      <c r="AD93">
        <f>HYPERLINK("https://klasma.github.io/Logging_0885/tillsynsmail/A 63276-2023 tillsynsbegäran mail.docx", "A 63276-2023")</f>
        <v/>
      </c>
    </row>
    <row r="94" ht="15" customHeight="1">
      <c r="A94" t="inlineStr">
        <is>
          <t>A 13043-2024</t>
        </is>
      </c>
      <c r="B94" t="inlineStr">
        <is>
          <t>avverkningsanmälan</t>
        </is>
      </c>
      <c r="C94" t="inlineStr">
        <is>
          <t>Föryngringsavverkning</t>
        </is>
      </c>
      <c r="D94" s="1" t="n">
        <v>45385</v>
      </c>
      <c r="E94" s="1" t="n">
        <v>46263</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26840-2026</t>
        </is>
      </c>
      <c r="B95" t="inlineStr">
        <is>
          <t>avverkningsanmälan</t>
        </is>
      </c>
      <c r="C95" t="inlineStr">
        <is>
          <t>Avverkning för att bevara och utveckla /försöksver</t>
        </is>
      </c>
      <c r="D95" s="1" t="n">
        <v>46185</v>
      </c>
      <c r="E95" s="1" t="n">
        <v>46263</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28430-2026</t>
        </is>
      </c>
      <c r="B96" t="inlineStr">
        <is>
          <t>avverkningsanmälan</t>
        </is>
      </c>
      <c r="C96" t="inlineStr">
        <is>
          <t>Avverkning för att bevara och utveckla /försöksver</t>
        </is>
      </c>
      <c r="D96" s="1" t="n">
        <v>46197</v>
      </c>
      <c r="E96" s="1" t="n">
        <v>46263</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28374-2026</t>
        </is>
      </c>
      <c r="B97" t="inlineStr">
        <is>
          <t>avverkningsanmälan</t>
        </is>
      </c>
      <c r="C97" t="inlineStr">
        <is>
          <t>Avverkning för att bevara och utveckla /försöksver</t>
        </is>
      </c>
      <c r="D97" s="1" t="n">
        <v>46196</v>
      </c>
      <c r="E97" s="1" t="n">
        <v>46263</v>
      </c>
      <c r="F97" t="inlineStr">
        <is>
          <t>KALMAR LÄN</t>
        </is>
      </c>
      <c r="G97" t="inlineStr">
        <is>
          <t>BORGHOLM</t>
        </is>
      </c>
      <c r="H97" t="inlineStr">
        <is>
          <t>Sveaskog</t>
        </is>
      </c>
      <c r="I97" t="n">
        <v>2</v>
      </c>
      <c r="J97" t="n">
        <v>0</v>
      </c>
      <c r="K97" t="n">
        <v>0</v>
      </c>
      <c r="L97" t="n">
        <v>0</v>
      </c>
      <c r="M97" t="n">
        <v>1</v>
      </c>
      <c r="N97" t="n">
        <v>0</v>
      </c>
      <c r="O97" t="n">
        <v>0</v>
      </c>
      <c r="P97" t="n">
        <v>0</v>
      </c>
      <c r="Q97" t="n">
        <v>1</v>
      </c>
      <c r="R97" t="n">
        <v>1</v>
      </c>
      <c r="S97" t="n">
        <v>1</v>
      </c>
      <c r="T97" t="n">
        <v>1</v>
      </c>
      <c r="U97" t="n">
        <v>0</v>
      </c>
      <c r="V97" s="2" t="inlineStr">
        <is>
          <t>Purpurmusseron</t>
        </is>
      </c>
      <c r="W97">
        <f>HYPERLINK("https://klasma.github.io/Logging_0885/artfynd/A 28374-2026 artfynd.xlsx", "A 28374-2026")</f>
        <v/>
      </c>
      <c r="X97">
        <f>HYPERLINK("https://klasma.github.io/Logging_0885/kartor/A 28374-2026 karta.png", "A 28374-2026")</f>
        <v/>
      </c>
      <c r="Y97">
        <f>HYPERLINK("https://klasma.github.io/Logging_0885/kartor_geotiff/A 28374-2026 georefererad karta.tif", "A 28374-2026")</f>
        <v/>
      </c>
      <c r="AA97">
        <f>HYPERLINK("https://klasma.github.io/Logging_0885/klagomål/A 28374-2026 FSC-klagomål.docx", "A 28374-2026")</f>
        <v/>
      </c>
      <c r="AB97">
        <f>HYPERLINK("https://klasma.github.io/Logging_0885/klagomålsmail/A 28374-2026 FSC-klagomål mail.docx", "A 28374-2026")</f>
        <v/>
      </c>
      <c r="AC97">
        <f>HYPERLINK("https://klasma.github.io/Logging_0885/tillsyn/A 28374-2026 tillsynsbegäran.docx", "A 28374-2026")</f>
        <v/>
      </c>
      <c r="AD97">
        <f>HYPERLINK("https://klasma.github.io/Logging_0885/tillsynsmail/A 28374-2026 tillsynsbegäran mail.docx", "A 28374-2026")</f>
        <v/>
      </c>
    </row>
    <row r="98" ht="15" customHeight="1">
      <c r="A98" t="inlineStr">
        <is>
          <t>A 33293-2026</t>
        </is>
      </c>
      <c r="B98" t="inlineStr">
        <is>
          <t>avverkningsanmälan</t>
        </is>
      </c>
      <c r="C98" t="inlineStr">
        <is>
          <t>Avverkning för att bevara och utveckla /försöksver</t>
        </is>
      </c>
      <c r="D98" s="1" t="n">
        <v>46246</v>
      </c>
      <c r="E98" s="1" t="n">
        <v>46263</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46263</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46263</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46263</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46263</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46263</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46263</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46263</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46263</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46263</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46263</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46263</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46263</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46263</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46263</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46263</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46263</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22785-2025</t>
        </is>
      </c>
      <c r="B115" t="inlineStr">
        <is>
          <t>avverkningsanmälan</t>
        </is>
      </c>
      <c r="C115" t="inlineStr">
        <is>
          <t>Föryngringsavverkning</t>
        </is>
      </c>
      <c r="D115" s="1" t="n">
        <v>45789</v>
      </c>
      <c r="E115" s="1" t="n">
        <v>46263</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46263</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40339-2023</t>
        </is>
      </c>
      <c r="B117" t="inlineStr">
        <is>
          <t>avverkningsanmälan</t>
        </is>
      </c>
      <c r="C117" t="inlineStr">
        <is>
          <t>Föryngringsavverkning</t>
        </is>
      </c>
      <c r="D117" s="1" t="n">
        <v>45169</v>
      </c>
      <c r="E117" s="1" t="n">
        <v>46263</v>
      </c>
      <c r="F117" t="inlineStr">
        <is>
          <t>KALMAR LÄN</t>
        </is>
      </c>
      <c r="G117" t="inlineStr">
        <is>
          <t>BORGHOLM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46263</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26190-2025</t>
        </is>
      </c>
      <c r="B119" t="inlineStr">
        <is>
          <t>avverkningsanmälan</t>
        </is>
      </c>
      <c r="C119" t="inlineStr">
        <is>
          <t>Föryngringsavverkning</t>
        </is>
      </c>
      <c r="D119" s="1" t="n">
        <v>45805</v>
      </c>
      <c r="E119" s="1" t="n">
        <v>46263</v>
      </c>
      <c r="F119" t="inlineStr">
        <is>
          <t>KALMAR LÄN</t>
        </is>
      </c>
      <c r="G119" t="inlineStr">
        <is>
          <t>BORGHOLM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46263</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4159-2024</t>
        </is>
      </c>
      <c r="B121" t="inlineStr">
        <is>
          <t>avverkningsanmälan</t>
        </is>
      </c>
      <c r="C121" t="inlineStr">
        <is>
          <t>Föryngringsavverkning</t>
        </is>
      </c>
      <c r="D121" s="1" t="n">
        <v>45323</v>
      </c>
      <c r="E121" s="1" t="n">
        <v>46263</v>
      </c>
      <c r="F121" t="inlineStr">
        <is>
          <t>KALMAR LÄN</t>
        </is>
      </c>
      <c r="G121" t="inlineStr">
        <is>
          <t>BORGHOLM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53050-2021</t>
        </is>
      </c>
      <c r="B122" t="inlineStr">
        <is>
          <t>avverkningsanmälan</t>
        </is>
      </c>
      <c r="C122" t="inlineStr">
        <is>
          <t>Föryngringsavverkning</t>
        </is>
      </c>
      <c r="D122" s="1" t="n">
        <v>44467</v>
      </c>
      <c r="E122" s="1" t="n">
        <v>46263</v>
      </c>
      <c r="F122" t="inlineStr">
        <is>
          <t>KALMAR LÄN</t>
        </is>
      </c>
      <c r="G122" t="inlineStr">
        <is>
          <t>BORGHOLM</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36269-2025</t>
        </is>
      </c>
      <c r="B123" t="inlineStr">
        <is>
          <t>avverkningsanmälan</t>
        </is>
      </c>
      <c r="C123" t="inlineStr">
        <is>
          <t>Föryngringsavverkning</t>
        </is>
      </c>
      <c r="D123" s="1" t="n">
        <v>45867</v>
      </c>
      <c r="E123" s="1" t="n">
        <v>46263</v>
      </c>
      <c r="F123" t="inlineStr">
        <is>
          <t>KALMAR LÄN</t>
        </is>
      </c>
      <c r="G123" t="inlineStr">
        <is>
          <t>BORGHOLM</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4165-2023</t>
        </is>
      </c>
      <c r="B124" t="inlineStr">
        <is>
          <t>avverkningsanmälan</t>
        </is>
      </c>
      <c r="C124" t="inlineStr">
        <is>
          <t>Föryngringsavverkning</t>
        </is>
      </c>
      <c r="D124" s="1" t="n">
        <v>44953</v>
      </c>
      <c r="E124" s="1" t="n">
        <v>46263</v>
      </c>
      <c r="F124" t="inlineStr">
        <is>
          <t>KALMAR LÄN</t>
        </is>
      </c>
      <c r="G124" t="inlineStr">
        <is>
          <t>BORGHOLM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46263</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64303-2023</t>
        </is>
      </c>
      <c r="B126" t="inlineStr">
        <is>
          <t>avverkningsanmälan</t>
        </is>
      </c>
      <c r="C126" t="inlineStr">
        <is>
          <t>Avverkning för annat ändamål</t>
        </is>
      </c>
      <c r="D126" s="1" t="n">
        <v>45280</v>
      </c>
      <c r="E126" s="1" t="n">
        <v>46263</v>
      </c>
      <c r="F126" t="inlineStr">
        <is>
          <t>KALMAR LÄN</t>
        </is>
      </c>
      <c r="G126" t="inlineStr">
        <is>
          <t>BORGHOLM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43603-2024</t>
        </is>
      </c>
      <c r="B127" t="inlineStr">
        <is>
          <t>avverkningsanmälan</t>
        </is>
      </c>
      <c r="C127" t="inlineStr">
        <is>
          <t>Föryngringsavverkning</t>
        </is>
      </c>
      <c r="D127" s="1" t="n">
        <v>45569</v>
      </c>
      <c r="E127" s="1" t="n">
        <v>46263</v>
      </c>
      <c r="F127" t="inlineStr">
        <is>
          <t>KALMAR LÄN</t>
        </is>
      </c>
      <c r="G127" t="inlineStr">
        <is>
          <t>BORGHOLM</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63075-2023</t>
        </is>
      </c>
      <c r="B128" t="inlineStr">
        <is>
          <t>avverkningsanmälan</t>
        </is>
      </c>
      <c r="C128" t="inlineStr">
        <is>
          <t>Avverkning för annat ändamål</t>
        </is>
      </c>
      <c r="D128" s="1" t="n">
        <v>45273</v>
      </c>
      <c r="E128" s="1" t="n">
        <v>46263</v>
      </c>
      <c r="F128" t="inlineStr">
        <is>
          <t>KALMAR LÄN</t>
        </is>
      </c>
      <c r="G128" t="inlineStr">
        <is>
          <t>BORGHOLM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9259-2026</t>
        </is>
      </c>
      <c r="B129" t="inlineStr">
        <is>
          <t>avverkningsanmälan</t>
        </is>
      </c>
      <c r="C129" t="inlineStr">
        <is>
          <t>Föryngringsavverkning</t>
        </is>
      </c>
      <c r="D129" s="1" t="n">
        <v>46070</v>
      </c>
      <c r="E129" s="1" t="n">
        <v>46263</v>
      </c>
      <c r="F129" t="inlineStr">
        <is>
          <t>KALMAR LÄN</t>
        </is>
      </c>
      <c r="G129" t="inlineStr">
        <is>
          <t>BORGHOLM</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1757-2025</t>
        </is>
      </c>
      <c r="B130" t="inlineStr">
        <is>
          <t>avverkningsanmälan</t>
        </is>
      </c>
      <c r="C130" t="inlineStr">
        <is>
          <t>Föryngringsavverkning</t>
        </is>
      </c>
      <c r="D130" s="1" t="n">
        <v>45671</v>
      </c>
      <c r="E130" s="1" t="n">
        <v>46263</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34780-2022</t>
        </is>
      </c>
      <c r="B131" t="inlineStr">
        <is>
          <t>avverkningsanmälan</t>
        </is>
      </c>
      <c r="C131" t="inlineStr">
        <is>
          <t>Föryngringsavverkning</t>
        </is>
      </c>
      <c r="D131" s="1" t="n">
        <v>44795</v>
      </c>
      <c r="E131" s="1" t="n">
        <v>46263</v>
      </c>
      <c r="F131" t="inlineStr">
        <is>
          <t>KALMAR LÄN</t>
        </is>
      </c>
      <c r="G131" t="inlineStr">
        <is>
          <t>BORGHOLM</t>
        </is>
      </c>
      <c r="H131" t="inlineStr">
        <is>
          <t>Sveaskog</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55367-2024</t>
        </is>
      </c>
      <c r="B132" t="inlineStr">
        <is>
          <t>avverkningsanmälan</t>
        </is>
      </c>
      <c r="C132" t="inlineStr">
        <is>
          <t>Föryngringsavverkning</t>
        </is>
      </c>
      <c r="D132" s="1" t="n">
        <v>45621</v>
      </c>
      <c r="E132" s="1" t="n">
        <v>46263</v>
      </c>
      <c r="F132" t="inlineStr">
        <is>
          <t>KALMAR LÄN</t>
        </is>
      </c>
      <c r="G132" t="inlineStr">
        <is>
          <t>BORGHOLM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20287-2025</t>
        </is>
      </c>
      <c r="B133" t="inlineStr">
        <is>
          <t>avverkningsanmälan</t>
        </is>
      </c>
      <c r="C133" t="inlineStr">
        <is>
          <t>Avverkning för att bevara och utveckla /försöksver</t>
        </is>
      </c>
      <c r="D133" s="1" t="n">
        <v>45774</v>
      </c>
      <c r="E133" s="1" t="n">
        <v>46263</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9076-2025</t>
        </is>
      </c>
      <c r="B134" t="inlineStr">
        <is>
          <t>avverkningsanmälan</t>
        </is>
      </c>
      <c r="C134" t="inlineStr">
        <is>
          <t>Föryngringsavverkning</t>
        </is>
      </c>
      <c r="D134" s="1" t="n">
        <v>45713</v>
      </c>
      <c r="E134" s="1" t="n">
        <v>46263</v>
      </c>
      <c r="F134" t="inlineStr">
        <is>
          <t>KALMAR LÄN</t>
        </is>
      </c>
      <c r="G134" t="inlineStr">
        <is>
          <t>BORGHOLM</t>
        </is>
      </c>
      <c r="H134" t="inlineStr">
        <is>
          <t>Sveaskog</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15272-2026</t>
        </is>
      </c>
      <c r="B135" t="inlineStr">
        <is>
          <t>avverkningsanmälan</t>
        </is>
      </c>
      <c r="C135" t="inlineStr">
        <is>
          <t>Avverkning för att bevara och utveckla /försöksver</t>
        </is>
      </c>
      <c r="D135" s="1" t="n">
        <v>46105</v>
      </c>
      <c r="E135" s="1" t="n">
        <v>46263</v>
      </c>
      <c r="F135" t="inlineStr">
        <is>
          <t>KALMAR LÄN</t>
        </is>
      </c>
      <c r="G135" t="inlineStr">
        <is>
          <t>BORGHOLM</t>
        </is>
      </c>
      <c r="H135" t="inlineStr">
        <is>
          <t>Sveaskog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15279-2026</t>
        </is>
      </c>
      <c r="B136" t="inlineStr">
        <is>
          <t>avverkningsanmälan</t>
        </is>
      </c>
      <c r="C136" t="inlineStr">
        <is>
          <t>Avverkning för att bevara och utveckla /försöksver</t>
        </is>
      </c>
      <c r="D136" s="1" t="n">
        <v>46105</v>
      </c>
      <c r="E136" s="1" t="n">
        <v>46263</v>
      </c>
      <c r="F136" t="inlineStr">
        <is>
          <t>KALMAR LÄN</t>
        </is>
      </c>
      <c r="G136" t="inlineStr">
        <is>
          <t>BORGHOLM</t>
        </is>
      </c>
      <c r="H136" t="inlineStr">
        <is>
          <t>Sveaskog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15264-2026</t>
        </is>
      </c>
      <c r="B137" t="inlineStr">
        <is>
          <t>avverkningsanmälan</t>
        </is>
      </c>
      <c r="C137" t="inlineStr">
        <is>
          <t>Avverkning för att bevara och utveckla /försöksver</t>
        </is>
      </c>
      <c r="D137" s="1" t="n">
        <v>46105</v>
      </c>
      <c r="E137" s="1" t="n">
        <v>46263</v>
      </c>
      <c r="F137" t="inlineStr">
        <is>
          <t>KALMAR LÄN</t>
        </is>
      </c>
      <c r="G137" t="inlineStr">
        <is>
          <t>BORGHOLM</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32919-2023</t>
        </is>
      </c>
      <c r="B138" t="inlineStr">
        <is>
          <t>avverkningsanmälan</t>
        </is>
      </c>
      <c r="C138" t="inlineStr">
        <is>
          <t>Föryngringsavverkning</t>
        </is>
      </c>
      <c r="D138" s="1" t="n">
        <v>45125</v>
      </c>
      <c r="E138" s="1" t="n">
        <v>46263</v>
      </c>
      <c r="F138" t="inlineStr">
        <is>
          <t>KALMAR LÄN</t>
        </is>
      </c>
      <c r="G138" t="inlineStr">
        <is>
          <t>BORGHOLM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34951-2022</t>
        </is>
      </c>
      <c r="B139" t="inlineStr">
        <is>
          <t>avverkningsanmälan</t>
        </is>
      </c>
      <c r="C139" t="inlineStr">
        <is>
          <t>Avverkning för att bevara och utveckla /försöksver</t>
        </is>
      </c>
      <c r="D139" s="1" t="n">
        <v>44796</v>
      </c>
      <c r="E139" s="1" t="n">
        <v>46263</v>
      </c>
      <c r="F139" t="inlineStr">
        <is>
          <t>KALMAR LÄN</t>
        </is>
      </c>
      <c r="G139" t="inlineStr">
        <is>
          <t>BORGHOLM</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5175-2024</t>
        </is>
      </c>
      <c r="B140" t="inlineStr">
        <is>
          <t>avverkningsanmälan</t>
        </is>
      </c>
      <c r="C140" t="inlineStr">
        <is>
          <t>Föryngringsavverkning</t>
        </is>
      </c>
      <c r="D140" s="1" t="n">
        <v>45330</v>
      </c>
      <c r="E140" s="1" t="n">
        <v>46263</v>
      </c>
      <c r="F140" t="inlineStr">
        <is>
          <t>KALMAR LÄN</t>
        </is>
      </c>
      <c r="G140" t="inlineStr">
        <is>
          <t>BORGHOLM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3878-2023</t>
        </is>
      </c>
      <c r="B141" t="inlineStr">
        <is>
          <t>avverkningsanmälan</t>
        </is>
      </c>
      <c r="C141" t="inlineStr">
        <is>
          <t>Föryngringsavverkning</t>
        </is>
      </c>
      <c r="D141" s="1" t="n">
        <v>44951</v>
      </c>
      <c r="E141" s="1" t="n">
        <v>46263</v>
      </c>
      <c r="F141" t="inlineStr">
        <is>
          <t>KALMAR LÄN</t>
        </is>
      </c>
      <c r="G141" t="inlineStr">
        <is>
          <t>BORGHOLM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13383-2023</t>
        </is>
      </c>
      <c r="B142" t="inlineStr">
        <is>
          <t>avverkningsanmälan</t>
        </is>
      </c>
      <c r="C142" t="inlineStr">
        <is>
          <t>Föryngringsavverkning</t>
        </is>
      </c>
      <c r="D142" s="1" t="n">
        <v>45005</v>
      </c>
      <c r="E142" s="1" t="n">
        <v>46263</v>
      </c>
      <c r="F142" t="inlineStr">
        <is>
          <t>KALMAR LÄN</t>
        </is>
      </c>
      <c r="G142" t="inlineStr">
        <is>
          <t>BORGHOLM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12937-2022</t>
        </is>
      </c>
      <c r="B143" t="inlineStr">
        <is>
          <t>avverkningsanmälan</t>
        </is>
      </c>
      <c r="C143" t="inlineStr">
        <is>
          <t>Föryngringsavverkning</t>
        </is>
      </c>
      <c r="D143" s="1" t="n">
        <v>44642</v>
      </c>
      <c r="E143" s="1" t="n">
        <v>46263</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61438-2023</t>
        </is>
      </c>
      <c r="B144" t="inlineStr">
        <is>
          <t>avverkningsanmälan</t>
        </is>
      </c>
      <c r="C144" t="inlineStr">
        <is>
          <t>Avverkning för annat ändamål</t>
        </is>
      </c>
      <c r="D144" s="1" t="n">
        <v>45264</v>
      </c>
      <c r="E144" s="1" t="n">
        <v>46263</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13041-2024</t>
        </is>
      </c>
      <c r="B145" t="inlineStr">
        <is>
          <t>avverkningsanmälan</t>
        </is>
      </c>
      <c r="C145" t="inlineStr">
        <is>
          <t>Föryngringsavverkning</t>
        </is>
      </c>
      <c r="D145" s="1" t="n">
        <v>45385</v>
      </c>
      <c r="E145" s="1" t="n">
        <v>46263</v>
      </c>
      <c r="F145" t="inlineStr">
        <is>
          <t>KALMAR LÄN</t>
        </is>
      </c>
      <c r="G145" t="inlineStr">
        <is>
          <t>BORGHOLM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1614-2025</t>
        </is>
      </c>
      <c r="B146" t="inlineStr">
        <is>
          <t>avverkningsanmälan</t>
        </is>
      </c>
      <c r="C146" t="inlineStr">
        <is>
          <t>Föryngringsavverkning</t>
        </is>
      </c>
      <c r="D146" s="1" t="n">
        <v>45670</v>
      </c>
      <c r="E146" s="1" t="n">
        <v>46263</v>
      </c>
      <c r="F146" t="inlineStr">
        <is>
          <t>KALMAR LÄN</t>
        </is>
      </c>
      <c r="G146" t="inlineStr">
        <is>
          <t>BORGHOLM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9050-2025</t>
        </is>
      </c>
      <c r="B147" t="inlineStr">
        <is>
          <t>avverkningsanmälan</t>
        </is>
      </c>
      <c r="C147" t="inlineStr">
        <is>
          <t>Avverkning för att bevara och utveckla /försöksver</t>
        </is>
      </c>
      <c r="D147" s="1" t="n">
        <v>45713</v>
      </c>
      <c r="E147" s="1" t="n">
        <v>46263</v>
      </c>
      <c r="F147" t="inlineStr">
        <is>
          <t>KALMAR LÄN</t>
        </is>
      </c>
      <c r="G147" t="inlineStr">
        <is>
          <t>BORGHOLM</t>
        </is>
      </c>
      <c r="H147" t="inlineStr">
        <is>
          <t>Sveaskog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27357-2025</t>
        </is>
      </c>
      <c r="B148" t="inlineStr">
        <is>
          <t>avverkningsanmälan</t>
        </is>
      </c>
      <c r="C148" t="inlineStr">
        <is>
          <t>Avverkning för att bevara och utveckla /försöksver</t>
        </is>
      </c>
      <c r="D148" s="1" t="n">
        <v>45812</v>
      </c>
      <c r="E148" s="1" t="n">
        <v>46263</v>
      </c>
      <c r="F148" t="inlineStr">
        <is>
          <t>KALMAR LÄN</t>
        </is>
      </c>
      <c r="G148" t="inlineStr">
        <is>
          <t>BORGHOLM</t>
        </is>
      </c>
      <c r="H148" t="inlineStr">
        <is>
          <t>Sveaskog</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7669-2024</t>
        </is>
      </c>
      <c r="B149" t="inlineStr">
        <is>
          <t>avverkningsanmälan</t>
        </is>
      </c>
      <c r="C149" t="inlineStr">
        <is>
          <t>Föryngringsavverkning</t>
        </is>
      </c>
      <c r="D149" s="1" t="n">
        <v>45348</v>
      </c>
      <c r="E149" s="1" t="n">
        <v>46263</v>
      </c>
      <c r="F149" t="inlineStr">
        <is>
          <t>KALMAR LÄN</t>
        </is>
      </c>
      <c r="G149" t="inlineStr">
        <is>
          <t>BORGHOLM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24338-2026</t>
        </is>
      </c>
      <c r="B150" t="inlineStr">
        <is>
          <t>avverkningsanmälan</t>
        </is>
      </c>
      <c r="C150" t="inlineStr">
        <is>
          <t>Avverkning för att bevara och utveckla /försöksver</t>
        </is>
      </c>
      <c r="D150" s="1" t="n">
        <v>46169</v>
      </c>
      <c r="E150" s="1" t="n">
        <v>46263</v>
      </c>
      <c r="F150" t="inlineStr">
        <is>
          <t>KALMAR LÄN</t>
        </is>
      </c>
      <c r="G150" t="inlineStr">
        <is>
          <t>BORGHOLM</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24345-2026</t>
        </is>
      </c>
      <c r="B151" t="inlineStr">
        <is>
          <t>avverkningsanmälan</t>
        </is>
      </c>
      <c r="C151" t="inlineStr">
        <is>
          <t>Avverkning för att bevara och utveckla /försöksver</t>
        </is>
      </c>
      <c r="D151" s="1" t="n">
        <v>46169</v>
      </c>
      <c r="E151" s="1" t="n">
        <v>46263</v>
      </c>
      <c r="F151" t="inlineStr">
        <is>
          <t>KALMAR LÄN</t>
        </is>
      </c>
      <c r="G151" t="inlineStr">
        <is>
          <t>BORGHOLM</t>
        </is>
      </c>
      <c r="H151" t="inlineStr">
        <is>
          <t>Sveaskog</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24323-2026</t>
        </is>
      </c>
      <c r="B152" t="inlineStr">
        <is>
          <t>avverkningsanmälan</t>
        </is>
      </c>
      <c r="C152" t="inlineStr">
        <is>
          <t>Föryngringsavverkning</t>
        </is>
      </c>
      <c r="D152" s="1" t="n">
        <v>46169</v>
      </c>
      <c r="E152" s="1" t="n">
        <v>46263</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28380-2026</t>
        </is>
      </c>
      <c r="B153" t="inlineStr">
        <is>
          <t>avverkningsanmälan</t>
        </is>
      </c>
      <c r="C153" t="inlineStr">
        <is>
          <t>Avverkning för att bevara och utveckla /försöksver</t>
        </is>
      </c>
      <c r="D153" s="1" t="n">
        <v>46196</v>
      </c>
      <c r="E153" s="1" t="n">
        <v>46263</v>
      </c>
      <c r="F153" t="inlineStr">
        <is>
          <t>KALMAR LÄN</t>
        </is>
      </c>
      <c r="G153" t="inlineStr">
        <is>
          <t>BORGHOLM</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28381-2026</t>
        </is>
      </c>
      <c r="B154" t="inlineStr">
        <is>
          <t>avverkningsanmälan</t>
        </is>
      </c>
      <c r="C154" t="inlineStr">
        <is>
          <t>Avverkning för att bevara och utveckla /försöksver</t>
        </is>
      </c>
      <c r="D154" s="1" t="n">
        <v>46196</v>
      </c>
      <c r="E154" s="1" t="n">
        <v>46263</v>
      </c>
      <c r="F154" t="inlineStr">
        <is>
          <t>KALMAR LÄN</t>
        </is>
      </c>
      <c r="G154" t="inlineStr">
        <is>
          <t>BORGHOLM</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28411-2026</t>
        </is>
      </c>
      <c r="B155" t="inlineStr">
        <is>
          <t>avverkningsanmälan</t>
        </is>
      </c>
      <c r="C155" t="inlineStr">
        <is>
          <t>Avverkning för att bevara och utveckla /försöksver</t>
        </is>
      </c>
      <c r="D155" s="1" t="n">
        <v>46197</v>
      </c>
      <c r="E155" s="1" t="n">
        <v>46263</v>
      </c>
      <c r="F155" t="inlineStr">
        <is>
          <t>KALMAR LÄN</t>
        </is>
      </c>
      <c r="G155" t="inlineStr">
        <is>
          <t>BORGHOLM</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29413-2026</t>
        </is>
      </c>
      <c r="B156" t="inlineStr">
        <is>
          <t>avverkningsanmälan</t>
        </is>
      </c>
      <c r="C156" t="inlineStr">
        <is>
          <t>Avverkning för att bevara och utveckla /försöksver</t>
        </is>
      </c>
      <c r="D156" s="1" t="n">
        <v>46203</v>
      </c>
      <c r="E156" s="1" t="n">
        <v>46263</v>
      </c>
      <c r="F156" t="inlineStr">
        <is>
          <t>KALMAR LÄN</t>
        </is>
      </c>
      <c r="G156" t="inlineStr">
        <is>
          <t>BORGHOLM</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29414-2026</t>
        </is>
      </c>
      <c r="B157" t="inlineStr">
        <is>
          <t>avverkningsanmälan</t>
        </is>
      </c>
      <c r="C157" t="inlineStr">
        <is>
          <t>Avverkning för att bevara och utveckla /försöksver</t>
        </is>
      </c>
      <c r="D157" s="1" t="n">
        <v>46203</v>
      </c>
      <c r="E157" s="1" t="n">
        <v>46263</v>
      </c>
      <c r="F157" t="inlineStr">
        <is>
          <t>KALMAR LÄN</t>
        </is>
      </c>
      <c r="G157" t="inlineStr">
        <is>
          <t>BORGHOLM</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29431-2026</t>
        </is>
      </c>
      <c r="B158" t="inlineStr">
        <is>
          <t>avverkningsanmälan</t>
        </is>
      </c>
      <c r="C158" t="inlineStr">
        <is>
          <t>Avverkning för att bevara och utveckla /försöksver</t>
        </is>
      </c>
      <c r="D158" s="1" t="n">
        <v>46203</v>
      </c>
      <c r="E158" s="1" t="n">
        <v>46263</v>
      </c>
      <c r="F158" t="inlineStr">
        <is>
          <t>KALMAR LÄN</t>
        </is>
      </c>
      <c r="G158" t="inlineStr">
        <is>
          <t>BORGHOLM</t>
        </is>
      </c>
      <c r="H158" t="inlineStr">
        <is>
          <t>Sveaskog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29410-2026</t>
        </is>
      </c>
      <c r="B159" t="inlineStr">
        <is>
          <t>avverkningsanmälan</t>
        </is>
      </c>
      <c r="C159" t="inlineStr">
        <is>
          <t>Avverkning för att bevara och utveckla /försöksver</t>
        </is>
      </c>
      <c r="D159" s="1" t="n">
        <v>46203</v>
      </c>
      <c r="E159" s="1" t="n">
        <v>46263</v>
      </c>
      <c r="F159" t="inlineStr">
        <is>
          <t>KALMAR LÄN</t>
        </is>
      </c>
      <c r="G159" t="inlineStr">
        <is>
          <t>BORGHOLM</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46263</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46263</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46263</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46263</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46263</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46263</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46263</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46263</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1557-2026</t>
        </is>
      </c>
      <c r="B168" t="inlineStr">
        <is>
          <t>samrådsanmälan</t>
        </is>
      </c>
      <c r="C168" t="inlineStr">
        <is>
          <t>Annan skogsbruksåtgärd</t>
        </is>
      </c>
      <c r="D168" s="1" t="n">
        <v>46169</v>
      </c>
      <c r="E168" s="1" t="n">
        <v>46263</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46263</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1806-2026</t>
        </is>
      </c>
      <c r="B170" t="inlineStr">
        <is>
          <t>samrådsanmälan</t>
        </is>
      </c>
      <c r="C170" t="inlineStr">
        <is>
          <t>Annan skogsbruksåtgärd</t>
        </is>
      </c>
      <c r="D170" s="1" t="n">
        <v>46196</v>
      </c>
      <c r="E170" s="1" t="n">
        <v>46263</v>
      </c>
      <c r="F170" t="inlineStr">
        <is>
          <t>KALMAR LÄN</t>
        </is>
      </c>
      <c r="G170" t="inlineStr">
        <is>
          <t>BORGHOLM</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1807-2026</t>
        </is>
      </c>
      <c r="B171" t="inlineStr">
        <is>
          <t>samrådsanmälan</t>
        </is>
      </c>
      <c r="C171" t="inlineStr">
        <is>
          <t>Annan skogsbruksåtgärd</t>
        </is>
      </c>
      <c r="D171" s="1" t="n">
        <v>46196</v>
      </c>
      <c r="E171" s="1" t="n">
        <v>46263</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46263</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46263</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46263</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46263</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2026-08-29T01:55:20Z</dcterms:created>
  <dcterms:modified xmlns:dcterms="http://purl.org/dc/terms/" xmlns:xsi="http://www.w3.org/2001/XMLSchema-instance" xsi:type="dcterms:W3CDTF">2026-08-29T01:55:21Z</dcterms:modified>
</cp:coreProperties>
</file>