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45894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45894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45894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45894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45894</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45894</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32178-2022</t>
        </is>
      </c>
      <c r="B8" s="1" t="n">
        <v>44781</v>
      </c>
      <c r="C8" s="1" t="n">
        <v>45894</v>
      </c>
      <c r="D8" t="inlineStr">
        <is>
          <t>KALMAR LÄN</t>
        </is>
      </c>
      <c r="E8" t="inlineStr">
        <is>
          <t>BORGHOLM</t>
        </is>
      </c>
      <c r="F8" t="inlineStr">
        <is>
          <t>Sveaskog</t>
        </is>
      </c>
      <c r="G8" t="n">
        <v>3.8</v>
      </c>
      <c r="H8" t="n">
        <v>1</v>
      </c>
      <c r="I8" t="n">
        <v>2</v>
      </c>
      <c r="J8" t="n">
        <v>2</v>
      </c>
      <c r="K8" t="n">
        <v>0</v>
      </c>
      <c r="L8" t="n">
        <v>0</v>
      </c>
      <c r="M8" t="n">
        <v>2</v>
      </c>
      <c r="N8" t="n">
        <v>0</v>
      </c>
      <c r="O8" t="n">
        <v>4</v>
      </c>
      <c r="P8" t="n">
        <v>2</v>
      </c>
      <c r="Q8" t="n">
        <v>6</v>
      </c>
      <c r="R8" s="2" t="inlineStr">
        <is>
          <t>Järnek
Skogsalm
Fyrflikig jordstjärna
Grönsångare
Kalktallört
Kamjordstjärna</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57656-2020</t>
        </is>
      </c>
      <c r="B9" s="1" t="n">
        <v>44140</v>
      </c>
      <c r="C9" s="1" t="n">
        <v>45894</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34948-2022</t>
        </is>
      </c>
      <c r="B10" s="1" t="n">
        <v>44796</v>
      </c>
      <c r="C10" s="1" t="n">
        <v>45894</v>
      </c>
      <c r="D10" t="inlineStr">
        <is>
          <t>KALMAR LÄN</t>
        </is>
      </c>
      <c r="E10" t="inlineStr">
        <is>
          <t>BORGHOLM</t>
        </is>
      </c>
      <c r="F10" t="inlineStr">
        <is>
          <t>Sveaskog</t>
        </is>
      </c>
      <c r="G10" t="n">
        <v>2.8</v>
      </c>
      <c r="H10" t="n">
        <v>1</v>
      </c>
      <c r="I10" t="n">
        <v>1</v>
      </c>
      <c r="J10" t="n">
        <v>2</v>
      </c>
      <c r="K10" t="n">
        <v>0</v>
      </c>
      <c r="L10" t="n">
        <v>1</v>
      </c>
      <c r="M10" t="n">
        <v>0</v>
      </c>
      <c r="N10" t="n">
        <v>0</v>
      </c>
      <c r="O10" t="n">
        <v>3</v>
      </c>
      <c r="P10" t="n">
        <v>1</v>
      </c>
      <c r="Q10" t="n">
        <v>5</v>
      </c>
      <c r="R10" s="2" t="inlineStr">
        <is>
          <t>Brödmusseron
Juvelspindling
Persiljespindling
Fransig jordstjärna
Blåsippa</t>
        </is>
      </c>
      <c r="S10">
        <f>HYPERLINK("https://klasma.github.io/Logging_0885/artfynd/A 34948-2022 artfynd.xlsx", "A 34948-2022")</f>
        <v/>
      </c>
      <c r="T10">
        <f>HYPERLINK("https://klasma.github.io/Logging_0885/kartor/A 34948-2022 karta.png", "A 34948-2022")</f>
        <v/>
      </c>
      <c r="V10">
        <f>HYPERLINK("https://klasma.github.io/Logging_0885/klagomål/A 34948-2022 FSC-klagomål.docx", "A 34948-2022")</f>
        <v/>
      </c>
      <c r="W10">
        <f>HYPERLINK("https://klasma.github.io/Logging_0885/klagomålsmail/A 34948-2022 FSC-klagomål mail.docx", "A 34948-2022")</f>
        <v/>
      </c>
      <c r="X10">
        <f>HYPERLINK("https://klasma.github.io/Logging_0885/tillsyn/A 34948-2022 tillsynsbegäran.docx", "A 34948-2022")</f>
        <v/>
      </c>
      <c r="Y10">
        <f>HYPERLINK("https://klasma.github.io/Logging_0885/tillsynsmail/A 34948-2022 tillsynsbegäran mail.docx", "A 34948-2022")</f>
        <v/>
      </c>
    </row>
    <row r="11" ht="15" customHeight="1">
      <c r="A11" t="inlineStr">
        <is>
          <t>A 4881-2021</t>
        </is>
      </c>
      <c r="B11" s="1" t="n">
        <v>44225</v>
      </c>
      <c r="C11" s="1" t="n">
        <v>45894</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55210-2020</t>
        </is>
      </c>
      <c r="B12" s="1" t="n">
        <v>44130</v>
      </c>
      <c r="C12" s="1" t="n">
        <v>45894</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45894</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45894</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45894</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45894</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45894</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4164-2023</t>
        </is>
      </c>
      <c r="B18" s="1" t="n">
        <v>44953</v>
      </c>
      <c r="C18" s="1" t="n">
        <v>45894</v>
      </c>
      <c r="D18" t="inlineStr">
        <is>
          <t>KALMAR LÄN</t>
        </is>
      </c>
      <c r="E18" t="inlineStr">
        <is>
          <t>BORGHOLM</t>
        </is>
      </c>
      <c r="G18" t="n">
        <v>3.3</v>
      </c>
      <c r="H18" t="n">
        <v>1</v>
      </c>
      <c r="I18" t="n">
        <v>1</v>
      </c>
      <c r="J18" t="n">
        <v>0</v>
      </c>
      <c r="K18" t="n">
        <v>0</v>
      </c>
      <c r="L18" t="n">
        <v>0</v>
      </c>
      <c r="M18" t="n">
        <v>0</v>
      </c>
      <c r="N18" t="n">
        <v>0</v>
      </c>
      <c r="O18" t="n">
        <v>0</v>
      </c>
      <c r="P18" t="n">
        <v>0</v>
      </c>
      <c r="Q18" t="n">
        <v>2</v>
      </c>
      <c r="R18" s="2" t="inlineStr">
        <is>
          <t>Murgröna
Blåsippa</t>
        </is>
      </c>
      <c r="S18">
        <f>HYPERLINK("https://klasma.github.io/Logging_0885/artfynd/A 4164-2023 artfynd.xlsx", "A 4164-2023")</f>
        <v/>
      </c>
      <c r="T18">
        <f>HYPERLINK("https://klasma.github.io/Logging_0885/kartor/A 4164-2023 karta.png", "A 4164-2023")</f>
        <v/>
      </c>
      <c r="V18">
        <f>HYPERLINK("https://klasma.github.io/Logging_0885/klagomål/A 4164-2023 FSC-klagomål.docx", "A 4164-2023")</f>
        <v/>
      </c>
      <c r="W18">
        <f>HYPERLINK("https://klasma.github.io/Logging_0885/klagomålsmail/A 4164-2023 FSC-klagomål mail.docx", "A 4164-2023")</f>
        <v/>
      </c>
      <c r="X18">
        <f>HYPERLINK("https://klasma.github.io/Logging_0885/tillsyn/A 4164-2023 tillsynsbegäran.docx", "A 4164-2023")</f>
        <v/>
      </c>
      <c r="Y18">
        <f>HYPERLINK("https://klasma.github.io/Logging_0885/tillsynsmail/A 4164-2023 tillsynsbegäran mail.docx", "A 4164-2023")</f>
        <v/>
      </c>
    </row>
    <row r="19" ht="15" customHeight="1">
      <c r="A19" t="inlineStr">
        <is>
          <t>A 34944-2022</t>
        </is>
      </c>
      <c r="B19" s="1" t="n">
        <v>44796</v>
      </c>
      <c r="C19" s="1" t="n">
        <v>45894</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13556-2025</t>
        </is>
      </c>
      <c r="B20" s="1" t="n">
        <v>45736.54759259259</v>
      </c>
      <c r="C20" s="1" t="n">
        <v>45894</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32174-2022</t>
        </is>
      </c>
      <c r="B21" s="1" t="n">
        <v>44781</v>
      </c>
      <c r="C21" s="1" t="n">
        <v>45894</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43756-2022</t>
        </is>
      </c>
      <c r="B22" s="1" t="n">
        <v>44837</v>
      </c>
      <c r="C22" s="1" t="n">
        <v>45894</v>
      </c>
      <c r="D22" t="inlineStr">
        <is>
          <t>KALMAR LÄN</t>
        </is>
      </c>
      <c r="E22" t="inlineStr">
        <is>
          <t>BORGHOLM</t>
        </is>
      </c>
      <c r="G22" t="n">
        <v>2.2</v>
      </c>
      <c r="H22" t="n">
        <v>1</v>
      </c>
      <c r="I22" t="n">
        <v>1</v>
      </c>
      <c r="J22" t="n">
        <v>0</v>
      </c>
      <c r="K22" t="n">
        <v>0</v>
      </c>
      <c r="L22" t="n">
        <v>0</v>
      </c>
      <c r="M22" t="n">
        <v>0</v>
      </c>
      <c r="N22" t="n">
        <v>0</v>
      </c>
      <c r="O22" t="n">
        <v>0</v>
      </c>
      <c r="P22" t="n">
        <v>0</v>
      </c>
      <c r="Q22" t="n">
        <v>2</v>
      </c>
      <c r="R22" s="2" t="inlineStr">
        <is>
          <t>Murgröna
Blåsippa</t>
        </is>
      </c>
      <c r="S22">
        <f>HYPERLINK("https://klasma.github.io/Logging_0885/artfynd/A 43756-2022 artfynd.xlsx", "A 43756-2022")</f>
        <v/>
      </c>
      <c r="T22">
        <f>HYPERLINK("https://klasma.github.io/Logging_0885/kartor/A 43756-2022 karta.png", "A 43756-2022")</f>
        <v/>
      </c>
      <c r="V22">
        <f>HYPERLINK("https://klasma.github.io/Logging_0885/klagomål/A 43756-2022 FSC-klagomål.docx", "A 43756-2022")</f>
        <v/>
      </c>
      <c r="W22">
        <f>HYPERLINK("https://klasma.github.io/Logging_0885/klagomålsmail/A 43756-2022 FSC-klagomål mail.docx", "A 43756-2022")</f>
        <v/>
      </c>
      <c r="X22">
        <f>HYPERLINK("https://klasma.github.io/Logging_0885/tillsyn/A 43756-2022 tillsynsbegäran.docx", "A 43756-2022")</f>
        <v/>
      </c>
      <c r="Y22">
        <f>HYPERLINK("https://klasma.github.io/Logging_0885/tillsynsmail/A 43756-2022 tillsynsbegäran mail.docx", "A 43756-2022")</f>
        <v/>
      </c>
    </row>
    <row r="23" ht="15" customHeight="1">
      <c r="A23" t="inlineStr">
        <is>
          <t>A 28779-2025</t>
        </is>
      </c>
      <c r="B23" s="1" t="n">
        <v>45820.44920138889</v>
      </c>
      <c r="C23" s="1" t="n">
        <v>45894</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38860-2025</t>
        </is>
      </c>
      <c r="B24" s="1" t="n">
        <v>45887.5609375</v>
      </c>
      <c r="C24" s="1" t="n">
        <v>45894</v>
      </c>
      <c r="D24" t="inlineStr">
        <is>
          <t>KALMAR LÄN</t>
        </is>
      </c>
      <c r="E24" t="inlineStr">
        <is>
          <t>BORGHOLM</t>
        </is>
      </c>
      <c r="G24" t="n">
        <v>5.6</v>
      </c>
      <c r="H24" t="n">
        <v>2</v>
      </c>
      <c r="I24" t="n">
        <v>1</v>
      </c>
      <c r="J24" t="n">
        <v>0</v>
      </c>
      <c r="K24" t="n">
        <v>0</v>
      </c>
      <c r="L24" t="n">
        <v>0</v>
      </c>
      <c r="M24" t="n">
        <v>0</v>
      </c>
      <c r="N24" t="n">
        <v>0</v>
      </c>
      <c r="O24" t="n">
        <v>0</v>
      </c>
      <c r="P24" t="n">
        <v>0</v>
      </c>
      <c r="Q24" t="n">
        <v>2</v>
      </c>
      <c r="R24" s="2" t="inlineStr">
        <is>
          <t>Skogsknipprot
Revlummer</t>
        </is>
      </c>
      <c r="S24">
        <f>HYPERLINK("https://klasma.github.io/Logging_0885/artfynd/A 38860-2025 artfynd.xlsx", "A 38860-2025")</f>
        <v/>
      </c>
      <c r="T24">
        <f>HYPERLINK("https://klasma.github.io/Logging_0885/kartor/A 38860-2025 karta.png", "A 38860-2025")</f>
        <v/>
      </c>
      <c r="V24">
        <f>HYPERLINK("https://klasma.github.io/Logging_0885/klagomål/A 38860-2025 FSC-klagomål.docx", "A 38860-2025")</f>
        <v/>
      </c>
      <c r="W24">
        <f>HYPERLINK("https://klasma.github.io/Logging_0885/klagomålsmail/A 38860-2025 FSC-klagomål mail.docx", "A 38860-2025")</f>
        <v/>
      </c>
      <c r="X24">
        <f>HYPERLINK("https://klasma.github.io/Logging_0885/tillsyn/A 38860-2025 tillsynsbegäran.docx", "A 38860-2025")</f>
        <v/>
      </c>
      <c r="Y24">
        <f>HYPERLINK("https://klasma.github.io/Logging_0885/tillsynsmail/A 38860-2025 tillsynsbegäran mail.docx", "A 38860-2025")</f>
        <v/>
      </c>
    </row>
    <row r="25" ht="15" customHeight="1">
      <c r="A25" t="inlineStr">
        <is>
          <t>A 44008-2022</t>
        </is>
      </c>
      <c r="B25" s="1" t="n">
        <v>44838</v>
      </c>
      <c r="C25" s="1" t="n">
        <v>45894</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3871-2021</t>
        </is>
      </c>
      <c r="B26" s="1" t="n">
        <v>44222</v>
      </c>
      <c r="C26" s="1" t="n">
        <v>45894</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45894</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45894</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24701-2023</t>
        </is>
      </c>
      <c r="B29" s="1" t="n">
        <v>45084</v>
      </c>
      <c r="C29" s="1" t="n">
        <v>45894</v>
      </c>
      <c r="D29" t="inlineStr">
        <is>
          <t>KALMAR LÄN</t>
        </is>
      </c>
      <c r="E29" t="inlineStr">
        <is>
          <t>BORGHOLM</t>
        </is>
      </c>
      <c r="G29" t="n">
        <v>3</v>
      </c>
      <c r="H29" t="n">
        <v>0</v>
      </c>
      <c r="I29" t="n">
        <v>0</v>
      </c>
      <c r="J29" t="n">
        <v>0</v>
      </c>
      <c r="K29" t="n">
        <v>0</v>
      </c>
      <c r="L29" t="n">
        <v>1</v>
      </c>
      <c r="M29" t="n">
        <v>0</v>
      </c>
      <c r="N29" t="n">
        <v>0</v>
      </c>
      <c r="O29" t="n">
        <v>1</v>
      </c>
      <c r="P29" t="n">
        <v>1</v>
      </c>
      <c r="Q29" t="n">
        <v>1</v>
      </c>
      <c r="R29" s="2" t="inlineStr">
        <is>
          <t>Ask</t>
        </is>
      </c>
      <c r="S29">
        <f>HYPERLINK("https://klasma.github.io/Logging_0885/artfynd/A 24701-2023 artfynd.xlsx", "A 24701-2023")</f>
        <v/>
      </c>
      <c r="T29">
        <f>HYPERLINK("https://klasma.github.io/Logging_0885/kartor/A 24701-2023 karta.png", "A 24701-2023")</f>
        <v/>
      </c>
      <c r="V29">
        <f>HYPERLINK("https://klasma.github.io/Logging_0885/klagomål/A 24701-2023 FSC-klagomål.docx", "A 24701-2023")</f>
        <v/>
      </c>
      <c r="W29">
        <f>HYPERLINK("https://klasma.github.io/Logging_0885/klagomålsmail/A 24701-2023 FSC-klagomål mail.docx", "A 24701-2023")</f>
        <v/>
      </c>
      <c r="X29">
        <f>HYPERLINK("https://klasma.github.io/Logging_0885/tillsyn/A 24701-2023 tillsynsbegäran.docx", "A 24701-2023")</f>
        <v/>
      </c>
      <c r="Y29">
        <f>HYPERLINK("https://klasma.github.io/Logging_0885/tillsynsmail/A 24701-2023 tillsynsbegäran mail.docx", "A 24701-2023")</f>
        <v/>
      </c>
    </row>
    <row r="30" ht="15" customHeight="1">
      <c r="A30" t="inlineStr">
        <is>
          <t>A 13558-2025</t>
        </is>
      </c>
      <c r="B30" s="1" t="n">
        <v>45736.54974537037</v>
      </c>
      <c r="C30" s="1" t="n">
        <v>45894</v>
      </c>
      <c r="D30" t="inlineStr">
        <is>
          <t>KALMAR LÄN</t>
        </is>
      </c>
      <c r="E30" t="inlineStr">
        <is>
          <t>BORGHOLM</t>
        </is>
      </c>
      <c r="G30" t="n">
        <v>0.7</v>
      </c>
      <c r="H30" t="n">
        <v>0</v>
      </c>
      <c r="I30" t="n">
        <v>0</v>
      </c>
      <c r="J30" t="n">
        <v>1</v>
      </c>
      <c r="K30" t="n">
        <v>0</v>
      </c>
      <c r="L30" t="n">
        <v>0</v>
      </c>
      <c r="M30" t="n">
        <v>0</v>
      </c>
      <c r="N30" t="n">
        <v>0</v>
      </c>
      <c r="O30" t="n">
        <v>1</v>
      </c>
      <c r="P30" t="n">
        <v>0</v>
      </c>
      <c r="Q30" t="n">
        <v>1</v>
      </c>
      <c r="R30" s="2" t="inlineStr">
        <is>
          <t>Backruta</t>
        </is>
      </c>
      <c r="S30">
        <f>HYPERLINK("https://klasma.github.io/Logging_0885/artfynd/A 13558-2025 artfynd.xlsx", "A 13558-2025")</f>
        <v/>
      </c>
      <c r="T30">
        <f>HYPERLINK("https://klasma.github.io/Logging_0885/kartor/A 13558-2025 karta.png", "A 13558-2025")</f>
        <v/>
      </c>
      <c r="V30">
        <f>HYPERLINK("https://klasma.github.io/Logging_0885/klagomål/A 13558-2025 FSC-klagomål.docx", "A 13558-2025")</f>
        <v/>
      </c>
      <c r="W30">
        <f>HYPERLINK("https://klasma.github.io/Logging_0885/klagomålsmail/A 13558-2025 FSC-klagomål mail.docx", "A 13558-2025")</f>
        <v/>
      </c>
      <c r="X30">
        <f>HYPERLINK("https://klasma.github.io/Logging_0885/tillsyn/A 13558-2025 tillsynsbegäran.docx", "A 13558-2025")</f>
        <v/>
      </c>
      <c r="Y30">
        <f>HYPERLINK("https://klasma.github.io/Logging_0885/tillsynsmail/A 13558-2025 tillsynsbegäran mail.docx", "A 13558-2025")</f>
        <v/>
      </c>
    </row>
    <row r="31" ht="15" customHeight="1">
      <c r="A31" t="inlineStr">
        <is>
          <t>A 43603-2024</t>
        </is>
      </c>
      <c r="B31" s="1" t="n">
        <v>45569.44700231482</v>
      </c>
      <c r="C31" s="1" t="n">
        <v>45894</v>
      </c>
      <c r="D31" t="inlineStr">
        <is>
          <t>KALMAR LÄN</t>
        </is>
      </c>
      <c r="E31" t="inlineStr">
        <is>
          <t>BORGHOLM</t>
        </is>
      </c>
      <c r="G31" t="n">
        <v>3.8</v>
      </c>
      <c r="H31" t="n">
        <v>1</v>
      </c>
      <c r="I31" t="n">
        <v>0</v>
      </c>
      <c r="J31" t="n">
        <v>0</v>
      </c>
      <c r="K31" t="n">
        <v>1</v>
      </c>
      <c r="L31" t="n">
        <v>0</v>
      </c>
      <c r="M31" t="n">
        <v>0</v>
      </c>
      <c r="N31" t="n">
        <v>0</v>
      </c>
      <c r="O31" t="n">
        <v>1</v>
      </c>
      <c r="P31" t="n">
        <v>1</v>
      </c>
      <c r="Q31" t="n">
        <v>1</v>
      </c>
      <c r="R31" s="2" t="inlineStr">
        <is>
          <t>Väddnätfjäril</t>
        </is>
      </c>
      <c r="S31">
        <f>HYPERLINK("https://klasma.github.io/Logging_0885/artfynd/A 43603-2024 artfynd.xlsx", "A 43603-2024")</f>
        <v/>
      </c>
      <c r="T31">
        <f>HYPERLINK("https://klasma.github.io/Logging_0885/kartor/A 43603-2024 karta.png", "A 43603-2024")</f>
        <v/>
      </c>
      <c r="V31">
        <f>HYPERLINK("https://klasma.github.io/Logging_0885/klagomål/A 43603-2024 FSC-klagomål.docx", "A 43603-2024")</f>
        <v/>
      </c>
      <c r="W31">
        <f>HYPERLINK("https://klasma.github.io/Logging_0885/klagomålsmail/A 43603-2024 FSC-klagomål mail.docx", "A 43603-2024")</f>
        <v/>
      </c>
      <c r="X31">
        <f>HYPERLINK("https://klasma.github.io/Logging_0885/tillsyn/A 43603-2024 tillsynsbegäran.docx", "A 43603-2024")</f>
        <v/>
      </c>
      <c r="Y31">
        <f>HYPERLINK("https://klasma.github.io/Logging_0885/tillsynsmail/A 43603-2024 tillsynsbegäran mail.docx", "A 43603-2024")</f>
        <v/>
      </c>
    </row>
    <row r="32" ht="15" customHeight="1">
      <c r="A32" t="inlineStr">
        <is>
          <t>A 14789-2021</t>
        </is>
      </c>
      <c r="B32" s="1" t="n">
        <v>44280</v>
      </c>
      <c r="C32" s="1" t="n">
        <v>45894</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45894</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45894</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45894</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45894</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24704-2023</t>
        </is>
      </c>
      <c r="B37" s="1" t="n">
        <v>45084</v>
      </c>
      <c r="C37" s="1" t="n">
        <v>45894</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34885-2025</t>
        </is>
      </c>
      <c r="B38" s="1" t="n">
        <v>45849.47128472223</v>
      </c>
      <c r="C38" s="1" t="n">
        <v>45894</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12785-2021</t>
        </is>
      </c>
      <c r="B39" s="1" t="n">
        <v>44270</v>
      </c>
      <c r="C39" s="1" t="n">
        <v>45894</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9745-2023</t>
        </is>
      </c>
      <c r="B40" s="1" t="n">
        <v>44984</v>
      </c>
      <c r="C40" s="1" t="n">
        <v>45894</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56434-2020</t>
        </is>
      </c>
      <c r="B41" s="1" t="n">
        <v>44137</v>
      </c>
      <c r="C41" s="1" t="n">
        <v>45894</v>
      </c>
      <c r="D41" t="inlineStr">
        <is>
          <t>KALMAR LÄN</t>
        </is>
      </c>
      <c r="E41" t="inlineStr">
        <is>
          <t>BORGHOLM</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58113-2020</t>
        </is>
      </c>
      <c r="B42" s="1" t="n">
        <v>44144</v>
      </c>
      <c r="C42" s="1" t="n">
        <v>45894</v>
      </c>
      <c r="D42" t="inlineStr">
        <is>
          <t>KALMAR LÄN</t>
        </is>
      </c>
      <c r="E42" t="inlineStr">
        <is>
          <t>BORGHOLM</t>
        </is>
      </c>
      <c r="F42" t="inlineStr">
        <is>
          <t>Sveaskog</t>
        </is>
      </c>
      <c r="G42" t="n">
        <v>3</v>
      </c>
      <c r="H42" t="n">
        <v>0</v>
      </c>
      <c r="I42" t="n">
        <v>0</v>
      </c>
      <c r="J42" t="n">
        <v>0</v>
      </c>
      <c r="K42" t="n">
        <v>0</v>
      </c>
      <c r="L42" t="n">
        <v>0</v>
      </c>
      <c r="M42" t="n">
        <v>0</v>
      </c>
      <c r="N42" t="n">
        <v>0</v>
      </c>
      <c r="O42" t="n">
        <v>0</v>
      </c>
      <c r="P42" t="n">
        <v>0</v>
      </c>
      <c r="Q42" t="n">
        <v>0</v>
      </c>
      <c r="R42" s="2" t="inlineStr"/>
    </row>
    <row r="43" ht="15" customHeight="1">
      <c r="A43" t="inlineStr">
        <is>
          <t>A 56499-2020</t>
        </is>
      </c>
      <c r="B43" s="1" t="n">
        <v>44137</v>
      </c>
      <c r="C43" s="1" t="n">
        <v>45894</v>
      </c>
      <c r="D43" t="inlineStr">
        <is>
          <t>KALMAR LÄN</t>
        </is>
      </c>
      <c r="E43" t="inlineStr">
        <is>
          <t>BORGHOLM</t>
        </is>
      </c>
      <c r="F43" t="inlineStr">
        <is>
          <t>Sveaskog</t>
        </is>
      </c>
      <c r="G43" t="n">
        <v>0.5</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45894</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56475-2020</t>
        </is>
      </c>
      <c r="B45" s="1" t="n">
        <v>44137</v>
      </c>
      <c r="C45" s="1" t="n">
        <v>45894</v>
      </c>
      <c r="D45" t="inlineStr">
        <is>
          <t>KALMAR LÄN</t>
        </is>
      </c>
      <c r="E45" t="inlineStr">
        <is>
          <t>BORGHOLM</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56488-2020</t>
        </is>
      </c>
      <c r="B46" s="1" t="n">
        <v>44137</v>
      </c>
      <c r="C46" s="1" t="n">
        <v>45894</v>
      </c>
      <c r="D46" t="inlineStr">
        <is>
          <t>KALMAR LÄN</t>
        </is>
      </c>
      <c r="E46" t="inlineStr">
        <is>
          <t>BORGHOLM</t>
        </is>
      </c>
      <c r="F46" t="inlineStr">
        <is>
          <t>Sveaskog</t>
        </is>
      </c>
      <c r="G46" t="n">
        <v>1.4</v>
      </c>
      <c r="H46" t="n">
        <v>0</v>
      </c>
      <c r="I46" t="n">
        <v>0</v>
      </c>
      <c r="J46" t="n">
        <v>0</v>
      </c>
      <c r="K46" t="n">
        <v>0</v>
      </c>
      <c r="L46" t="n">
        <v>0</v>
      </c>
      <c r="M46" t="n">
        <v>0</v>
      </c>
      <c r="N46" t="n">
        <v>0</v>
      </c>
      <c r="O46" t="n">
        <v>0</v>
      </c>
      <c r="P46" t="n">
        <v>0</v>
      </c>
      <c r="Q46" t="n">
        <v>0</v>
      </c>
      <c r="R46" s="2" t="inlineStr"/>
    </row>
    <row r="47" ht="15" customHeight="1">
      <c r="A47" t="inlineStr">
        <is>
          <t>A 56506-2020</t>
        </is>
      </c>
      <c r="B47" s="1" t="n">
        <v>44137</v>
      </c>
      <c r="C47" s="1" t="n">
        <v>45894</v>
      </c>
      <c r="D47" t="inlineStr">
        <is>
          <t>KALMAR LÄN</t>
        </is>
      </c>
      <c r="E47" t="inlineStr">
        <is>
          <t>BORGHOLM</t>
        </is>
      </c>
      <c r="F47" t="inlineStr">
        <is>
          <t>Sveaskog</t>
        </is>
      </c>
      <c r="G47" t="n">
        <v>1.7</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45894</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45894</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45894</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45894</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45894</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45894</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45894</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45894</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45894</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45894</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45894</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45894</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45894</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45894</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45894</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45894</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56479-2020</t>
        </is>
      </c>
      <c r="B64" s="1" t="n">
        <v>44137</v>
      </c>
      <c r="C64" s="1" t="n">
        <v>45894</v>
      </c>
      <c r="D64" t="inlineStr">
        <is>
          <t>KALMAR LÄN</t>
        </is>
      </c>
      <c r="E64" t="inlineStr">
        <is>
          <t>BORGHOLM</t>
        </is>
      </c>
      <c r="F64" t="inlineStr">
        <is>
          <t>Sveaskog</t>
        </is>
      </c>
      <c r="G64" t="n">
        <v>2.6</v>
      </c>
      <c r="H64" t="n">
        <v>0</v>
      </c>
      <c r="I64" t="n">
        <v>0</v>
      </c>
      <c r="J64" t="n">
        <v>0</v>
      </c>
      <c r="K64" t="n">
        <v>0</v>
      </c>
      <c r="L64" t="n">
        <v>0</v>
      </c>
      <c r="M64" t="n">
        <v>0</v>
      </c>
      <c r="N64" t="n">
        <v>0</v>
      </c>
      <c r="O64" t="n">
        <v>0</v>
      </c>
      <c r="P64" t="n">
        <v>0</v>
      </c>
      <c r="Q64" t="n">
        <v>0</v>
      </c>
      <c r="R64" s="2" t="inlineStr"/>
    </row>
    <row r="65" ht="15" customHeight="1">
      <c r="A65" t="inlineStr">
        <is>
          <t>A 58253-2020</t>
        </is>
      </c>
      <c r="B65" s="1" t="n">
        <v>44144</v>
      </c>
      <c r="C65" s="1" t="n">
        <v>45894</v>
      </c>
      <c r="D65" t="inlineStr">
        <is>
          <t>KALMAR LÄN</t>
        </is>
      </c>
      <c r="E65" t="inlineStr">
        <is>
          <t>BORGHOLM</t>
        </is>
      </c>
      <c r="F65" t="inlineStr">
        <is>
          <t>Sveaskog</t>
        </is>
      </c>
      <c r="G65" t="n">
        <v>1.2</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45894</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45894</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17699-2025</t>
        </is>
      </c>
      <c r="B68" s="1" t="n">
        <v>45758.41846064815</v>
      </c>
      <c r="C68" s="1" t="n">
        <v>45894</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27437-2022</t>
        </is>
      </c>
      <c r="B69" s="1" t="n">
        <v>44742.55567129629</v>
      </c>
      <c r="C69" s="1" t="n">
        <v>45894</v>
      </c>
      <c r="D69" t="inlineStr">
        <is>
          <t>KALMAR LÄN</t>
        </is>
      </c>
      <c r="E69" t="inlineStr">
        <is>
          <t>BORGHOLM</t>
        </is>
      </c>
      <c r="G69" t="n">
        <v>0.6</v>
      </c>
      <c r="H69" t="n">
        <v>0</v>
      </c>
      <c r="I69" t="n">
        <v>0</v>
      </c>
      <c r="J69" t="n">
        <v>0</v>
      </c>
      <c r="K69" t="n">
        <v>0</v>
      </c>
      <c r="L69" t="n">
        <v>0</v>
      </c>
      <c r="M69" t="n">
        <v>0</v>
      </c>
      <c r="N69" t="n">
        <v>0</v>
      </c>
      <c r="O69" t="n">
        <v>0</v>
      </c>
      <c r="P69" t="n">
        <v>0</v>
      </c>
      <c r="Q69" t="n">
        <v>0</v>
      </c>
      <c r="R69" s="2" t="inlineStr"/>
    </row>
    <row r="70" ht="15" customHeight="1">
      <c r="A70" t="inlineStr">
        <is>
          <t>A 20287-2025</t>
        </is>
      </c>
      <c r="B70" s="1" t="n">
        <v>45774.60741898148</v>
      </c>
      <c r="C70" s="1" t="n">
        <v>45894</v>
      </c>
      <c r="D70" t="inlineStr">
        <is>
          <t>KALMAR LÄN</t>
        </is>
      </c>
      <c r="E70" t="inlineStr">
        <is>
          <t>BORGHOLM</t>
        </is>
      </c>
      <c r="G70" t="n">
        <v>0.6</v>
      </c>
      <c r="H70" t="n">
        <v>0</v>
      </c>
      <c r="I70" t="n">
        <v>0</v>
      </c>
      <c r="J70" t="n">
        <v>0</v>
      </c>
      <c r="K70" t="n">
        <v>0</v>
      </c>
      <c r="L70" t="n">
        <v>0</v>
      </c>
      <c r="M70" t="n">
        <v>0</v>
      </c>
      <c r="N70" t="n">
        <v>0</v>
      </c>
      <c r="O70" t="n">
        <v>0</v>
      </c>
      <c r="P70" t="n">
        <v>0</v>
      </c>
      <c r="Q70" t="n">
        <v>0</v>
      </c>
      <c r="R70" s="2" t="inlineStr"/>
    </row>
    <row r="71" ht="15" customHeight="1">
      <c r="A71" t="inlineStr">
        <is>
          <t>A 3878-2023</t>
        </is>
      </c>
      <c r="B71" s="1" t="n">
        <v>44951</v>
      </c>
      <c r="C71" s="1" t="n">
        <v>45894</v>
      </c>
      <c r="D71" t="inlineStr">
        <is>
          <t>KALMAR LÄN</t>
        </is>
      </c>
      <c r="E71" t="inlineStr">
        <is>
          <t>BORGHOLM</t>
        </is>
      </c>
      <c r="G71" t="n">
        <v>1.7</v>
      </c>
      <c r="H71" t="n">
        <v>0</v>
      </c>
      <c r="I71" t="n">
        <v>0</v>
      </c>
      <c r="J71" t="n">
        <v>0</v>
      </c>
      <c r="K71" t="n">
        <v>0</v>
      </c>
      <c r="L71" t="n">
        <v>0</v>
      </c>
      <c r="M71" t="n">
        <v>0</v>
      </c>
      <c r="N71" t="n">
        <v>0</v>
      </c>
      <c r="O71" t="n">
        <v>0</v>
      </c>
      <c r="P71" t="n">
        <v>0</v>
      </c>
      <c r="Q71" t="n">
        <v>0</v>
      </c>
      <c r="R71" s="2" t="inlineStr"/>
    </row>
    <row r="72" ht="15" customHeight="1">
      <c r="A72" t="inlineStr">
        <is>
          <t>A 62631-2021</t>
        </is>
      </c>
      <c r="B72" s="1" t="n">
        <v>44503</v>
      </c>
      <c r="C72" s="1" t="n">
        <v>45894</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26160-2024</t>
        </is>
      </c>
      <c r="B73" s="1" t="n">
        <v>45468</v>
      </c>
      <c r="C73" s="1" t="n">
        <v>45894</v>
      </c>
      <c r="D73" t="inlineStr">
        <is>
          <t>KALMAR LÄN</t>
        </is>
      </c>
      <c r="E73" t="inlineStr">
        <is>
          <t>BORGHOLM</t>
        </is>
      </c>
      <c r="G73" t="n">
        <v>0.4</v>
      </c>
      <c r="H73" t="n">
        <v>0</v>
      </c>
      <c r="I73" t="n">
        <v>0</v>
      </c>
      <c r="J73" t="n">
        <v>0</v>
      </c>
      <c r="K73" t="n">
        <v>0</v>
      </c>
      <c r="L73" t="n">
        <v>0</v>
      </c>
      <c r="M73" t="n">
        <v>0</v>
      </c>
      <c r="N73" t="n">
        <v>0</v>
      </c>
      <c r="O73" t="n">
        <v>0</v>
      </c>
      <c r="P73" t="n">
        <v>0</v>
      </c>
      <c r="Q73" t="n">
        <v>0</v>
      </c>
      <c r="R73" s="2" t="inlineStr"/>
      <c r="T73">
        <f>HYPERLINK("https://klasma.github.io/Logging_0885/kartor/A 26160-2024 karta.png", "A 26160-2024")</f>
        <v/>
      </c>
      <c r="V73">
        <f>HYPERLINK("https://klasma.github.io/Logging_0885/klagomål/A 26160-2024 FSC-klagomål.docx", "A 26160-2024")</f>
        <v/>
      </c>
      <c r="W73">
        <f>HYPERLINK("https://klasma.github.io/Logging_0885/klagomålsmail/A 26160-2024 FSC-klagomål mail.docx", "A 26160-2024")</f>
        <v/>
      </c>
      <c r="X73">
        <f>HYPERLINK("https://klasma.github.io/Logging_0885/tillsyn/A 26160-2024 tillsynsbegäran.docx", "A 26160-2024")</f>
        <v/>
      </c>
      <c r="Y73">
        <f>HYPERLINK("https://klasma.github.io/Logging_0885/tillsynsmail/A 26160-2024 tillsynsbegäran mail.docx", "A 26160-2024")</f>
        <v/>
      </c>
    </row>
    <row r="74" ht="15" customHeight="1">
      <c r="A74" t="inlineStr">
        <is>
          <t>A 9050-2025</t>
        </is>
      </c>
      <c r="B74" s="1" t="n">
        <v>45713.63512731482</v>
      </c>
      <c r="C74" s="1" t="n">
        <v>45894</v>
      </c>
      <c r="D74" t="inlineStr">
        <is>
          <t>KALMAR LÄN</t>
        </is>
      </c>
      <c r="E74" t="inlineStr">
        <is>
          <t>BORGHOLM</t>
        </is>
      </c>
      <c r="F74" t="inlineStr">
        <is>
          <t>Sveaskog</t>
        </is>
      </c>
      <c r="G74" t="n">
        <v>2.5</v>
      </c>
      <c r="H74" t="n">
        <v>0</v>
      </c>
      <c r="I74" t="n">
        <v>0</v>
      </c>
      <c r="J74" t="n">
        <v>0</v>
      </c>
      <c r="K74" t="n">
        <v>0</v>
      </c>
      <c r="L74" t="n">
        <v>0</v>
      </c>
      <c r="M74" t="n">
        <v>0</v>
      </c>
      <c r="N74" t="n">
        <v>0</v>
      </c>
      <c r="O74" t="n">
        <v>0</v>
      </c>
      <c r="P74" t="n">
        <v>0</v>
      </c>
      <c r="Q74" t="n">
        <v>0</v>
      </c>
      <c r="R74" s="2" t="inlineStr"/>
    </row>
    <row r="75" ht="15" customHeight="1">
      <c r="A75" t="inlineStr">
        <is>
          <t>A 12937-2022</t>
        </is>
      </c>
      <c r="B75" s="1" t="n">
        <v>44642</v>
      </c>
      <c r="C75" s="1" t="n">
        <v>45894</v>
      </c>
      <c r="D75" t="inlineStr">
        <is>
          <t>KALMAR LÄN</t>
        </is>
      </c>
      <c r="E75" t="inlineStr">
        <is>
          <t>BORGHOLM</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9034-2025</t>
        </is>
      </c>
      <c r="B76" s="1" t="n">
        <v>45713</v>
      </c>
      <c r="C76" s="1" t="n">
        <v>45894</v>
      </c>
      <c r="D76" t="inlineStr">
        <is>
          <t>KALMAR LÄN</t>
        </is>
      </c>
      <c r="E76" t="inlineStr">
        <is>
          <t>BORGHOLM</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13548-2025</t>
        </is>
      </c>
      <c r="B77" s="1" t="n">
        <v>45736.53827546296</v>
      </c>
      <c r="C77" s="1" t="n">
        <v>45894</v>
      </c>
      <c r="D77" t="inlineStr">
        <is>
          <t>KALMAR LÄN</t>
        </is>
      </c>
      <c r="E77" t="inlineStr">
        <is>
          <t>BORGHOLM</t>
        </is>
      </c>
      <c r="G77" t="n">
        <v>1</v>
      </c>
      <c r="H77" t="n">
        <v>0</v>
      </c>
      <c r="I77" t="n">
        <v>0</v>
      </c>
      <c r="J77" t="n">
        <v>0</v>
      </c>
      <c r="K77" t="n">
        <v>0</v>
      </c>
      <c r="L77" t="n">
        <v>0</v>
      </c>
      <c r="M77" t="n">
        <v>0</v>
      </c>
      <c r="N77" t="n">
        <v>0</v>
      </c>
      <c r="O77" t="n">
        <v>0</v>
      </c>
      <c r="P77" t="n">
        <v>0</v>
      </c>
      <c r="Q77" t="n">
        <v>0</v>
      </c>
      <c r="R77" s="2" t="inlineStr"/>
    </row>
    <row r="78" ht="15" customHeight="1">
      <c r="A78" t="inlineStr">
        <is>
          <t>A 7669-2024</t>
        </is>
      </c>
      <c r="B78" s="1" t="n">
        <v>45348.82498842593</v>
      </c>
      <c r="C78" s="1" t="n">
        <v>45894</v>
      </c>
      <c r="D78" t="inlineStr">
        <is>
          <t>KALMAR LÄN</t>
        </is>
      </c>
      <c r="E78" t="inlineStr">
        <is>
          <t>BORGHOLM</t>
        </is>
      </c>
      <c r="G78" t="n">
        <v>2.3</v>
      </c>
      <c r="H78" t="n">
        <v>0</v>
      </c>
      <c r="I78" t="n">
        <v>0</v>
      </c>
      <c r="J78" t="n">
        <v>0</v>
      </c>
      <c r="K78" t="n">
        <v>0</v>
      </c>
      <c r="L78" t="n">
        <v>0</v>
      </c>
      <c r="M78" t="n">
        <v>0</v>
      </c>
      <c r="N78" t="n">
        <v>0</v>
      </c>
      <c r="O78" t="n">
        <v>0</v>
      </c>
      <c r="P78" t="n">
        <v>0</v>
      </c>
      <c r="Q78" t="n">
        <v>0</v>
      </c>
      <c r="R78" s="2" t="inlineStr"/>
    </row>
    <row r="79" ht="15" customHeight="1">
      <c r="A79" t="inlineStr">
        <is>
          <t>A 9028-2025</t>
        </is>
      </c>
      <c r="B79" s="1" t="n">
        <v>45713</v>
      </c>
      <c r="C79" s="1" t="n">
        <v>45894</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63075-2023</t>
        </is>
      </c>
      <c r="B80" s="1" t="n">
        <v>45273</v>
      </c>
      <c r="C80" s="1" t="n">
        <v>45894</v>
      </c>
      <c r="D80" t="inlineStr">
        <is>
          <t>KALMAR LÄN</t>
        </is>
      </c>
      <c r="E80" t="inlineStr">
        <is>
          <t>BORGHOLM</t>
        </is>
      </c>
      <c r="G80" t="n">
        <v>1.1</v>
      </c>
      <c r="H80" t="n">
        <v>0</v>
      </c>
      <c r="I80" t="n">
        <v>0</v>
      </c>
      <c r="J80" t="n">
        <v>0</v>
      </c>
      <c r="K80" t="n">
        <v>0</v>
      </c>
      <c r="L80" t="n">
        <v>0</v>
      </c>
      <c r="M80" t="n">
        <v>0</v>
      </c>
      <c r="N80" t="n">
        <v>0</v>
      </c>
      <c r="O80" t="n">
        <v>0</v>
      </c>
      <c r="P80" t="n">
        <v>0</v>
      </c>
      <c r="Q80" t="n">
        <v>0</v>
      </c>
      <c r="R80" s="2" t="inlineStr"/>
    </row>
    <row r="81" ht="15" customHeight="1">
      <c r="A81" t="inlineStr">
        <is>
          <t>A 31840-2021</t>
        </is>
      </c>
      <c r="B81" s="1" t="n">
        <v>44370</v>
      </c>
      <c r="C81" s="1" t="n">
        <v>45894</v>
      </c>
      <c r="D81" t="inlineStr">
        <is>
          <t>KALMAR LÄN</t>
        </is>
      </c>
      <c r="E81" t="inlineStr">
        <is>
          <t>BORGHOLM</t>
        </is>
      </c>
      <c r="F81" t="inlineStr">
        <is>
          <t>Sveaskog</t>
        </is>
      </c>
      <c r="G81" t="n">
        <v>2.8</v>
      </c>
      <c r="H81" t="n">
        <v>0</v>
      </c>
      <c r="I81" t="n">
        <v>0</v>
      </c>
      <c r="J81" t="n">
        <v>0</v>
      </c>
      <c r="K81" t="n">
        <v>0</v>
      </c>
      <c r="L81" t="n">
        <v>0</v>
      </c>
      <c r="M81" t="n">
        <v>0</v>
      </c>
      <c r="N81" t="n">
        <v>0</v>
      </c>
      <c r="O81" t="n">
        <v>0</v>
      </c>
      <c r="P81" t="n">
        <v>0</v>
      </c>
      <c r="Q81" t="n">
        <v>0</v>
      </c>
      <c r="R81" s="2" t="inlineStr"/>
    </row>
    <row r="82" ht="15" customHeight="1">
      <c r="A82" t="inlineStr">
        <is>
          <t>A 64303-2023</t>
        </is>
      </c>
      <c r="B82" s="1" t="n">
        <v>45280</v>
      </c>
      <c r="C82" s="1" t="n">
        <v>45894</v>
      </c>
      <c r="D82" t="inlineStr">
        <is>
          <t>KALMAR LÄN</t>
        </is>
      </c>
      <c r="E82" t="inlineStr">
        <is>
          <t>BORGHOLM</t>
        </is>
      </c>
      <c r="G82" t="n">
        <v>1.2</v>
      </c>
      <c r="H82" t="n">
        <v>0</v>
      </c>
      <c r="I82" t="n">
        <v>0</v>
      </c>
      <c r="J82" t="n">
        <v>0</v>
      </c>
      <c r="K82" t="n">
        <v>0</v>
      </c>
      <c r="L82" t="n">
        <v>0</v>
      </c>
      <c r="M82" t="n">
        <v>0</v>
      </c>
      <c r="N82" t="n">
        <v>0</v>
      </c>
      <c r="O82" t="n">
        <v>0</v>
      </c>
      <c r="P82" t="n">
        <v>0</v>
      </c>
      <c r="Q82" t="n">
        <v>0</v>
      </c>
      <c r="R82" s="2" t="inlineStr"/>
    </row>
    <row r="83" ht="15" customHeight="1">
      <c r="A83" t="inlineStr">
        <is>
          <t>A 17978-2021</t>
        </is>
      </c>
      <c r="B83" s="1" t="n">
        <v>44301</v>
      </c>
      <c r="C83" s="1" t="n">
        <v>45894</v>
      </c>
      <c r="D83" t="inlineStr">
        <is>
          <t>KALMAR LÄN</t>
        </is>
      </c>
      <c r="E83" t="inlineStr">
        <is>
          <t>BORGHOLM</t>
        </is>
      </c>
      <c r="G83" t="n">
        <v>6</v>
      </c>
      <c r="H83" t="n">
        <v>0</v>
      </c>
      <c r="I83" t="n">
        <v>0</v>
      </c>
      <c r="J83" t="n">
        <v>0</v>
      </c>
      <c r="K83" t="n">
        <v>0</v>
      </c>
      <c r="L83" t="n">
        <v>0</v>
      </c>
      <c r="M83" t="n">
        <v>0</v>
      </c>
      <c r="N83" t="n">
        <v>0</v>
      </c>
      <c r="O83" t="n">
        <v>0</v>
      </c>
      <c r="P83" t="n">
        <v>0</v>
      </c>
      <c r="Q83" t="n">
        <v>0</v>
      </c>
      <c r="R83" s="2" t="inlineStr"/>
    </row>
    <row r="84" ht="15" customHeight="1">
      <c r="A84" t="inlineStr">
        <is>
          <t>A 22785-2025</t>
        </is>
      </c>
      <c r="B84" s="1" t="n">
        <v>45789.64186342592</v>
      </c>
      <c r="C84" s="1" t="n">
        <v>45894</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21908-2022</t>
        </is>
      </c>
      <c r="B85" s="1" t="n">
        <v>44711</v>
      </c>
      <c r="C85" s="1" t="n">
        <v>45894</v>
      </c>
      <c r="D85" t="inlineStr">
        <is>
          <t>KALMAR LÄN</t>
        </is>
      </c>
      <c r="E85" t="inlineStr">
        <is>
          <t>BORGHOLM</t>
        </is>
      </c>
      <c r="G85" t="n">
        <v>4.7</v>
      </c>
      <c r="H85" t="n">
        <v>0</v>
      </c>
      <c r="I85" t="n">
        <v>0</v>
      </c>
      <c r="J85" t="n">
        <v>0</v>
      </c>
      <c r="K85" t="n">
        <v>0</v>
      </c>
      <c r="L85" t="n">
        <v>0</v>
      </c>
      <c r="M85" t="n">
        <v>0</v>
      </c>
      <c r="N85" t="n">
        <v>0</v>
      </c>
      <c r="O85" t="n">
        <v>0</v>
      </c>
      <c r="P85" t="n">
        <v>0</v>
      </c>
      <c r="Q85" t="n">
        <v>0</v>
      </c>
      <c r="R85" s="2" t="inlineStr"/>
    </row>
    <row r="86" ht="15" customHeight="1">
      <c r="A86" t="inlineStr">
        <is>
          <t>A 55367-2024</t>
        </is>
      </c>
      <c r="B86" s="1" t="n">
        <v>45621.87075231481</v>
      </c>
      <c r="C86" s="1" t="n">
        <v>45894</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12534-2022</t>
        </is>
      </c>
      <c r="B87" s="1" t="n">
        <v>44638</v>
      </c>
      <c r="C87" s="1" t="n">
        <v>45894</v>
      </c>
      <c r="D87" t="inlineStr">
        <is>
          <t>KALMAR LÄN</t>
        </is>
      </c>
      <c r="E87" t="inlineStr">
        <is>
          <t>BORGHOLM</t>
        </is>
      </c>
      <c r="G87" t="n">
        <v>8.6</v>
      </c>
      <c r="H87" t="n">
        <v>0</v>
      </c>
      <c r="I87" t="n">
        <v>0</v>
      </c>
      <c r="J87" t="n">
        <v>0</v>
      </c>
      <c r="K87" t="n">
        <v>0</v>
      </c>
      <c r="L87" t="n">
        <v>0</v>
      </c>
      <c r="M87" t="n">
        <v>0</v>
      </c>
      <c r="N87" t="n">
        <v>0</v>
      </c>
      <c r="O87" t="n">
        <v>0</v>
      </c>
      <c r="P87" t="n">
        <v>0</v>
      </c>
      <c r="Q87" t="n">
        <v>0</v>
      </c>
      <c r="R87" s="2" t="inlineStr"/>
    </row>
    <row r="88" ht="15" customHeight="1">
      <c r="A88" t="inlineStr">
        <is>
          <t>A 32919-2023</t>
        </is>
      </c>
      <c r="B88" s="1" t="n">
        <v>45125</v>
      </c>
      <c r="C88" s="1" t="n">
        <v>45894</v>
      </c>
      <c r="D88" t="inlineStr">
        <is>
          <t>KALMAR LÄN</t>
        </is>
      </c>
      <c r="E88" t="inlineStr">
        <is>
          <t>BORGHOLM</t>
        </is>
      </c>
      <c r="G88" t="n">
        <v>2.7</v>
      </c>
      <c r="H88" t="n">
        <v>0</v>
      </c>
      <c r="I88" t="n">
        <v>0</v>
      </c>
      <c r="J88" t="n">
        <v>0</v>
      </c>
      <c r="K88" t="n">
        <v>0</v>
      </c>
      <c r="L88" t="n">
        <v>0</v>
      </c>
      <c r="M88" t="n">
        <v>0</v>
      </c>
      <c r="N88" t="n">
        <v>0</v>
      </c>
      <c r="O88" t="n">
        <v>0</v>
      </c>
      <c r="P88" t="n">
        <v>0</v>
      </c>
      <c r="Q88" t="n">
        <v>0</v>
      </c>
      <c r="R88" s="2" t="inlineStr"/>
    </row>
    <row r="89" ht="15" customHeight="1">
      <c r="A89" t="inlineStr">
        <is>
          <t>A 40339-2023</t>
        </is>
      </c>
      <c r="B89" s="1" t="n">
        <v>45169.62733796296</v>
      </c>
      <c r="C89" s="1" t="n">
        <v>45894</v>
      </c>
      <c r="D89" t="inlineStr">
        <is>
          <t>KALMAR LÄN</t>
        </is>
      </c>
      <c r="E89" t="inlineStr">
        <is>
          <t>BORGHOLM</t>
        </is>
      </c>
      <c r="G89" t="n">
        <v>3.8</v>
      </c>
      <c r="H89" t="n">
        <v>0</v>
      </c>
      <c r="I89" t="n">
        <v>0</v>
      </c>
      <c r="J89" t="n">
        <v>0</v>
      </c>
      <c r="K89" t="n">
        <v>0</v>
      </c>
      <c r="L89" t="n">
        <v>0</v>
      </c>
      <c r="M89" t="n">
        <v>0</v>
      </c>
      <c r="N89" t="n">
        <v>0</v>
      </c>
      <c r="O89" t="n">
        <v>0</v>
      </c>
      <c r="P89" t="n">
        <v>0</v>
      </c>
      <c r="Q89" t="n">
        <v>0</v>
      </c>
      <c r="R89" s="2" t="inlineStr"/>
    </row>
    <row r="90" ht="15" customHeight="1">
      <c r="A90" t="inlineStr">
        <is>
          <t>A 44678-2022</t>
        </is>
      </c>
      <c r="B90" s="1" t="n">
        <v>44840.65100694444</v>
      </c>
      <c r="C90" s="1" t="n">
        <v>45894</v>
      </c>
      <c r="D90" t="inlineStr">
        <is>
          <t>KALMAR LÄN</t>
        </is>
      </c>
      <c r="E90" t="inlineStr">
        <is>
          <t>BORGHOLM</t>
        </is>
      </c>
      <c r="G90" t="n">
        <v>2.4</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45894</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31720-2022</t>
        </is>
      </c>
      <c r="B92" s="1" t="n">
        <v>44776</v>
      </c>
      <c r="C92" s="1" t="n">
        <v>45894</v>
      </c>
      <c r="D92" t="inlineStr">
        <is>
          <t>KALMAR LÄN</t>
        </is>
      </c>
      <c r="E92" t="inlineStr">
        <is>
          <t>BORGHOLM</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24166-2022</t>
        </is>
      </c>
      <c r="B93" s="1" t="n">
        <v>44725</v>
      </c>
      <c r="C93" s="1" t="n">
        <v>45894</v>
      </c>
      <c r="D93" t="inlineStr">
        <is>
          <t>KALMAR LÄN</t>
        </is>
      </c>
      <c r="E93" t="inlineStr">
        <is>
          <t>BORGHOLM</t>
        </is>
      </c>
      <c r="G93" t="n">
        <v>10.7</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45894</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5175-2024</t>
        </is>
      </c>
      <c r="B95" s="1" t="n">
        <v>45330</v>
      </c>
      <c r="C95" s="1" t="n">
        <v>45894</v>
      </c>
      <c r="D95" t="inlineStr">
        <is>
          <t>KALMAR LÄN</t>
        </is>
      </c>
      <c r="E95" t="inlineStr">
        <is>
          <t>BORGHOLM</t>
        </is>
      </c>
      <c r="G95" t="n">
        <v>1.5</v>
      </c>
      <c r="H95" t="n">
        <v>0</v>
      </c>
      <c r="I95" t="n">
        <v>0</v>
      </c>
      <c r="J95" t="n">
        <v>0</v>
      </c>
      <c r="K95" t="n">
        <v>0</v>
      </c>
      <c r="L95" t="n">
        <v>0</v>
      </c>
      <c r="M95" t="n">
        <v>0</v>
      </c>
      <c r="N95" t="n">
        <v>0</v>
      </c>
      <c r="O95" t="n">
        <v>0</v>
      </c>
      <c r="P95" t="n">
        <v>0</v>
      </c>
      <c r="Q95" t="n">
        <v>0</v>
      </c>
      <c r="R95" s="2" t="inlineStr"/>
    </row>
    <row r="96" ht="15" customHeight="1">
      <c r="A96" t="inlineStr">
        <is>
          <t>A 65144-2020</t>
        </is>
      </c>
      <c r="B96" s="1" t="n">
        <v>44172</v>
      </c>
      <c r="C96" s="1" t="n">
        <v>45894</v>
      </c>
      <c r="D96" t="inlineStr">
        <is>
          <t>KALMAR LÄN</t>
        </is>
      </c>
      <c r="E96" t="inlineStr">
        <is>
          <t>BORGHOLM</t>
        </is>
      </c>
      <c r="G96" t="n">
        <v>1.7</v>
      </c>
      <c r="H96" t="n">
        <v>0</v>
      </c>
      <c r="I96" t="n">
        <v>0</v>
      </c>
      <c r="J96" t="n">
        <v>0</v>
      </c>
      <c r="K96" t="n">
        <v>0</v>
      </c>
      <c r="L96" t="n">
        <v>0</v>
      </c>
      <c r="M96" t="n">
        <v>0</v>
      </c>
      <c r="N96" t="n">
        <v>0</v>
      </c>
      <c r="O96" t="n">
        <v>0</v>
      </c>
      <c r="P96" t="n">
        <v>0</v>
      </c>
      <c r="Q96" t="n">
        <v>0</v>
      </c>
      <c r="R96" s="2" t="inlineStr"/>
    </row>
    <row r="97" ht="15" customHeight="1">
      <c r="A97" t="inlineStr">
        <is>
          <t>A 26190-2025</t>
        </is>
      </c>
      <c r="B97" s="1" t="n">
        <v>45805.48349537037</v>
      </c>
      <c r="C97" s="1" t="n">
        <v>45894</v>
      </c>
      <c r="D97" t="inlineStr">
        <is>
          <t>KALMAR LÄN</t>
        </is>
      </c>
      <c r="E97" t="inlineStr">
        <is>
          <t>BORGHOLM</t>
        </is>
      </c>
      <c r="G97" t="n">
        <v>3.2</v>
      </c>
      <c r="H97" t="n">
        <v>0</v>
      </c>
      <c r="I97" t="n">
        <v>0</v>
      </c>
      <c r="J97" t="n">
        <v>0</v>
      </c>
      <c r="K97" t="n">
        <v>0</v>
      </c>
      <c r="L97" t="n">
        <v>0</v>
      </c>
      <c r="M97" t="n">
        <v>0</v>
      </c>
      <c r="N97" t="n">
        <v>0</v>
      </c>
      <c r="O97" t="n">
        <v>0</v>
      </c>
      <c r="P97" t="n">
        <v>0</v>
      </c>
      <c r="Q97" t="n">
        <v>0</v>
      </c>
      <c r="R97" s="2" t="inlineStr"/>
    </row>
    <row r="98" ht="15" customHeight="1">
      <c r="A98" t="inlineStr">
        <is>
          <t>A 34951-2022</t>
        </is>
      </c>
      <c r="B98" s="1" t="n">
        <v>44796</v>
      </c>
      <c r="C98" s="1" t="n">
        <v>45894</v>
      </c>
      <c r="D98" t="inlineStr">
        <is>
          <t>KALMAR LÄN</t>
        </is>
      </c>
      <c r="E98" t="inlineStr">
        <is>
          <t>BORGHOLM</t>
        </is>
      </c>
      <c r="F98" t="inlineStr">
        <is>
          <t>Sveaskog</t>
        </is>
      </c>
      <c r="G98" t="n">
        <v>4.6</v>
      </c>
      <c r="H98" t="n">
        <v>0</v>
      </c>
      <c r="I98" t="n">
        <v>0</v>
      </c>
      <c r="J98" t="n">
        <v>0</v>
      </c>
      <c r="K98" t="n">
        <v>0</v>
      </c>
      <c r="L98" t="n">
        <v>0</v>
      </c>
      <c r="M98" t="n">
        <v>0</v>
      </c>
      <c r="N98" t="n">
        <v>0</v>
      </c>
      <c r="O98" t="n">
        <v>0</v>
      </c>
      <c r="P98" t="n">
        <v>0</v>
      </c>
      <c r="Q98" t="n">
        <v>0</v>
      </c>
      <c r="R98" s="2" t="inlineStr"/>
    </row>
    <row r="99" ht="15" customHeight="1">
      <c r="A99" t="inlineStr">
        <is>
          <t>A 19867-2024</t>
        </is>
      </c>
      <c r="B99" s="1" t="n">
        <v>45433</v>
      </c>
      <c r="C99" s="1" t="n">
        <v>45894</v>
      </c>
      <c r="D99" t="inlineStr">
        <is>
          <t>KALMAR LÄN</t>
        </is>
      </c>
      <c r="E99" t="inlineStr">
        <is>
          <t>BORGHOLM</t>
        </is>
      </c>
      <c r="G99" t="n">
        <v>3.9</v>
      </c>
      <c r="H99" t="n">
        <v>0</v>
      </c>
      <c r="I99" t="n">
        <v>0</v>
      </c>
      <c r="J99" t="n">
        <v>0</v>
      </c>
      <c r="K99" t="n">
        <v>0</v>
      </c>
      <c r="L99" t="n">
        <v>0</v>
      </c>
      <c r="M99" t="n">
        <v>0</v>
      </c>
      <c r="N99" t="n">
        <v>0</v>
      </c>
      <c r="O99" t="n">
        <v>0</v>
      </c>
      <c r="P99" t="n">
        <v>0</v>
      </c>
      <c r="Q99" t="n">
        <v>0</v>
      </c>
      <c r="R99" s="2" t="inlineStr"/>
    </row>
    <row r="100" ht="15" customHeight="1">
      <c r="A100" t="inlineStr">
        <is>
          <t>A 26160-2025</t>
        </is>
      </c>
      <c r="B100" s="1" t="n">
        <v>45805.4490162037</v>
      </c>
      <c r="C100" s="1" t="n">
        <v>45894</v>
      </c>
      <c r="D100" t="inlineStr">
        <is>
          <t>KALMAR LÄN</t>
        </is>
      </c>
      <c r="E100" t="inlineStr">
        <is>
          <t>BORGHOLM</t>
        </is>
      </c>
      <c r="G100" t="n">
        <v>3.7</v>
      </c>
      <c r="H100" t="n">
        <v>0</v>
      </c>
      <c r="I100" t="n">
        <v>0</v>
      </c>
      <c r="J100" t="n">
        <v>0</v>
      </c>
      <c r="K100" t="n">
        <v>0</v>
      </c>
      <c r="L100" t="n">
        <v>0</v>
      </c>
      <c r="M100" t="n">
        <v>0</v>
      </c>
      <c r="N100" t="n">
        <v>0</v>
      </c>
      <c r="O100" t="n">
        <v>0</v>
      </c>
      <c r="P100" t="n">
        <v>0</v>
      </c>
      <c r="Q100" t="n">
        <v>0</v>
      </c>
      <c r="R100" s="2" t="inlineStr"/>
    </row>
    <row r="101" ht="15" customHeight="1">
      <c r="A101" t="inlineStr">
        <is>
          <t>A 4159-2024</t>
        </is>
      </c>
      <c r="B101" s="1" t="n">
        <v>45323</v>
      </c>
      <c r="C101" s="1" t="n">
        <v>45894</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13383-2023</t>
        </is>
      </c>
      <c r="B102" s="1" t="n">
        <v>45005</v>
      </c>
      <c r="C102" s="1" t="n">
        <v>45894</v>
      </c>
      <c r="D102" t="inlineStr">
        <is>
          <t>KALMAR LÄN</t>
        </is>
      </c>
      <c r="E102" t="inlineStr">
        <is>
          <t>BORGHOLM</t>
        </is>
      </c>
      <c r="G102" t="n">
        <v>0.8</v>
      </c>
      <c r="H102" t="n">
        <v>0</v>
      </c>
      <c r="I102" t="n">
        <v>0</v>
      </c>
      <c r="J102" t="n">
        <v>0</v>
      </c>
      <c r="K102" t="n">
        <v>0</v>
      </c>
      <c r="L102" t="n">
        <v>0</v>
      </c>
      <c r="M102" t="n">
        <v>0</v>
      </c>
      <c r="N102" t="n">
        <v>0</v>
      </c>
      <c r="O102" t="n">
        <v>0</v>
      </c>
      <c r="P102" t="n">
        <v>0</v>
      </c>
      <c r="Q102" t="n">
        <v>0</v>
      </c>
      <c r="R102" s="2" t="inlineStr"/>
    </row>
    <row r="103" ht="15" customHeight="1">
      <c r="A103" t="inlineStr">
        <is>
          <t>A 32921-2023</t>
        </is>
      </c>
      <c r="B103" s="1" t="n">
        <v>45125</v>
      </c>
      <c r="C103" s="1" t="n">
        <v>45894</v>
      </c>
      <c r="D103" t="inlineStr">
        <is>
          <t>KALMAR LÄN</t>
        </is>
      </c>
      <c r="E103" t="inlineStr">
        <is>
          <t>BORGHOLM</t>
        </is>
      </c>
      <c r="G103" t="n">
        <v>2.9</v>
      </c>
      <c r="H103" t="n">
        <v>0</v>
      </c>
      <c r="I103" t="n">
        <v>0</v>
      </c>
      <c r="J103" t="n">
        <v>0</v>
      </c>
      <c r="K103" t="n">
        <v>0</v>
      </c>
      <c r="L103" t="n">
        <v>0</v>
      </c>
      <c r="M103" t="n">
        <v>0</v>
      </c>
      <c r="N103" t="n">
        <v>0</v>
      </c>
      <c r="O103" t="n">
        <v>0</v>
      </c>
      <c r="P103" t="n">
        <v>0</v>
      </c>
      <c r="Q103" t="n">
        <v>0</v>
      </c>
      <c r="R103" s="2" t="inlineStr"/>
    </row>
    <row r="104" ht="15" customHeight="1">
      <c r="A104" t="inlineStr">
        <is>
          <t>A 27357-2025</t>
        </is>
      </c>
      <c r="B104" s="1" t="n">
        <v>45812.63650462963</v>
      </c>
      <c r="C104" s="1" t="n">
        <v>45894</v>
      </c>
      <c r="D104" t="inlineStr">
        <is>
          <t>KALMAR LÄN</t>
        </is>
      </c>
      <c r="E104" t="inlineStr">
        <is>
          <t>BORGHOLM</t>
        </is>
      </c>
      <c r="F104" t="inlineStr">
        <is>
          <t>Sveaskog</t>
        </is>
      </c>
      <c r="G104" t="n">
        <v>4.5</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45894</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45894</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27366-2025</t>
        </is>
      </c>
      <c r="B107" s="1" t="n">
        <v>45812.64475694444</v>
      </c>
      <c r="C107" s="1" t="n">
        <v>45894</v>
      </c>
      <c r="D107" t="inlineStr">
        <is>
          <t>KALMAR LÄN</t>
        </is>
      </c>
      <c r="E107" t="inlineStr">
        <is>
          <t>BORGHOLM</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53050-2021</t>
        </is>
      </c>
      <c r="B108" s="1" t="n">
        <v>44467</v>
      </c>
      <c r="C108" s="1" t="n">
        <v>45894</v>
      </c>
      <c r="D108" t="inlineStr">
        <is>
          <t>KALMAR LÄN</t>
        </is>
      </c>
      <c r="E108" t="inlineStr">
        <is>
          <t>BORGHOLM</t>
        </is>
      </c>
      <c r="G108" t="n">
        <v>3.6</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45894</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4165-2023</t>
        </is>
      </c>
      <c r="B110" s="1" t="n">
        <v>44953</v>
      </c>
      <c r="C110" s="1" t="n">
        <v>45894</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45894</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63276-2023</t>
        </is>
      </c>
      <c r="B112" s="1" t="n">
        <v>45273.82195601852</v>
      </c>
      <c r="C112" s="1" t="n">
        <v>45894</v>
      </c>
      <c r="D112" t="inlineStr">
        <is>
          <t>KALMAR LÄN</t>
        </is>
      </c>
      <c r="E112" t="inlineStr">
        <is>
          <t>BORGHOLM</t>
        </is>
      </c>
      <c r="G112" t="n">
        <v>5</v>
      </c>
      <c r="H112" t="n">
        <v>0</v>
      </c>
      <c r="I112" t="n">
        <v>0</v>
      </c>
      <c r="J112" t="n">
        <v>0</v>
      </c>
      <c r="K112" t="n">
        <v>0</v>
      </c>
      <c r="L112" t="n">
        <v>0</v>
      </c>
      <c r="M112" t="n">
        <v>0</v>
      </c>
      <c r="N112" t="n">
        <v>0</v>
      </c>
      <c r="O112" t="n">
        <v>0</v>
      </c>
      <c r="P112" t="n">
        <v>0</v>
      </c>
      <c r="Q112" t="n">
        <v>0</v>
      </c>
      <c r="R112" s="2" t="inlineStr"/>
    </row>
    <row r="113" ht="15" customHeight="1">
      <c r="A113" t="inlineStr">
        <is>
          <t>A 28782-2025</t>
        </is>
      </c>
      <c r="B113" s="1" t="n">
        <v>45820.45572916666</v>
      </c>
      <c r="C113" s="1" t="n">
        <v>45894</v>
      </c>
      <c r="D113" t="inlineStr">
        <is>
          <t>KALMAR LÄN</t>
        </is>
      </c>
      <c r="E113" t="inlineStr">
        <is>
          <t>BORGHOLM</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36269-2025</t>
        </is>
      </c>
      <c r="B114" s="1" t="n">
        <v>45867.61736111111</v>
      </c>
      <c r="C114" s="1" t="n">
        <v>45894</v>
      </c>
      <c r="D114" t="inlineStr">
        <is>
          <t>KALMAR LÄN</t>
        </is>
      </c>
      <c r="E114" t="inlineStr">
        <is>
          <t>BORGHOLM</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12481-2025</t>
        </is>
      </c>
      <c r="B115" s="1" t="n">
        <v>45730.57878472222</v>
      </c>
      <c r="C115" s="1" t="n">
        <v>45894</v>
      </c>
      <c r="D115" t="inlineStr">
        <is>
          <t>KALMAR LÄN</t>
        </is>
      </c>
      <c r="E115" t="inlineStr">
        <is>
          <t>BORGHOLM</t>
        </is>
      </c>
      <c r="G115" t="n">
        <v>7.2</v>
      </c>
      <c r="H115" t="n">
        <v>0</v>
      </c>
      <c r="I115" t="n">
        <v>0</v>
      </c>
      <c r="J115" t="n">
        <v>0</v>
      </c>
      <c r="K115" t="n">
        <v>0</v>
      </c>
      <c r="L115" t="n">
        <v>0</v>
      </c>
      <c r="M115" t="n">
        <v>0</v>
      </c>
      <c r="N115" t="n">
        <v>0</v>
      </c>
      <c r="O115" t="n">
        <v>0</v>
      </c>
      <c r="P115" t="n">
        <v>0</v>
      </c>
      <c r="Q115" t="n">
        <v>0</v>
      </c>
      <c r="R115" s="2" t="inlineStr"/>
    </row>
    <row r="116" ht="15" customHeight="1">
      <c r="A116" t="inlineStr">
        <is>
          <t>A 27326-2025</t>
        </is>
      </c>
      <c r="B116" s="1" t="n">
        <v>45812</v>
      </c>
      <c r="C116" s="1" t="n">
        <v>45894</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1614-2025</t>
        </is>
      </c>
      <c r="B117" s="1" t="n">
        <v>45670.60094907408</v>
      </c>
      <c r="C117" s="1" t="n">
        <v>45894</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13043-2024</t>
        </is>
      </c>
      <c r="B118" s="1" t="n">
        <v>45385.60111111111</v>
      </c>
      <c r="C118" s="1" t="n">
        <v>45894</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45894</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9076-2025</t>
        </is>
      </c>
      <c r="B120" s="1" t="n">
        <v>45713.6596875</v>
      </c>
      <c r="C120" s="1" t="n">
        <v>45894</v>
      </c>
      <c r="D120" t="inlineStr">
        <is>
          <t>KALMAR LÄN</t>
        </is>
      </c>
      <c r="E120" t="inlineStr">
        <is>
          <t>BORGHOLM</t>
        </is>
      </c>
      <c r="F120" t="inlineStr">
        <is>
          <t>Sveaskog</t>
        </is>
      </c>
      <c r="G120" t="n">
        <v>4.2</v>
      </c>
      <c r="H120" t="n">
        <v>0</v>
      </c>
      <c r="I120" t="n">
        <v>0</v>
      </c>
      <c r="J120" t="n">
        <v>0</v>
      </c>
      <c r="K120" t="n">
        <v>0</v>
      </c>
      <c r="L120" t="n">
        <v>0</v>
      </c>
      <c r="M120" t="n">
        <v>0</v>
      </c>
      <c r="N120" t="n">
        <v>0</v>
      </c>
      <c r="O120" t="n">
        <v>0</v>
      </c>
      <c r="P120" t="n">
        <v>0</v>
      </c>
      <c r="Q120" t="n">
        <v>0</v>
      </c>
      <c r="R120" s="2" t="inlineStr"/>
    </row>
    <row r="121" ht="15" customHeight="1">
      <c r="A121" t="inlineStr">
        <is>
          <t>A 1757-2025</t>
        </is>
      </c>
      <c r="B121" s="1" t="n">
        <v>45671.42195601852</v>
      </c>
      <c r="C121" s="1" t="n">
        <v>45894</v>
      </c>
      <c r="D121" t="inlineStr">
        <is>
          <t>KALMAR LÄN</t>
        </is>
      </c>
      <c r="E121" t="inlineStr">
        <is>
          <t>BORGHOLM</t>
        </is>
      </c>
      <c r="G121" t="n">
        <v>1.4</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45894</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9044-2025</t>
        </is>
      </c>
      <c r="B123" s="1" t="n">
        <v>45713.6275</v>
      </c>
      <c r="C123" s="1" t="n">
        <v>45894</v>
      </c>
      <c r="D123" t="inlineStr">
        <is>
          <t>KALMAR LÄN</t>
        </is>
      </c>
      <c r="E123" t="inlineStr">
        <is>
          <t>BORGHOLM</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45894</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c r="A125" t="inlineStr">
        <is>
          <t>A 20878-2024</t>
        </is>
      </c>
      <c r="B125" s="1" t="n">
        <v>45439.44748842593</v>
      </c>
      <c r="C125" s="1" t="n">
        <v>45894</v>
      </c>
      <c r="D125" t="inlineStr">
        <is>
          <t>KALMAR LÄN</t>
        </is>
      </c>
      <c r="E125" t="inlineStr">
        <is>
          <t>BORGHOLM</t>
        </is>
      </c>
      <c r="G125" t="n">
        <v>1.9</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2025-08-25T08:30:54Z</dcterms:created>
  <dcterms:modified xmlns:dcterms="http://purl.org/dc/terms/" xmlns:xsi="http://www.w3.org/2001/XMLSchema-instance" xsi:type="dcterms:W3CDTF">2025-08-25T08:30:54Z</dcterms:modified>
</cp:coreProperties>
</file>