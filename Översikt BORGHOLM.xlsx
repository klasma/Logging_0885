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46113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46113</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46113</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46113</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46113</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46113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46113</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46113</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46113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15285-2026</t>
        </is>
      </c>
      <c r="B28" s="1" t="n">
        <v>46105.6156712963</v>
      </c>
      <c r="C28" s="1" t="n">
        <v>46113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46113</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46113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46113</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13558-2025</t>
        </is>
      </c>
      <c r="B33" s="1" t="n">
        <v>45736.54974537037</v>
      </c>
      <c r="C33" s="1" t="n">
        <v>46113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41640-2023</t>
        </is>
      </c>
      <c r="B34" s="1" t="n">
        <v>45175</v>
      </c>
      <c r="C34" s="1" t="n">
        <v>46113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46113</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24701-2023</t>
        </is>
      </c>
      <c r="B36" s="1" t="n">
        <v>45084</v>
      </c>
      <c r="C36" s="1" t="n">
        <v>46113</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45693-2025</t>
        </is>
      </c>
      <c r="B37" s="1" t="n">
        <v>45923</v>
      </c>
      <c r="C37" s="1" t="n">
        <v>46113</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46113</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24704-2023</t>
        </is>
      </c>
      <c r="B39" s="1" t="n">
        <v>45084</v>
      </c>
      <c r="C39" s="1" t="n">
        <v>46113</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28785-2025</t>
        </is>
      </c>
      <c r="B40" s="1" t="n">
        <v>45820.46159722222</v>
      </c>
      <c r="C40" s="1" t="n">
        <v>46113</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46113</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34885-2025</t>
        </is>
      </c>
      <c r="B42" s="1" t="n">
        <v>45849.47128472223</v>
      </c>
      <c r="C42" s="1" t="n">
        <v>46113</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3302-2026</t>
        </is>
      </c>
      <c r="B43" s="1" t="n">
        <v>46041</v>
      </c>
      <c r="C43" s="1" t="n">
        <v>46113</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46113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22785-2025</t>
        </is>
      </c>
      <c r="B56" s="1" t="n">
        <v>45789.64186342592</v>
      </c>
      <c r="C56" s="1" t="n">
        <v>46113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53050-2021</t>
        </is>
      </c>
      <c r="B57" s="1" t="n">
        <v>44467</v>
      </c>
      <c r="C57" s="1" t="n">
        <v>46113</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46113</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12534-2022</t>
        </is>
      </c>
      <c r="B59" s="1" t="n">
        <v>44638</v>
      </c>
      <c r="C59" s="1" t="n">
        <v>46113</v>
      </c>
      <c r="D59" t="inlineStr">
        <is>
          <t>KALMAR LÄN</t>
        </is>
      </c>
      <c r="E59" t="inlineStr">
        <is>
          <t>BORGHOLM</t>
        </is>
      </c>
      <c r="G59" t="n">
        <v>8.6</v>
      </c>
      <c r="H59" t="n">
        <v>0</v>
      </c>
      <c r="I59" t="n">
        <v>0</v>
      </c>
      <c r="J59" t="n">
        <v>0</v>
      </c>
      <c r="K59" t="n">
        <v>0</v>
      </c>
      <c r="L59" t="n">
        <v>0</v>
      </c>
      <c r="M59" t="n">
        <v>0</v>
      </c>
      <c r="N59" t="n">
        <v>0</v>
      </c>
      <c r="O59" t="n">
        <v>0</v>
      </c>
      <c r="P59" t="n">
        <v>0</v>
      </c>
      <c r="Q59" t="n">
        <v>0</v>
      </c>
      <c r="R59" s="2" t="inlineStr"/>
    </row>
    <row r="60" ht="15" customHeight="1">
      <c r="A60" t="inlineStr">
        <is>
          <t>A 31720-2022</t>
        </is>
      </c>
      <c r="B60" s="1" t="n">
        <v>44776</v>
      </c>
      <c r="C60" s="1" t="n">
        <v>46113</v>
      </c>
      <c r="D60" t="inlineStr">
        <is>
          <t>KALMAR LÄN</t>
        </is>
      </c>
      <c r="E60" t="inlineStr">
        <is>
          <t>BORGHOLM</t>
        </is>
      </c>
      <c r="F60" t="inlineStr">
        <is>
          <t>Sveaskog</t>
        </is>
      </c>
      <c r="G60" t="n">
        <v>4.5</v>
      </c>
      <c r="H60" t="n">
        <v>0</v>
      </c>
      <c r="I60" t="n">
        <v>0</v>
      </c>
      <c r="J60" t="n">
        <v>0</v>
      </c>
      <c r="K60" t="n">
        <v>0</v>
      </c>
      <c r="L60" t="n">
        <v>0</v>
      </c>
      <c r="M60" t="n">
        <v>0</v>
      </c>
      <c r="N60" t="n">
        <v>0</v>
      </c>
      <c r="O60" t="n">
        <v>0</v>
      </c>
      <c r="P60" t="n">
        <v>0</v>
      </c>
      <c r="Q60" t="n">
        <v>0</v>
      </c>
      <c r="R60" s="2" t="inlineStr"/>
    </row>
    <row r="61" ht="15" customHeight="1">
      <c r="A61" t="inlineStr">
        <is>
          <t>A 29656-2023</t>
        </is>
      </c>
      <c r="B61" s="1" t="n">
        <v>45107</v>
      </c>
      <c r="C61" s="1" t="n">
        <v>46113</v>
      </c>
      <c r="D61" t="inlineStr">
        <is>
          <t>KALMAR LÄN</t>
        </is>
      </c>
      <c r="E61" t="inlineStr">
        <is>
          <t>BORGHOLM</t>
        </is>
      </c>
      <c r="G61" t="n">
        <v>4.1</v>
      </c>
      <c r="H61" t="n">
        <v>0</v>
      </c>
      <c r="I61" t="n">
        <v>0</v>
      </c>
      <c r="J61" t="n">
        <v>0</v>
      </c>
      <c r="K61" t="n">
        <v>0</v>
      </c>
      <c r="L61" t="n">
        <v>0</v>
      </c>
      <c r="M61" t="n">
        <v>0</v>
      </c>
      <c r="N61" t="n">
        <v>0</v>
      </c>
      <c r="O61" t="n">
        <v>0</v>
      </c>
      <c r="P61" t="n">
        <v>0</v>
      </c>
      <c r="Q61" t="n">
        <v>0</v>
      </c>
      <c r="R61" s="2" t="inlineStr"/>
    </row>
    <row r="62" ht="15" customHeight="1">
      <c r="A62" t="inlineStr">
        <is>
          <t>A 31699-2022</t>
        </is>
      </c>
      <c r="B62" s="1" t="n">
        <v>44776</v>
      </c>
      <c r="C62" s="1" t="n">
        <v>46113</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46113</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41831-2025</t>
        </is>
      </c>
      <c r="B64" s="1" t="n">
        <v>45902.67887731481</v>
      </c>
      <c r="C64" s="1" t="n">
        <v>46113</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4165-2023</t>
        </is>
      </c>
      <c r="B65" s="1" t="n">
        <v>44953</v>
      </c>
      <c r="C65" s="1" t="n">
        <v>46113</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42232-2025</t>
        </is>
      </c>
      <c r="B66" s="1" t="n">
        <v>45904.55591435185</v>
      </c>
      <c r="C66" s="1" t="n">
        <v>46113</v>
      </c>
      <c r="D66" t="inlineStr">
        <is>
          <t>KALMAR LÄN</t>
        </is>
      </c>
      <c r="E66" t="inlineStr">
        <is>
          <t>BORGHOLM</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41950-2025</t>
        </is>
      </c>
      <c r="B67" s="1" t="n">
        <v>45903.45767361111</v>
      </c>
      <c r="C67" s="1" t="n">
        <v>46113</v>
      </c>
      <c r="D67" t="inlineStr">
        <is>
          <t>KALMAR LÄN</t>
        </is>
      </c>
      <c r="E67" t="inlineStr">
        <is>
          <t>BORGHOLM</t>
        </is>
      </c>
      <c r="G67" t="n">
        <v>1.8</v>
      </c>
      <c r="H67" t="n">
        <v>0</v>
      </c>
      <c r="I67" t="n">
        <v>0</v>
      </c>
      <c r="J67" t="n">
        <v>0</v>
      </c>
      <c r="K67" t="n">
        <v>0</v>
      </c>
      <c r="L67" t="n">
        <v>0</v>
      </c>
      <c r="M67" t="n">
        <v>0</v>
      </c>
      <c r="N67" t="n">
        <v>0</v>
      </c>
      <c r="O67" t="n">
        <v>0</v>
      </c>
      <c r="P67" t="n">
        <v>0</v>
      </c>
      <c r="Q67" t="n">
        <v>0</v>
      </c>
      <c r="R67" s="2" t="inlineStr"/>
    </row>
    <row r="68" ht="15" customHeight="1">
      <c r="A68" t="inlineStr">
        <is>
          <t>A 26160-2024</t>
        </is>
      </c>
      <c r="B68" s="1" t="n">
        <v>45468</v>
      </c>
      <c r="C68" s="1" t="n">
        <v>46113</v>
      </c>
      <c r="D68" t="inlineStr">
        <is>
          <t>KALMAR LÄN</t>
        </is>
      </c>
      <c r="E68" t="inlineStr">
        <is>
          <t>BORGHOLM</t>
        </is>
      </c>
      <c r="G68" t="n">
        <v>0.4</v>
      </c>
      <c r="H68" t="n">
        <v>0</v>
      </c>
      <c r="I68" t="n">
        <v>0</v>
      </c>
      <c r="J68" t="n">
        <v>0</v>
      </c>
      <c r="K68" t="n">
        <v>0</v>
      </c>
      <c r="L68" t="n">
        <v>0</v>
      </c>
      <c r="M68" t="n">
        <v>0</v>
      </c>
      <c r="N68" t="n">
        <v>0</v>
      </c>
      <c r="O68" t="n">
        <v>0</v>
      </c>
      <c r="P68" t="n">
        <v>0</v>
      </c>
      <c r="Q68" t="n">
        <v>0</v>
      </c>
      <c r="R68" s="2" t="inlineStr"/>
      <c r="T68">
        <f>HYPERLINK("https://klasma.github.io/Logging_0885/kartor/A 26160-2024 karta.png", "A 26160-2024")</f>
        <v/>
      </c>
      <c r="V68">
        <f>HYPERLINK("https://klasma.github.io/Logging_0885/klagomål/A 26160-2024 FSC-klagomål.docx", "A 26160-2024")</f>
        <v/>
      </c>
      <c r="W68">
        <f>HYPERLINK("https://klasma.github.io/Logging_0885/klagomålsmail/A 26160-2024 FSC-klagomål mail.docx", "A 26160-2024")</f>
        <v/>
      </c>
      <c r="X68">
        <f>HYPERLINK("https://klasma.github.io/Logging_0885/tillsyn/A 26160-2024 tillsynsbegäran.docx", "A 26160-2024")</f>
        <v/>
      </c>
      <c r="Y68">
        <f>HYPERLINK("https://klasma.github.io/Logging_0885/tillsynsmail/A 26160-2024 tillsynsbegäran mail.docx", "A 26160-2024")</f>
        <v/>
      </c>
    </row>
    <row r="69" ht="15" customHeight="1">
      <c r="A69" t="inlineStr">
        <is>
          <t>A 43542-2025</t>
        </is>
      </c>
      <c r="B69" s="1" t="n">
        <v>45911.61123842592</v>
      </c>
      <c r="C69" s="1" t="n">
        <v>46113</v>
      </c>
      <c r="D69" t="inlineStr">
        <is>
          <t>KALMAR LÄN</t>
        </is>
      </c>
      <c r="E69" t="inlineStr">
        <is>
          <t>BORGHOLM</t>
        </is>
      </c>
      <c r="G69" t="n">
        <v>2.4</v>
      </c>
      <c r="H69" t="n">
        <v>0</v>
      </c>
      <c r="I69" t="n">
        <v>0</v>
      </c>
      <c r="J69" t="n">
        <v>0</v>
      </c>
      <c r="K69" t="n">
        <v>0</v>
      </c>
      <c r="L69" t="n">
        <v>0</v>
      </c>
      <c r="M69" t="n">
        <v>0</v>
      </c>
      <c r="N69" t="n">
        <v>0</v>
      </c>
      <c r="O69" t="n">
        <v>0</v>
      </c>
      <c r="P69" t="n">
        <v>0</v>
      </c>
      <c r="Q69" t="n">
        <v>0</v>
      </c>
      <c r="R69" s="2" t="inlineStr"/>
    </row>
    <row r="70" ht="15" customHeight="1">
      <c r="A70" t="inlineStr">
        <is>
          <t>A 13548-2025</t>
        </is>
      </c>
      <c r="B70" s="1" t="n">
        <v>45736.53827546296</v>
      </c>
      <c r="C70" s="1" t="n">
        <v>46113</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32921-2023</t>
        </is>
      </c>
      <c r="B71" s="1" t="n">
        <v>45125</v>
      </c>
      <c r="C71" s="1" t="n">
        <v>46113</v>
      </c>
      <c r="D71" t="inlineStr">
        <is>
          <t>KALMAR LÄN</t>
        </is>
      </c>
      <c r="E71" t="inlineStr">
        <is>
          <t>BORGHOLM</t>
        </is>
      </c>
      <c r="G71" t="n">
        <v>2.9</v>
      </c>
      <c r="H71" t="n">
        <v>0</v>
      </c>
      <c r="I71" t="n">
        <v>0</v>
      </c>
      <c r="J71" t="n">
        <v>0</v>
      </c>
      <c r="K71" t="n">
        <v>0</v>
      </c>
      <c r="L71" t="n">
        <v>0</v>
      </c>
      <c r="M71" t="n">
        <v>0</v>
      </c>
      <c r="N71" t="n">
        <v>0</v>
      </c>
      <c r="O71" t="n">
        <v>0</v>
      </c>
      <c r="P71" t="n">
        <v>0</v>
      </c>
      <c r="Q71" t="n">
        <v>0</v>
      </c>
      <c r="R71" s="2" t="inlineStr"/>
    </row>
    <row r="72" ht="15" customHeight="1">
      <c r="A72" t="inlineStr">
        <is>
          <t>A 40339-2023</t>
        </is>
      </c>
      <c r="B72" s="1" t="n">
        <v>45169.62733796296</v>
      </c>
      <c r="C72" s="1" t="n">
        <v>46113</v>
      </c>
      <c r="D72" t="inlineStr">
        <is>
          <t>KALMAR LÄN</t>
        </is>
      </c>
      <c r="E72" t="inlineStr">
        <is>
          <t>BORGHOLM</t>
        </is>
      </c>
      <c r="G72" t="n">
        <v>3.8</v>
      </c>
      <c r="H72" t="n">
        <v>0</v>
      </c>
      <c r="I72" t="n">
        <v>0</v>
      </c>
      <c r="J72" t="n">
        <v>0</v>
      </c>
      <c r="K72" t="n">
        <v>0</v>
      </c>
      <c r="L72" t="n">
        <v>0</v>
      </c>
      <c r="M72" t="n">
        <v>0</v>
      </c>
      <c r="N72" t="n">
        <v>0</v>
      </c>
      <c r="O72" t="n">
        <v>0</v>
      </c>
      <c r="P72" t="n">
        <v>0</v>
      </c>
      <c r="Q72" t="n">
        <v>0</v>
      </c>
      <c r="R72" s="2" t="inlineStr"/>
    </row>
    <row r="73" ht="15" customHeight="1">
      <c r="A73" t="inlineStr">
        <is>
          <t>A 31840-2021</t>
        </is>
      </c>
      <c r="B73" s="1" t="n">
        <v>44370</v>
      </c>
      <c r="C73" s="1" t="n">
        <v>46113</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46113</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46113</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20878-2024</t>
        </is>
      </c>
      <c r="B76" s="1" t="n">
        <v>45439.44748842593</v>
      </c>
      <c r="C76" s="1" t="n">
        <v>46113</v>
      </c>
      <c r="D76" t="inlineStr">
        <is>
          <t>KALMAR LÄN</t>
        </is>
      </c>
      <c r="E76" t="inlineStr">
        <is>
          <t>BORGHOLM</t>
        </is>
      </c>
      <c r="G76" t="n">
        <v>1.9</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46113</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44678-2022</t>
        </is>
      </c>
      <c r="B78" s="1" t="n">
        <v>44840.65100694444</v>
      </c>
      <c r="C78" s="1" t="n">
        <v>46113</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46113</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46113</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64303-2023</t>
        </is>
      </c>
      <c r="B81" s="1" t="n">
        <v>45280</v>
      </c>
      <c r="C81" s="1" t="n">
        <v>46113</v>
      </c>
      <c r="D81" t="inlineStr">
        <is>
          <t>KALMAR LÄN</t>
        </is>
      </c>
      <c r="E81" t="inlineStr">
        <is>
          <t>BORGHOLM</t>
        </is>
      </c>
      <c r="G81" t="n">
        <v>1.2</v>
      </c>
      <c r="H81" t="n">
        <v>0</v>
      </c>
      <c r="I81" t="n">
        <v>0</v>
      </c>
      <c r="J81" t="n">
        <v>0</v>
      </c>
      <c r="K81" t="n">
        <v>0</v>
      </c>
      <c r="L81" t="n">
        <v>0</v>
      </c>
      <c r="M81" t="n">
        <v>0</v>
      </c>
      <c r="N81" t="n">
        <v>0</v>
      </c>
      <c r="O81" t="n">
        <v>0</v>
      </c>
      <c r="P81" t="n">
        <v>0</v>
      </c>
      <c r="Q81" t="n">
        <v>0</v>
      </c>
      <c r="R81" s="2" t="inlineStr"/>
    </row>
    <row r="82" ht="15" customHeight="1">
      <c r="A82" t="inlineStr">
        <is>
          <t>A 26160-2025</t>
        </is>
      </c>
      <c r="B82" s="1" t="n">
        <v>45805.4490162037</v>
      </c>
      <c r="C82" s="1" t="n">
        <v>46113</v>
      </c>
      <c r="D82" t="inlineStr">
        <is>
          <t>KALMAR LÄN</t>
        </is>
      </c>
      <c r="E82" t="inlineStr">
        <is>
          <t>BORGHOLM</t>
        </is>
      </c>
      <c r="G82" t="n">
        <v>3.7</v>
      </c>
      <c r="H82" t="n">
        <v>0</v>
      </c>
      <c r="I82" t="n">
        <v>0</v>
      </c>
      <c r="J82" t="n">
        <v>0</v>
      </c>
      <c r="K82" t="n">
        <v>0</v>
      </c>
      <c r="L82" t="n">
        <v>0</v>
      </c>
      <c r="M82" t="n">
        <v>0</v>
      </c>
      <c r="N82" t="n">
        <v>0</v>
      </c>
      <c r="O82" t="n">
        <v>0</v>
      </c>
      <c r="P82" t="n">
        <v>0</v>
      </c>
      <c r="Q82" t="n">
        <v>0</v>
      </c>
      <c r="R82" s="2" t="inlineStr"/>
    </row>
    <row r="83" ht="15" customHeight="1">
      <c r="A83" t="inlineStr">
        <is>
          <t>A 26190-2025</t>
        </is>
      </c>
      <c r="B83" s="1" t="n">
        <v>45805.48349537037</v>
      </c>
      <c r="C83" s="1" t="n">
        <v>46113</v>
      </c>
      <c r="D83" t="inlineStr">
        <is>
          <t>KALMAR LÄN</t>
        </is>
      </c>
      <c r="E83" t="inlineStr">
        <is>
          <t>BORGHOLM</t>
        </is>
      </c>
      <c r="G83" t="n">
        <v>3.2</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46113</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46113</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50129-2021</t>
        </is>
      </c>
      <c r="B86" s="1" t="n">
        <v>44456</v>
      </c>
      <c r="C86" s="1" t="n">
        <v>46113</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27357-2025</t>
        </is>
      </c>
      <c r="B87" s="1" t="n">
        <v>45812.63650462963</v>
      </c>
      <c r="C87" s="1" t="n">
        <v>46113</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27366-2025</t>
        </is>
      </c>
      <c r="B88" s="1" t="n">
        <v>45812.64475694444</v>
      </c>
      <c r="C88" s="1" t="n">
        <v>46113</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28782-2025</t>
        </is>
      </c>
      <c r="B89" s="1" t="n">
        <v>45820.45572916666</v>
      </c>
      <c r="C89" s="1" t="n">
        <v>46113</v>
      </c>
      <c r="D89" t="inlineStr">
        <is>
          <t>KALMAR LÄN</t>
        </is>
      </c>
      <c r="E89" t="inlineStr">
        <is>
          <t>BORGHOLM</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46113</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46113</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46113</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46113</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46113</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46113</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9076-2025</t>
        </is>
      </c>
      <c r="B96" s="1" t="n">
        <v>45713.6596875</v>
      </c>
      <c r="C96" s="1" t="n">
        <v>46113</v>
      </c>
      <c r="D96" t="inlineStr">
        <is>
          <t>KALMAR LÄN</t>
        </is>
      </c>
      <c r="E96" t="inlineStr">
        <is>
          <t>BORGHOLM</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46113</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46113</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46113</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46113</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46113</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9034-2025</t>
        </is>
      </c>
      <c r="B102" s="1" t="n">
        <v>45713</v>
      </c>
      <c r="C102" s="1" t="n">
        <v>46113</v>
      </c>
      <c r="D102" t="inlineStr">
        <is>
          <t>KALMAR LÄN</t>
        </is>
      </c>
      <c r="E102" t="inlineStr">
        <is>
          <t>BORGHOLM</t>
        </is>
      </c>
      <c r="F102" t="inlineStr">
        <is>
          <t>Sveaskog</t>
        </is>
      </c>
      <c r="G102" t="n">
        <v>6.8</v>
      </c>
      <c r="H102" t="n">
        <v>0</v>
      </c>
      <c r="I102" t="n">
        <v>0</v>
      </c>
      <c r="J102" t="n">
        <v>0</v>
      </c>
      <c r="K102" t="n">
        <v>0</v>
      </c>
      <c r="L102" t="n">
        <v>0</v>
      </c>
      <c r="M102" t="n">
        <v>0</v>
      </c>
      <c r="N102" t="n">
        <v>0</v>
      </c>
      <c r="O102" t="n">
        <v>0</v>
      </c>
      <c r="P102" t="n">
        <v>0</v>
      </c>
      <c r="Q102" t="n">
        <v>0</v>
      </c>
      <c r="R102" s="2" t="inlineStr"/>
    </row>
    <row r="103" ht="15" customHeight="1">
      <c r="A103" t="inlineStr">
        <is>
          <t>A 9905-2026</t>
        </is>
      </c>
      <c r="B103" s="1" t="n">
        <v>46073.4108912037</v>
      </c>
      <c r="C103" s="1" t="n">
        <v>46113</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46113</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45867.61736111111</v>
      </c>
      <c r="C105" s="1" t="n">
        <v>46113</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3878-2023</t>
        </is>
      </c>
      <c r="B106" s="1" t="n">
        <v>44951</v>
      </c>
      <c r="C106" s="1" t="n">
        <v>46113</v>
      </c>
      <c r="D106" t="inlineStr">
        <is>
          <t>KALMAR LÄN</t>
        </is>
      </c>
      <c r="E106" t="inlineStr">
        <is>
          <t>BORGHOLM</t>
        </is>
      </c>
      <c r="G106" t="n">
        <v>1.7</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46113</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46113</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12937-2022</t>
        </is>
      </c>
      <c r="B109" s="1" t="n">
        <v>44642</v>
      </c>
      <c r="C109" s="1" t="n">
        <v>46113</v>
      </c>
      <c r="D109" t="inlineStr">
        <is>
          <t>KALMAR LÄN</t>
        </is>
      </c>
      <c r="E109" t="inlineStr">
        <is>
          <t>BORGHOLM</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7481-2026</t>
        </is>
      </c>
      <c r="B110" s="1" t="n">
        <v>46059.51359953704</v>
      </c>
      <c r="C110" s="1" t="n">
        <v>46113</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15264-2026</t>
        </is>
      </c>
      <c r="B111" s="1" t="n">
        <v>46105.59372685185</v>
      </c>
      <c r="C111" s="1" t="n">
        <v>46113</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15272-2026</t>
        </is>
      </c>
      <c r="B112" s="1" t="n">
        <v>46105.60017361111</v>
      </c>
      <c r="C112" s="1" t="n">
        <v>46113</v>
      </c>
      <c r="D112" t="inlineStr">
        <is>
          <t>KALMAR LÄN</t>
        </is>
      </c>
      <c r="E112" t="inlineStr">
        <is>
          <t>BORGHOLM</t>
        </is>
      </c>
      <c r="F112" t="inlineStr">
        <is>
          <t>Sveaskog</t>
        </is>
      </c>
      <c r="G112" t="n">
        <v>2.9</v>
      </c>
      <c r="H112" t="n">
        <v>0</v>
      </c>
      <c r="I112" t="n">
        <v>0</v>
      </c>
      <c r="J112" t="n">
        <v>0</v>
      </c>
      <c r="K112" t="n">
        <v>0</v>
      </c>
      <c r="L112" t="n">
        <v>0</v>
      </c>
      <c r="M112" t="n">
        <v>0</v>
      </c>
      <c r="N112" t="n">
        <v>0</v>
      </c>
      <c r="O112" t="n">
        <v>0</v>
      </c>
      <c r="P112" t="n">
        <v>0</v>
      </c>
      <c r="Q112" t="n">
        <v>0</v>
      </c>
      <c r="R112" s="2" t="inlineStr"/>
    </row>
    <row r="113" ht="15" customHeight="1">
      <c r="A113" t="inlineStr">
        <is>
          <t>A 15279-2026</t>
        </is>
      </c>
      <c r="B113" s="1" t="n">
        <v>46105.61030092592</v>
      </c>
      <c r="C113" s="1" t="n">
        <v>46113</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46113</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46113</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46113</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9104-2026</t>
        </is>
      </c>
      <c r="B117" s="1" t="n">
        <v>46069</v>
      </c>
      <c r="C117" s="1" t="n">
        <v>46113</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46113</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9259-2026</t>
        </is>
      </c>
      <c r="B119" s="1" t="n">
        <v>46070.51917824074</v>
      </c>
      <c r="C119" s="1" t="n">
        <v>46113</v>
      </c>
      <c r="D119" t="inlineStr">
        <is>
          <t>KALMAR LÄN</t>
        </is>
      </c>
      <c r="E119" t="inlineStr">
        <is>
          <t>BORGHOLM</t>
        </is>
      </c>
      <c r="G119" t="n">
        <v>1.6</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46113</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46113</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ht="15" customHeight="1">
      <c r="A122" t="inlineStr">
        <is>
          <t>A 13043-2024</t>
        </is>
      </c>
      <c r="B122" s="1" t="n">
        <v>45385.60111111111</v>
      </c>
      <c r="C122" s="1" t="n">
        <v>46113</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row r="123">
      <c r="A123" t="inlineStr">
        <is>
          <t>A 17978-2021</t>
        </is>
      </c>
      <c r="B123" s="1" t="n">
        <v>44301</v>
      </c>
      <c r="C123" s="1" t="n">
        <v>46113</v>
      </c>
      <c r="D123" t="inlineStr">
        <is>
          <t>KALMAR LÄN</t>
        </is>
      </c>
      <c r="E123" t="inlineStr">
        <is>
          <t>BORGHOLM</t>
        </is>
      </c>
      <c r="G123" t="n">
        <v>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2026-04-01T10:38:52Z</dcterms:created>
  <dcterms:modified xmlns:dcterms="http://purl.org/dc/terms/" xmlns:xsi="http://www.w3.org/2001/XMLSchema-instance" xsi:type="dcterms:W3CDTF">2026-04-01T10:38:52Z</dcterms:modified>
</cp:coreProperties>
</file>