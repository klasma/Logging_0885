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46294</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46294</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46294</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46294</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46294</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46294</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46294</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46294</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46294</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46294</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46294</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46294</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46294</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46294</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46294</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46294</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46294</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46294</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46294</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46294</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46294</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46294</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46294</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46294</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46294</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46294</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46294</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46294</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46294</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46294</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46294</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46294</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46294</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46294</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46294</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46294</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46294</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46294</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46294</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46294</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46294</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46294</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7960-2023</t>
        </is>
      </c>
      <c r="B44" t="inlineStr">
        <is>
          <t>avverkningsanmälan</t>
        </is>
      </c>
      <c r="C44" t="inlineStr">
        <is>
          <t>Föryngringsavverkning</t>
        </is>
      </c>
      <c r="D44" s="1" t="n">
        <v>44973</v>
      </c>
      <c r="E44" s="1" t="n">
        <v>46294</v>
      </c>
      <c r="F44" t="inlineStr">
        <is>
          <t>KALMAR LÄN</t>
        </is>
      </c>
      <c r="G44" t="inlineStr">
        <is>
          <t>BORGHOLM</t>
        </is>
      </c>
      <c r="I44" t="n">
        <v>2.1</v>
      </c>
      <c r="J44" t="n">
        <v>0</v>
      </c>
      <c r="K44" t="n">
        <v>1</v>
      </c>
      <c r="L44" t="n">
        <v>2</v>
      </c>
      <c r="M44" t="n">
        <v>0</v>
      </c>
      <c r="N44" t="n">
        <v>0</v>
      </c>
      <c r="O44" t="n">
        <v>1</v>
      </c>
      <c r="P44" t="n">
        <v>0</v>
      </c>
      <c r="Q44" t="n">
        <v>3</v>
      </c>
      <c r="R44" t="n">
        <v>1</v>
      </c>
      <c r="S44" t="n">
        <v>4</v>
      </c>
      <c r="T44" t="n">
        <v>4</v>
      </c>
      <c r="U44" t="n">
        <v>3</v>
      </c>
      <c r="V44" s="2" t="inlineStr">
        <is>
          <t>Vresalm
Pilfotsspindling
Vippärt
Strävlosta</t>
        </is>
      </c>
      <c r="W44">
        <f>HYPERLINK("https://klasma.github.io/Logging_0885/artfynd/A 7960-2023 artfynd.xlsx", "A 7960-2023")</f>
        <v/>
      </c>
      <c r="X44">
        <f>HYPERLINK("https://klasma.github.io/Logging_0885/kartor/A 7960-2023 karta.png", "A 7960-2023")</f>
        <v/>
      </c>
      <c r="Y44">
        <f>HYPERLINK("https://klasma.github.io/Logging_0885/kartor_geotiff/A 7960-2023 georefererad karta.tif", "A 7960-2023")</f>
        <v/>
      </c>
      <c r="AA44">
        <f>HYPERLINK("https://klasma.github.io/Logging_0885/klagomål/A 7960-2023 FSC-klagomål.docx", "A 7960-2023")</f>
        <v/>
      </c>
      <c r="AB44">
        <f>HYPERLINK("https://klasma.github.io/Logging_0885/klagomålsmail/A 7960-2023 FSC-klagomål mail.docx", "A 7960-2023")</f>
        <v/>
      </c>
      <c r="AC44">
        <f>HYPERLINK("https://klasma.github.io/Logging_0885/tillsyn/A 7960-2023 tillsynsbegäran.docx", "A 7960-2023")</f>
        <v/>
      </c>
      <c r="AD44">
        <f>HYPERLINK("https://klasma.github.io/Logging_0885/tillsynsmail/A 7960-2023 tillsynsbegäran mail.docx", "A 7960-2023")</f>
        <v/>
      </c>
    </row>
    <row r="45" ht="15" customHeight="1">
      <c r="A45" t="inlineStr">
        <is>
          <t>A 27290-2026</t>
        </is>
      </c>
      <c r="B45" t="inlineStr">
        <is>
          <t>avverkningsanmälan</t>
        </is>
      </c>
      <c r="C45" t="inlineStr">
        <is>
          <t>Avverkning för att bevara och utveckla /försöksver</t>
        </is>
      </c>
      <c r="D45" s="1" t="n">
        <v>46188</v>
      </c>
      <c r="E45" s="1" t="n">
        <v>46294</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46294</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46294</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46294</v>
      </c>
      <c r="F48" t="inlineStr">
        <is>
          <t>KALMAR LÄN</t>
        </is>
      </c>
      <c r="G48" t="inlineStr">
        <is>
          <t>BORGHOLM</t>
        </is>
      </c>
      <c r="I48" t="n">
        <v>4.4</v>
      </c>
      <c r="J48" t="n">
        <v>3</v>
      </c>
      <c r="K48" t="n">
        <v>1</v>
      </c>
      <c r="L48" t="n">
        <v>1</v>
      </c>
      <c r="M48" t="n">
        <v>0</v>
      </c>
      <c r="N48" t="n">
        <v>1</v>
      </c>
      <c r="O48" t="n">
        <v>0</v>
      </c>
      <c r="P48" t="n">
        <v>0</v>
      </c>
      <c r="Q48" t="n">
        <v>2</v>
      </c>
      <c r="R48" t="n">
        <v>1</v>
      </c>
      <c r="S48" t="n">
        <v>4</v>
      </c>
      <c r="T48" t="n">
        <v>24</v>
      </c>
      <c r="U48" t="n">
        <v>24</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46294</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46294</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46294</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24048-2025</t>
        </is>
      </c>
      <c r="B52" t="inlineStr">
        <is>
          <t>avverkningsanmälan</t>
        </is>
      </c>
      <c r="C52" t="inlineStr">
        <is>
          <t>Föryngringsavverkning</t>
        </is>
      </c>
      <c r="D52" s="1" t="n">
        <v>45796</v>
      </c>
      <c r="E52" s="1" t="n">
        <v>46294</v>
      </c>
      <c r="F52" t="inlineStr">
        <is>
          <t>KALMAR LÄN</t>
        </is>
      </c>
      <c r="G52" t="inlineStr">
        <is>
          <t>BORGHOLM</t>
        </is>
      </c>
      <c r="I52" t="n">
        <v>2</v>
      </c>
      <c r="J52" t="n">
        <v>1</v>
      </c>
      <c r="K52" t="n">
        <v>0</v>
      </c>
      <c r="L52" t="n">
        <v>2</v>
      </c>
      <c r="M52" t="n">
        <v>0</v>
      </c>
      <c r="N52" t="n">
        <v>0</v>
      </c>
      <c r="O52" t="n">
        <v>0</v>
      </c>
      <c r="P52" t="n">
        <v>0</v>
      </c>
      <c r="Q52" t="n">
        <v>2</v>
      </c>
      <c r="R52" t="n">
        <v>0</v>
      </c>
      <c r="S52" t="n">
        <v>3</v>
      </c>
      <c r="T52" t="n">
        <v>5</v>
      </c>
      <c r="U52" t="n">
        <v>0</v>
      </c>
      <c r="V52" s="2" t="inlineStr">
        <is>
          <t>Loppstarr
Ängsstarr
Kärrknipprot</t>
        </is>
      </c>
      <c r="W52">
        <f>HYPERLINK("https://klasma.github.io/Logging_0885/artfynd/A 24048-2025 artfynd.xlsx", "A 24048-2025")</f>
        <v/>
      </c>
      <c r="X52">
        <f>HYPERLINK("https://klasma.github.io/Logging_0885/kartor/A 24048-2025 karta.png", "A 24048-2025")</f>
        <v/>
      </c>
      <c r="Y52">
        <f>HYPERLINK("https://klasma.github.io/Logging_0885/kartor_geotiff/A 24048-2025 georefererad karta.tif", "A 24048-2025")</f>
        <v/>
      </c>
      <c r="AA52">
        <f>HYPERLINK("https://klasma.github.io/Logging_0885/klagomål/A 24048-2025 FSC-klagomål.docx", "A 24048-2025")</f>
        <v/>
      </c>
      <c r="AB52">
        <f>HYPERLINK("https://klasma.github.io/Logging_0885/klagomålsmail/A 24048-2025 FSC-klagomål mail.docx", "A 24048-2025")</f>
        <v/>
      </c>
      <c r="AC52">
        <f>HYPERLINK("https://klasma.github.io/Logging_0885/tillsyn/A 24048-2025 tillsynsbegäran.docx", "A 24048-2025")</f>
        <v/>
      </c>
      <c r="AD52">
        <f>HYPERLINK("https://klasma.github.io/Logging_0885/tillsynsmail/A 24048-2025 tillsynsbegäran mail.docx", "A 24048-2025")</f>
        <v/>
      </c>
    </row>
    <row r="53" ht="15" customHeight="1">
      <c r="A53" t="inlineStr">
        <is>
          <t>A 43542-2025</t>
        </is>
      </c>
      <c r="B53" t="inlineStr">
        <is>
          <t>avverkningsanmälan</t>
        </is>
      </c>
      <c r="C53" t="inlineStr">
        <is>
          <t>Föryngringsavverkning</t>
        </is>
      </c>
      <c r="D53" s="1" t="n">
        <v>45911</v>
      </c>
      <c r="E53" s="1" t="n">
        <v>46294</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15285-2026</t>
        </is>
      </c>
      <c r="B54" t="inlineStr">
        <is>
          <t>avverkningsanmälan</t>
        </is>
      </c>
      <c r="C54" t="inlineStr">
        <is>
          <t>Avverkning för att bevara och utveckla /försöksver</t>
        </is>
      </c>
      <c r="D54" s="1" t="n">
        <v>46105</v>
      </c>
      <c r="E54" s="1" t="n">
        <v>46294</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46294</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43756-2022</t>
        </is>
      </c>
      <c r="B56" t="inlineStr">
        <is>
          <t>avverkningsanmälan</t>
        </is>
      </c>
      <c r="C56" t="inlineStr">
        <is>
          <t>Föryngringsavverkning</t>
        </is>
      </c>
      <c r="D56" s="1" t="n">
        <v>44837</v>
      </c>
      <c r="E56" s="1" t="n">
        <v>46294</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27283-2026</t>
        </is>
      </c>
      <c r="B57" t="inlineStr">
        <is>
          <t>avverkningsanmälan</t>
        </is>
      </c>
      <c r="C57" t="inlineStr">
        <is>
          <t>Avverkning för att bevara och utveckla /försöksver</t>
        </is>
      </c>
      <c r="D57" s="1" t="n">
        <v>46188</v>
      </c>
      <c r="E57" s="1" t="n">
        <v>46294</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26849-2026</t>
        </is>
      </c>
      <c r="B58" t="inlineStr">
        <is>
          <t>avverkningsanmälan</t>
        </is>
      </c>
      <c r="C58" t="inlineStr">
        <is>
          <t>Föryngringsavverkning</t>
        </is>
      </c>
      <c r="D58" s="1" t="n">
        <v>46185</v>
      </c>
      <c r="E58" s="1" t="n">
        <v>46294</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31520-2026</t>
        </is>
      </c>
      <c r="B59" t="inlineStr">
        <is>
          <t>avverkningsanmälan</t>
        </is>
      </c>
      <c r="C59" t="inlineStr">
        <is>
          <t>Avverkning för att bevara och utveckla /försöksver</t>
        </is>
      </c>
      <c r="D59" s="1" t="n">
        <v>46223</v>
      </c>
      <c r="E59" s="1" t="n">
        <v>46294</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S 846-2026</t>
        </is>
      </c>
      <c r="B60" t="inlineStr">
        <is>
          <t>samrådsanmälan</t>
        </is>
      </c>
      <c r="C60" t="inlineStr">
        <is>
          <t>Annan skogsbruksåtgärd</t>
        </is>
      </c>
      <c r="D60" s="1" t="n">
        <v>46105</v>
      </c>
      <c r="E60" s="1" t="n">
        <v>46294</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46294</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46294</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46294</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24166-2022</t>
        </is>
      </c>
      <c r="B64" t="inlineStr">
        <is>
          <t>avverkningsanmälan</t>
        </is>
      </c>
      <c r="C64" t="inlineStr">
        <is>
          <t>Avverkning för annat ändamål</t>
        </is>
      </c>
      <c r="D64" s="1" t="n">
        <v>44725</v>
      </c>
      <c r="E64" s="1" t="n">
        <v>46294</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21908-2022</t>
        </is>
      </c>
      <c r="B65" t="inlineStr">
        <is>
          <t>avverkningsanmälan</t>
        </is>
      </c>
      <c r="C65" t="inlineStr">
        <is>
          <t>Föryngringsavverkning</t>
        </is>
      </c>
      <c r="D65" s="1" t="n">
        <v>44711</v>
      </c>
      <c r="E65" s="1" t="n">
        <v>46294</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46294</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46294</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9253-2026</t>
        </is>
      </c>
      <c r="B68" t="inlineStr">
        <is>
          <t>avverkningsanmälan</t>
        </is>
      </c>
      <c r="C68" t="inlineStr">
        <is>
          <t>Föryngringsavverkning</t>
        </is>
      </c>
      <c r="D68" s="1" t="n">
        <v>46070</v>
      </c>
      <c r="E68" s="1" t="n">
        <v>46294</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44678-2022</t>
        </is>
      </c>
      <c r="B69" t="inlineStr">
        <is>
          <t>avverkningsanmälan</t>
        </is>
      </c>
      <c r="C69" t="inlineStr">
        <is>
          <t>Föryngringsavverkning</t>
        </is>
      </c>
      <c r="D69" s="1" t="n">
        <v>44840</v>
      </c>
      <c r="E69" s="1" t="n">
        <v>46294</v>
      </c>
      <c r="F69" t="inlineStr">
        <is>
          <t>KALMAR LÄN</t>
        </is>
      </c>
      <c r="G69" t="inlineStr">
        <is>
          <t>BORGHOLM</t>
        </is>
      </c>
      <c r="I69" t="n">
        <v>2.4</v>
      </c>
      <c r="J69" t="n">
        <v>1</v>
      </c>
      <c r="K69" t="n">
        <v>1</v>
      </c>
      <c r="L69" t="n">
        <v>0</v>
      </c>
      <c r="M69" t="n">
        <v>0</v>
      </c>
      <c r="N69" t="n">
        <v>1</v>
      </c>
      <c r="O69" t="n">
        <v>0</v>
      </c>
      <c r="P69" t="n">
        <v>0</v>
      </c>
      <c r="Q69" t="n">
        <v>1</v>
      </c>
      <c r="R69" t="n">
        <v>1</v>
      </c>
      <c r="S69" t="n">
        <v>2</v>
      </c>
      <c r="T69" t="n">
        <v>2</v>
      </c>
      <c r="U69" t="n">
        <v>1</v>
      </c>
      <c r="V69" s="2" t="inlineStr">
        <is>
          <t>Ask
Skogsknipprot</t>
        </is>
      </c>
      <c r="W69">
        <f>HYPERLINK("https://klasma.github.io/Logging_0885/artfynd/A 44678-2022 artfynd.xlsx", "A 44678-2022")</f>
        <v/>
      </c>
      <c r="X69">
        <f>HYPERLINK("https://klasma.github.io/Logging_0885/kartor/A 44678-2022 karta.png", "A 44678-2022")</f>
        <v/>
      </c>
      <c r="Y69">
        <f>HYPERLINK("https://klasma.github.io/Logging_0885/kartor_geotiff/A 44678-2022 georefererad karta.tif", "A 44678-2022")</f>
        <v/>
      </c>
      <c r="AA69">
        <f>HYPERLINK("https://klasma.github.io/Logging_0885/klagomål/A 44678-2022 FSC-klagomål.docx", "A 44678-2022")</f>
        <v/>
      </c>
      <c r="AB69">
        <f>HYPERLINK("https://klasma.github.io/Logging_0885/klagomålsmail/A 44678-2022 FSC-klagomål mail.docx", "A 44678-2022")</f>
        <v/>
      </c>
      <c r="AC69">
        <f>HYPERLINK("https://klasma.github.io/Logging_0885/tillsyn/A 44678-2022 tillsynsbegäran.docx", "A 44678-2022")</f>
        <v/>
      </c>
      <c r="AD69">
        <f>HYPERLINK("https://klasma.github.io/Logging_0885/tillsynsmail/A 44678-2022 tillsynsbegäran mail.docx", "A 44678-2022")</f>
        <v/>
      </c>
    </row>
    <row r="70" ht="15" customHeight="1">
      <c r="A70" t="inlineStr">
        <is>
          <t>A 24322-2026</t>
        </is>
      </c>
      <c r="B70" t="inlineStr">
        <is>
          <t>avverkningsanmälan</t>
        </is>
      </c>
      <c r="C70" t="inlineStr">
        <is>
          <t>Föryngringsavverkning</t>
        </is>
      </c>
      <c r="D70" s="1" t="n">
        <v>46169</v>
      </c>
      <c r="E70" s="1" t="n">
        <v>46294</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29411-2026</t>
        </is>
      </c>
      <c r="B71" t="inlineStr">
        <is>
          <t>avverkningsanmälan</t>
        </is>
      </c>
      <c r="C71" t="inlineStr">
        <is>
          <t>Avverkning för att bevara och utveckla /försöksver</t>
        </is>
      </c>
      <c r="D71" s="1" t="n">
        <v>46203</v>
      </c>
      <c r="E71" s="1" t="n">
        <v>46294</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17699-2025</t>
        </is>
      </c>
      <c r="B72" t="inlineStr">
        <is>
          <t>avverkningsanmälan</t>
        </is>
      </c>
      <c r="C72" t="inlineStr">
        <is>
          <t>Föryngringsavverkning</t>
        </is>
      </c>
      <c r="D72" s="1" t="n">
        <v>45758</v>
      </c>
      <c r="E72" s="1" t="n">
        <v>46294</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29434-2026</t>
        </is>
      </c>
      <c r="B73" t="inlineStr">
        <is>
          <t>avverkningsanmälan</t>
        </is>
      </c>
      <c r="C73" t="inlineStr">
        <is>
          <t>Avverkning för att bevara och utveckla /försöksver</t>
        </is>
      </c>
      <c r="D73" s="1" t="n">
        <v>46203</v>
      </c>
      <c r="E73" s="1" t="n">
        <v>46294</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6144-2022</t>
        </is>
      </c>
      <c r="B74" t="inlineStr">
        <is>
          <t>samrådsanmälan</t>
        </is>
      </c>
      <c r="C74" t="inlineStr">
        <is>
          <t>Annan skogsbruksåtgärd</t>
        </is>
      </c>
      <c r="D74" s="1" t="n">
        <v>44865</v>
      </c>
      <c r="E74" s="1" t="n">
        <v>46294</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46294</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46294</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46294</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46294</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46294</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46294</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41831-2025</t>
        </is>
      </c>
      <c r="B81" t="inlineStr">
        <is>
          <t>avverkningsanmälan</t>
        </is>
      </c>
      <c r="C81" t="inlineStr">
        <is>
          <t>Föryngringsavverkning</t>
        </is>
      </c>
      <c r="D81" s="1" t="n">
        <v>45902</v>
      </c>
      <c r="E81" s="1" t="n">
        <v>46294</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28785-2025</t>
        </is>
      </c>
      <c r="B82" t="inlineStr">
        <is>
          <t>avverkningsanmälan</t>
        </is>
      </c>
      <c r="C82" t="inlineStr">
        <is>
          <t>Avverkning för att bevara och utveckla /försöksver</t>
        </is>
      </c>
      <c r="D82" s="1" t="n">
        <v>45820</v>
      </c>
      <c r="E82" s="1" t="n">
        <v>46294</v>
      </c>
      <c r="F82" t="inlineStr">
        <is>
          <t>KALMAR LÄN</t>
        </is>
      </c>
      <c r="G82" t="inlineStr">
        <is>
          <t>BORGHOLM</t>
        </is>
      </c>
      <c r="H82" t="inlineStr">
        <is>
          <t>Sveaskog</t>
        </is>
      </c>
      <c r="I82" t="n">
        <v>2.3</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28785-2025 artfynd.xlsx", "A 28785-2025")</f>
        <v/>
      </c>
      <c r="X82">
        <f>HYPERLINK("https://klasma.github.io/Logging_0885/kartor/A 28785-2025 karta.png", "A 28785-2025")</f>
        <v/>
      </c>
      <c r="Y82">
        <f>HYPERLINK("https://klasma.github.io/Logging_0885/kartor_geotiff/A 28785-2025 georefererad karta.tif", "A 28785-2025")</f>
        <v/>
      </c>
      <c r="AA82">
        <f>HYPERLINK("https://klasma.github.io/Logging_0885/klagomål/A 28785-2025 FSC-klagomål.docx", "A 28785-2025")</f>
        <v/>
      </c>
      <c r="AB82">
        <f>HYPERLINK("https://klasma.github.io/Logging_0885/klagomålsmail/A 28785-2025 FSC-klagomål mail.docx", "A 28785-2025")</f>
        <v/>
      </c>
      <c r="AC82">
        <f>HYPERLINK("https://klasma.github.io/Logging_0885/tillsyn/A 28785-2025 tillsynsbegäran.docx", "A 28785-2025")</f>
        <v/>
      </c>
      <c r="AD82">
        <f>HYPERLINK("https://klasma.github.io/Logging_0885/tillsynsmail/A 28785-2025 tillsynsbegäran mail.docx", "A 28785-2025")</f>
        <v/>
      </c>
      <c r="AE82">
        <f>HYPERLINK("https://klasma.github.io/Logging_0885/fåglar/A 28785-2025 prioriterade fågelarter.docx", "A 28785-2025")</f>
        <v/>
      </c>
    </row>
    <row r="83" ht="15" customHeight="1">
      <c r="A83" t="inlineStr">
        <is>
          <t>A 28782-2025</t>
        </is>
      </c>
      <c r="B83" t="inlineStr">
        <is>
          <t>avverkningsanmälan</t>
        </is>
      </c>
      <c r="C83" t="inlineStr">
        <is>
          <t>Avverkning för att bevara och utveckla /försöksver</t>
        </is>
      </c>
      <c r="D83" s="1" t="n">
        <v>45820</v>
      </c>
      <c r="E83" s="1" t="n">
        <v>46294</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3302-2026</t>
        </is>
      </c>
      <c r="B84" t="inlineStr">
        <is>
          <t>avverkningsanmälan</t>
        </is>
      </c>
      <c r="C84" t="inlineStr">
        <is>
          <t>Avverkning för annat ändamål</t>
        </is>
      </c>
      <c r="D84" s="1" t="n">
        <v>46041</v>
      </c>
      <c r="E84" s="1" t="n">
        <v>46294</v>
      </c>
      <c r="F84" t="inlineStr">
        <is>
          <t>KALMAR LÄN</t>
        </is>
      </c>
      <c r="G84" t="inlineStr">
        <is>
          <t>BORGHOLM</t>
        </is>
      </c>
      <c r="I84" t="n">
        <v>3.9</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HYPERLINK("https://klasma.github.io/Logging_0885/artfynd/A 3302-2026 artfynd.xlsx", "A 3302-2026")</f>
        <v/>
      </c>
      <c r="X84">
        <f>HYPERLINK("https://klasma.github.io/Logging_0885/kartor/A 3302-2026 karta.png", "A 3302-2026")</f>
        <v/>
      </c>
      <c r="Y84">
        <f>HYPERLINK("https://klasma.github.io/Logging_0885/kartor_geotiff/A 3302-2026 georefererad karta.tif", "A 3302-2026")</f>
        <v/>
      </c>
      <c r="AA84">
        <f>HYPERLINK("https://klasma.github.io/Logging_0885/klagomål/A 3302-2026 FSC-klagomål.docx", "A 3302-2026")</f>
        <v/>
      </c>
      <c r="AB84">
        <f>HYPERLINK("https://klasma.github.io/Logging_0885/klagomålsmail/A 3302-2026 FSC-klagomål mail.docx", "A 3302-2026")</f>
        <v/>
      </c>
      <c r="AC84">
        <f>HYPERLINK("https://klasma.github.io/Logging_0885/tillsyn/A 3302-2026 tillsynsbegäran.docx", "A 3302-2026")</f>
        <v/>
      </c>
      <c r="AD84">
        <f>HYPERLINK("https://klasma.github.io/Logging_0885/tillsynsmail/A 3302-2026 tillsynsbegäran mail.docx", "A 3302-2026")</f>
        <v/>
      </c>
    </row>
    <row r="85" ht="15" customHeight="1">
      <c r="A85" t="inlineStr">
        <is>
          <t>A 63276-2023</t>
        </is>
      </c>
      <c r="B85" t="inlineStr">
        <is>
          <t>avverkningsanmälan</t>
        </is>
      </c>
      <c r="C85" t="inlineStr">
        <is>
          <t>Föryngringsavverkning</t>
        </is>
      </c>
      <c r="D85" s="1" t="n">
        <v>45273</v>
      </c>
      <c r="E85" s="1" t="n">
        <v>46294</v>
      </c>
      <c r="F85" t="inlineStr">
        <is>
          <t>KALMAR LÄN</t>
        </is>
      </c>
      <c r="G85" t="inlineStr">
        <is>
          <t>BORGHOLM</t>
        </is>
      </c>
      <c r="I85" t="n">
        <v>5</v>
      </c>
      <c r="J85" t="n">
        <v>0</v>
      </c>
      <c r="K85" t="n">
        <v>0</v>
      </c>
      <c r="L85" t="n">
        <v>0</v>
      </c>
      <c r="M85" t="n">
        <v>1</v>
      </c>
      <c r="N85" t="n">
        <v>0</v>
      </c>
      <c r="O85" t="n">
        <v>0</v>
      </c>
      <c r="P85" t="n">
        <v>0</v>
      </c>
      <c r="Q85" t="n">
        <v>1</v>
      </c>
      <c r="R85" t="n">
        <v>1</v>
      </c>
      <c r="S85" t="n">
        <v>1</v>
      </c>
      <c r="T85" t="n">
        <v>1</v>
      </c>
      <c r="U85" t="n">
        <v>0</v>
      </c>
      <c r="V85" s="2" t="inlineStr">
        <is>
          <t>Elaphomyces barrioi</t>
        </is>
      </c>
      <c r="W85">
        <f>HYPERLINK("https://klasma.github.io/Logging_0885/artfynd/A 63276-2023 artfynd.xlsx", "A 63276-2023")</f>
        <v/>
      </c>
      <c r="X85">
        <f>HYPERLINK("https://klasma.github.io/Logging_0885/kartor/A 63276-2023 karta.png", "A 63276-2023")</f>
        <v/>
      </c>
      <c r="Y85">
        <f>HYPERLINK("https://klasma.github.io/Logging_0885/kartor_geotiff/A 63276-2023 georefererad karta.tif", "A 63276-2023")</f>
        <v/>
      </c>
      <c r="AA85">
        <f>HYPERLINK("https://klasma.github.io/Logging_0885/klagomål/A 63276-2023 FSC-klagomål.docx", "A 63276-2023")</f>
        <v/>
      </c>
      <c r="AB85">
        <f>HYPERLINK("https://klasma.github.io/Logging_0885/klagomålsmail/A 63276-2023 FSC-klagomål mail.docx", "A 63276-2023")</f>
        <v/>
      </c>
      <c r="AC85">
        <f>HYPERLINK("https://klasma.github.io/Logging_0885/tillsyn/A 63276-2023 tillsynsbegäran.docx", "A 63276-2023")</f>
        <v/>
      </c>
      <c r="AD85">
        <f>HYPERLINK("https://klasma.github.io/Logging_0885/tillsynsmail/A 63276-2023 tillsynsbegäran mail.docx", "A 63276-2023")</f>
        <v/>
      </c>
    </row>
    <row r="86" ht="15" customHeight="1">
      <c r="A86" t="inlineStr">
        <is>
          <t>A 7481-2026</t>
        </is>
      </c>
      <c r="B86" t="inlineStr">
        <is>
          <t>avverkningsanmälan</t>
        </is>
      </c>
      <c r="C86" t="inlineStr">
        <is>
          <t>Föryngringsavverkning</t>
        </is>
      </c>
      <c r="D86" s="1" t="n">
        <v>46059</v>
      </c>
      <c r="E86" s="1" t="n">
        <v>46294</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7481-2026 artfynd.xlsx", "A 7481-2026")</f>
        <v/>
      </c>
      <c r="X86">
        <f>HYPERLINK("https://klasma.github.io/Logging_0885/kartor/A 7481-2026 karta.png", "A 7481-2026")</f>
        <v/>
      </c>
      <c r="Y86">
        <f>HYPERLINK("https://klasma.github.io/Logging_0885/kartor_geotiff/A 7481-2026 georefererad karta.tif", "A 7481-2026")</f>
        <v/>
      </c>
      <c r="AA86">
        <f>HYPERLINK("https://klasma.github.io/Logging_0885/klagomål/A 7481-2026 FSC-klagomål.docx", "A 7481-2026")</f>
        <v/>
      </c>
      <c r="AB86">
        <f>HYPERLINK("https://klasma.github.io/Logging_0885/klagomålsmail/A 7481-2026 FSC-klagomål mail.docx", "A 7481-2026")</f>
        <v/>
      </c>
      <c r="AC86">
        <f>HYPERLINK("https://klasma.github.io/Logging_0885/tillsyn/A 7481-2026 tillsynsbegäran.docx", "A 7481-2026")</f>
        <v/>
      </c>
      <c r="AD86">
        <f>HYPERLINK("https://klasma.github.io/Logging_0885/tillsynsmail/A 7481-2026 tillsynsbegäran mail.docx", "A 7481-2026")</f>
        <v/>
      </c>
    </row>
    <row r="87" ht="15" customHeight="1">
      <c r="A87" t="inlineStr">
        <is>
          <t>A 9104-2026</t>
        </is>
      </c>
      <c r="B87" t="inlineStr">
        <is>
          <t>avverkningsanmälan</t>
        </is>
      </c>
      <c r="C87" t="inlineStr">
        <is>
          <t>Avverkning för annat ändamål</t>
        </is>
      </c>
      <c r="D87" s="1" t="n">
        <v>46069</v>
      </c>
      <c r="E87" s="1" t="n">
        <v>46294</v>
      </c>
      <c r="F87" t="inlineStr">
        <is>
          <t>KALMAR LÄN</t>
        </is>
      </c>
      <c r="G87" t="inlineStr">
        <is>
          <t>BORGHOLM</t>
        </is>
      </c>
      <c r="I87" t="n">
        <v>1.3</v>
      </c>
      <c r="J87" t="n">
        <v>0</v>
      </c>
      <c r="K87" t="n">
        <v>0</v>
      </c>
      <c r="L87" t="n">
        <v>0</v>
      </c>
      <c r="M87" t="n">
        <v>0</v>
      </c>
      <c r="N87" t="n">
        <v>0</v>
      </c>
      <c r="O87" t="n">
        <v>0</v>
      </c>
      <c r="P87" t="n">
        <v>0</v>
      </c>
      <c r="Q87" t="n">
        <v>0</v>
      </c>
      <c r="R87" t="n">
        <v>0</v>
      </c>
      <c r="S87" t="n">
        <v>1</v>
      </c>
      <c r="T87" t="n">
        <v>1</v>
      </c>
      <c r="U87" t="n">
        <v>1</v>
      </c>
      <c r="V87" s="2" t="inlineStr">
        <is>
          <t>Liljekonvalj</t>
        </is>
      </c>
      <c r="W87">
        <f>HYPERLINK("https://klasma.github.io/Logging_0885/artfynd/A 9104-2026 artfynd.xlsx", "A 9104-2026")</f>
        <v/>
      </c>
      <c r="X87">
        <f>HYPERLINK("https://klasma.github.io/Logging_0885/kartor/A 9104-2026 karta.png", "A 9104-2026")</f>
        <v/>
      </c>
      <c r="Y87">
        <f>HYPERLINK("https://klasma.github.io/Logging_0885/kartor_geotiff/A 9104-2026 georefererad karta.tif", "A 9104-2026")</f>
        <v/>
      </c>
      <c r="AA87">
        <f>HYPERLINK("https://klasma.github.io/Logging_0885/klagomål/A 9104-2026 FSC-klagomål.docx", "A 9104-2026")</f>
        <v/>
      </c>
      <c r="AB87">
        <f>HYPERLINK("https://klasma.github.io/Logging_0885/klagomålsmail/A 9104-2026 FSC-klagomål mail.docx", "A 9104-2026")</f>
        <v/>
      </c>
      <c r="AC87">
        <f>HYPERLINK("https://klasma.github.io/Logging_0885/tillsyn/A 9104-2026 tillsynsbegäran.docx", "A 9104-2026")</f>
        <v/>
      </c>
      <c r="AD87">
        <f>HYPERLINK("https://klasma.github.io/Logging_0885/tillsynsmail/A 9104-2026 tillsynsbegäran mail.docx", "A 9104-2026")</f>
        <v/>
      </c>
    </row>
    <row r="88" ht="15" customHeight="1">
      <c r="A88" t="inlineStr">
        <is>
          <t>A 24704-2023</t>
        </is>
      </c>
      <c r="B88" t="inlineStr">
        <is>
          <t>avverkningsanmälan</t>
        </is>
      </c>
      <c r="C88" t="inlineStr">
        <is>
          <t>Föryngringsavverkning</t>
        </is>
      </c>
      <c r="D88" s="1" t="n">
        <v>45084</v>
      </c>
      <c r="E88" s="1" t="n">
        <v>46294</v>
      </c>
      <c r="F88" t="inlineStr">
        <is>
          <t>KALMAR LÄN</t>
        </is>
      </c>
      <c r="G88" t="inlineStr">
        <is>
          <t>BORGHOLM</t>
        </is>
      </c>
      <c r="I88" t="n">
        <v>3.5</v>
      </c>
      <c r="J88" t="n">
        <v>0</v>
      </c>
      <c r="K88" t="n">
        <v>0</v>
      </c>
      <c r="L88" t="n">
        <v>0</v>
      </c>
      <c r="M88" t="n">
        <v>0</v>
      </c>
      <c r="N88" t="n">
        <v>1</v>
      </c>
      <c r="O88" t="n">
        <v>0</v>
      </c>
      <c r="P88" t="n">
        <v>0</v>
      </c>
      <c r="Q88" t="n">
        <v>1</v>
      </c>
      <c r="R88" t="n">
        <v>1</v>
      </c>
      <c r="S88" t="n">
        <v>1</v>
      </c>
      <c r="T88" t="n">
        <v>2</v>
      </c>
      <c r="U88" t="n">
        <v>0</v>
      </c>
      <c r="V88" s="2" t="inlineStr">
        <is>
          <t>Ask</t>
        </is>
      </c>
      <c r="W88">
        <f>HYPERLINK("https://klasma.github.io/Logging_0885/artfynd/A 24704-2023 artfynd.xlsx", "A 24704-2023")</f>
        <v/>
      </c>
      <c r="X88">
        <f>HYPERLINK("https://klasma.github.io/Logging_0885/kartor/A 24704-2023 karta.png", "A 24704-2023")</f>
        <v/>
      </c>
      <c r="Y88">
        <f>HYPERLINK("https://klasma.github.io/Logging_0885/kartor_geotiff/A 24704-2023 georefererad karta.tif", "A 24704-2023")</f>
        <v/>
      </c>
      <c r="AA88">
        <f>HYPERLINK("https://klasma.github.io/Logging_0885/klagomål/A 24704-2023 FSC-klagomål.docx", "A 24704-2023")</f>
        <v/>
      </c>
      <c r="AB88">
        <f>HYPERLINK("https://klasma.github.io/Logging_0885/klagomålsmail/A 24704-2023 FSC-klagomål mail.docx", "A 24704-2023")</f>
        <v/>
      </c>
      <c r="AC88">
        <f>HYPERLINK("https://klasma.github.io/Logging_0885/tillsyn/A 24704-2023 tillsynsbegäran.docx", "A 24704-2023")</f>
        <v/>
      </c>
      <c r="AD88">
        <f>HYPERLINK("https://klasma.github.io/Logging_0885/tillsynsmail/A 24704-2023 tillsynsbegäran mail.docx", "A 24704-2023")</f>
        <v/>
      </c>
    </row>
    <row r="89" ht="15" customHeight="1">
      <c r="A89" t="inlineStr">
        <is>
          <t>A 9905-2026</t>
        </is>
      </c>
      <c r="B89" t="inlineStr">
        <is>
          <t>avverkningsanmälan</t>
        </is>
      </c>
      <c r="C89" t="inlineStr">
        <is>
          <t>Föryngringsavverkning</t>
        </is>
      </c>
      <c r="D89" s="1" t="n">
        <v>46073</v>
      </c>
      <c r="E89" s="1" t="n">
        <v>46294</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9745-2023</t>
        </is>
      </c>
      <c r="B90" t="inlineStr">
        <is>
          <t>avverkningsanmälan</t>
        </is>
      </c>
      <c r="C90" t="inlineStr">
        <is>
          <t>Föryngringsavverkning</t>
        </is>
      </c>
      <c r="D90" s="1" t="n">
        <v>44984</v>
      </c>
      <c r="E90" s="1" t="n">
        <v>46294</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31720-2022</t>
        </is>
      </c>
      <c r="B91" t="inlineStr">
        <is>
          <t>avverkningsanmälan</t>
        </is>
      </c>
      <c r="C91" t="inlineStr">
        <is>
          <t>Föryngringsavverkning</t>
        </is>
      </c>
      <c r="D91" s="1" t="n">
        <v>44776</v>
      </c>
      <c r="E91" s="1" t="n">
        <v>46294</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46294</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26840-2026</t>
        </is>
      </c>
      <c r="B93" t="inlineStr">
        <is>
          <t>avverkningsanmälan</t>
        </is>
      </c>
      <c r="C93" t="inlineStr">
        <is>
          <t>Avverkning för att bevara och utveckla /försöksver</t>
        </is>
      </c>
      <c r="D93" s="1" t="n">
        <v>46185</v>
      </c>
      <c r="E93" s="1" t="n">
        <v>46294</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28374-2026</t>
        </is>
      </c>
      <c r="B94" t="inlineStr">
        <is>
          <t>avverkningsanmälan</t>
        </is>
      </c>
      <c r="C94" t="inlineStr">
        <is>
          <t>Avverkning för att bevara och utveckla /försöksver</t>
        </is>
      </c>
      <c r="D94" s="1" t="n">
        <v>46196</v>
      </c>
      <c r="E94" s="1" t="n">
        <v>46294</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28430-2026</t>
        </is>
      </c>
      <c r="B95" t="inlineStr">
        <is>
          <t>avverkningsanmälan</t>
        </is>
      </c>
      <c r="C95" t="inlineStr">
        <is>
          <t>Avverkning för att bevara och utveckla /försöksver</t>
        </is>
      </c>
      <c r="D95" s="1" t="n">
        <v>46197</v>
      </c>
      <c r="E95" s="1" t="n">
        <v>46294</v>
      </c>
      <c r="F95" t="inlineStr">
        <is>
          <t>KALMAR LÄN</t>
        </is>
      </c>
      <c r="G95" t="inlineStr">
        <is>
          <t>BORGHOLM</t>
        </is>
      </c>
      <c r="H95" t="inlineStr">
        <is>
          <t>Sveaskog</t>
        </is>
      </c>
      <c r="I95" t="n">
        <v>1.8</v>
      </c>
      <c r="J95" t="n">
        <v>0</v>
      </c>
      <c r="K95" t="n">
        <v>0</v>
      </c>
      <c r="L95" t="n">
        <v>1</v>
      </c>
      <c r="M95" t="n">
        <v>0</v>
      </c>
      <c r="N95" t="n">
        <v>0</v>
      </c>
      <c r="O95" t="n">
        <v>0</v>
      </c>
      <c r="P95" t="n">
        <v>0</v>
      </c>
      <c r="Q95" t="n">
        <v>1</v>
      </c>
      <c r="R95" t="n">
        <v>0</v>
      </c>
      <c r="S95" t="n">
        <v>1</v>
      </c>
      <c r="T95" t="n">
        <v>2</v>
      </c>
      <c r="U95" t="n">
        <v>0</v>
      </c>
      <c r="V95" s="2" t="inlineStr">
        <is>
          <t>Oxtungssvamp</t>
        </is>
      </c>
      <c r="W95">
        <f>HYPERLINK("https://klasma.github.io/Logging_0885/artfynd/A 28430-2026 artfynd.xlsx", "A 28430-2026")</f>
        <v/>
      </c>
      <c r="X95">
        <f>HYPERLINK("https://klasma.github.io/Logging_0885/kartor/A 28430-2026 karta.png", "A 28430-2026")</f>
        <v/>
      </c>
      <c r="Y95">
        <f>HYPERLINK("https://klasma.github.io/Logging_0885/kartor_geotiff/A 28430-2026 georefererad karta.tif", "A 28430-2026")</f>
        <v/>
      </c>
      <c r="AA95">
        <f>HYPERLINK("https://klasma.github.io/Logging_0885/klagomål/A 28430-2026 FSC-klagomål.docx", "A 28430-2026")</f>
        <v/>
      </c>
      <c r="AB95">
        <f>HYPERLINK("https://klasma.github.io/Logging_0885/klagomålsmail/A 28430-2026 FSC-klagomål mail.docx", "A 28430-2026")</f>
        <v/>
      </c>
      <c r="AC95">
        <f>HYPERLINK("https://klasma.github.io/Logging_0885/tillsyn/A 28430-2026 tillsynsbegäran.docx", "A 28430-2026")</f>
        <v/>
      </c>
      <c r="AD95">
        <f>HYPERLINK("https://klasma.github.io/Logging_0885/tillsynsmail/A 28430-2026 tillsynsbegäran mail.docx", "A 28430-2026")</f>
        <v/>
      </c>
    </row>
    <row r="96" ht="15" customHeight="1">
      <c r="A96" t="inlineStr">
        <is>
          <t>A 13043-2024</t>
        </is>
      </c>
      <c r="B96" t="inlineStr">
        <is>
          <t>avverkningsanmälan</t>
        </is>
      </c>
      <c r="C96" t="inlineStr">
        <is>
          <t>Föryngringsavverkning</t>
        </is>
      </c>
      <c r="D96" s="1" t="n">
        <v>45385</v>
      </c>
      <c r="E96" s="1" t="n">
        <v>46294</v>
      </c>
      <c r="F96" t="inlineStr">
        <is>
          <t>KALMAR LÄN</t>
        </is>
      </c>
      <c r="G96" t="inlineStr">
        <is>
          <t>BORGHOLM</t>
        </is>
      </c>
      <c r="I96" t="n">
        <v>0.4</v>
      </c>
      <c r="J96" t="n">
        <v>1</v>
      </c>
      <c r="K96" t="n">
        <v>1</v>
      </c>
      <c r="L96" t="n">
        <v>0</v>
      </c>
      <c r="M96" t="n">
        <v>0</v>
      </c>
      <c r="N96" t="n">
        <v>0</v>
      </c>
      <c r="O96" t="n">
        <v>0</v>
      </c>
      <c r="P96" t="n">
        <v>0</v>
      </c>
      <c r="Q96" t="n">
        <v>0</v>
      </c>
      <c r="R96" t="n">
        <v>0</v>
      </c>
      <c r="S96" t="n">
        <v>1</v>
      </c>
      <c r="T96" t="n">
        <v>1</v>
      </c>
      <c r="U96" t="n">
        <v>0</v>
      </c>
      <c r="V96" s="2" t="inlineStr">
        <is>
          <t>Ekoxe</t>
        </is>
      </c>
      <c r="W96">
        <f>HYPERLINK("https://klasma.github.io/Logging_0885/artfynd/A 13043-2024 artfynd.xlsx", "A 13043-2024")</f>
        <v/>
      </c>
      <c r="X96">
        <f>HYPERLINK("https://klasma.github.io/Logging_0885/kartor/A 13043-2024 karta.png", "A 13043-2024")</f>
        <v/>
      </c>
      <c r="Y96">
        <f>HYPERLINK("https://klasma.github.io/Logging_0885/kartor_geotiff/A 13043-2024 georefererad karta.tif", "A 13043-2024")</f>
        <v/>
      </c>
      <c r="AA96">
        <f>HYPERLINK("https://klasma.github.io/Logging_0885/klagomål/A 13043-2024 FSC-klagomål.docx", "A 13043-2024")</f>
        <v/>
      </c>
      <c r="AB96">
        <f>HYPERLINK("https://klasma.github.io/Logging_0885/klagomålsmail/A 13043-2024 FSC-klagomål mail.docx", "A 13043-2024")</f>
        <v/>
      </c>
      <c r="AC96">
        <f>HYPERLINK("https://klasma.github.io/Logging_0885/tillsyn/A 13043-2024 tillsynsbegäran.docx", "A 13043-2024")</f>
        <v/>
      </c>
      <c r="AD96">
        <f>HYPERLINK("https://klasma.github.io/Logging_0885/tillsynsmail/A 13043-2024 tillsynsbegäran mail.docx", "A 13043-2024")</f>
        <v/>
      </c>
    </row>
    <row r="97" ht="15" customHeight="1">
      <c r="A97" t="inlineStr">
        <is>
          <t>A 20878-2024</t>
        </is>
      </c>
      <c r="B97" t="inlineStr">
        <is>
          <t>avverkningsanmälan</t>
        </is>
      </c>
      <c r="C97" t="inlineStr">
        <is>
          <t>Föryngringsavverkning</t>
        </is>
      </c>
      <c r="D97" s="1" t="n">
        <v>45439</v>
      </c>
      <c r="E97" s="1" t="n">
        <v>46294</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20878-2024 artfynd.xlsx", "A 20878-2024")</f>
        <v/>
      </c>
      <c r="X97">
        <f>HYPERLINK("https://klasma.github.io/Logging_0885/kartor/A 20878-2024 karta.png", "A 20878-2024")</f>
        <v/>
      </c>
      <c r="Y97">
        <f>HYPERLINK("https://klasma.github.io/Logging_0885/kartor_geotiff/A 20878-2024 georefererad karta.tif", "A 20878-2024")</f>
        <v/>
      </c>
      <c r="AA97">
        <f>HYPERLINK("https://klasma.github.io/Logging_0885/klagomål/A 20878-2024 FSC-klagomål.docx", "A 20878-2024")</f>
        <v/>
      </c>
      <c r="AB97">
        <f>HYPERLINK("https://klasma.github.io/Logging_0885/klagomålsmail/A 20878-2024 FSC-klagomål mail.docx", "A 20878-2024")</f>
        <v/>
      </c>
      <c r="AC97">
        <f>HYPERLINK("https://klasma.github.io/Logging_0885/tillsyn/A 20878-2024 tillsynsbegäran.docx", "A 20878-2024")</f>
        <v/>
      </c>
      <c r="AD97">
        <f>HYPERLINK("https://klasma.github.io/Logging_0885/tillsynsmail/A 20878-2024 tillsynsbegäran mail.docx", "A 20878-2024")</f>
        <v/>
      </c>
    </row>
    <row r="98" ht="15" customHeight="1">
      <c r="A98" t="inlineStr">
        <is>
          <t>A 33293-2026</t>
        </is>
      </c>
      <c r="B98" t="inlineStr">
        <is>
          <t>avverkningsanmälan</t>
        </is>
      </c>
      <c r="C98" t="inlineStr">
        <is>
          <t>Avverkning för att bevara och utveckla /försöksver</t>
        </is>
      </c>
      <c r="D98" s="1" t="n">
        <v>46246</v>
      </c>
      <c r="E98" s="1" t="n">
        <v>46294</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S 2390-2023</t>
        </is>
      </c>
      <c r="B99" t="inlineStr">
        <is>
          <t>samrådsanmälan</t>
        </is>
      </c>
      <c r="C99" t="inlineStr">
        <is>
          <t>Annan skogsbruksåtgärd</t>
        </is>
      </c>
      <c r="D99" s="1" t="n">
        <v>45111</v>
      </c>
      <c r="E99" s="1" t="n">
        <v>46294</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46294</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46294</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46294</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46294</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46294</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46294</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46294</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46294</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46294</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46294</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46294</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46294</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46294</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46294</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46294</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22785-2025</t>
        </is>
      </c>
      <c r="B115" t="inlineStr">
        <is>
          <t>avverkningsanmälan</t>
        </is>
      </c>
      <c r="C115" t="inlineStr">
        <is>
          <t>Föryngringsavverkning</t>
        </is>
      </c>
      <c r="D115" s="1" t="n">
        <v>45789</v>
      </c>
      <c r="E115" s="1" t="n">
        <v>46294</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40339-2023</t>
        </is>
      </c>
      <c r="B116" t="inlineStr">
        <is>
          <t>avverkningsanmälan</t>
        </is>
      </c>
      <c r="C116" t="inlineStr">
        <is>
          <t>Föryngringsavverkning</t>
        </is>
      </c>
      <c r="D116" s="1" t="n">
        <v>45169</v>
      </c>
      <c r="E116" s="1" t="n">
        <v>46294</v>
      </c>
      <c r="F116" t="inlineStr">
        <is>
          <t>KALMAR LÄN</t>
        </is>
      </c>
      <c r="G116" t="inlineStr">
        <is>
          <t>BORGHOLM</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26190-2025</t>
        </is>
      </c>
      <c r="B117" t="inlineStr">
        <is>
          <t>avverkningsanmälan</t>
        </is>
      </c>
      <c r="C117" t="inlineStr">
        <is>
          <t>Föryngringsavverkning</t>
        </is>
      </c>
      <c r="D117" s="1" t="n">
        <v>45805</v>
      </c>
      <c r="E117" s="1" t="n">
        <v>46294</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46294</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64303-2023</t>
        </is>
      </c>
      <c r="B119" t="inlineStr">
        <is>
          <t>avverkningsanmälan</t>
        </is>
      </c>
      <c r="C119" t="inlineStr">
        <is>
          <t>Avverkning för annat ändamål</t>
        </is>
      </c>
      <c r="D119" s="1" t="n">
        <v>45280</v>
      </c>
      <c r="E119" s="1" t="n">
        <v>46294</v>
      </c>
      <c r="F119" t="inlineStr">
        <is>
          <t>KALMAR LÄN</t>
        </is>
      </c>
      <c r="G119" t="inlineStr">
        <is>
          <t>BORGHOLM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46294</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55367-2024</t>
        </is>
      </c>
      <c r="B121" t="inlineStr">
        <is>
          <t>avverkningsanmälan</t>
        </is>
      </c>
      <c r="C121" t="inlineStr">
        <is>
          <t>Föryngringsavverkning</t>
        </is>
      </c>
      <c r="D121" s="1" t="n">
        <v>45621</v>
      </c>
      <c r="E121" s="1" t="n">
        <v>46294</v>
      </c>
      <c r="F121" t="inlineStr">
        <is>
          <t>KALMAR LÄN</t>
        </is>
      </c>
      <c r="G121" t="inlineStr">
        <is>
          <t>BORGHOLM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46845-2025</t>
        </is>
      </c>
      <c r="B122" t="inlineStr">
        <is>
          <t>avverkningsanmälan</t>
        </is>
      </c>
      <c r="C122" t="inlineStr">
        <is>
          <t>Avverkning för annat ändamål</t>
        </is>
      </c>
      <c r="D122" s="1" t="n">
        <v>45928</v>
      </c>
      <c r="E122" s="1" t="n">
        <v>46294</v>
      </c>
      <c r="F122" t="inlineStr">
        <is>
          <t>KALMAR LÄN</t>
        </is>
      </c>
      <c r="G122" t="inlineStr">
        <is>
          <t>BORGHOLM</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36269-2025</t>
        </is>
      </c>
      <c r="B123" t="inlineStr">
        <is>
          <t>avverkningsanmälan</t>
        </is>
      </c>
      <c r="C123" t="inlineStr">
        <is>
          <t>Föryngringsavverkning</t>
        </is>
      </c>
      <c r="D123" s="1" t="n">
        <v>45867</v>
      </c>
      <c r="E123" s="1" t="n">
        <v>46294</v>
      </c>
      <c r="F123" t="inlineStr">
        <is>
          <t>KALMAR LÄN</t>
        </is>
      </c>
      <c r="G123" t="inlineStr">
        <is>
          <t>BORGHOLM</t>
        </is>
      </c>
      <c r="H123" t="inlineStr">
        <is>
          <t>Sveaskog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4159-2024</t>
        </is>
      </c>
      <c r="B124" t="inlineStr">
        <is>
          <t>avverkningsanmälan</t>
        </is>
      </c>
      <c r="C124" t="inlineStr">
        <is>
          <t>Föryngringsavverkning</t>
        </is>
      </c>
      <c r="D124" s="1" t="n">
        <v>45323</v>
      </c>
      <c r="E124" s="1" t="n">
        <v>46294</v>
      </c>
      <c r="F124" t="inlineStr">
        <is>
          <t>KALMAR LÄN</t>
        </is>
      </c>
      <c r="G124" t="inlineStr">
        <is>
          <t>BORGHOLM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46294</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31699-2022</t>
        </is>
      </c>
      <c r="B126" t="inlineStr">
        <is>
          <t>avverkningsanmälan</t>
        </is>
      </c>
      <c r="C126" t="inlineStr">
        <is>
          <t>Föryngringsavverkning</t>
        </is>
      </c>
      <c r="D126" s="1" t="n">
        <v>44776</v>
      </c>
      <c r="E126" s="1" t="n">
        <v>46294</v>
      </c>
      <c r="F126" t="inlineStr">
        <is>
          <t>KALMAR LÄN</t>
        </is>
      </c>
      <c r="G126" t="inlineStr">
        <is>
          <t>BORGHOLM</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1614-2025</t>
        </is>
      </c>
      <c r="B127" t="inlineStr">
        <is>
          <t>avverkningsanmälan</t>
        </is>
      </c>
      <c r="C127" t="inlineStr">
        <is>
          <t>Föryngringsavverkning</t>
        </is>
      </c>
      <c r="D127" s="1" t="n">
        <v>45670</v>
      </c>
      <c r="E127" s="1" t="n">
        <v>46294</v>
      </c>
      <c r="F127" t="inlineStr">
        <is>
          <t>KALMAR LÄN</t>
        </is>
      </c>
      <c r="G127" t="inlineStr">
        <is>
          <t>BORGHOLM</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9259-2026</t>
        </is>
      </c>
      <c r="B128" t="inlineStr">
        <is>
          <t>avverkningsanmälan</t>
        </is>
      </c>
      <c r="C128" t="inlineStr">
        <is>
          <t>Föryngringsavverkning</t>
        </is>
      </c>
      <c r="D128" s="1" t="n">
        <v>46070</v>
      </c>
      <c r="E128" s="1" t="n">
        <v>46294</v>
      </c>
      <c r="F128" t="inlineStr">
        <is>
          <t>KALMAR LÄN</t>
        </is>
      </c>
      <c r="G128" t="inlineStr">
        <is>
          <t>BORGHOLM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9076-2025</t>
        </is>
      </c>
      <c r="B129" t="inlineStr">
        <is>
          <t>avverkningsanmälan</t>
        </is>
      </c>
      <c r="C129" t="inlineStr">
        <is>
          <t>Föryngringsavverkning</t>
        </is>
      </c>
      <c r="D129" s="1" t="n">
        <v>45713</v>
      </c>
      <c r="E129" s="1" t="n">
        <v>46294</v>
      </c>
      <c r="F129" t="inlineStr">
        <is>
          <t>KALMAR LÄN</t>
        </is>
      </c>
      <c r="G129" t="inlineStr">
        <is>
          <t>BORGHOLM</t>
        </is>
      </c>
      <c r="H129" t="inlineStr">
        <is>
          <t>Sveaskog</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1757-2025</t>
        </is>
      </c>
      <c r="B130" t="inlineStr">
        <is>
          <t>avverkningsanmälan</t>
        </is>
      </c>
      <c r="C130" t="inlineStr">
        <is>
          <t>Föryngringsavverkning</t>
        </is>
      </c>
      <c r="D130" s="1" t="n">
        <v>45671</v>
      </c>
      <c r="E130" s="1" t="n">
        <v>46294</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15272-2026</t>
        </is>
      </c>
      <c r="B131" t="inlineStr">
        <is>
          <t>avverkningsanmälan</t>
        </is>
      </c>
      <c r="C131" t="inlineStr">
        <is>
          <t>Avverkning för att bevara och utveckla /försöksver</t>
        </is>
      </c>
      <c r="D131" s="1" t="n">
        <v>46105</v>
      </c>
      <c r="E131" s="1" t="n">
        <v>46294</v>
      </c>
      <c r="F131" t="inlineStr">
        <is>
          <t>KALMAR LÄN</t>
        </is>
      </c>
      <c r="G131" t="inlineStr">
        <is>
          <t>BORGHOLM</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15279-2026</t>
        </is>
      </c>
      <c r="B132" t="inlineStr">
        <is>
          <t>avverkningsanmälan</t>
        </is>
      </c>
      <c r="C132" t="inlineStr">
        <is>
          <t>Avverkning för att bevara och utveckla /försöksver</t>
        </is>
      </c>
      <c r="D132" s="1" t="n">
        <v>46105</v>
      </c>
      <c r="E132" s="1" t="n">
        <v>46294</v>
      </c>
      <c r="F132" t="inlineStr">
        <is>
          <t>KALMAR LÄN</t>
        </is>
      </c>
      <c r="G132" t="inlineStr">
        <is>
          <t>BORGHOLM</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15264-2026</t>
        </is>
      </c>
      <c r="B133" t="inlineStr">
        <is>
          <t>avverkningsanmälan</t>
        </is>
      </c>
      <c r="C133" t="inlineStr">
        <is>
          <t>Avverkning för att bevara och utveckla /försöksver</t>
        </is>
      </c>
      <c r="D133" s="1" t="n">
        <v>46105</v>
      </c>
      <c r="E133" s="1" t="n">
        <v>46294</v>
      </c>
      <c r="F133" t="inlineStr">
        <is>
          <t>KALMAR LÄN</t>
        </is>
      </c>
      <c r="G133" t="inlineStr">
        <is>
          <t>BORGHOLM</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9050-2025</t>
        </is>
      </c>
      <c r="B134" t="inlineStr">
        <is>
          <t>avverkningsanmälan</t>
        </is>
      </c>
      <c r="C134" t="inlineStr">
        <is>
          <t>Avverkning för att bevara och utveckla /försöksver</t>
        </is>
      </c>
      <c r="D134" s="1" t="n">
        <v>45713</v>
      </c>
      <c r="E134" s="1" t="n">
        <v>46294</v>
      </c>
      <c r="F134" t="inlineStr">
        <is>
          <t>KALMAR LÄN</t>
        </is>
      </c>
      <c r="G134" t="inlineStr">
        <is>
          <t>BORGHOLM</t>
        </is>
      </c>
      <c r="H134" t="inlineStr">
        <is>
          <t>Sveaskog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43603-2024</t>
        </is>
      </c>
      <c r="B135" t="inlineStr">
        <is>
          <t>avverkningsanmälan</t>
        </is>
      </c>
      <c r="C135" t="inlineStr">
        <is>
          <t>Föryngringsavverkning</t>
        </is>
      </c>
      <c r="D135" s="1" t="n">
        <v>45569</v>
      </c>
      <c r="E135" s="1" t="n">
        <v>46294</v>
      </c>
      <c r="F135" t="inlineStr">
        <is>
          <t>KALMAR LÄN</t>
        </is>
      </c>
      <c r="G135" t="inlineStr">
        <is>
          <t>BORGHOLM</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46294</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7669-2024</t>
        </is>
      </c>
      <c r="B137" t="inlineStr">
        <is>
          <t>avverkningsanmälan</t>
        </is>
      </c>
      <c r="C137" t="inlineStr">
        <is>
          <t>Föryngringsavverkning</t>
        </is>
      </c>
      <c r="D137" s="1" t="n">
        <v>45348</v>
      </c>
      <c r="E137" s="1" t="n">
        <v>46294</v>
      </c>
      <c r="F137" t="inlineStr">
        <is>
          <t>KALMAR LÄN</t>
        </is>
      </c>
      <c r="G137" t="inlineStr">
        <is>
          <t>BORGHOLM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32919-2023</t>
        </is>
      </c>
      <c r="B138" t="inlineStr">
        <is>
          <t>avverkningsanmälan</t>
        </is>
      </c>
      <c r="C138" t="inlineStr">
        <is>
          <t>Föryngringsavverkning</t>
        </is>
      </c>
      <c r="D138" s="1" t="n">
        <v>45125</v>
      </c>
      <c r="E138" s="1" t="n">
        <v>46294</v>
      </c>
      <c r="F138" t="inlineStr">
        <is>
          <t>KALMAR LÄN</t>
        </is>
      </c>
      <c r="G138" t="inlineStr">
        <is>
          <t>BORGHOLM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24323-2026</t>
        </is>
      </c>
      <c r="B139" t="inlineStr">
        <is>
          <t>avverkningsanmälan</t>
        </is>
      </c>
      <c r="C139" t="inlineStr">
        <is>
          <t>Föryngringsavverkning</t>
        </is>
      </c>
      <c r="D139" s="1" t="n">
        <v>46169</v>
      </c>
      <c r="E139" s="1" t="n">
        <v>46294</v>
      </c>
      <c r="F139" t="inlineStr">
        <is>
          <t>KALMAR LÄN</t>
        </is>
      </c>
      <c r="G139" t="inlineStr">
        <is>
          <t>BORGHOLM</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5175-2024</t>
        </is>
      </c>
      <c r="B140" t="inlineStr">
        <is>
          <t>avverkningsanmälan</t>
        </is>
      </c>
      <c r="C140" t="inlineStr">
        <is>
          <t>Föryngringsavverkning</t>
        </is>
      </c>
      <c r="D140" s="1" t="n">
        <v>45330</v>
      </c>
      <c r="E140" s="1" t="n">
        <v>46294</v>
      </c>
      <c r="F140" t="inlineStr">
        <is>
          <t>KALMAR LÄN</t>
        </is>
      </c>
      <c r="G140" t="inlineStr">
        <is>
          <t>BORGHOLM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34951-2022</t>
        </is>
      </c>
      <c r="B141" t="inlineStr">
        <is>
          <t>avverkningsanmälan</t>
        </is>
      </c>
      <c r="C141" t="inlineStr">
        <is>
          <t>Avverkning för att bevara och utveckla /försöksver</t>
        </is>
      </c>
      <c r="D141" s="1" t="n">
        <v>44796</v>
      </c>
      <c r="E141" s="1" t="n">
        <v>46294</v>
      </c>
      <c r="F141" t="inlineStr">
        <is>
          <t>KALMAR LÄN</t>
        </is>
      </c>
      <c r="G141" t="inlineStr">
        <is>
          <t>BORGHOLM</t>
        </is>
      </c>
      <c r="H141" t="inlineStr">
        <is>
          <t>Sveaskog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13383-2023</t>
        </is>
      </c>
      <c r="B142" t="inlineStr">
        <is>
          <t>avverkningsanmälan</t>
        </is>
      </c>
      <c r="C142" t="inlineStr">
        <is>
          <t>Föryngringsavverkning</t>
        </is>
      </c>
      <c r="D142" s="1" t="n">
        <v>45005</v>
      </c>
      <c r="E142" s="1" t="n">
        <v>46294</v>
      </c>
      <c r="F142" t="inlineStr">
        <is>
          <t>KALMAR LÄN</t>
        </is>
      </c>
      <c r="G142" t="inlineStr">
        <is>
          <t>BORGHOLM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61438-2023</t>
        </is>
      </c>
      <c r="B143" t="inlineStr">
        <is>
          <t>avverkningsanmälan</t>
        </is>
      </c>
      <c r="C143" t="inlineStr">
        <is>
          <t>Avverkning för annat ändamål</t>
        </is>
      </c>
      <c r="D143" s="1" t="n">
        <v>45264</v>
      </c>
      <c r="E143" s="1" t="n">
        <v>46294</v>
      </c>
      <c r="F143" t="inlineStr">
        <is>
          <t>KALMAR LÄN</t>
        </is>
      </c>
      <c r="G143" t="inlineStr">
        <is>
          <t>BORGHOLM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13041-2024</t>
        </is>
      </c>
      <c r="B144" t="inlineStr">
        <is>
          <t>avverkningsanmälan</t>
        </is>
      </c>
      <c r="C144" t="inlineStr">
        <is>
          <t>Föryngringsavverkning</t>
        </is>
      </c>
      <c r="D144" s="1" t="n">
        <v>45385</v>
      </c>
      <c r="E144" s="1" t="n">
        <v>46294</v>
      </c>
      <c r="F144" t="inlineStr">
        <is>
          <t>KALMAR LÄN</t>
        </is>
      </c>
      <c r="G144" t="inlineStr">
        <is>
          <t>BORGHOLM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4165-2023</t>
        </is>
      </c>
      <c r="B145" t="inlineStr">
        <is>
          <t>avverkningsanmälan</t>
        </is>
      </c>
      <c r="C145" t="inlineStr">
        <is>
          <t>Föryngringsavverkning</t>
        </is>
      </c>
      <c r="D145" s="1" t="n">
        <v>44953</v>
      </c>
      <c r="E145" s="1" t="n">
        <v>46294</v>
      </c>
      <c r="F145" t="inlineStr">
        <is>
          <t>KALMAR LÄN</t>
        </is>
      </c>
      <c r="G145" t="inlineStr">
        <is>
          <t>BORGHOLM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28381-2026</t>
        </is>
      </c>
      <c r="B146" t="inlineStr">
        <is>
          <t>avverkningsanmälan</t>
        </is>
      </c>
      <c r="C146" t="inlineStr">
        <is>
          <t>Avverkning för att bevara och utveckla /försöksver</t>
        </is>
      </c>
      <c r="D146" s="1" t="n">
        <v>46196</v>
      </c>
      <c r="E146" s="1" t="n">
        <v>46294</v>
      </c>
      <c r="F146" t="inlineStr">
        <is>
          <t>KALMAR LÄN</t>
        </is>
      </c>
      <c r="G146" t="inlineStr">
        <is>
          <t>BORGHOLM</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28380-2026</t>
        </is>
      </c>
      <c r="B147" t="inlineStr">
        <is>
          <t>avverkningsanmälan</t>
        </is>
      </c>
      <c r="C147" t="inlineStr">
        <is>
          <t>Avverkning för att bevara och utveckla /försöksver</t>
        </is>
      </c>
      <c r="D147" s="1" t="n">
        <v>46196</v>
      </c>
      <c r="E147" s="1" t="n">
        <v>46294</v>
      </c>
      <c r="F147" t="inlineStr">
        <is>
          <t>KALMAR LÄN</t>
        </is>
      </c>
      <c r="G147" t="inlineStr">
        <is>
          <t>BORGHOLM</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28411-2026</t>
        </is>
      </c>
      <c r="B148" t="inlineStr">
        <is>
          <t>avverkningsanmälan</t>
        </is>
      </c>
      <c r="C148" t="inlineStr">
        <is>
          <t>Avverkning för att bevara och utveckla /försöksver</t>
        </is>
      </c>
      <c r="D148" s="1" t="n">
        <v>46197</v>
      </c>
      <c r="E148" s="1" t="n">
        <v>46294</v>
      </c>
      <c r="F148" t="inlineStr">
        <is>
          <t>KALMAR LÄN</t>
        </is>
      </c>
      <c r="G148" t="inlineStr">
        <is>
          <t>BORGHOLM</t>
        </is>
      </c>
      <c r="H148" t="inlineStr">
        <is>
          <t>Sveaskog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29413-2026</t>
        </is>
      </c>
      <c r="B149" t="inlineStr">
        <is>
          <t>avverkningsanmälan</t>
        </is>
      </c>
      <c r="C149" t="inlineStr">
        <is>
          <t>Avverkning för att bevara och utveckla /försöksver</t>
        </is>
      </c>
      <c r="D149" s="1" t="n">
        <v>46203</v>
      </c>
      <c r="E149" s="1" t="n">
        <v>46294</v>
      </c>
      <c r="F149" t="inlineStr">
        <is>
          <t>KALMAR LÄN</t>
        </is>
      </c>
      <c r="G149" t="inlineStr">
        <is>
          <t>BORGHOLM</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29414-2026</t>
        </is>
      </c>
      <c r="B150" t="inlineStr">
        <is>
          <t>avverkningsanmälan</t>
        </is>
      </c>
      <c r="C150" t="inlineStr">
        <is>
          <t>Avverkning för att bevara och utveckla /försöksver</t>
        </is>
      </c>
      <c r="D150" s="1" t="n">
        <v>46203</v>
      </c>
      <c r="E150" s="1" t="n">
        <v>46294</v>
      </c>
      <c r="F150" t="inlineStr">
        <is>
          <t>KALMAR LÄN</t>
        </is>
      </c>
      <c r="G150" t="inlineStr">
        <is>
          <t>BORGHOLM</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29431-2026</t>
        </is>
      </c>
      <c r="B151" t="inlineStr">
        <is>
          <t>avverkningsanmälan</t>
        </is>
      </c>
      <c r="C151" t="inlineStr">
        <is>
          <t>Avverkning för att bevara och utveckla /försöksver</t>
        </is>
      </c>
      <c r="D151" s="1" t="n">
        <v>46203</v>
      </c>
      <c r="E151" s="1" t="n">
        <v>46294</v>
      </c>
      <c r="F151" t="inlineStr">
        <is>
          <t>KALMAR LÄN</t>
        </is>
      </c>
      <c r="G151" t="inlineStr">
        <is>
          <t>BORGHOLM</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29410-2026</t>
        </is>
      </c>
      <c r="B152" t="inlineStr">
        <is>
          <t>avverkningsanmälan</t>
        </is>
      </c>
      <c r="C152" t="inlineStr">
        <is>
          <t>Avverkning för att bevara och utveckla /försöksver</t>
        </is>
      </c>
      <c r="D152" s="1" t="n">
        <v>46203</v>
      </c>
      <c r="E152" s="1" t="n">
        <v>46294</v>
      </c>
      <c r="F152" t="inlineStr">
        <is>
          <t>KALMAR LÄN</t>
        </is>
      </c>
      <c r="G152" t="inlineStr">
        <is>
          <t>BORGHOLM</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34780-2022</t>
        </is>
      </c>
      <c r="B153" t="inlineStr">
        <is>
          <t>avverkningsanmälan</t>
        </is>
      </c>
      <c r="C153" t="inlineStr">
        <is>
          <t>Föryngringsavverkning</t>
        </is>
      </c>
      <c r="D153" s="1" t="n">
        <v>44795</v>
      </c>
      <c r="E153" s="1" t="n">
        <v>46294</v>
      </c>
      <c r="F153" t="inlineStr">
        <is>
          <t>KALMAR LÄN</t>
        </is>
      </c>
      <c r="G153" t="inlineStr">
        <is>
          <t>BORGHOLM</t>
        </is>
      </c>
      <c r="H153" t="inlineStr">
        <is>
          <t>Sveaskog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20287-2025</t>
        </is>
      </c>
      <c r="B154" t="inlineStr">
        <is>
          <t>avverkningsanmälan</t>
        </is>
      </c>
      <c r="C154" t="inlineStr">
        <is>
          <t>Avverkning för att bevara och utveckla /försöksver</t>
        </is>
      </c>
      <c r="D154" s="1" t="n">
        <v>45774</v>
      </c>
      <c r="E154" s="1" t="n">
        <v>46294</v>
      </c>
      <c r="F154" t="inlineStr">
        <is>
          <t>KALMAR LÄN</t>
        </is>
      </c>
      <c r="G154" t="inlineStr">
        <is>
          <t>BORGHOLM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26160-2024</t>
        </is>
      </c>
      <c r="B155" t="inlineStr">
        <is>
          <t>avverkningsanmälan</t>
        </is>
      </c>
      <c r="C155" t="inlineStr">
        <is>
          <t>Avverkning för annat ändamål</t>
        </is>
      </c>
      <c r="D155" s="1" t="n">
        <v>45468</v>
      </c>
      <c r="E155" s="1" t="n">
        <v>46294</v>
      </c>
      <c r="F155" t="inlineStr">
        <is>
          <t>KALMAR LÄN</t>
        </is>
      </c>
      <c r="G155" t="inlineStr">
        <is>
          <t>BORGHOLM</t>
        </is>
      </c>
      <c r="I155" t="n">
        <v>0.4</v>
      </c>
      <c r="J155" t="n">
        <v>0</v>
      </c>
      <c r="K155" t="n">
        <v>0</v>
      </c>
      <c r="L155" t="n">
        <v>0</v>
      </c>
      <c r="M155" t="n">
        <v>0</v>
      </c>
      <c r="N155" t="n">
        <v>0</v>
      </c>
      <c r="O155" t="n">
        <v>0</v>
      </c>
      <c r="P155" t="n">
        <v>0</v>
      </c>
      <c r="Q155" t="n">
        <v>0</v>
      </c>
      <c r="R155" t="n">
        <v>0</v>
      </c>
      <c r="S155" t="n">
        <v>0</v>
      </c>
      <c r="T155" t="n">
        <v>0</v>
      </c>
      <c r="U155" t="n">
        <v>0</v>
      </c>
      <c r="V155" s="2" t="inlineStr"/>
      <c r="X155">
        <f>HYPERLINK("https://klasma.github.io/Logging_0885/kartor/A 26160-2024 karta.png", "A 26160-2024")</f>
        <v/>
      </c>
      <c r="Y155">
        <f>HYPERLINK("https://klasma.github.io/Logging_0885/kartor_geotiff/A 26160-2024 georefererad karta.tif", "A 26160-2024")</f>
        <v/>
      </c>
      <c r="AA155">
        <f>HYPERLINK("https://klasma.github.io/Logging_0885/klagomål/A 26160-2024 FSC-klagomål.docx", "A 26160-2024")</f>
        <v/>
      </c>
      <c r="AB155">
        <f>HYPERLINK("https://klasma.github.io/Logging_0885/klagomålsmail/A 26160-2024 FSC-klagomål mail.docx", "A 26160-2024")</f>
        <v/>
      </c>
      <c r="AC155">
        <f>HYPERLINK("https://klasma.github.io/Logging_0885/tillsyn/A 26160-2024 tillsynsbegäran.docx", "A 26160-2024")</f>
        <v/>
      </c>
      <c r="AD155">
        <f>HYPERLINK("https://klasma.github.io/Logging_0885/tillsynsmail/A 26160-2024 tillsynsbegäran mail.docx", "A 26160-2024")</f>
        <v/>
      </c>
    </row>
    <row r="156" ht="15" customHeight="1">
      <c r="A156" t="inlineStr">
        <is>
          <t>A 63075-2023</t>
        </is>
      </c>
      <c r="B156" t="inlineStr">
        <is>
          <t>avverkningsanmälan</t>
        </is>
      </c>
      <c r="C156" t="inlineStr">
        <is>
          <t>Avverkning för annat ändamål</t>
        </is>
      </c>
      <c r="D156" s="1" t="n">
        <v>45273</v>
      </c>
      <c r="E156" s="1" t="n">
        <v>46294</v>
      </c>
      <c r="F156" t="inlineStr">
        <is>
          <t>KALMAR LÄN</t>
        </is>
      </c>
      <c r="G156" t="inlineStr">
        <is>
          <t>BORGHOLM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24338-2026</t>
        </is>
      </c>
      <c r="B157" t="inlineStr">
        <is>
          <t>avverkningsanmälan</t>
        </is>
      </c>
      <c r="C157" t="inlineStr">
        <is>
          <t>Avverkning för att bevara och utveckla /försöksver</t>
        </is>
      </c>
      <c r="D157" s="1" t="n">
        <v>46169</v>
      </c>
      <c r="E157" s="1" t="n">
        <v>46294</v>
      </c>
      <c r="F157" t="inlineStr">
        <is>
          <t>KALMAR LÄN</t>
        </is>
      </c>
      <c r="G157" t="inlineStr">
        <is>
          <t>BORGHOLM</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46294</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46294</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46294</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46294</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46294</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46294</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46294</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46294</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1806-2026</t>
        </is>
      </c>
      <c r="B166" t="inlineStr">
        <is>
          <t>samrådsanmälan</t>
        </is>
      </c>
      <c r="C166" t="inlineStr">
        <is>
          <t>Annan skogsbruksåtgärd</t>
        </is>
      </c>
      <c r="D166" s="1" t="n">
        <v>46196</v>
      </c>
      <c r="E166" s="1" t="n">
        <v>46294</v>
      </c>
      <c r="F166" t="inlineStr">
        <is>
          <t>KALMAR LÄN</t>
        </is>
      </c>
      <c r="G166" t="inlineStr">
        <is>
          <t>BORGHOLM</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1807-2026</t>
        </is>
      </c>
      <c r="B167" t="inlineStr">
        <is>
          <t>samrådsanmälan</t>
        </is>
      </c>
      <c r="C167" t="inlineStr">
        <is>
          <t>Annan skogsbruksåtgärd</t>
        </is>
      </c>
      <c r="D167" s="1" t="n">
        <v>46196</v>
      </c>
      <c r="E167" s="1" t="n">
        <v>46294</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1812-2026</t>
        </is>
      </c>
      <c r="B168" t="inlineStr">
        <is>
          <t>samrådsanmälan</t>
        </is>
      </c>
      <c r="C168" t="inlineStr">
        <is>
          <t>Annan skogsbruksåtgärd</t>
        </is>
      </c>
      <c r="D168" s="1" t="n">
        <v>46197</v>
      </c>
      <c r="E168" s="1" t="n">
        <v>46294</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46294</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46294</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46294</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46294</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2026-09-29T01:57:11Z</dcterms:created>
  <dcterms:modified xmlns:dcterms="http://purl.org/dc/terms/" xmlns:xsi="http://www.w3.org/2001/XMLSchema-instance" xsi:type="dcterms:W3CDTF">2026-09-29T01:57:11Z</dcterms:modified>
</cp:coreProperties>
</file>