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45973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45973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45973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45973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45973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45973</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45973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45973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45973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45973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45973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45973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45973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45973</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45973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45973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21797-2024</t>
        </is>
      </c>
      <c r="B18" s="1" t="n">
        <v>45442.6512037037</v>
      </c>
      <c r="C18" s="1" t="n">
        <v>45973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16171-2023</t>
        </is>
      </c>
      <c r="B19" s="1" t="n">
        <v>45027</v>
      </c>
      <c r="C19" s="1" t="n">
        <v>45973</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38860-2025</t>
        </is>
      </c>
      <c r="B20" s="1" t="n">
        <v>45887.5609375</v>
      </c>
      <c r="C20" s="1" t="n">
        <v>45973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34944-2022</t>
        </is>
      </c>
      <c r="B21" s="1" t="n">
        <v>44796</v>
      </c>
      <c r="C21" s="1" t="n">
        <v>45973</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32174-2022</t>
        </is>
      </c>
      <c r="B22" s="1" t="n">
        <v>44781</v>
      </c>
      <c r="C22" s="1" t="n">
        <v>45973</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4164-2023</t>
        </is>
      </c>
      <c r="B23" s="1" t="n">
        <v>44953</v>
      </c>
      <c r="C23" s="1" t="n">
        <v>45973</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45973</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13556-2025</t>
        </is>
      </c>
      <c r="B25" s="1" t="n">
        <v>45736.54759259259</v>
      </c>
      <c r="C25" s="1" t="n">
        <v>45973</v>
      </c>
      <c r="D25" t="inlineStr">
        <is>
          <t>KALMAR LÄN</t>
        </is>
      </c>
      <c r="E25" t="inlineStr">
        <is>
          <t>BORGHOLM</t>
        </is>
      </c>
      <c r="G25" t="n">
        <v>2.3</v>
      </c>
      <c r="H25" t="n">
        <v>2</v>
      </c>
      <c r="I25" t="n">
        <v>1</v>
      </c>
      <c r="J25" t="n">
        <v>0</v>
      </c>
      <c r="K25" t="n">
        <v>0</v>
      </c>
      <c r="L25" t="n">
        <v>0</v>
      </c>
      <c r="M25" t="n">
        <v>0</v>
      </c>
      <c r="N25" t="n">
        <v>0</v>
      </c>
      <c r="O25" t="n">
        <v>0</v>
      </c>
      <c r="P25" t="n">
        <v>0</v>
      </c>
      <c r="Q25" t="n">
        <v>2</v>
      </c>
      <c r="R25" s="2" t="inlineStr">
        <is>
          <t>Tvåblad
Nattviol</t>
        </is>
      </c>
      <c r="S25">
        <f>HYPERLINK("https://klasma.github.io/Logging_0885/artfynd/A 13556-2025 artfynd.xlsx", "A 13556-2025")</f>
        <v/>
      </c>
      <c r="T25">
        <f>HYPERLINK("https://klasma.github.io/Logging_0885/kartor/A 13556-2025 karta.png", "A 13556-2025")</f>
        <v/>
      </c>
      <c r="V25">
        <f>HYPERLINK("https://klasma.github.io/Logging_0885/klagomål/A 13556-2025 FSC-klagomål.docx", "A 13556-2025")</f>
        <v/>
      </c>
      <c r="W25">
        <f>HYPERLINK("https://klasma.github.io/Logging_0885/klagomålsmail/A 13556-2025 FSC-klagomål mail.docx", "A 13556-2025")</f>
        <v/>
      </c>
      <c r="X25">
        <f>HYPERLINK("https://klasma.github.io/Logging_0885/tillsyn/A 13556-2025 tillsynsbegäran.docx", "A 13556-2025")</f>
        <v/>
      </c>
      <c r="Y25">
        <f>HYPERLINK("https://klasma.github.io/Logging_0885/tillsynsmail/A 13556-2025 tillsynsbegäran mail.docx", "A 13556-2025")</f>
        <v/>
      </c>
    </row>
    <row r="26" ht="15" customHeight="1">
      <c r="A26" t="inlineStr">
        <is>
          <t>A 44008-2022</t>
        </is>
      </c>
      <c r="B26" s="1" t="n">
        <v>44838</v>
      </c>
      <c r="C26" s="1" t="n">
        <v>45973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28779-2025</t>
        </is>
      </c>
      <c r="B27" s="1" t="n">
        <v>45820.44920138889</v>
      </c>
      <c r="C27" s="1" t="n">
        <v>45973</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3871-2021</t>
        </is>
      </c>
      <c r="B28" s="1" t="n">
        <v>44222</v>
      </c>
      <c r="C28" s="1" t="n">
        <v>45973</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45973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66329-2020</t>
        </is>
      </c>
      <c r="B30" s="1" t="n">
        <v>44176</v>
      </c>
      <c r="C30" s="1" t="n">
        <v>45973</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31295-2022</t>
        </is>
      </c>
      <c r="B31" s="1" t="n">
        <v>44772</v>
      </c>
      <c r="C31" s="1" t="n">
        <v>45973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24704-2023</t>
        </is>
      </c>
      <c r="B32" s="1" t="n">
        <v>45084</v>
      </c>
      <c r="C32" s="1" t="n">
        <v>45973</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9745-2023</t>
        </is>
      </c>
      <c r="B33" s="1" t="n">
        <v>44984</v>
      </c>
      <c r="C33" s="1" t="n">
        <v>45973</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14789-2021</t>
        </is>
      </c>
      <c r="B34" s="1" t="n">
        <v>44280</v>
      </c>
      <c r="C34" s="1" t="n">
        <v>45973</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24048-2025</t>
        </is>
      </c>
      <c r="B35" s="1" t="n">
        <v>45796.4959375</v>
      </c>
      <c r="C35" s="1" t="n">
        <v>45973</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12785-2021</t>
        </is>
      </c>
      <c r="B36" s="1" t="n">
        <v>44270</v>
      </c>
      <c r="C36" s="1" t="n">
        <v>45973</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45973</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41640-2023</t>
        </is>
      </c>
      <c r="B38" s="1" t="n">
        <v>45175</v>
      </c>
      <c r="C38" s="1" t="n">
        <v>45973</v>
      </c>
      <c r="D38" t="inlineStr">
        <is>
          <t>KALMAR LÄN</t>
        </is>
      </c>
      <c r="E38" t="inlineStr">
        <is>
          <t>BORGHOLM</t>
        </is>
      </c>
      <c r="G38" t="n">
        <v>5</v>
      </c>
      <c r="H38" t="n">
        <v>1</v>
      </c>
      <c r="I38" t="n">
        <v>0</v>
      </c>
      <c r="J38" t="n">
        <v>0</v>
      </c>
      <c r="K38" t="n">
        <v>0</v>
      </c>
      <c r="L38" t="n">
        <v>0</v>
      </c>
      <c r="M38" t="n">
        <v>0</v>
      </c>
      <c r="N38" t="n">
        <v>0</v>
      </c>
      <c r="O38" t="n">
        <v>0</v>
      </c>
      <c r="P38" t="n">
        <v>0</v>
      </c>
      <c r="Q38" t="n">
        <v>1</v>
      </c>
      <c r="R38" s="2" t="inlineStr">
        <is>
          <t>Johannesnycklar</t>
        </is>
      </c>
      <c r="S38">
        <f>HYPERLINK("https://klasma.github.io/Logging_0885/artfynd/A 41640-2023 artfynd.xlsx", "A 41640-2023")</f>
        <v/>
      </c>
      <c r="T38">
        <f>HYPERLINK("https://klasma.github.io/Logging_0885/kartor/A 41640-2023 karta.png", "A 41640-2023")</f>
        <v/>
      </c>
      <c r="V38">
        <f>HYPERLINK("https://klasma.github.io/Logging_0885/klagomål/A 41640-2023 FSC-klagomål.docx", "A 41640-2023")</f>
        <v/>
      </c>
      <c r="W38">
        <f>HYPERLINK("https://klasma.github.io/Logging_0885/klagomålsmail/A 41640-2023 FSC-klagomål mail.docx", "A 41640-2023")</f>
        <v/>
      </c>
      <c r="X38">
        <f>HYPERLINK("https://klasma.github.io/Logging_0885/tillsyn/A 41640-2023 tillsynsbegäran.docx", "A 41640-2023")</f>
        <v/>
      </c>
      <c r="Y38">
        <f>HYPERLINK("https://klasma.github.io/Logging_0885/tillsynsmail/A 41640-2023 tillsynsbegäran mail.docx", "A 41640-2023")</f>
        <v/>
      </c>
    </row>
    <row r="39" ht="15" customHeight="1">
      <c r="A39" t="inlineStr">
        <is>
          <t>A 24701-2023</t>
        </is>
      </c>
      <c r="B39" s="1" t="n">
        <v>45084</v>
      </c>
      <c r="C39" s="1" t="n">
        <v>45973</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45973</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45693-2025</t>
        </is>
      </c>
      <c r="B41" s="1" t="n">
        <v>45923</v>
      </c>
      <c r="C41" s="1" t="n">
        <v>45973</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28785-2025</t>
        </is>
      </c>
      <c r="B42" s="1" t="n">
        <v>45820.46159722222</v>
      </c>
      <c r="C42" s="1" t="n">
        <v>45973</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45973</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45973</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45973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45973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45973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45973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45973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45973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45973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45973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45973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60735-2020</t>
        </is>
      </c>
      <c r="B54" s="1" t="n">
        <v>44153</v>
      </c>
      <c r="C54" s="1" t="n">
        <v>45973</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45973</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45973</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45973</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45973</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45973</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45973</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45973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45973</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1757-2025</t>
        </is>
      </c>
      <c r="B63" s="1" t="n">
        <v>45671.42195601852</v>
      </c>
      <c r="C63" s="1" t="n">
        <v>45973</v>
      </c>
      <c r="D63" t="inlineStr">
        <is>
          <t>KALMAR LÄN</t>
        </is>
      </c>
      <c r="E63" t="inlineStr">
        <is>
          <t>BORGHOLM</t>
        </is>
      </c>
      <c r="G63" t="n">
        <v>1.4</v>
      </c>
      <c r="H63" t="n">
        <v>0</v>
      </c>
      <c r="I63" t="n">
        <v>0</v>
      </c>
      <c r="J63" t="n">
        <v>0</v>
      </c>
      <c r="K63" t="n">
        <v>0</v>
      </c>
      <c r="L63" t="n">
        <v>0</v>
      </c>
      <c r="M63" t="n">
        <v>0</v>
      </c>
      <c r="N63" t="n">
        <v>0</v>
      </c>
      <c r="O63" t="n">
        <v>0</v>
      </c>
      <c r="P63" t="n">
        <v>0</v>
      </c>
      <c r="Q63" t="n">
        <v>0</v>
      </c>
      <c r="R63" s="2" t="inlineStr"/>
    </row>
    <row r="64" ht="15" customHeight="1">
      <c r="A64" t="inlineStr">
        <is>
          <t>A 20878-2024</t>
        </is>
      </c>
      <c r="B64" s="1" t="n">
        <v>45439.44748842593</v>
      </c>
      <c r="C64" s="1" t="n">
        <v>45973</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17699-2025</t>
        </is>
      </c>
      <c r="B65" s="1" t="n">
        <v>45758.41846064815</v>
      </c>
      <c r="C65" s="1" t="n">
        <v>45973</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7669-2024</t>
        </is>
      </c>
      <c r="B66" s="1" t="n">
        <v>45348.82498842593</v>
      </c>
      <c r="C66" s="1" t="n">
        <v>45973</v>
      </c>
      <c r="D66" t="inlineStr">
        <is>
          <t>KALMAR LÄN</t>
        </is>
      </c>
      <c r="E66" t="inlineStr">
        <is>
          <t>BORGHOLM</t>
        </is>
      </c>
      <c r="G66" t="n">
        <v>2.3</v>
      </c>
      <c r="H66" t="n">
        <v>0</v>
      </c>
      <c r="I66" t="n">
        <v>0</v>
      </c>
      <c r="J66" t="n">
        <v>0</v>
      </c>
      <c r="K66" t="n">
        <v>0</v>
      </c>
      <c r="L66" t="n">
        <v>0</v>
      </c>
      <c r="M66" t="n">
        <v>0</v>
      </c>
      <c r="N66" t="n">
        <v>0</v>
      </c>
      <c r="O66" t="n">
        <v>0</v>
      </c>
      <c r="P66" t="n">
        <v>0</v>
      </c>
      <c r="Q66" t="n">
        <v>0</v>
      </c>
      <c r="R66" s="2" t="inlineStr"/>
    </row>
    <row r="67" ht="15" customHeight="1">
      <c r="A67" t="inlineStr">
        <is>
          <t>A 34780-2022</t>
        </is>
      </c>
      <c r="B67" s="1" t="n">
        <v>44795</v>
      </c>
      <c r="C67" s="1" t="n">
        <v>45973</v>
      </c>
      <c r="D67" t="inlineStr">
        <is>
          <t>KALMAR LÄN</t>
        </is>
      </c>
      <c r="E67" t="inlineStr">
        <is>
          <t>BORGHOLM</t>
        </is>
      </c>
      <c r="F67" t="inlineStr">
        <is>
          <t>Sveaskog</t>
        </is>
      </c>
      <c r="G67" t="n">
        <v>6.7</v>
      </c>
      <c r="H67" t="n">
        <v>0</v>
      </c>
      <c r="I67" t="n">
        <v>0</v>
      </c>
      <c r="J67" t="n">
        <v>0</v>
      </c>
      <c r="K67" t="n">
        <v>0</v>
      </c>
      <c r="L67" t="n">
        <v>0</v>
      </c>
      <c r="M67" t="n">
        <v>0</v>
      </c>
      <c r="N67" t="n">
        <v>0</v>
      </c>
      <c r="O67" t="n">
        <v>0</v>
      </c>
      <c r="P67" t="n">
        <v>0</v>
      </c>
      <c r="Q67" t="n">
        <v>0</v>
      </c>
      <c r="R67" s="2" t="inlineStr"/>
    </row>
    <row r="68" ht="15" customHeight="1">
      <c r="A68" t="inlineStr">
        <is>
          <t>A 55367-2024</t>
        </is>
      </c>
      <c r="B68" s="1" t="n">
        <v>45621.87075231481</v>
      </c>
      <c r="C68" s="1" t="n">
        <v>45973</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13043-2024</t>
        </is>
      </c>
      <c r="B69" s="1" t="n">
        <v>45385.60111111111</v>
      </c>
      <c r="C69" s="1" t="n">
        <v>45973</v>
      </c>
      <c r="D69" t="inlineStr">
        <is>
          <t>KALMAR LÄN</t>
        </is>
      </c>
      <c r="E69" t="inlineStr">
        <is>
          <t>BORGHOLM</t>
        </is>
      </c>
      <c r="G69" t="n">
        <v>0.4</v>
      </c>
      <c r="H69" t="n">
        <v>0</v>
      </c>
      <c r="I69" t="n">
        <v>0</v>
      </c>
      <c r="J69" t="n">
        <v>0</v>
      </c>
      <c r="K69" t="n">
        <v>0</v>
      </c>
      <c r="L69" t="n">
        <v>0</v>
      </c>
      <c r="M69" t="n">
        <v>0</v>
      </c>
      <c r="N69" t="n">
        <v>0</v>
      </c>
      <c r="O69" t="n">
        <v>0</v>
      </c>
      <c r="P69" t="n">
        <v>0</v>
      </c>
      <c r="Q69" t="n">
        <v>0</v>
      </c>
      <c r="R69" s="2" t="inlineStr"/>
    </row>
    <row r="70" ht="15" customHeight="1">
      <c r="A70" t="inlineStr">
        <is>
          <t>A 20287-2025</t>
        </is>
      </c>
      <c r="B70" s="1" t="n">
        <v>45774.60741898148</v>
      </c>
      <c r="C70" s="1" t="n">
        <v>45973</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9076-2025</t>
        </is>
      </c>
      <c r="B71" s="1" t="n">
        <v>45713.6596875</v>
      </c>
      <c r="C71" s="1" t="n">
        <v>45973</v>
      </c>
      <c r="D71" t="inlineStr">
        <is>
          <t>KALMAR LÄN</t>
        </is>
      </c>
      <c r="E71" t="inlineStr">
        <is>
          <t>BORGHOLM</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45973</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17978-2021</t>
        </is>
      </c>
      <c r="B73" s="1" t="n">
        <v>44301</v>
      </c>
      <c r="C73" s="1" t="n">
        <v>45973</v>
      </c>
      <c r="D73" t="inlineStr">
        <is>
          <t>KALMAR LÄN</t>
        </is>
      </c>
      <c r="E73" t="inlineStr">
        <is>
          <t>BORGHOLM</t>
        </is>
      </c>
      <c r="G73" t="n">
        <v>6</v>
      </c>
      <c r="H73" t="n">
        <v>0</v>
      </c>
      <c r="I73" t="n">
        <v>0</v>
      </c>
      <c r="J73" t="n">
        <v>0</v>
      </c>
      <c r="K73" t="n">
        <v>0</v>
      </c>
      <c r="L73" t="n">
        <v>0</v>
      </c>
      <c r="M73" t="n">
        <v>0</v>
      </c>
      <c r="N73" t="n">
        <v>0</v>
      </c>
      <c r="O73" t="n">
        <v>0</v>
      </c>
      <c r="P73" t="n">
        <v>0</v>
      </c>
      <c r="Q73" t="n">
        <v>0</v>
      </c>
      <c r="R73" s="2" t="inlineStr"/>
    </row>
    <row r="74" ht="15" customHeight="1">
      <c r="A74" t="inlineStr">
        <is>
          <t>A 26160-2024</t>
        </is>
      </c>
      <c r="B74" s="1" t="n">
        <v>45468</v>
      </c>
      <c r="C74" s="1" t="n">
        <v>45973</v>
      </c>
      <c r="D74" t="inlineStr">
        <is>
          <t>KALMAR LÄN</t>
        </is>
      </c>
      <c r="E74" t="inlineStr">
        <is>
          <t>BORGHOLM</t>
        </is>
      </c>
      <c r="G74" t="n">
        <v>0.4</v>
      </c>
      <c r="H74" t="n">
        <v>0</v>
      </c>
      <c r="I74" t="n">
        <v>0</v>
      </c>
      <c r="J74" t="n">
        <v>0</v>
      </c>
      <c r="K74" t="n">
        <v>0</v>
      </c>
      <c r="L74" t="n">
        <v>0</v>
      </c>
      <c r="M74" t="n">
        <v>0</v>
      </c>
      <c r="N74" t="n">
        <v>0</v>
      </c>
      <c r="O74" t="n">
        <v>0</v>
      </c>
      <c r="P74" t="n">
        <v>0</v>
      </c>
      <c r="Q74" t="n">
        <v>0</v>
      </c>
      <c r="R74" s="2" t="inlineStr"/>
      <c r="T74">
        <f>HYPERLINK("https://klasma.github.io/Logging_0885/kartor/A 26160-2024 karta.png", "A 26160-2024")</f>
        <v/>
      </c>
      <c r="V74">
        <f>HYPERLINK("https://klasma.github.io/Logging_0885/klagomål/A 26160-2024 FSC-klagomål.docx", "A 26160-2024")</f>
        <v/>
      </c>
      <c r="W74">
        <f>HYPERLINK("https://klasma.github.io/Logging_0885/klagomålsmail/A 26160-2024 FSC-klagomål mail.docx", "A 26160-2024")</f>
        <v/>
      </c>
      <c r="X74">
        <f>HYPERLINK("https://klasma.github.io/Logging_0885/tillsyn/A 26160-2024 tillsynsbegäran.docx", "A 26160-2024")</f>
        <v/>
      </c>
      <c r="Y74">
        <f>HYPERLINK("https://klasma.github.io/Logging_0885/tillsynsmail/A 26160-2024 tillsynsbegäran mail.docx", "A 26160-2024")</f>
        <v/>
      </c>
    </row>
    <row r="75" ht="15" customHeight="1">
      <c r="A75" t="inlineStr">
        <is>
          <t>A 65144-2020</t>
        </is>
      </c>
      <c r="B75" s="1" t="n">
        <v>44172</v>
      </c>
      <c r="C75" s="1" t="n">
        <v>45973</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32919-2023</t>
        </is>
      </c>
      <c r="B76" s="1" t="n">
        <v>45125</v>
      </c>
      <c r="C76" s="1" t="n">
        <v>45973</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45973</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22785-2025</t>
        </is>
      </c>
      <c r="B78" s="1" t="n">
        <v>45789.64186342592</v>
      </c>
      <c r="C78" s="1" t="n">
        <v>45973</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45973</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45973</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29656-2023</t>
        </is>
      </c>
      <c r="B81" s="1" t="n">
        <v>45107</v>
      </c>
      <c r="C81" s="1" t="n">
        <v>45973</v>
      </c>
      <c r="D81" t="inlineStr">
        <is>
          <t>KALMAR LÄN</t>
        </is>
      </c>
      <c r="E81" t="inlineStr">
        <is>
          <t>BORGHOLM</t>
        </is>
      </c>
      <c r="G81" t="n">
        <v>4.1</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45973</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4878-2021</t>
        </is>
      </c>
      <c r="B83" s="1" t="n">
        <v>44225</v>
      </c>
      <c r="C83" s="1" t="n">
        <v>45973</v>
      </c>
      <c r="D83" t="inlineStr">
        <is>
          <t>KALMAR LÄN</t>
        </is>
      </c>
      <c r="E83" t="inlineStr">
        <is>
          <t>BORGHOLM</t>
        </is>
      </c>
      <c r="G83" t="n">
        <v>3</v>
      </c>
      <c r="H83" t="n">
        <v>0</v>
      </c>
      <c r="I83" t="n">
        <v>0</v>
      </c>
      <c r="J83" t="n">
        <v>0</v>
      </c>
      <c r="K83" t="n">
        <v>0</v>
      </c>
      <c r="L83" t="n">
        <v>0</v>
      </c>
      <c r="M83" t="n">
        <v>0</v>
      </c>
      <c r="N83" t="n">
        <v>0</v>
      </c>
      <c r="O83" t="n">
        <v>0</v>
      </c>
      <c r="P83" t="n">
        <v>0</v>
      </c>
      <c r="Q83" t="n">
        <v>0</v>
      </c>
      <c r="R83" s="2" t="inlineStr"/>
    </row>
    <row r="84" ht="15" customHeight="1">
      <c r="A84" t="inlineStr">
        <is>
          <t>A 34951-2022</t>
        </is>
      </c>
      <c r="B84" s="1" t="n">
        <v>44796</v>
      </c>
      <c r="C84" s="1" t="n">
        <v>45973</v>
      </c>
      <c r="D84" t="inlineStr">
        <is>
          <t>KALMAR LÄN</t>
        </is>
      </c>
      <c r="E84" t="inlineStr">
        <is>
          <t>BORGHOLM</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4165-2023</t>
        </is>
      </c>
      <c r="B85" s="1" t="n">
        <v>44953</v>
      </c>
      <c r="C85" s="1" t="n">
        <v>45973</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9034-2025</t>
        </is>
      </c>
      <c r="B86" s="1" t="n">
        <v>45713</v>
      </c>
      <c r="C86" s="1" t="n">
        <v>45973</v>
      </c>
      <c r="D86" t="inlineStr">
        <is>
          <t>KALMAR LÄN</t>
        </is>
      </c>
      <c r="E86" t="inlineStr">
        <is>
          <t>BORGHOLM</t>
        </is>
      </c>
      <c r="F86" t="inlineStr">
        <is>
          <t>Sveaskog</t>
        </is>
      </c>
      <c r="G86" t="n">
        <v>6.8</v>
      </c>
      <c r="H86" t="n">
        <v>0</v>
      </c>
      <c r="I86" t="n">
        <v>0</v>
      </c>
      <c r="J86" t="n">
        <v>0</v>
      </c>
      <c r="K86" t="n">
        <v>0</v>
      </c>
      <c r="L86" t="n">
        <v>0</v>
      </c>
      <c r="M86" t="n">
        <v>0</v>
      </c>
      <c r="N86" t="n">
        <v>0</v>
      </c>
      <c r="O86" t="n">
        <v>0</v>
      </c>
      <c r="P86" t="n">
        <v>0</v>
      </c>
      <c r="Q86" t="n">
        <v>0</v>
      </c>
      <c r="R86" s="2" t="inlineStr"/>
    </row>
    <row r="87" ht="15" customHeight="1">
      <c r="A87" t="inlineStr">
        <is>
          <t>A 5175-2024</t>
        </is>
      </c>
      <c r="B87" s="1" t="n">
        <v>45330</v>
      </c>
      <c r="C87" s="1" t="n">
        <v>45973</v>
      </c>
      <c r="D87" t="inlineStr">
        <is>
          <t>KALMAR LÄN</t>
        </is>
      </c>
      <c r="E87" t="inlineStr">
        <is>
          <t>BORGHOLM</t>
        </is>
      </c>
      <c r="G87" t="n">
        <v>1.5</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45973</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45973</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41831-2025</t>
        </is>
      </c>
      <c r="B90" s="1" t="n">
        <v>45902.67887731481</v>
      </c>
      <c r="C90" s="1" t="n">
        <v>45973</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3878-2023</t>
        </is>
      </c>
      <c r="B91" s="1" t="n">
        <v>44951</v>
      </c>
      <c r="C91" s="1" t="n">
        <v>45973</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42232-2025</t>
        </is>
      </c>
      <c r="B92" s="1" t="n">
        <v>45904.55591435185</v>
      </c>
      <c r="C92" s="1" t="n">
        <v>45973</v>
      </c>
      <c r="D92" t="inlineStr">
        <is>
          <t>KALMAR LÄN</t>
        </is>
      </c>
      <c r="E92" t="inlineStr">
        <is>
          <t>BORGHOLM</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41950-2025</t>
        </is>
      </c>
      <c r="B93" s="1" t="n">
        <v>45903.45767361111</v>
      </c>
      <c r="C93" s="1" t="n">
        <v>45973</v>
      </c>
      <c r="D93" t="inlineStr">
        <is>
          <t>KALMAR LÄN</t>
        </is>
      </c>
      <c r="E93" t="inlineStr">
        <is>
          <t>BORGHOLM</t>
        </is>
      </c>
      <c r="G93" t="n">
        <v>1.8</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45973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40339-2023</t>
        </is>
      </c>
      <c r="B95" s="1" t="n">
        <v>45169.62733796296</v>
      </c>
      <c r="C95" s="1" t="n">
        <v>45973</v>
      </c>
      <c r="D95" t="inlineStr">
        <is>
          <t>KALMAR LÄN</t>
        </is>
      </c>
      <c r="E95" t="inlineStr">
        <is>
          <t>BORGHOLM</t>
        </is>
      </c>
      <c r="G95" t="n">
        <v>3.8</v>
      </c>
      <c r="H95" t="n">
        <v>0</v>
      </c>
      <c r="I95" t="n">
        <v>0</v>
      </c>
      <c r="J95" t="n">
        <v>0</v>
      </c>
      <c r="K95" t="n">
        <v>0</v>
      </c>
      <c r="L95" t="n">
        <v>0</v>
      </c>
      <c r="M95" t="n">
        <v>0</v>
      </c>
      <c r="N95" t="n">
        <v>0</v>
      </c>
      <c r="O95" t="n">
        <v>0</v>
      </c>
      <c r="P95" t="n">
        <v>0</v>
      </c>
      <c r="Q95" t="n">
        <v>0</v>
      </c>
      <c r="R95" s="2" t="inlineStr"/>
    </row>
    <row r="96" ht="15" customHeight="1">
      <c r="A96" t="inlineStr">
        <is>
          <t>A 24166-2022</t>
        </is>
      </c>
      <c r="B96" s="1" t="n">
        <v>44725</v>
      </c>
      <c r="C96" s="1" t="n">
        <v>45973</v>
      </c>
      <c r="D96" t="inlineStr">
        <is>
          <t>KALMAR LÄN</t>
        </is>
      </c>
      <c r="E96" t="inlineStr">
        <is>
          <t>BORGHOLM</t>
        </is>
      </c>
      <c r="G96" t="n">
        <v>10.7</v>
      </c>
      <c r="H96" t="n">
        <v>0</v>
      </c>
      <c r="I96" t="n">
        <v>0</v>
      </c>
      <c r="J96" t="n">
        <v>0</v>
      </c>
      <c r="K96" t="n">
        <v>0</v>
      </c>
      <c r="L96" t="n">
        <v>0</v>
      </c>
      <c r="M96" t="n">
        <v>0</v>
      </c>
      <c r="N96" t="n">
        <v>0</v>
      </c>
      <c r="O96" t="n">
        <v>0</v>
      </c>
      <c r="P96" t="n">
        <v>0</v>
      </c>
      <c r="Q96" t="n">
        <v>0</v>
      </c>
      <c r="R96" s="2" t="inlineStr"/>
    </row>
    <row r="97" ht="15" customHeight="1">
      <c r="A97" t="inlineStr">
        <is>
          <t>A 44678-2022</t>
        </is>
      </c>
      <c r="B97" s="1" t="n">
        <v>44840.65100694444</v>
      </c>
      <c r="C97" s="1" t="n">
        <v>45973</v>
      </c>
      <c r="D97" t="inlineStr">
        <is>
          <t>KALMAR LÄN</t>
        </is>
      </c>
      <c r="E97" t="inlineStr">
        <is>
          <t>BORGHOLM</t>
        </is>
      </c>
      <c r="G97" t="n">
        <v>2.4</v>
      </c>
      <c r="H97" t="n">
        <v>0</v>
      </c>
      <c r="I97" t="n">
        <v>0</v>
      </c>
      <c r="J97" t="n">
        <v>0</v>
      </c>
      <c r="K97" t="n">
        <v>0</v>
      </c>
      <c r="L97" t="n">
        <v>0</v>
      </c>
      <c r="M97" t="n">
        <v>0</v>
      </c>
      <c r="N97" t="n">
        <v>0</v>
      </c>
      <c r="O97" t="n">
        <v>0</v>
      </c>
      <c r="P97" t="n">
        <v>0</v>
      </c>
      <c r="Q97" t="n">
        <v>0</v>
      </c>
      <c r="R97" s="2" t="inlineStr"/>
    </row>
    <row r="98" ht="15" customHeight="1">
      <c r="A98" t="inlineStr">
        <is>
          <t>A 19867-2024</t>
        </is>
      </c>
      <c r="B98" s="1" t="n">
        <v>45433</v>
      </c>
      <c r="C98" s="1" t="n">
        <v>45973</v>
      </c>
      <c r="D98" t="inlineStr">
        <is>
          <t>KALMAR LÄN</t>
        </is>
      </c>
      <c r="E98" t="inlineStr">
        <is>
          <t>BORGHOLM</t>
        </is>
      </c>
      <c r="G98" t="n">
        <v>3.9</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45973</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43542-2025</t>
        </is>
      </c>
      <c r="B100" s="1" t="n">
        <v>45911.61123842592</v>
      </c>
      <c r="C100" s="1" t="n">
        <v>45973</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45973</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64303-2023</t>
        </is>
      </c>
      <c r="B102" s="1" t="n">
        <v>45280</v>
      </c>
      <c r="C102" s="1" t="n">
        <v>45973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44224-2025</t>
        </is>
      </c>
      <c r="B103" s="1" t="n">
        <v>45915</v>
      </c>
      <c r="C103" s="1" t="n">
        <v>45973</v>
      </c>
      <c r="D103" t="inlineStr">
        <is>
          <t>KALMAR LÄN</t>
        </is>
      </c>
      <c r="E103" t="inlineStr">
        <is>
          <t>BORGHOLM</t>
        </is>
      </c>
      <c r="G103" t="n">
        <v>1.3</v>
      </c>
      <c r="H103" t="n">
        <v>0</v>
      </c>
      <c r="I103" t="n">
        <v>0</v>
      </c>
      <c r="J103" t="n">
        <v>0</v>
      </c>
      <c r="K103" t="n">
        <v>0</v>
      </c>
      <c r="L103" t="n">
        <v>0</v>
      </c>
      <c r="M103" t="n">
        <v>0</v>
      </c>
      <c r="N103" t="n">
        <v>0</v>
      </c>
      <c r="O103" t="n">
        <v>0</v>
      </c>
      <c r="P103" t="n">
        <v>0</v>
      </c>
      <c r="Q103" t="n">
        <v>0</v>
      </c>
      <c r="R103" s="2" t="inlineStr"/>
    </row>
    <row r="104" ht="15" customHeight="1">
      <c r="A104" t="inlineStr">
        <is>
          <t>A 26160-2025</t>
        </is>
      </c>
      <c r="B104" s="1" t="n">
        <v>45805.4490162037</v>
      </c>
      <c r="C104" s="1" t="n">
        <v>45973</v>
      </c>
      <c r="D104" t="inlineStr">
        <is>
          <t>KALMAR LÄN</t>
        </is>
      </c>
      <c r="E104" t="inlineStr">
        <is>
          <t>BORGHOLM</t>
        </is>
      </c>
      <c r="G104" t="n">
        <v>3.7</v>
      </c>
      <c r="H104" t="n">
        <v>0</v>
      </c>
      <c r="I104" t="n">
        <v>0</v>
      </c>
      <c r="J104" t="n">
        <v>0</v>
      </c>
      <c r="K104" t="n">
        <v>0</v>
      </c>
      <c r="L104" t="n">
        <v>0</v>
      </c>
      <c r="M104" t="n">
        <v>0</v>
      </c>
      <c r="N104" t="n">
        <v>0</v>
      </c>
      <c r="O104" t="n">
        <v>0</v>
      </c>
      <c r="P104" t="n">
        <v>0</v>
      </c>
      <c r="Q104" t="n">
        <v>0</v>
      </c>
      <c r="R104" s="2" t="inlineStr"/>
    </row>
    <row r="105" ht="15" customHeight="1">
      <c r="A105" t="inlineStr">
        <is>
          <t>A 26190-2025</t>
        </is>
      </c>
      <c r="B105" s="1" t="n">
        <v>45805.48349537037</v>
      </c>
      <c r="C105" s="1" t="n">
        <v>45973</v>
      </c>
      <c r="D105" t="inlineStr">
        <is>
          <t>KALMAR LÄN</t>
        </is>
      </c>
      <c r="E105" t="inlineStr">
        <is>
          <t>BORGHOLM</t>
        </is>
      </c>
      <c r="G105" t="n">
        <v>3.2</v>
      </c>
      <c r="H105" t="n">
        <v>0</v>
      </c>
      <c r="I105" t="n">
        <v>0</v>
      </c>
      <c r="J105" t="n">
        <v>0</v>
      </c>
      <c r="K105" t="n">
        <v>0</v>
      </c>
      <c r="L105" t="n">
        <v>0</v>
      </c>
      <c r="M105" t="n">
        <v>0</v>
      </c>
      <c r="N105" t="n">
        <v>0</v>
      </c>
      <c r="O105" t="n">
        <v>0</v>
      </c>
      <c r="P105" t="n">
        <v>0</v>
      </c>
      <c r="Q105" t="n">
        <v>0</v>
      </c>
      <c r="R105" s="2" t="inlineStr"/>
    </row>
    <row r="106" ht="15" customHeight="1">
      <c r="A106" t="inlineStr">
        <is>
          <t>A 27357-2025</t>
        </is>
      </c>
      <c r="B106" s="1" t="n">
        <v>45812.63650462963</v>
      </c>
      <c r="C106" s="1" t="n">
        <v>45973</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44547-2021</t>
        </is>
      </c>
      <c r="B107" s="1" t="n">
        <v>44435</v>
      </c>
      <c r="C107" s="1" t="n">
        <v>45973</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27366-2025</t>
        </is>
      </c>
      <c r="B108" s="1" t="n">
        <v>45812.64475694444</v>
      </c>
      <c r="C108" s="1" t="n">
        <v>45973</v>
      </c>
      <c r="D108" t="inlineStr">
        <is>
          <t>KALMAR LÄN</t>
        </is>
      </c>
      <c r="E108" t="inlineStr">
        <is>
          <t>BORGHOLM</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7960-2023</t>
        </is>
      </c>
      <c r="B109" s="1" t="n">
        <v>44973</v>
      </c>
      <c r="C109" s="1" t="n">
        <v>45973</v>
      </c>
      <c r="D109" t="inlineStr">
        <is>
          <t>KALMAR LÄN</t>
        </is>
      </c>
      <c r="E109" t="inlineStr">
        <is>
          <t>BORGHOLM</t>
        </is>
      </c>
      <c r="G109" t="n">
        <v>2.1</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45973</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63075-2023</t>
        </is>
      </c>
      <c r="B111" s="1" t="n">
        <v>45273</v>
      </c>
      <c r="C111" s="1" t="n">
        <v>45973</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45973</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13041-2024</t>
        </is>
      </c>
      <c r="B113" s="1" t="n">
        <v>45385.60065972222</v>
      </c>
      <c r="C113" s="1" t="n">
        <v>45973</v>
      </c>
      <c r="D113" t="inlineStr">
        <is>
          <t>KALMAR LÄN</t>
        </is>
      </c>
      <c r="E113" t="inlineStr">
        <is>
          <t>BORGHOLM</t>
        </is>
      </c>
      <c r="G113" t="n">
        <v>0.5</v>
      </c>
      <c r="H113" t="n">
        <v>0</v>
      </c>
      <c r="I113" t="n">
        <v>0</v>
      </c>
      <c r="J113" t="n">
        <v>0</v>
      </c>
      <c r="K113" t="n">
        <v>0</v>
      </c>
      <c r="L113" t="n">
        <v>0</v>
      </c>
      <c r="M113" t="n">
        <v>0</v>
      </c>
      <c r="N113" t="n">
        <v>0</v>
      </c>
      <c r="O113" t="n">
        <v>0</v>
      </c>
      <c r="P113" t="n">
        <v>0</v>
      </c>
      <c r="Q113" t="n">
        <v>0</v>
      </c>
      <c r="R113" s="2" t="inlineStr"/>
    </row>
    <row r="114" ht="15" customHeight="1">
      <c r="A114" t="inlineStr">
        <is>
          <t>A 45734-2025</t>
        </is>
      </c>
      <c r="B114" s="1" t="n">
        <v>45923.46512731481</v>
      </c>
      <c r="C114" s="1" t="n">
        <v>45973</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45869-2025</t>
        </is>
      </c>
      <c r="B115" s="1" t="n">
        <v>45923.65313657407</v>
      </c>
      <c r="C115" s="1" t="n">
        <v>45973</v>
      </c>
      <c r="D115" t="inlineStr">
        <is>
          <t>KALMAR LÄN</t>
        </is>
      </c>
      <c r="E115" t="inlineStr">
        <is>
          <t>BORGHOLM</t>
        </is>
      </c>
      <c r="G115" t="n">
        <v>4.5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45973</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45973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46845-2025</t>
        </is>
      </c>
      <c r="B118" s="1" t="n">
        <v>45928</v>
      </c>
      <c r="C118" s="1" t="n">
        <v>45973</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28782-2025</t>
        </is>
      </c>
      <c r="B119" s="1" t="n">
        <v>45820.45572916666</v>
      </c>
      <c r="C119" s="1" t="n">
        <v>45973</v>
      </c>
      <c r="D119" t="inlineStr">
        <is>
          <t>KALMAR LÄN</t>
        </is>
      </c>
      <c r="E119" t="inlineStr">
        <is>
          <t>BORGHOLM</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45973</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45973</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2025-11-12T10:06:06Z</dcterms:created>
  <dcterms:modified xmlns:dcterms="http://purl.org/dc/terms/" xmlns:xsi="http://www.w3.org/2001/XMLSchema-instance" xsi:type="dcterms:W3CDTF">2025-11-12T10:06:06Z</dcterms:modified>
</cp:coreProperties>
</file>