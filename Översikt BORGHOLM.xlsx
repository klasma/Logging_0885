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46182</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46182</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46182</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46182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46182</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46182</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46182</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46182</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46182</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46182</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46182</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46182</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46182</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46182</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46182</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32174-2022</t>
        </is>
      </c>
      <c r="B18" s="1" t="n">
        <v>44781</v>
      </c>
      <c r="C18" s="1" t="n">
        <v>46182</v>
      </c>
      <c r="D18" t="inlineStr">
        <is>
          <t>KALMAR LÄN</t>
        </is>
      </c>
      <c r="E18" t="inlineStr">
        <is>
          <t>BORGHOLM</t>
        </is>
      </c>
      <c r="F18" t="inlineStr">
        <is>
          <t>Sveaskog</t>
        </is>
      </c>
      <c r="G18" t="n">
        <v>1.6</v>
      </c>
      <c r="H18" t="n">
        <v>1</v>
      </c>
      <c r="I18" t="n">
        <v>1</v>
      </c>
      <c r="J18" t="n">
        <v>1</v>
      </c>
      <c r="K18" t="n">
        <v>0</v>
      </c>
      <c r="L18" t="n">
        <v>0</v>
      </c>
      <c r="M18" t="n">
        <v>0</v>
      </c>
      <c r="N18" t="n">
        <v>0</v>
      </c>
      <c r="O18" t="n">
        <v>1</v>
      </c>
      <c r="P18" t="n">
        <v>0</v>
      </c>
      <c r="Q18" t="n">
        <v>2</v>
      </c>
      <c r="R18" s="2" t="inlineStr">
        <is>
          <t>Backklöver
Tvåblad</t>
        </is>
      </c>
      <c r="S18">
        <f>HYPERLINK("https://klasma.github.io/Logging_0885/artfynd/A 32174-2022 artfynd.xlsx", "A 32174-2022")</f>
        <v/>
      </c>
      <c r="T18">
        <f>HYPERLINK("https://klasma.github.io/Logging_0885/kartor/A 32174-2022 karta.png", "A 32174-2022")</f>
        <v/>
      </c>
      <c r="V18">
        <f>HYPERLINK("https://klasma.github.io/Logging_0885/klagomål/A 32174-2022 FSC-klagomål.docx", "A 32174-2022")</f>
        <v/>
      </c>
      <c r="W18">
        <f>HYPERLINK("https://klasma.github.io/Logging_0885/klagomålsmail/A 32174-2022 FSC-klagomål mail.docx", "A 32174-2022")</f>
        <v/>
      </c>
      <c r="X18">
        <f>HYPERLINK("https://klasma.github.io/Logging_0885/tillsyn/A 32174-2022 tillsynsbegäran.docx", "A 32174-2022")</f>
        <v/>
      </c>
      <c r="Y18">
        <f>HYPERLINK("https://klasma.github.io/Logging_0885/tillsynsmail/A 32174-2022 tillsynsbegäran mail.docx", "A 32174-2022")</f>
        <v/>
      </c>
    </row>
    <row r="19" ht="15" customHeight="1">
      <c r="A19" t="inlineStr">
        <is>
          <t>A 43756-2022</t>
        </is>
      </c>
      <c r="B19" s="1" t="n">
        <v>44837</v>
      </c>
      <c r="C19" s="1" t="n">
        <v>46182</v>
      </c>
      <c r="D19" t="inlineStr">
        <is>
          <t>KALMAR LÄN</t>
        </is>
      </c>
      <c r="E19" t="inlineStr">
        <is>
          <t>BORGHOLM</t>
        </is>
      </c>
      <c r="G19" t="n">
        <v>2.2</v>
      </c>
      <c r="H19" t="n">
        <v>1</v>
      </c>
      <c r="I19" t="n">
        <v>1</v>
      </c>
      <c r="J19" t="n">
        <v>0</v>
      </c>
      <c r="K19" t="n">
        <v>0</v>
      </c>
      <c r="L19" t="n">
        <v>0</v>
      </c>
      <c r="M19" t="n">
        <v>0</v>
      </c>
      <c r="N19" t="n">
        <v>0</v>
      </c>
      <c r="O19" t="n">
        <v>0</v>
      </c>
      <c r="P19" t="n">
        <v>0</v>
      </c>
      <c r="Q19" t="n">
        <v>2</v>
      </c>
      <c r="R19" s="2" t="inlineStr">
        <is>
          <t>Murgröna
Blåsippa</t>
        </is>
      </c>
      <c r="S19">
        <f>HYPERLINK("https://klasma.github.io/Logging_0885/artfynd/A 43756-2022 artfynd.xlsx", "A 43756-2022")</f>
        <v/>
      </c>
      <c r="T19">
        <f>HYPERLINK("https://klasma.github.io/Logging_0885/kartor/A 43756-2022 karta.png", "A 43756-2022")</f>
        <v/>
      </c>
      <c r="V19">
        <f>HYPERLINK("https://klasma.github.io/Logging_0885/klagomål/A 43756-2022 FSC-klagomål.docx", "A 43756-2022")</f>
        <v/>
      </c>
      <c r="W19">
        <f>HYPERLINK("https://klasma.github.io/Logging_0885/klagomålsmail/A 43756-2022 FSC-klagomål mail.docx", "A 43756-2022")</f>
        <v/>
      </c>
      <c r="X19">
        <f>HYPERLINK("https://klasma.github.io/Logging_0885/tillsyn/A 43756-2022 tillsynsbegäran.docx", "A 43756-2022")</f>
        <v/>
      </c>
      <c r="Y19">
        <f>HYPERLINK("https://klasma.github.io/Logging_0885/tillsynsmail/A 43756-2022 tillsynsbegäran mail.docx", "A 43756-2022")</f>
        <v/>
      </c>
    </row>
    <row r="20" ht="15" customHeight="1">
      <c r="A20" t="inlineStr">
        <is>
          <t>A 38860-2025</t>
        </is>
      </c>
      <c r="B20" s="1" t="n">
        <v>45887.5609375</v>
      </c>
      <c r="C20" s="1" t="n">
        <v>46182</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46182</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13556-2025</t>
        </is>
      </c>
      <c r="B22" s="1" t="n">
        <v>45736.54759259259</v>
      </c>
      <c r="C22" s="1" t="n">
        <v>46182</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9253-2026</t>
        </is>
      </c>
      <c r="B23" s="1" t="n">
        <v>46070.51003472223</v>
      </c>
      <c r="C23" s="1" t="n">
        <v>46182</v>
      </c>
      <c r="D23" t="inlineStr">
        <is>
          <t>KALMAR LÄN</t>
        </is>
      </c>
      <c r="E23" t="inlineStr">
        <is>
          <t>BORGHOLM</t>
        </is>
      </c>
      <c r="G23" t="n">
        <v>1.1</v>
      </c>
      <c r="H23" t="n">
        <v>1</v>
      </c>
      <c r="I23" t="n">
        <v>1</v>
      </c>
      <c r="J23" t="n">
        <v>0</v>
      </c>
      <c r="K23" t="n">
        <v>0</v>
      </c>
      <c r="L23" t="n">
        <v>0</v>
      </c>
      <c r="M23" t="n">
        <v>0</v>
      </c>
      <c r="N23" t="n">
        <v>0</v>
      </c>
      <c r="O23" t="n">
        <v>0</v>
      </c>
      <c r="P23" t="n">
        <v>0</v>
      </c>
      <c r="Q23" t="n">
        <v>2</v>
      </c>
      <c r="R23" s="2" t="inlineStr">
        <is>
          <t>Murgröna
Gullviva</t>
        </is>
      </c>
      <c r="S23">
        <f>HYPERLINK("https://klasma.github.io/Logging_0885/artfynd/A 9253-2026 artfynd.xlsx", "A 9253-2026")</f>
        <v/>
      </c>
      <c r="T23">
        <f>HYPERLINK("https://klasma.github.io/Logging_0885/kartor/A 9253-2026 karta.png", "A 9253-2026")</f>
        <v/>
      </c>
      <c r="V23">
        <f>HYPERLINK("https://klasma.github.io/Logging_0885/klagomål/A 9253-2026 FSC-klagomål.docx", "A 9253-2026")</f>
        <v/>
      </c>
      <c r="W23">
        <f>HYPERLINK("https://klasma.github.io/Logging_0885/klagomålsmail/A 9253-2026 FSC-klagomål mail.docx", "A 9253-2026")</f>
        <v/>
      </c>
      <c r="X23">
        <f>HYPERLINK("https://klasma.github.io/Logging_0885/tillsyn/A 9253-2026 tillsynsbegäran.docx", "A 9253-2026")</f>
        <v/>
      </c>
      <c r="Y23">
        <f>HYPERLINK("https://klasma.github.io/Logging_0885/tillsynsmail/A 9253-2026 tillsynsbegäran mail.docx", "A 9253-2026")</f>
        <v/>
      </c>
    </row>
    <row r="24" ht="15" customHeight="1">
      <c r="A24" t="inlineStr">
        <is>
          <t>A 60140-2025</t>
        </is>
      </c>
      <c r="B24" s="1" t="n">
        <v>45994.36274305556</v>
      </c>
      <c r="C24" s="1" t="n">
        <v>46182</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4164-2023</t>
        </is>
      </c>
      <c r="B25" s="1" t="n">
        <v>44953</v>
      </c>
      <c r="C25" s="1" t="n">
        <v>46182</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15285-2026</t>
        </is>
      </c>
      <c r="B26" s="1" t="n">
        <v>46105.6156712963</v>
      </c>
      <c r="C26" s="1" t="n">
        <v>46182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34944-2022</t>
        </is>
      </c>
      <c r="B27" s="1" t="n">
        <v>44796</v>
      </c>
      <c r="C27" s="1" t="n">
        <v>46182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24322-2026</t>
        </is>
      </c>
      <c r="B28" s="1" t="n">
        <v>46169.48598379629</v>
      </c>
      <c r="C28" s="1" t="n">
        <v>46182</v>
      </c>
      <c r="D28" t="inlineStr">
        <is>
          <t>KALMAR LÄN</t>
        </is>
      </c>
      <c r="E28" t="inlineStr">
        <is>
          <t>BORGHOLM</t>
        </is>
      </c>
      <c r="F28" t="inlineStr">
        <is>
          <t>Sveaskog</t>
        </is>
      </c>
      <c r="G28" t="n">
        <v>5.5</v>
      </c>
      <c r="H28" t="n">
        <v>2</v>
      </c>
      <c r="I28" t="n">
        <v>2</v>
      </c>
      <c r="J28" t="n">
        <v>0</v>
      </c>
      <c r="K28" t="n">
        <v>0</v>
      </c>
      <c r="L28" t="n">
        <v>0</v>
      </c>
      <c r="M28" t="n">
        <v>0</v>
      </c>
      <c r="N28" t="n">
        <v>0</v>
      </c>
      <c r="O28" t="n">
        <v>0</v>
      </c>
      <c r="P28" t="n">
        <v>0</v>
      </c>
      <c r="Q28" t="n">
        <v>2</v>
      </c>
      <c r="R28" s="2" t="inlineStr">
        <is>
          <t>Purpurknipprot
Skogsknipprot</t>
        </is>
      </c>
      <c r="S28">
        <f>HYPERLINK("https://klasma.github.io/Logging_0885/artfynd/A 24322-2026 artfynd.xlsx", "A 24322-2026")</f>
        <v/>
      </c>
      <c r="T28">
        <f>HYPERLINK("https://klasma.github.io/Logging_0885/kartor/A 24322-2026 karta.png", "A 24322-2026")</f>
        <v/>
      </c>
      <c r="V28">
        <f>HYPERLINK("https://klasma.github.io/Logging_0885/klagomål/A 24322-2026 FSC-klagomål.docx", "A 24322-2026")</f>
        <v/>
      </c>
      <c r="W28">
        <f>HYPERLINK("https://klasma.github.io/Logging_0885/klagomålsmail/A 24322-2026 FSC-klagomål mail.docx", "A 24322-2026")</f>
        <v/>
      </c>
      <c r="X28">
        <f>HYPERLINK("https://klasma.github.io/Logging_0885/tillsyn/A 24322-2026 tillsynsbegäran.docx", "A 24322-2026")</f>
        <v/>
      </c>
      <c r="Y28">
        <f>HYPERLINK("https://klasma.github.io/Logging_0885/tillsynsmail/A 24322-2026 tillsynsbegäran mail.docx", "A 24322-2026")</f>
        <v/>
      </c>
    </row>
    <row r="29" ht="15" customHeight="1">
      <c r="A29" t="inlineStr">
        <is>
          <t>A 31790-2021</t>
        </is>
      </c>
      <c r="B29" s="1" t="n">
        <v>44370</v>
      </c>
      <c r="C29" s="1" t="n">
        <v>46182</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46182</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46182</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46182</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28785-2025</t>
        </is>
      </c>
      <c r="B33" s="1" t="n">
        <v>45820.46159722222</v>
      </c>
      <c r="C33" s="1" t="n">
        <v>46182</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3302-2026</t>
        </is>
      </c>
      <c r="B34" s="1" t="n">
        <v>46041</v>
      </c>
      <c r="C34" s="1" t="n">
        <v>46182</v>
      </c>
      <c r="D34" t="inlineStr">
        <is>
          <t>KALMAR LÄN</t>
        </is>
      </c>
      <c r="E34" t="inlineStr">
        <is>
          <t>BORGHOLM</t>
        </is>
      </c>
      <c r="G34" t="n">
        <v>3.9</v>
      </c>
      <c r="H34" t="n">
        <v>1</v>
      </c>
      <c r="I34" t="n">
        <v>0</v>
      </c>
      <c r="J34" t="n">
        <v>0</v>
      </c>
      <c r="K34" t="n">
        <v>0</v>
      </c>
      <c r="L34" t="n">
        <v>0</v>
      </c>
      <c r="M34" t="n">
        <v>0</v>
      </c>
      <c r="N34" t="n">
        <v>0</v>
      </c>
      <c r="O34" t="n">
        <v>0</v>
      </c>
      <c r="P34" t="n">
        <v>0</v>
      </c>
      <c r="Q34" t="n">
        <v>1</v>
      </c>
      <c r="R34" s="2" t="inlineStr">
        <is>
          <t>Blåsippa</t>
        </is>
      </c>
      <c r="S34">
        <f>HYPERLINK("https://klasma.github.io/Logging_0885/artfynd/A 3302-2026 artfynd.xlsx", "A 3302-2026")</f>
        <v/>
      </c>
      <c r="T34">
        <f>HYPERLINK("https://klasma.github.io/Logging_0885/kartor/A 3302-2026 karta.png", "A 3302-2026")</f>
        <v/>
      </c>
      <c r="V34">
        <f>HYPERLINK("https://klasma.github.io/Logging_0885/klagomål/A 3302-2026 FSC-klagomål.docx", "A 3302-2026")</f>
        <v/>
      </c>
      <c r="W34">
        <f>HYPERLINK("https://klasma.github.io/Logging_0885/klagomålsmail/A 3302-2026 FSC-klagomål mail.docx", "A 3302-2026")</f>
        <v/>
      </c>
      <c r="X34">
        <f>HYPERLINK("https://klasma.github.io/Logging_0885/tillsyn/A 3302-2026 tillsynsbegäran.docx", "A 3302-2026")</f>
        <v/>
      </c>
      <c r="Y34">
        <f>HYPERLINK("https://klasma.github.io/Logging_0885/tillsynsmail/A 3302-2026 tillsynsbegäran mail.docx", "A 3302-2026")</f>
        <v/>
      </c>
    </row>
    <row r="35" ht="15" customHeight="1">
      <c r="A35" t="inlineStr">
        <is>
          <t>A 24704-2023</t>
        </is>
      </c>
      <c r="B35" s="1" t="n">
        <v>45084</v>
      </c>
      <c r="C35" s="1" t="n">
        <v>46182</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46182</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46182</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46182</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46182</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42761-2021</t>
        </is>
      </c>
      <c r="B40" s="1" t="n">
        <v>44428</v>
      </c>
      <c r="C40" s="1" t="n">
        <v>46182</v>
      </c>
      <c r="D40" t="inlineStr">
        <is>
          <t>KALMAR LÄN</t>
        </is>
      </c>
      <c r="E40" t="inlineStr">
        <is>
          <t>BORGHOLM</t>
        </is>
      </c>
      <c r="G40" t="n">
        <v>1.5</v>
      </c>
      <c r="H40" t="n">
        <v>0</v>
      </c>
      <c r="I40" t="n">
        <v>0</v>
      </c>
      <c r="J40" t="n">
        <v>0</v>
      </c>
      <c r="K40" t="n">
        <v>0</v>
      </c>
      <c r="L40" t="n">
        <v>0</v>
      </c>
      <c r="M40" t="n">
        <v>0</v>
      </c>
      <c r="N40" t="n">
        <v>0</v>
      </c>
      <c r="O40" t="n">
        <v>0</v>
      </c>
      <c r="P40" t="n">
        <v>0</v>
      </c>
      <c r="Q40" t="n">
        <v>0</v>
      </c>
      <c r="R40" s="2" t="inlineStr"/>
    </row>
    <row r="41" ht="15" customHeight="1">
      <c r="A41" t="inlineStr">
        <is>
          <t>A 32665-2022</t>
        </is>
      </c>
      <c r="B41" s="1" t="n">
        <v>44783</v>
      </c>
      <c r="C41" s="1" t="n">
        <v>46182</v>
      </c>
      <c r="D41" t="inlineStr">
        <is>
          <t>KALMAR LÄN</t>
        </is>
      </c>
      <c r="E41" t="inlineStr">
        <is>
          <t>BORGHOLM</t>
        </is>
      </c>
      <c r="F41" t="inlineStr">
        <is>
          <t>Sveaskog</t>
        </is>
      </c>
      <c r="G41" t="n">
        <v>4.2</v>
      </c>
      <c r="H41" t="n">
        <v>0</v>
      </c>
      <c r="I41" t="n">
        <v>0</v>
      </c>
      <c r="J41" t="n">
        <v>0</v>
      </c>
      <c r="K41" t="n">
        <v>0</v>
      </c>
      <c r="L41" t="n">
        <v>0</v>
      </c>
      <c r="M41" t="n">
        <v>0</v>
      </c>
      <c r="N41" t="n">
        <v>0</v>
      </c>
      <c r="O41" t="n">
        <v>0</v>
      </c>
      <c r="P41" t="n">
        <v>0</v>
      </c>
      <c r="Q41" t="n">
        <v>0</v>
      </c>
      <c r="R41" s="2" t="inlineStr"/>
    </row>
    <row r="42" ht="15" customHeight="1">
      <c r="A42" t="inlineStr">
        <is>
          <t>A 10348-2022</t>
        </is>
      </c>
      <c r="B42" s="1" t="n">
        <v>44623</v>
      </c>
      <c r="C42" s="1" t="n">
        <v>46182</v>
      </c>
      <c r="D42" t="inlineStr">
        <is>
          <t>KALMAR LÄN</t>
        </is>
      </c>
      <c r="E42" t="inlineStr">
        <is>
          <t>BORGHOLM</t>
        </is>
      </c>
      <c r="G42" t="n">
        <v>0.4</v>
      </c>
      <c r="H42" t="n">
        <v>0</v>
      </c>
      <c r="I42" t="n">
        <v>0</v>
      </c>
      <c r="J42" t="n">
        <v>0</v>
      </c>
      <c r="K42" t="n">
        <v>0</v>
      </c>
      <c r="L42" t="n">
        <v>0</v>
      </c>
      <c r="M42" t="n">
        <v>0</v>
      </c>
      <c r="N42" t="n">
        <v>0</v>
      </c>
      <c r="O42" t="n">
        <v>0</v>
      </c>
      <c r="P42" t="n">
        <v>0</v>
      </c>
      <c r="Q42" t="n">
        <v>0</v>
      </c>
      <c r="R42" s="2" t="inlineStr"/>
    </row>
    <row r="43" ht="15" customHeight="1">
      <c r="A43" t="inlineStr">
        <is>
          <t>A 28345-2022</t>
        </is>
      </c>
      <c r="B43" s="1" t="n">
        <v>44747</v>
      </c>
      <c r="C43" s="1" t="n">
        <v>46182</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44681-2022</t>
        </is>
      </c>
      <c r="B44" s="1" t="n">
        <v>44840</v>
      </c>
      <c r="C44" s="1" t="n">
        <v>46182</v>
      </c>
      <c r="D44" t="inlineStr">
        <is>
          <t>KALMAR LÄN</t>
        </is>
      </c>
      <c r="E44" t="inlineStr">
        <is>
          <t>BORGHOLM</t>
        </is>
      </c>
      <c r="G44" t="n">
        <v>0.5</v>
      </c>
      <c r="H44" t="n">
        <v>0</v>
      </c>
      <c r="I44" t="n">
        <v>0</v>
      </c>
      <c r="J44" t="n">
        <v>0</v>
      </c>
      <c r="K44" t="n">
        <v>0</v>
      </c>
      <c r="L44" t="n">
        <v>0</v>
      </c>
      <c r="M44" t="n">
        <v>0</v>
      </c>
      <c r="N44" t="n">
        <v>0</v>
      </c>
      <c r="O44" t="n">
        <v>0</v>
      </c>
      <c r="P44" t="n">
        <v>0</v>
      </c>
      <c r="Q44" t="n">
        <v>0</v>
      </c>
      <c r="R44" s="2" t="inlineStr"/>
    </row>
    <row r="45" ht="15" customHeight="1">
      <c r="A45" t="inlineStr">
        <is>
          <t>A 32608-2022</t>
        </is>
      </c>
      <c r="B45" s="1" t="n">
        <v>44783</v>
      </c>
      <c r="C45" s="1" t="n">
        <v>46182</v>
      </c>
      <c r="D45" t="inlineStr">
        <is>
          <t>KALMAR LÄN</t>
        </is>
      </c>
      <c r="E45" t="inlineStr">
        <is>
          <t>BORGHOLM</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61828-2021</t>
        </is>
      </c>
      <c r="B46" s="1" t="n">
        <v>44501</v>
      </c>
      <c r="C46" s="1" t="n">
        <v>46182</v>
      </c>
      <c r="D46" t="inlineStr">
        <is>
          <t>KALMAR LÄN</t>
        </is>
      </c>
      <c r="E46" t="inlineStr">
        <is>
          <t>BORGHOLM</t>
        </is>
      </c>
      <c r="G46" t="n">
        <v>0.5</v>
      </c>
      <c r="H46" t="n">
        <v>0</v>
      </c>
      <c r="I46" t="n">
        <v>0</v>
      </c>
      <c r="J46" t="n">
        <v>0</v>
      </c>
      <c r="K46" t="n">
        <v>0</v>
      </c>
      <c r="L46" t="n">
        <v>0</v>
      </c>
      <c r="M46" t="n">
        <v>0</v>
      </c>
      <c r="N46" t="n">
        <v>0</v>
      </c>
      <c r="O46" t="n">
        <v>0</v>
      </c>
      <c r="P46" t="n">
        <v>0</v>
      </c>
      <c r="Q46" t="n">
        <v>0</v>
      </c>
      <c r="R46" s="2" t="inlineStr"/>
    </row>
    <row r="47" ht="15" customHeight="1">
      <c r="A47" t="inlineStr">
        <is>
          <t>A 56188-2021</t>
        </is>
      </c>
      <c r="B47" s="1" t="n">
        <v>44477.83525462963</v>
      </c>
      <c r="C47" s="1" t="n">
        <v>46182</v>
      </c>
      <c r="D47" t="inlineStr">
        <is>
          <t>KALMAR LÄN</t>
        </is>
      </c>
      <c r="E47" t="inlineStr">
        <is>
          <t>BORGHOLM</t>
        </is>
      </c>
      <c r="G47" t="n">
        <v>1.8</v>
      </c>
      <c r="H47" t="n">
        <v>0</v>
      </c>
      <c r="I47" t="n">
        <v>0</v>
      </c>
      <c r="J47" t="n">
        <v>0</v>
      </c>
      <c r="K47" t="n">
        <v>0</v>
      </c>
      <c r="L47" t="n">
        <v>0</v>
      </c>
      <c r="M47" t="n">
        <v>0</v>
      </c>
      <c r="N47" t="n">
        <v>0</v>
      </c>
      <c r="O47" t="n">
        <v>0</v>
      </c>
      <c r="P47" t="n">
        <v>0</v>
      </c>
      <c r="Q47" t="n">
        <v>0</v>
      </c>
      <c r="R47" s="2" t="inlineStr"/>
    </row>
    <row r="48" ht="15" customHeight="1">
      <c r="A48" t="inlineStr">
        <is>
          <t>A 56983-2021</t>
        </is>
      </c>
      <c r="B48" s="1" t="n">
        <v>44482</v>
      </c>
      <c r="C48" s="1" t="n">
        <v>46182</v>
      </c>
      <c r="D48" t="inlineStr">
        <is>
          <t>KALMAR LÄN</t>
        </is>
      </c>
      <c r="E48" t="inlineStr">
        <is>
          <t>BORGHOLM</t>
        </is>
      </c>
      <c r="G48" t="n">
        <v>1.2</v>
      </c>
      <c r="H48" t="n">
        <v>0</v>
      </c>
      <c r="I48" t="n">
        <v>0</v>
      </c>
      <c r="J48" t="n">
        <v>0</v>
      </c>
      <c r="K48" t="n">
        <v>0</v>
      </c>
      <c r="L48" t="n">
        <v>0</v>
      </c>
      <c r="M48" t="n">
        <v>0</v>
      </c>
      <c r="N48" t="n">
        <v>0</v>
      </c>
      <c r="O48" t="n">
        <v>0</v>
      </c>
      <c r="P48" t="n">
        <v>0</v>
      </c>
      <c r="Q48" t="n">
        <v>0</v>
      </c>
      <c r="R48" s="2" t="inlineStr"/>
    </row>
    <row r="49" ht="15" customHeight="1">
      <c r="A49" t="inlineStr">
        <is>
          <t>A 27437-2022</t>
        </is>
      </c>
      <c r="B49" s="1" t="n">
        <v>44742.55567129629</v>
      </c>
      <c r="C49" s="1" t="n">
        <v>46182</v>
      </c>
      <c r="D49" t="inlineStr">
        <is>
          <t>KALMAR LÄN</t>
        </is>
      </c>
      <c r="E49" t="inlineStr">
        <is>
          <t>BORGHOLM</t>
        </is>
      </c>
      <c r="G49" t="n">
        <v>0.6</v>
      </c>
      <c r="H49" t="n">
        <v>0</v>
      </c>
      <c r="I49" t="n">
        <v>0</v>
      </c>
      <c r="J49" t="n">
        <v>0</v>
      </c>
      <c r="K49" t="n">
        <v>0</v>
      </c>
      <c r="L49" t="n">
        <v>0</v>
      </c>
      <c r="M49" t="n">
        <v>0</v>
      </c>
      <c r="N49" t="n">
        <v>0</v>
      </c>
      <c r="O49" t="n">
        <v>0</v>
      </c>
      <c r="P49" t="n">
        <v>0</v>
      </c>
      <c r="Q49" t="n">
        <v>0</v>
      </c>
      <c r="R49" s="2" t="inlineStr"/>
    </row>
    <row r="50" ht="15" customHeight="1">
      <c r="A50" t="inlineStr">
        <is>
          <t>A 62631-2021</t>
        </is>
      </c>
      <c r="B50" s="1" t="n">
        <v>44503</v>
      </c>
      <c r="C50" s="1" t="n">
        <v>46182</v>
      </c>
      <c r="D50" t="inlineStr">
        <is>
          <t>KALMAR LÄN</t>
        </is>
      </c>
      <c r="E50" t="inlineStr">
        <is>
          <t>BORGHOLM</t>
        </is>
      </c>
      <c r="G50" t="n">
        <v>1</v>
      </c>
      <c r="H50" t="n">
        <v>0</v>
      </c>
      <c r="I50" t="n">
        <v>0</v>
      </c>
      <c r="J50" t="n">
        <v>0</v>
      </c>
      <c r="K50" t="n">
        <v>0</v>
      </c>
      <c r="L50" t="n">
        <v>0</v>
      </c>
      <c r="M50" t="n">
        <v>0</v>
      </c>
      <c r="N50" t="n">
        <v>0</v>
      </c>
      <c r="O50" t="n">
        <v>0</v>
      </c>
      <c r="P50" t="n">
        <v>0</v>
      </c>
      <c r="Q50" t="n">
        <v>0</v>
      </c>
      <c r="R50" s="2" t="inlineStr"/>
    </row>
    <row r="51" ht="15" customHeight="1">
      <c r="A51" t="inlineStr">
        <is>
          <t>A 3878-2023</t>
        </is>
      </c>
      <c r="B51" s="1" t="n">
        <v>44951</v>
      </c>
      <c r="C51" s="1" t="n">
        <v>46182</v>
      </c>
      <c r="D51" t="inlineStr">
        <is>
          <t>KALMAR LÄN</t>
        </is>
      </c>
      <c r="E51" t="inlineStr">
        <is>
          <t>BORGHOLM</t>
        </is>
      </c>
      <c r="G51" t="n">
        <v>1.7</v>
      </c>
      <c r="H51" t="n">
        <v>0</v>
      </c>
      <c r="I51" t="n">
        <v>0</v>
      </c>
      <c r="J51" t="n">
        <v>0</v>
      </c>
      <c r="K51" t="n">
        <v>0</v>
      </c>
      <c r="L51" t="n">
        <v>0</v>
      </c>
      <c r="M51" t="n">
        <v>0</v>
      </c>
      <c r="N51" t="n">
        <v>0</v>
      </c>
      <c r="O51" t="n">
        <v>0</v>
      </c>
      <c r="P51" t="n">
        <v>0</v>
      </c>
      <c r="Q51" t="n">
        <v>0</v>
      </c>
      <c r="R51" s="2" t="inlineStr"/>
    </row>
    <row r="52" ht="15" customHeight="1">
      <c r="A52" t="inlineStr">
        <is>
          <t>A 31840-2021</t>
        </is>
      </c>
      <c r="B52" s="1" t="n">
        <v>44370</v>
      </c>
      <c r="C52" s="1" t="n">
        <v>46182</v>
      </c>
      <c r="D52" t="inlineStr">
        <is>
          <t>KALMAR LÄN</t>
        </is>
      </c>
      <c r="E52" t="inlineStr">
        <is>
          <t>BORGHOLM</t>
        </is>
      </c>
      <c r="F52" t="inlineStr">
        <is>
          <t>Sveaskog</t>
        </is>
      </c>
      <c r="G52" t="n">
        <v>2.8</v>
      </c>
      <c r="H52" t="n">
        <v>0</v>
      </c>
      <c r="I52" t="n">
        <v>0</v>
      </c>
      <c r="J52" t="n">
        <v>0</v>
      </c>
      <c r="K52" t="n">
        <v>0</v>
      </c>
      <c r="L52" t="n">
        <v>0</v>
      </c>
      <c r="M52" t="n">
        <v>0</v>
      </c>
      <c r="N52" t="n">
        <v>0</v>
      </c>
      <c r="O52" t="n">
        <v>0</v>
      </c>
      <c r="P52" t="n">
        <v>0</v>
      </c>
      <c r="Q52" t="n">
        <v>0</v>
      </c>
      <c r="R52" s="2" t="inlineStr"/>
    </row>
    <row r="53" ht="15" customHeight="1">
      <c r="A53" t="inlineStr">
        <is>
          <t>A 32180-2022</t>
        </is>
      </c>
      <c r="B53" s="1" t="n">
        <v>44781</v>
      </c>
      <c r="C53" s="1" t="n">
        <v>46182</v>
      </c>
      <c r="D53" t="inlineStr">
        <is>
          <t>KALMAR LÄN</t>
        </is>
      </c>
      <c r="E53" t="inlineStr">
        <is>
          <t>BORGHOLM</t>
        </is>
      </c>
      <c r="F53" t="inlineStr">
        <is>
          <t>Sveaskog</t>
        </is>
      </c>
      <c r="G53" t="n">
        <v>0.9</v>
      </c>
      <c r="H53" t="n">
        <v>0</v>
      </c>
      <c r="I53" t="n">
        <v>0</v>
      </c>
      <c r="J53" t="n">
        <v>0</v>
      </c>
      <c r="K53" t="n">
        <v>0</v>
      </c>
      <c r="L53" t="n">
        <v>0</v>
      </c>
      <c r="M53" t="n">
        <v>0</v>
      </c>
      <c r="N53" t="n">
        <v>0</v>
      </c>
      <c r="O53" t="n">
        <v>0</v>
      </c>
      <c r="P53" t="n">
        <v>0</v>
      </c>
      <c r="Q53" t="n">
        <v>0</v>
      </c>
      <c r="R53" s="2" t="inlineStr"/>
    </row>
    <row r="54" ht="15" customHeight="1">
      <c r="A54" t="inlineStr">
        <is>
          <t>A 12937-2022</t>
        </is>
      </c>
      <c r="B54" s="1" t="n">
        <v>44642</v>
      </c>
      <c r="C54" s="1" t="n">
        <v>46182</v>
      </c>
      <c r="D54" t="inlineStr">
        <is>
          <t>KALMAR LÄN</t>
        </is>
      </c>
      <c r="E54" t="inlineStr">
        <is>
          <t>BORGHOLM</t>
        </is>
      </c>
      <c r="F54" t="inlineStr">
        <is>
          <t>Sveaskog</t>
        </is>
      </c>
      <c r="G54" t="n">
        <v>1.8</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46182</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27357-2025</t>
        </is>
      </c>
      <c r="B56" s="1" t="n">
        <v>45812.63650462963</v>
      </c>
      <c r="C56" s="1" t="n">
        <v>46182</v>
      </c>
      <c r="D56" t="inlineStr">
        <is>
          <t>KALMAR LÄN</t>
        </is>
      </c>
      <c r="E56" t="inlineStr">
        <is>
          <t>BORGHOLM</t>
        </is>
      </c>
      <c r="F56" t="inlineStr">
        <is>
          <t>Sveaskog</t>
        </is>
      </c>
      <c r="G56" t="n">
        <v>4.5</v>
      </c>
      <c r="H56" t="n">
        <v>0</v>
      </c>
      <c r="I56" t="n">
        <v>0</v>
      </c>
      <c r="J56" t="n">
        <v>0</v>
      </c>
      <c r="K56" t="n">
        <v>0</v>
      </c>
      <c r="L56" t="n">
        <v>0</v>
      </c>
      <c r="M56" t="n">
        <v>0</v>
      </c>
      <c r="N56" t="n">
        <v>0</v>
      </c>
      <c r="O56" t="n">
        <v>0</v>
      </c>
      <c r="P56" t="n">
        <v>0</v>
      </c>
      <c r="Q56" t="n">
        <v>0</v>
      </c>
      <c r="R56" s="2" t="inlineStr"/>
    </row>
    <row r="57" ht="15" customHeight="1">
      <c r="A57" t="inlineStr">
        <is>
          <t>A 27366-2025</t>
        </is>
      </c>
      <c r="B57" s="1" t="n">
        <v>45812.64475694444</v>
      </c>
      <c r="C57" s="1" t="n">
        <v>46182</v>
      </c>
      <c r="D57" t="inlineStr">
        <is>
          <t>KALMAR LÄN</t>
        </is>
      </c>
      <c r="E57" t="inlineStr">
        <is>
          <t>BORGHOLM</t>
        </is>
      </c>
      <c r="F57" t="inlineStr">
        <is>
          <t>Sveaskog</t>
        </is>
      </c>
      <c r="G57" t="n">
        <v>2.5</v>
      </c>
      <c r="H57" t="n">
        <v>0</v>
      </c>
      <c r="I57" t="n">
        <v>0</v>
      </c>
      <c r="J57" t="n">
        <v>0</v>
      </c>
      <c r="K57" t="n">
        <v>0</v>
      </c>
      <c r="L57" t="n">
        <v>0</v>
      </c>
      <c r="M57" t="n">
        <v>0</v>
      </c>
      <c r="N57" t="n">
        <v>0</v>
      </c>
      <c r="O57" t="n">
        <v>0</v>
      </c>
      <c r="P57" t="n">
        <v>0</v>
      </c>
      <c r="Q57" t="n">
        <v>0</v>
      </c>
      <c r="R57" s="2" t="inlineStr"/>
    </row>
    <row r="58" ht="15" customHeight="1">
      <c r="A58" t="inlineStr">
        <is>
          <t>A 13548-2025</t>
        </is>
      </c>
      <c r="B58" s="1" t="n">
        <v>45736.53827546296</v>
      </c>
      <c r="C58" s="1" t="n">
        <v>46182</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28782-2025</t>
        </is>
      </c>
      <c r="B59" s="1" t="n">
        <v>45820.45572916666</v>
      </c>
      <c r="C59" s="1" t="n">
        <v>46182</v>
      </c>
      <c r="D59" t="inlineStr">
        <is>
          <t>KALMAR LÄN</t>
        </is>
      </c>
      <c r="E59" t="inlineStr">
        <is>
          <t>BORGHOLM</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32919-2023</t>
        </is>
      </c>
      <c r="B60" s="1" t="n">
        <v>45125</v>
      </c>
      <c r="C60" s="1" t="n">
        <v>46182</v>
      </c>
      <c r="D60" t="inlineStr">
        <is>
          <t>KALMAR LÄN</t>
        </is>
      </c>
      <c r="E60" t="inlineStr">
        <is>
          <t>BORGHOLM</t>
        </is>
      </c>
      <c r="G60" t="n">
        <v>2.7</v>
      </c>
      <c r="H60" t="n">
        <v>0</v>
      </c>
      <c r="I60" t="n">
        <v>0</v>
      </c>
      <c r="J60" t="n">
        <v>0</v>
      </c>
      <c r="K60" t="n">
        <v>0</v>
      </c>
      <c r="L60" t="n">
        <v>0</v>
      </c>
      <c r="M60" t="n">
        <v>0</v>
      </c>
      <c r="N60" t="n">
        <v>0</v>
      </c>
      <c r="O60" t="n">
        <v>0</v>
      </c>
      <c r="P60" t="n">
        <v>0</v>
      </c>
      <c r="Q60" t="n">
        <v>0</v>
      </c>
      <c r="R60" s="2" t="inlineStr"/>
    </row>
    <row r="61" ht="15" customHeight="1">
      <c r="A61" t="inlineStr">
        <is>
          <t>A 41831-2025</t>
        </is>
      </c>
      <c r="B61" s="1" t="n">
        <v>45902.67887731481</v>
      </c>
      <c r="C61" s="1" t="n">
        <v>46182</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44678-2022</t>
        </is>
      </c>
      <c r="B62" s="1" t="n">
        <v>44840.65100694444</v>
      </c>
      <c r="C62" s="1" t="n">
        <v>46182</v>
      </c>
      <c r="D62" t="inlineStr">
        <is>
          <t>KALMAR LÄN</t>
        </is>
      </c>
      <c r="E62" t="inlineStr">
        <is>
          <t>BORGHOLM</t>
        </is>
      </c>
      <c r="G62" t="n">
        <v>2.4</v>
      </c>
      <c r="H62" t="n">
        <v>0</v>
      </c>
      <c r="I62" t="n">
        <v>0</v>
      </c>
      <c r="J62" t="n">
        <v>0</v>
      </c>
      <c r="K62" t="n">
        <v>0</v>
      </c>
      <c r="L62" t="n">
        <v>0</v>
      </c>
      <c r="M62" t="n">
        <v>0</v>
      </c>
      <c r="N62" t="n">
        <v>0</v>
      </c>
      <c r="O62" t="n">
        <v>0</v>
      </c>
      <c r="P62" t="n">
        <v>0</v>
      </c>
      <c r="Q62" t="n">
        <v>0</v>
      </c>
      <c r="R62" s="2" t="inlineStr"/>
    </row>
    <row r="63" ht="15" customHeight="1">
      <c r="A63" t="inlineStr">
        <is>
          <t>A 41950-2025</t>
        </is>
      </c>
      <c r="B63" s="1" t="n">
        <v>45903.45767361111</v>
      </c>
      <c r="C63" s="1" t="n">
        <v>46182</v>
      </c>
      <c r="D63" t="inlineStr">
        <is>
          <t>KALMAR LÄN</t>
        </is>
      </c>
      <c r="E63" t="inlineStr">
        <is>
          <t>BORGHOLM</t>
        </is>
      </c>
      <c r="G63" t="n">
        <v>1.8</v>
      </c>
      <c r="H63" t="n">
        <v>0</v>
      </c>
      <c r="I63" t="n">
        <v>0</v>
      </c>
      <c r="J63" t="n">
        <v>0</v>
      </c>
      <c r="K63" t="n">
        <v>0</v>
      </c>
      <c r="L63" t="n">
        <v>0</v>
      </c>
      <c r="M63" t="n">
        <v>0</v>
      </c>
      <c r="N63" t="n">
        <v>0</v>
      </c>
      <c r="O63" t="n">
        <v>0</v>
      </c>
      <c r="P63" t="n">
        <v>0</v>
      </c>
      <c r="Q63" t="n">
        <v>0</v>
      </c>
      <c r="R63" s="2" t="inlineStr"/>
    </row>
    <row r="64" ht="15" customHeight="1">
      <c r="A64" t="inlineStr">
        <is>
          <t>A 31720-2022</t>
        </is>
      </c>
      <c r="B64" s="1" t="n">
        <v>44776</v>
      </c>
      <c r="C64" s="1" t="n">
        <v>46182</v>
      </c>
      <c r="D64" t="inlineStr">
        <is>
          <t>KALMAR LÄN</t>
        </is>
      </c>
      <c r="E64" t="inlineStr">
        <is>
          <t>BORGHOLM</t>
        </is>
      </c>
      <c r="F64" t="inlineStr">
        <is>
          <t>Sveaskog</t>
        </is>
      </c>
      <c r="G64" t="n">
        <v>4.5</v>
      </c>
      <c r="H64" t="n">
        <v>0</v>
      </c>
      <c r="I64" t="n">
        <v>0</v>
      </c>
      <c r="J64" t="n">
        <v>0</v>
      </c>
      <c r="K64" t="n">
        <v>0</v>
      </c>
      <c r="L64" t="n">
        <v>0</v>
      </c>
      <c r="M64" t="n">
        <v>0</v>
      </c>
      <c r="N64" t="n">
        <v>0</v>
      </c>
      <c r="O64" t="n">
        <v>0</v>
      </c>
      <c r="P64" t="n">
        <v>0</v>
      </c>
      <c r="Q64" t="n">
        <v>0</v>
      </c>
      <c r="R64" s="2" t="inlineStr"/>
    </row>
    <row r="65" ht="15" customHeight="1">
      <c r="A65" t="inlineStr">
        <is>
          <t>A 44547-2021</t>
        </is>
      </c>
      <c r="B65" s="1" t="n">
        <v>44435</v>
      </c>
      <c r="C65" s="1" t="n">
        <v>46182</v>
      </c>
      <c r="D65" t="inlineStr">
        <is>
          <t>KALMAR LÄN</t>
        </is>
      </c>
      <c r="E65" t="inlineStr">
        <is>
          <t>BORGHOLM</t>
        </is>
      </c>
      <c r="G65" t="n">
        <v>1.4</v>
      </c>
      <c r="H65" t="n">
        <v>0</v>
      </c>
      <c r="I65" t="n">
        <v>0</v>
      </c>
      <c r="J65" t="n">
        <v>0</v>
      </c>
      <c r="K65" t="n">
        <v>0</v>
      </c>
      <c r="L65" t="n">
        <v>0</v>
      </c>
      <c r="M65" t="n">
        <v>0</v>
      </c>
      <c r="N65" t="n">
        <v>0</v>
      </c>
      <c r="O65" t="n">
        <v>0</v>
      </c>
      <c r="P65" t="n">
        <v>0</v>
      </c>
      <c r="Q65" t="n">
        <v>0</v>
      </c>
      <c r="R65" s="2" t="inlineStr"/>
    </row>
    <row r="66" ht="15" customHeight="1">
      <c r="A66" t="inlineStr">
        <is>
          <t>A 5175-2024</t>
        </is>
      </c>
      <c r="B66" s="1" t="n">
        <v>45330</v>
      </c>
      <c r="C66" s="1" t="n">
        <v>46182</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43542-2025</t>
        </is>
      </c>
      <c r="B67" s="1" t="n">
        <v>45911.61123842592</v>
      </c>
      <c r="C67" s="1" t="n">
        <v>46182</v>
      </c>
      <c r="D67" t="inlineStr">
        <is>
          <t>KALMAR LÄN</t>
        </is>
      </c>
      <c r="E67" t="inlineStr">
        <is>
          <t>BORGHOLM</t>
        </is>
      </c>
      <c r="G67" t="n">
        <v>2.4</v>
      </c>
      <c r="H67" t="n">
        <v>0</v>
      </c>
      <c r="I67" t="n">
        <v>0</v>
      </c>
      <c r="J67" t="n">
        <v>0</v>
      </c>
      <c r="K67" t="n">
        <v>0</v>
      </c>
      <c r="L67" t="n">
        <v>0</v>
      </c>
      <c r="M67" t="n">
        <v>0</v>
      </c>
      <c r="N67" t="n">
        <v>0</v>
      </c>
      <c r="O67" t="n">
        <v>0</v>
      </c>
      <c r="P67" t="n">
        <v>0</v>
      </c>
      <c r="Q67" t="n">
        <v>0</v>
      </c>
      <c r="R67" s="2" t="inlineStr"/>
    </row>
    <row r="68" ht="15" customHeight="1">
      <c r="A68" t="inlineStr">
        <is>
          <t>A 64303-2023</t>
        </is>
      </c>
      <c r="B68" s="1" t="n">
        <v>45280</v>
      </c>
      <c r="C68" s="1" t="n">
        <v>46182</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34951-2022</t>
        </is>
      </c>
      <c r="B69" s="1" t="n">
        <v>44796</v>
      </c>
      <c r="C69" s="1" t="n">
        <v>46182</v>
      </c>
      <c r="D69" t="inlineStr">
        <is>
          <t>KALMAR LÄN</t>
        </is>
      </c>
      <c r="E69" t="inlineStr">
        <is>
          <t>BORGHOLM</t>
        </is>
      </c>
      <c r="F69" t="inlineStr">
        <is>
          <t>Sveaskog</t>
        </is>
      </c>
      <c r="G69" t="n">
        <v>4.6</v>
      </c>
      <c r="H69" t="n">
        <v>0</v>
      </c>
      <c r="I69" t="n">
        <v>0</v>
      </c>
      <c r="J69" t="n">
        <v>0</v>
      </c>
      <c r="K69" t="n">
        <v>0</v>
      </c>
      <c r="L69" t="n">
        <v>0</v>
      </c>
      <c r="M69" t="n">
        <v>0</v>
      </c>
      <c r="N69" t="n">
        <v>0</v>
      </c>
      <c r="O69" t="n">
        <v>0</v>
      </c>
      <c r="P69" t="n">
        <v>0</v>
      </c>
      <c r="Q69" t="n">
        <v>0</v>
      </c>
      <c r="R69" s="2" t="inlineStr"/>
    </row>
    <row r="70" ht="15" customHeight="1">
      <c r="A70" t="inlineStr">
        <is>
          <t>A 19867-2024</t>
        </is>
      </c>
      <c r="B70" s="1" t="n">
        <v>45433</v>
      </c>
      <c r="C70" s="1" t="n">
        <v>46182</v>
      </c>
      <c r="D70" t="inlineStr">
        <is>
          <t>KALMAR LÄN</t>
        </is>
      </c>
      <c r="E70" t="inlineStr">
        <is>
          <t>BORGHOLM</t>
        </is>
      </c>
      <c r="G70" t="n">
        <v>3.9</v>
      </c>
      <c r="H70" t="n">
        <v>0</v>
      </c>
      <c r="I70" t="n">
        <v>0</v>
      </c>
      <c r="J70" t="n">
        <v>0</v>
      </c>
      <c r="K70" t="n">
        <v>0</v>
      </c>
      <c r="L70" t="n">
        <v>0</v>
      </c>
      <c r="M70" t="n">
        <v>0</v>
      </c>
      <c r="N70" t="n">
        <v>0</v>
      </c>
      <c r="O70" t="n">
        <v>0</v>
      </c>
      <c r="P70" t="n">
        <v>0</v>
      </c>
      <c r="Q70" t="n">
        <v>0</v>
      </c>
      <c r="R70" s="2" t="inlineStr"/>
    </row>
    <row r="71" ht="15" customHeight="1">
      <c r="A71" t="inlineStr">
        <is>
          <t>A 36269-2025</t>
        </is>
      </c>
      <c r="B71" s="1" t="n">
        <v>45867.61736111111</v>
      </c>
      <c r="C71" s="1" t="n">
        <v>46182</v>
      </c>
      <c r="D71" t="inlineStr">
        <is>
          <t>KALMAR LÄN</t>
        </is>
      </c>
      <c r="E71" t="inlineStr">
        <is>
          <t>BORGHOLM</t>
        </is>
      </c>
      <c r="F71" t="inlineStr">
        <is>
          <t>Sveaskog</t>
        </is>
      </c>
      <c r="G71" t="n">
        <v>3.3</v>
      </c>
      <c r="H71" t="n">
        <v>0</v>
      </c>
      <c r="I71" t="n">
        <v>0</v>
      </c>
      <c r="J71" t="n">
        <v>0</v>
      </c>
      <c r="K71" t="n">
        <v>0</v>
      </c>
      <c r="L71" t="n">
        <v>0</v>
      </c>
      <c r="M71" t="n">
        <v>0</v>
      </c>
      <c r="N71" t="n">
        <v>0</v>
      </c>
      <c r="O71" t="n">
        <v>0</v>
      </c>
      <c r="P71" t="n">
        <v>0</v>
      </c>
      <c r="Q71" t="n">
        <v>0</v>
      </c>
      <c r="R71" s="2" t="inlineStr"/>
    </row>
    <row r="72" ht="15" customHeight="1">
      <c r="A72" t="inlineStr">
        <is>
          <t>A 45734-2025</t>
        </is>
      </c>
      <c r="B72" s="1" t="n">
        <v>45923.46512731481</v>
      </c>
      <c r="C72" s="1" t="n">
        <v>46182</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45869-2025</t>
        </is>
      </c>
      <c r="B73" s="1" t="n">
        <v>45923.65313657407</v>
      </c>
      <c r="C73" s="1" t="n">
        <v>46182</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21908-2022</t>
        </is>
      </c>
      <c r="B74" s="1" t="n">
        <v>44711</v>
      </c>
      <c r="C74" s="1" t="n">
        <v>46182</v>
      </c>
      <c r="D74" t="inlineStr">
        <is>
          <t>KALMAR LÄN</t>
        </is>
      </c>
      <c r="E74" t="inlineStr">
        <is>
          <t>BORGHOLM</t>
        </is>
      </c>
      <c r="G74" t="n">
        <v>4.7</v>
      </c>
      <c r="H74" t="n">
        <v>0</v>
      </c>
      <c r="I74" t="n">
        <v>0</v>
      </c>
      <c r="J74" t="n">
        <v>0</v>
      </c>
      <c r="K74" t="n">
        <v>0</v>
      </c>
      <c r="L74" t="n">
        <v>0</v>
      </c>
      <c r="M74" t="n">
        <v>0</v>
      </c>
      <c r="N74" t="n">
        <v>0</v>
      </c>
      <c r="O74" t="n">
        <v>0</v>
      </c>
      <c r="P74" t="n">
        <v>0</v>
      </c>
      <c r="Q74" t="n">
        <v>0</v>
      </c>
      <c r="R74" s="2" t="inlineStr"/>
    </row>
    <row r="75" ht="15" customHeight="1">
      <c r="A75" t="inlineStr">
        <is>
          <t>A 13383-2023</t>
        </is>
      </c>
      <c r="B75" s="1" t="n">
        <v>45005</v>
      </c>
      <c r="C75" s="1" t="n">
        <v>46182</v>
      </c>
      <c r="D75" t="inlineStr">
        <is>
          <t>KALMAR LÄN</t>
        </is>
      </c>
      <c r="E75" t="inlineStr">
        <is>
          <t>BORGHOLM</t>
        </is>
      </c>
      <c r="G75" t="n">
        <v>0.8</v>
      </c>
      <c r="H75" t="n">
        <v>0</v>
      </c>
      <c r="I75" t="n">
        <v>0</v>
      </c>
      <c r="J75" t="n">
        <v>0</v>
      </c>
      <c r="K75" t="n">
        <v>0</v>
      </c>
      <c r="L75" t="n">
        <v>0</v>
      </c>
      <c r="M75" t="n">
        <v>0</v>
      </c>
      <c r="N75" t="n">
        <v>0</v>
      </c>
      <c r="O75" t="n">
        <v>0</v>
      </c>
      <c r="P75" t="n">
        <v>0</v>
      </c>
      <c r="Q75" t="n">
        <v>0</v>
      </c>
      <c r="R75" s="2" t="inlineStr"/>
    </row>
    <row r="76" ht="15" customHeight="1">
      <c r="A76" t="inlineStr">
        <is>
          <t>A 55367-2024</t>
        </is>
      </c>
      <c r="B76" s="1" t="n">
        <v>45621.87075231481</v>
      </c>
      <c r="C76" s="1" t="n">
        <v>46182</v>
      </c>
      <c r="D76" t="inlineStr">
        <is>
          <t>KALMAR LÄN</t>
        </is>
      </c>
      <c r="E76" t="inlineStr">
        <is>
          <t>BORGHOLM</t>
        </is>
      </c>
      <c r="G76" t="n">
        <v>0.7</v>
      </c>
      <c r="H76" t="n">
        <v>0</v>
      </c>
      <c r="I76" t="n">
        <v>0</v>
      </c>
      <c r="J76" t="n">
        <v>0</v>
      </c>
      <c r="K76" t="n">
        <v>0</v>
      </c>
      <c r="L76" t="n">
        <v>0</v>
      </c>
      <c r="M76" t="n">
        <v>0</v>
      </c>
      <c r="N76" t="n">
        <v>0</v>
      </c>
      <c r="O76" t="n">
        <v>0</v>
      </c>
      <c r="P76" t="n">
        <v>0</v>
      </c>
      <c r="Q76" t="n">
        <v>0</v>
      </c>
      <c r="R76" s="2" t="inlineStr"/>
    </row>
    <row r="77" ht="15" customHeight="1">
      <c r="A77" t="inlineStr">
        <is>
          <t>A 61438-2023</t>
        </is>
      </c>
      <c r="B77" s="1" t="n">
        <v>45264</v>
      </c>
      <c r="C77" s="1" t="n">
        <v>46182</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46182</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53050-2021</t>
        </is>
      </c>
      <c r="B79" s="1" t="n">
        <v>44467</v>
      </c>
      <c r="C79" s="1" t="n">
        <v>46182</v>
      </c>
      <c r="D79" t="inlineStr">
        <is>
          <t>KALMAR LÄN</t>
        </is>
      </c>
      <c r="E79" t="inlineStr">
        <is>
          <t>BORGHOLM</t>
        </is>
      </c>
      <c r="G79" t="n">
        <v>3.6</v>
      </c>
      <c r="H79" t="n">
        <v>0</v>
      </c>
      <c r="I79" t="n">
        <v>0</v>
      </c>
      <c r="J79" t="n">
        <v>0</v>
      </c>
      <c r="K79" t="n">
        <v>0</v>
      </c>
      <c r="L79" t="n">
        <v>0</v>
      </c>
      <c r="M79" t="n">
        <v>0</v>
      </c>
      <c r="N79" t="n">
        <v>0</v>
      </c>
      <c r="O79" t="n">
        <v>0</v>
      </c>
      <c r="P79" t="n">
        <v>0</v>
      </c>
      <c r="Q79" t="n">
        <v>0</v>
      </c>
      <c r="R79" s="2" t="inlineStr"/>
    </row>
    <row r="80" ht="15" customHeight="1">
      <c r="A80" t="inlineStr">
        <is>
          <t>A 4165-2023</t>
        </is>
      </c>
      <c r="B80" s="1" t="n">
        <v>44953</v>
      </c>
      <c r="C80" s="1" t="n">
        <v>46182</v>
      </c>
      <c r="D80" t="inlineStr">
        <is>
          <t>KALMAR LÄN</t>
        </is>
      </c>
      <c r="E80" t="inlineStr">
        <is>
          <t>BORGHOLM</t>
        </is>
      </c>
      <c r="G80" t="n">
        <v>0.6</v>
      </c>
      <c r="H80" t="n">
        <v>0</v>
      </c>
      <c r="I80" t="n">
        <v>0</v>
      </c>
      <c r="J80" t="n">
        <v>0</v>
      </c>
      <c r="K80" t="n">
        <v>0</v>
      </c>
      <c r="L80" t="n">
        <v>0</v>
      </c>
      <c r="M80" t="n">
        <v>0</v>
      </c>
      <c r="N80" t="n">
        <v>0</v>
      </c>
      <c r="O80" t="n">
        <v>0</v>
      </c>
      <c r="P80" t="n">
        <v>0</v>
      </c>
      <c r="Q80" t="n">
        <v>0</v>
      </c>
      <c r="R80" s="2" t="inlineStr"/>
    </row>
    <row r="81" ht="15" customHeight="1">
      <c r="A81" t="inlineStr">
        <is>
          <t>A 46845-2025</t>
        </is>
      </c>
      <c r="B81" s="1" t="n">
        <v>45928</v>
      </c>
      <c r="C81" s="1" t="n">
        <v>46182</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46182</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4159-2024</t>
        </is>
      </c>
      <c r="B83" s="1" t="n">
        <v>45323</v>
      </c>
      <c r="C83" s="1" t="n">
        <v>46182</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32921-2023</t>
        </is>
      </c>
      <c r="B84" s="1" t="n">
        <v>45125</v>
      </c>
      <c r="C84" s="1" t="n">
        <v>46182</v>
      </c>
      <c r="D84" t="inlineStr">
        <is>
          <t>KALMAR LÄN</t>
        </is>
      </c>
      <c r="E84" t="inlineStr">
        <is>
          <t>BORGHOLM</t>
        </is>
      </c>
      <c r="G84" t="n">
        <v>2.9</v>
      </c>
      <c r="H84" t="n">
        <v>0</v>
      </c>
      <c r="I84" t="n">
        <v>0</v>
      </c>
      <c r="J84" t="n">
        <v>0</v>
      </c>
      <c r="K84" t="n">
        <v>0</v>
      </c>
      <c r="L84" t="n">
        <v>0</v>
      </c>
      <c r="M84" t="n">
        <v>0</v>
      </c>
      <c r="N84" t="n">
        <v>0</v>
      </c>
      <c r="O84" t="n">
        <v>0</v>
      </c>
      <c r="P84" t="n">
        <v>0</v>
      </c>
      <c r="Q84" t="n">
        <v>0</v>
      </c>
      <c r="R84" s="2" t="inlineStr"/>
    </row>
    <row r="85" ht="15" customHeight="1">
      <c r="A85" t="inlineStr">
        <is>
          <t>A 31699-2022</t>
        </is>
      </c>
      <c r="B85" s="1" t="n">
        <v>44776</v>
      </c>
      <c r="C85" s="1" t="n">
        <v>46182</v>
      </c>
      <c r="D85" t="inlineStr">
        <is>
          <t>KALMAR LÄN</t>
        </is>
      </c>
      <c r="E85" t="inlineStr">
        <is>
          <t>BORGHOLM</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13043-2024</t>
        </is>
      </c>
      <c r="B86" s="1" t="n">
        <v>45385.60111111111</v>
      </c>
      <c r="C86" s="1" t="n">
        <v>46182</v>
      </c>
      <c r="D86" t="inlineStr">
        <is>
          <t>KALMAR LÄN</t>
        </is>
      </c>
      <c r="E86" t="inlineStr">
        <is>
          <t>BORGHOLM</t>
        </is>
      </c>
      <c r="G86" t="n">
        <v>0.4</v>
      </c>
      <c r="H86" t="n">
        <v>0</v>
      </c>
      <c r="I86" t="n">
        <v>0</v>
      </c>
      <c r="J86" t="n">
        <v>0</v>
      </c>
      <c r="K86" t="n">
        <v>0</v>
      </c>
      <c r="L86" t="n">
        <v>0</v>
      </c>
      <c r="M86" t="n">
        <v>0</v>
      </c>
      <c r="N86" t="n">
        <v>0</v>
      </c>
      <c r="O86" t="n">
        <v>0</v>
      </c>
      <c r="P86" t="n">
        <v>0</v>
      </c>
      <c r="Q86" t="n">
        <v>0</v>
      </c>
      <c r="R86" s="2" t="inlineStr"/>
    </row>
    <row r="87" ht="15" customHeight="1">
      <c r="A87" t="inlineStr">
        <is>
          <t>A 63276-2023</t>
        </is>
      </c>
      <c r="B87" s="1" t="n">
        <v>45273.82195601852</v>
      </c>
      <c r="C87" s="1" t="n">
        <v>46182</v>
      </c>
      <c r="D87" t="inlineStr">
        <is>
          <t>KALMAR LÄN</t>
        </is>
      </c>
      <c r="E87" t="inlineStr">
        <is>
          <t>BORGHOLM</t>
        </is>
      </c>
      <c r="G87" t="n">
        <v>5</v>
      </c>
      <c r="H87" t="n">
        <v>0</v>
      </c>
      <c r="I87" t="n">
        <v>0</v>
      </c>
      <c r="J87" t="n">
        <v>0</v>
      </c>
      <c r="K87" t="n">
        <v>0</v>
      </c>
      <c r="L87" t="n">
        <v>0</v>
      </c>
      <c r="M87" t="n">
        <v>0</v>
      </c>
      <c r="N87" t="n">
        <v>0</v>
      </c>
      <c r="O87" t="n">
        <v>0</v>
      </c>
      <c r="P87" t="n">
        <v>0</v>
      </c>
      <c r="Q87" t="n">
        <v>0</v>
      </c>
      <c r="R87" s="2" t="inlineStr"/>
    </row>
    <row r="88" ht="15" customHeight="1">
      <c r="A88" t="inlineStr">
        <is>
          <t>A 34780-2022</t>
        </is>
      </c>
      <c r="B88" s="1" t="n">
        <v>44795</v>
      </c>
      <c r="C88" s="1" t="n">
        <v>46182</v>
      </c>
      <c r="D88" t="inlineStr">
        <is>
          <t>KALMAR LÄN</t>
        </is>
      </c>
      <c r="E88" t="inlineStr">
        <is>
          <t>BORGHOLM</t>
        </is>
      </c>
      <c r="F88" t="inlineStr">
        <is>
          <t>Sveaskog</t>
        </is>
      </c>
      <c r="G88" t="n">
        <v>6.7</v>
      </c>
      <c r="H88" t="n">
        <v>0</v>
      </c>
      <c r="I88" t="n">
        <v>0</v>
      </c>
      <c r="J88" t="n">
        <v>0</v>
      </c>
      <c r="K88" t="n">
        <v>0</v>
      </c>
      <c r="L88" t="n">
        <v>0</v>
      </c>
      <c r="M88" t="n">
        <v>0</v>
      </c>
      <c r="N88" t="n">
        <v>0</v>
      </c>
      <c r="O88" t="n">
        <v>0</v>
      </c>
      <c r="P88" t="n">
        <v>0</v>
      </c>
      <c r="Q88" t="n">
        <v>0</v>
      </c>
      <c r="R88" s="2" t="inlineStr"/>
    </row>
    <row r="89" ht="15" customHeight="1">
      <c r="A89" t="inlineStr">
        <is>
          <t>A 7481-2026</t>
        </is>
      </c>
      <c r="B89" s="1" t="n">
        <v>46059.51359953704</v>
      </c>
      <c r="C89" s="1" t="n">
        <v>46182</v>
      </c>
      <c r="D89" t="inlineStr">
        <is>
          <t>KALMAR LÄN</t>
        </is>
      </c>
      <c r="E89" t="inlineStr">
        <is>
          <t>BORGHOLM</t>
        </is>
      </c>
      <c r="G89" t="n">
        <v>1.9</v>
      </c>
      <c r="H89" t="n">
        <v>0</v>
      </c>
      <c r="I89" t="n">
        <v>0</v>
      </c>
      <c r="J89" t="n">
        <v>0</v>
      </c>
      <c r="K89" t="n">
        <v>0</v>
      </c>
      <c r="L89" t="n">
        <v>0</v>
      </c>
      <c r="M89" t="n">
        <v>0</v>
      </c>
      <c r="N89" t="n">
        <v>0</v>
      </c>
      <c r="O89" t="n">
        <v>0</v>
      </c>
      <c r="P89" t="n">
        <v>0</v>
      </c>
      <c r="Q89" t="n">
        <v>0</v>
      </c>
      <c r="R89" s="2" t="inlineStr"/>
    </row>
    <row r="90" ht="15" customHeight="1">
      <c r="A90" t="inlineStr">
        <is>
          <t>A 1614-2025</t>
        </is>
      </c>
      <c r="B90" s="1" t="n">
        <v>45670.60094907408</v>
      </c>
      <c r="C90" s="1" t="n">
        <v>46182</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9104-2026</t>
        </is>
      </c>
      <c r="B91" s="1" t="n">
        <v>46069</v>
      </c>
      <c r="C91" s="1" t="n">
        <v>46182</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9259-2026</t>
        </is>
      </c>
      <c r="B92" s="1" t="n">
        <v>46070.51917824074</v>
      </c>
      <c r="C92" s="1" t="n">
        <v>46182</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9905-2026</t>
        </is>
      </c>
      <c r="B93" s="1" t="n">
        <v>46073.4108912037</v>
      </c>
      <c r="C93" s="1" t="n">
        <v>46182</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60141-2025</t>
        </is>
      </c>
      <c r="B94" s="1" t="n">
        <v>45994.36873842592</v>
      </c>
      <c r="C94" s="1" t="n">
        <v>46182</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9076-2025</t>
        </is>
      </c>
      <c r="B95" s="1" t="n">
        <v>45713.6596875</v>
      </c>
      <c r="C95" s="1" t="n">
        <v>46182</v>
      </c>
      <c r="D95" t="inlineStr">
        <is>
          <t>KALMAR LÄN</t>
        </is>
      </c>
      <c r="E95" t="inlineStr">
        <is>
          <t>BORGHOLM</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20878-2024</t>
        </is>
      </c>
      <c r="B96" s="1" t="n">
        <v>45439.44748842593</v>
      </c>
      <c r="C96" s="1" t="n">
        <v>46182</v>
      </c>
      <c r="D96" t="inlineStr">
        <is>
          <t>KALMAR LÄN</t>
        </is>
      </c>
      <c r="E96" t="inlineStr">
        <is>
          <t>BORGHOLM</t>
        </is>
      </c>
      <c r="G96" t="n">
        <v>1.9</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46182</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46182</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7960-2023</t>
        </is>
      </c>
      <c r="B99" s="1" t="n">
        <v>44973</v>
      </c>
      <c r="C99" s="1" t="n">
        <v>46182</v>
      </c>
      <c r="D99" t="inlineStr">
        <is>
          <t>KALMAR LÄN</t>
        </is>
      </c>
      <c r="E99" t="inlineStr">
        <is>
          <t>BORGHOLM</t>
        </is>
      </c>
      <c r="G99" t="n">
        <v>2.1</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46182</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26160-2024</t>
        </is>
      </c>
      <c r="B101" s="1" t="n">
        <v>45468</v>
      </c>
      <c r="C101" s="1" t="n">
        <v>46182</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c r="T101">
        <f>HYPERLINK("https://klasma.github.io/Logging_0885/kartor/A 26160-2024 karta.png", "A 26160-2024")</f>
        <v/>
      </c>
      <c r="V101">
        <f>HYPERLINK("https://klasma.github.io/Logging_0885/klagomål/A 26160-2024 FSC-klagomål.docx", "A 26160-2024")</f>
        <v/>
      </c>
      <c r="W101">
        <f>HYPERLINK("https://klasma.github.io/Logging_0885/klagomålsmail/A 26160-2024 FSC-klagomål mail.docx", "A 26160-2024")</f>
        <v/>
      </c>
      <c r="X101">
        <f>HYPERLINK("https://klasma.github.io/Logging_0885/tillsyn/A 26160-2024 tillsynsbegäran.docx", "A 26160-2024")</f>
        <v/>
      </c>
      <c r="Y101">
        <f>HYPERLINK("https://klasma.github.io/Logging_0885/tillsynsmail/A 26160-2024 tillsynsbegäran mail.docx", "A 26160-2024")</f>
        <v/>
      </c>
    </row>
    <row r="102" ht="15" customHeight="1">
      <c r="A102" t="inlineStr">
        <is>
          <t>A 29656-2023</t>
        </is>
      </c>
      <c r="B102" s="1" t="n">
        <v>45107</v>
      </c>
      <c r="C102" s="1" t="n">
        <v>46182</v>
      </c>
      <c r="D102" t="inlineStr">
        <is>
          <t>KALMAR LÄN</t>
        </is>
      </c>
      <c r="E102" t="inlineStr">
        <is>
          <t>BORGHOLM</t>
        </is>
      </c>
      <c r="G102" t="n">
        <v>4.1</v>
      </c>
      <c r="H102" t="n">
        <v>0</v>
      </c>
      <c r="I102" t="n">
        <v>0</v>
      </c>
      <c r="J102" t="n">
        <v>0</v>
      </c>
      <c r="K102" t="n">
        <v>0</v>
      </c>
      <c r="L102" t="n">
        <v>0</v>
      </c>
      <c r="M102" t="n">
        <v>0</v>
      </c>
      <c r="N102" t="n">
        <v>0</v>
      </c>
      <c r="O102" t="n">
        <v>0</v>
      </c>
      <c r="P102" t="n">
        <v>0</v>
      </c>
      <c r="Q102" t="n">
        <v>0</v>
      </c>
      <c r="R102" s="2" t="inlineStr"/>
    </row>
    <row r="103" ht="15" customHeight="1">
      <c r="A103" t="inlineStr">
        <is>
          <t>A 15272-2026</t>
        </is>
      </c>
      <c r="B103" s="1" t="n">
        <v>46105.60017361111</v>
      </c>
      <c r="C103" s="1" t="n">
        <v>46182</v>
      </c>
      <c r="D103" t="inlineStr">
        <is>
          <t>KALMAR LÄN</t>
        </is>
      </c>
      <c r="E103" t="inlineStr">
        <is>
          <t>BORGHOLM</t>
        </is>
      </c>
      <c r="F103" t="inlineStr">
        <is>
          <t>Sveaskog</t>
        </is>
      </c>
      <c r="G103" t="n">
        <v>2.9</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46182</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15264-2026</t>
        </is>
      </c>
      <c r="B105" s="1" t="n">
        <v>46105.59372685185</v>
      </c>
      <c r="C105" s="1" t="n">
        <v>46182</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9050-2025</t>
        </is>
      </c>
      <c r="B106" s="1" t="n">
        <v>45713.63512731482</v>
      </c>
      <c r="C106" s="1" t="n">
        <v>46182</v>
      </c>
      <c r="D106" t="inlineStr">
        <is>
          <t>KALMAR LÄN</t>
        </is>
      </c>
      <c r="E106" t="inlineStr">
        <is>
          <t>BORGHOLM</t>
        </is>
      </c>
      <c r="F106" t="inlineStr">
        <is>
          <t>Sveaskog</t>
        </is>
      </c>
      <c r="G106" t="n">
        <v>2.5</v>
      </c>
      <c r="H106" t="n">
        <v>0</v>
      </c>
      <c r="I106" t="n">
        <v>0</v>
      </c>
      <c r="J106" t="n">
        <v>0</v>
      </c>
      <c r="K106" t="n">
        <v>0</v>
      </c>
      <c r="L106" t="n">
        <v>0</v>
      </c>
      <c r="M106" t="n">
        <v>0</v>
      </c>
      <c r="N106" t="n">
        <v>0</v>
      </c>
      <c r="O106" t="n">
        <v>0</v>
      </c>
      <c r="P106" t="n">
        <v>0</v>
      </c>
      <c r="Q106" t="n">
        <v>0</v>
      </c>
      <c r="R106" s="2" t="inlineStr"/>
    </row>
    <row r="107" ht="15" customHeight="1">
      <c r="A107" t="inlineStr">
        <is>
          <t>A 63075-2023</t>
        </is>
      </c>
      <c r="B107" s="1" t="n">
        <v>45273</v>
      </c>
      <c r="C107" s="1" t="n">
        <v>46182</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7669-2024</t>
        </is>
      </c>
      <c r="B108" s="1" t="n">
        <v>45348.82498842593</v>
      </c>
      <c r="C108" s="1" t="n">
        <v>46182</v>
      </c>
      <c r="D108" t="inlineStr">
        <is>
          <t>KALMAR LÄN</t>
        </is>
      </c>
      <c r="E108" t="inlineStr">
        <is>
          <t>BORGHOLM</t>
        </is>
      </c>
      <c r="G108" t="n">
        <v>2.3</v>
      </c>
      <c r="H108" t="n">
        <v>0</v>
      </c>
      <c r="I108" t="n">
        <v>0</v>
      </c>
      <c r="J108" t="n">
        <v>0</v>
      </c>
      <c r="K108" t="n">
        <v>0</v>
      </c>
      <c r="L108" t="n">
        <v>0</v>
      </c>
      <c r="M108" t="n">
        <v>0</v>
      </c>
      <c r="N108" t="n">
        <v>0</v>
      </c>
      <c r="O108" t="n">
        <v>0</v>
      </c>
      <c r="P108" t="n">
        <v>0</v>
      </c>
      <c r="Q108" t="n">
        <v>0</v>
      </c>
      <c r="R108" s="2" t="inlineStr"/>
    </row>
    <row r="109" ht="15" customHeight="1">
      <c r="A109" t="inlineStr">
        <is>
          <t>A 22785-2025</t>
        </is>
      </c>
      <c r="B109" s="1" t="n">
        <v>45789.64186342592</v>
      </c>
      <c r="C109" s="1" t="n">
        <v>46182</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24338-2026</t>
        </is>
      </c>
      <c r="B110" s="1" t="n">
        <v>46169.54258101852</v>
      </c>
      <c r="C110" s="1" t="n">
        <v>46182</v>
      </c>
      <c r="D110" t="inlineStr">
        <is>
          <t>KALMAR LÄN</t>
        </is>
      </c>
      <c r="E110" t="inlineStr">
        <is>
          <t>BORGHOLM</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24323-2026</t>
        </is>
      </c>
      <c r="B111" s="1" t="n">
        <v>46169.49458333333</v>
      </c>
      <c r="C111" s="1" t="n">
        <v>46182</v>
      </c>
      <c r="D111" t="inlineStr">
        <is>
          <t>KALMAR LÄN</t>
        </is>
      </c>
      <c r="E111" t="inlineStr">
        <is>
          <t>BORGHOLM</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12534-2022</t>
        </is>
      </c>
      <c r="B112" s="1" t="n">
        <v>44638</v>
      </c>
      <c r="C112" s="1" t="n">
        <v>46182</v>
      </c>
      <c r="D112" t="inlineStr">
        <is>
          <t>KALMAR LÄN</t>
        </is>
      </c>
      <c r="E112" t="inlineStr">
        <is>
          <t>BORGHOLM</t>
        </is>
      </c>
      <c r="G112" t="n">
        <v>8.6</v>
      </c>
      <c r="H112" t="n">
        <v>0</v>
      </c>
      <c r="I112" t="n">
        <v>0</v>
      </c>
      <c r="J112" t="n">
        <v>0</v>
      </c>
      <c r="K112" t="n">
        <v>0</v>
      </c>
      <c r="L112" t="n">
        <v>0</v>
      </c>
      <c r="M112" t="n">
        <v>0</v>
      </c>
      <c r="N112" t="n">
        <v>0</v>
      </c>
      <c r="O112" t="n">
        <v>0</v>
      </c>
      <c r="P112" t="n">
        <v>0</v>
      </c>
      <c r="Q112" t="n">
        <v>0</v>
      </c>
      <c r="R112" s="2" t="inlineStr"/>
    </row>
    <row r="113" ht="15" customHeight="1">
      <c r="A113" t="inlineStr">
        <is>
          <t>A 40339-2023</t>
        </is>
      </c>
      <c r="B113" s="1" t="n">
        <v>45169.62733796296</v>
      </c>
      <c r="C113" s="1" t="n">
        <v>46182</v>
      </c>
      <c r="D113" t="inlineStr">
        <is>
          <t>KALMAR LÄN</t>
        </is>
      </c>
      <c r="E113" t="inlineStr">
        <is>
          <t>BORGHOLM</t>
        </is>
      </c>
      <c r="G113" t="n">
        <v>3.8</v>
      </c>
      <c r="H113" t="n">
        <v>0</v>
      </c>
      <c r="I113" t="n">
        <v>0</v>
      </c>
      <c r="J113" t="n">
        <v>0</v>
      </c>
      <c r="K113" t="n">
        <v>0</v>
      </c>
      <c r="L113" t="n">
        <v>0</v>
      </c>
      <c r="M113" t="n">
        <v>0</v>
      </c>
      <c r="N113" t="n">
        <v>0</v>
      </c>
      <c r="O113" t="n">
        <v>0</v>
      </c>
      <c r="P113" t="n">
        <v>0</v>
      </c>
      <c r="Q113" t="n">
        <v>0</v>
      </c>
      <c r="R113" s="2" t="inlineStr"/>
    </row>
    <row r="114" ht="15" customHeight="1">
      <c r="A114" t="inlineStr">
        <is>
          <t>A 24345-2026</t>
        </is>
      </c>
      <c r="B114" s="1" t="n">
        <v>46169.55112268519</v>
      </c>
      <c r="C114" s="1" t="n">
        <v>46182</v>
      </c>
      <c r="D114" t="inlineStr">
        <is>
          <t>KALMAR LÄN</t>
        </is>
      </c>
      <c r="E114" t="inlineStr">
        <is>
          <t>BORGHOLM</t>
        </is>
      </c>
      <c r="F114" t="inlineStr">
        <is>
          <t>Sveaskog</t>
        </is>
      </c>
      <c r="G114" t="n">
        <v>7.3</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46182</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26190-2025</t>
        </is>
      </c>
      <c r="B116" s="1" t="n">
        <v>45805.48349537037</v>
      </c>
      <c r="C116" s="1" t="n">
        <v>46182</v>
      </c>
      <c r="D116" t="inlineStr">
        <is>
          <t>KALMAR LÄN</t>
        </is>
      </c>
      <c r="E116" t="inlineStr">
        <is>
          <t>BORGHOLM</t>
        </is>
      </c>
      <c r="G116" t="n">
        <v>3.2</v>
      </c>
      <c r="H116" t="n">
        <v>0</v>
      </c>
      <c r="I116" t="n">
        <v>0</v>
      </c>
      <c r="J116" t="n">
        <v>0</v>
      </c>
      <c r="K116" t="n">
        <v>0</v>
      </c>
      <c r="L116" t="n">
        <v>0</v>
      </c>
      <c r="M116" t="n">
        <v>0</v>
      </c>
      <c r="N116" t="n">
        <v>0</v>
      </c>
      <c r="O116" t="n">
        <v>0</v>
      </c>
      <c r="P116" t="n">
        <v>0</v>
      </c>
      <c r="Q116" t="n">
        <v>0</v>
      </c>
      <c r="R116" s="2" t="inlineStr"/>
    </row>
    <row r="117" ht="15" customHeight="1">
      <c r="A117" t="inlineStr">
        <is>
          <t>A 26160-2025</t>
        </is>
      </c>
      <c r="B117" s="1" t="n">
        <v>45805.4490162037</v>
      </c>
      <c r="C117" s="1" t="n">
        <v>46182</v>
      </c>
      <c r="D117" t="inlineStr">
        <is>
          <t>KALMAR LÄN</t>
        </is>
      </c>
      <c r="E117" t="inlineStr">
        <is>
          <t>BORGHOLM</t>
        </is>
      </c>
      <c r="G117" t="n">
        <v>3.7</v>
      </c>
      <c r="H117" t="n">
        <v>0</v>
      </c>
      <c r="I117" t="n">
        <v>0</v>
      </c>
      <c r="J117" t="n">
        <v>0</v>
      </c>
      <c r="K117" t="n">
        <v>0</v>
      </c>
      <c r="L117" t="n">
        <v>0</v>
      </c>
      <c r="M117" t="n">
        <v>0</v>
      </c>
      <c r="N117" t="n">
        <v>0</v>
      </c>
      <c r="O117" t="n">
        <v>0</v>
      </c>
      <c r="P117" t="n">
        <v>0</v>
      </c>
      <c r="Q117" t="n">
        <v>0</v>
      </c>
      <c r="R117" s="2" t="inlineStr"/>
    </row>
    <row r="118">
      <c r="A118" t="inlineStr">
        <is>
          <t>A 61723-2025</t>
        </is>
      </c>
      <c r="B118" s="1" t="n">
        <v>46002.58388888889</v>
      </c>
      <c r="C118" s="1" t="n">
        <v>46182</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2026-06-09T09:30:26Z</dcterms:created>
  <dcterms:modified xmlns:dcterms="http://purl.org/dc/terms/" xmlns:xsi="http://www.w3.org/2001/XMLSchema-instance" xsi:type="dcterms:W3CDTF">2026-06-09T09:30:26Z</dcterms:modified>
</cp:coreProperties>
</file>