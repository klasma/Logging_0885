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46312</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46312</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46312</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46312</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46312</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46312</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46312</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46312</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46312</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46312</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46312</v>
      </c>
      <c r="F14" t="inlineStr">
        <is>
          <t>KALMAR LÄN</t>
        </is>
      </c>
      <c r="G14" t="inlineStr">
        <is>
          <t>BORGHOLM</t>
        </is>
      </c>
      <c r="I14" t="n">
        <v>7.8</v>
      </c>
      <c r="J14" t="n">
        <v>6</v>
      </c>
      <c r="K14" t="n">
        <v>6</v>
      </c>
      <c r="L14" t="n">
        <v>5</v>
      </c>
      <c r="M14" t="n">
        <v>1</v>
      </c>
      <c r="N14" t="n">
        <v>0</v>
      </c>
      <c r="O14" t="n">
        <v>0</v>
      </c>
      <c r="P14" t="n">
        <v>0</v>
      </c>
      <c r="Q14" t="n">
        <v>6</v>
      </c>
      <c r="R14" t="n">
        <v>1</v>
      </c>
      <c r="S14" t="n">
        <v>15</v>
      </c>
      <c r="T14" t="n">
        <v>21</v>
      </c>
      <c r="U14" t="n">
        <v>20</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46312</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46312</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46312</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46312</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46312</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46312</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46312</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46312</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46312</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46312</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46312</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46312</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12534-2022</t>
        </is>
      </c>
      <c r="B28" t="inlineStr">
        <is>
          <t>avverkningsanmälan</t>
        </is>
      </c>
      <c r="C28" t="inlineStr">
        <is>
          <t>Föryngringsavverkning</t>
        </is>
      </c>
      <c r="D28" s="1" t="n">
        <v>44638</v>
      </c>
      <c r="E28" s="1" t="n">
        <v>46312</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46312</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46312</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46312</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46312</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46312</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46312</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46312</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A 16171-2023</t>
        </is>
      </c>
      <c r="B36" t="inlineStr">
        <is>
          <t>avverkningsanmälan</t>
        </is>
      </c>
      <c r="C36" t="inlineStr">
        <is>
          <t>Föryngringsavverkning</t>
        </is>
      </c>
      <c r="D36" s="1" t="n">
        <v>45027</v>
      </c>
      <c r="E36" s="1" t="n">
        <v>46312</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46312</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46312</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46312</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46312</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46312</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46312</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46312</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46312</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7960-2023</t>
        </is>
      </c>
      <c r="B45" t="inlineStr">
        <is>
          <t>avverkningsanmälan</t>
        </is>
      </c>
      <c r="C45" t="inlineStr">
        <is>
          <t>Föryngringsavverkning</t>
        </is>
      </c>
      <c r="D45" s="1" t="n">
        <v>44973</v>
      </c>
      <c r="E45" s="1" t="n">
        <v>46312</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46312</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46312</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46312</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46312</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46312</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46312</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46312</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46312</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32174-2022</t>
        </is>
      </c>
      <c r="B54" t="inlineStr">
        <is>
          <t>avverkningsanmälan</t>
        </is>
      </c>
      <c r="C54" t="inlineStr">
        <is>
          <t>Avverkning för att bevara och utveckla /försöksver</t>
        </is>
      </c>
      <c r="D54" s="1" t="n">
        <v>44781</v>
      </c>
      <c r="E54" s="1" t="n">
        <v>46312</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46312</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27283-2026</t>
        </is>
      </c>
      <c r="B56" t="inlineStr">
        <is>
          <t>avverkningsanmälan</t>
        </is>
      </c>
      <c r="C56" t="inlineStr">
        <is>
          <t>Avverkning för att bevara och utveckla /försöksver</t>
        </is>
      </c>
      <c r="D56" s="1" t="n">
        <v>46188</v>
      </c>
      <c r="E56" s="1" t="n">
        <v>46312</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46312</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15285-2026</t>
        </is>
      </c>
      <c r="B58" t="inlineStr">
        <is>
          <t>avverkningsanmälan</t>
        </is>
      </c>
      <c r="C58" t="inlineStr">
        <is>
          <t>Avverkning för att bevara och utveckla /försöksver</t>
        </is>
      </c>
      <c r="D58" s="1" t="n">
        <v>46105</v>
      </c>
      <c r="E58" s="1" t="n">
        <v>46312</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31520-2026</t>
        </is>
      </c>
      <c r="B59" t="inlineStr">
        <is>
          <t>avverkningsanmälan</t>
        </is>
      </c>
      <c r="C59" t="inlineStr">
        <is>
          <t>Avverkning för att bevara och utveckla /försöksver</t>
        </is>
      </c>
      <c r="D59" s="1" t="n">
        <v>46223</v>
      </c>
      <c r="E59" s="1" t="n">
        <v>46312</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46312</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46312</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46312</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46312</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46312</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21908-2022</t>
        </is>
      </c>
      <c r="B65" t="inlineStr">
        <is>
          <t>avverkningsanmälan</t>
        </is>
      </c>
      <c r="C65" t="inlineStr">
        <is>
          <t>Föryngringsavverkning</t>
        </is>
      </c>
      <c r="D65" s="1" t="n">
        <v>44711</v>
      </c>
      <c r="E65" s="1" t="n">
        <v>46312</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46312</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46312</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24322-2026</t>
        </is>
      </c>
      <c r="B68" t="inlineStr">
        <is>
          <t>avverkningsanmälan</t>
        </is>
      </c>
      <c r="C68" t="inlineStr">
        <is>
          <t>Föryngringsavverkning</t>
        </is>
      </c>
      <c r="D68" s="1" t="n">
        <v>46169</v>
      </c>
      <c r="E68" s="1" t="n">
        <v>46312</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9253-2026</t>
        </is>
      </c>
      <c r="B69" t="inlineStr">
        <is>
          <t>avverkningsanmälan</t>
        </is>
      </c>
      <c r="C69" t="inlineStr">
        <is>
          <t>Föryngringsavverkning</t>
        </is>
      </c>
      <c r="D69" s="1" t="n">
        <v>46070</v>
      </c>
      <c r="E69" s="1" t="n">
        <v>46312</v>
      </c>
      <c r="F69" t="inlineStr">
        <is>
          <t>KALMAR LÄN</t>
        </is>
      </c>
      <c r="G69" t="inlineStr">
        <is>
          <t>BORGHOLM</t>
        </is>
      </c>
      <c r="I69" t="n">
        <v>1.1</v>
      </c>
      <c r="J69" t="n">
        <v>1</v>
      </c>
      <c r="K69" t="n">
        <v>1</v>
      </c>
      <c r="L69" t="n">
        <v>0</v>
      </c>
      <c r="M69" t="n">
        <v>0</v>
      </c>
      <c r="N69" t="n">
        <v>0</v>
      </c>
      <c r="O69" t="n">
        <v>0</v>
      </c>
      <c r="P69" t="n">
        <v>0</v>
      </c>
      <c r="Q69" t="n">
        <v>0</v>
      </c>
      <c r="R69" t="n">
        <v>0</v>
      </c>
      <c r="S69" t="n">
        <v>2</v>
      </c>
      <c r="T69" t="n">
        <v>2</v>
      </c>
      <c r="U69" t="n">
        <v>0</v>
      </c>
      <c r="V69" s="2" t="inlineStr">
        <is>
          <t>Murgröna
Gullviva</t>
        </is>
      </c>
      <c r="W69">
        <f>HYPERLINK("https://klasma.github.io/Logging_0885/artfynd/A 9253-2026 artfynd.xlsx", "A 9253-2026")</f>
        <v/>
      </c>
      <c r="X69">
        <f>HYPERLINK("https://klasma.github.io/Logging_0885/kartor/A 9253-2026 karta.png", "A 9253-2026")</f>
        <v/>
      </c>
      <c r="Y69">
        <f>HYPERLINK("https://klasma.github.io/Logging_0885/kartor_geotiff/A 9253-2026 georefererad karta.tif", "A 9253-2026")</f>
        <v/>
      </c>
      <c r="AA69">
        <f>HYPERLINK("https://klasma.github.io/Logging_0885/klagomål/A 9253-2026 FSC-klagomål.docx", "A 9253-2026")</f>
        <v/>
      </c>
      <c r="AB69">
        <f>HYPERLINK("https://klasma.github.io/Logging_0885/klagomålsmail/A 9253-2026 FSC-klagomål mail.docx", "A 9253-2026")</f>
        <v/>
      </c>
      <c r="AC69">
        <f>HYPERLINK("https://klasma.github.io/Logging_0885/tillsyn/A 9253-2026 tillsynsbegäran.docx", "A 9253-2026")</f>
        <v/>
      </c>
      <c r="AD69">
        <f>HYPERLINK("https://klasma.github.io/Logging_0885/tillsynsmail/A 9253-2026 tillsynsbegäran mail.docx", "A 9253-2026")</f>
        <v/>
      </c>
    </row>
    <row r="70" ht="15" customHeight="1">
      <c r="A70" t="inlineStr">
        <is>
          <t>A 44678-2022</t>
        </is>
      </c>
      <c r="B70" t="inlineStr">
        <is>
          <t>avverkningsanmälan</t>
        </is>
      </c>
      <c r="C70" t="inlineStr">
        <is>
          <t>Föryngringsavverkning</t>
        </is>
      </c>
      <c r="D70" s="1" t="n">
        <v>44840</v>
      </c>
      <c r="E70" s="1" t="n">
        <v>46312</v>
      </c>
      <c r="F70" t="inlineStr">
        <is>
          <t>KALMAR LÄN</t>
        </is>
      </c>
      <c r="G70" t="inlineStr">
        <is>
          <t>BORGHOLM</t>
        </is>
      </c>
      <c r="I70" t="n">
        <v>2.4</v>
      </c>
      <c r="J70" t="n">
        <v>1</v>
      </c>
      <c r="K70" t="n">
        <v>1</v>
      </c>
      <c r="L70" t="n">
        <v>0</v>
      </c>
      <c r="M70" t="n">
        <v>0</v>
      </c>
      <c r="N70" t="n">
        <v>1</v>
      </c>
      <c r="O70" t="n">
        <v>0</v>
      </c>
      <c r="P70" t="n">
        <v>0</v>
      </c>
      <c r="Q70" t="n">
        <v>1</v>
      </c>
      <c r="R70" t="n">
        <v>1</v>
      </c>
      <c r="S70" t="n">
        <v>2</v>
      </c>
      <c r="T70" t="n">
        <v>2</v>
      </c>
      <c r="U70" t="n">
        <v>1</v>
      </c>
      <c r="V70" s="2" t="inlineStr">
        <is>
          <t>Ask
Skogsknipprot</t>
        </is>
      </c>
      <c r="W70">
        <f>HYPERLINK("https://klasma.github.io/Logging_0885/artfynd/A 44678-2022 artfynd.xlsx", "A 44678-2022")</f>
        <v/>
      </c>
      <c r="X70">
        <f>HYPERLINK("https://klasma.github.io/Logging_0885/kartor/A 44678-2022 karta.png", "A 44678-2022")</f>
        <v/>
      </c>
      <c r="Y70">
        <f>HYPERLINK("https://klasma.github.io/Logging_0885/kartor_geotiff/A 44678-2022 georefererad karta.tif", "A 44678-2022")</f>
        <v/>
      </c>
      <c r="AA70">
        <f>HYPERLINK("https://klasma.github.io/Logging_0885/klagomål/A 44678-2022 FSC-klagomål.docx", "A 44678-2022")</f>
        <v/>
      </c>
      <c r="AB70">
        <f>HYPERLINK("https://klasma.github.io/Logging_0885/klagomålsmail/A 44678-2022 FSC-klagomål mail.docx", "A 44678-2022")</f>
        <v/>
      </c>
      <c r="AC70">
        <f>HYPERLINK("https://klasma.github.io/Logging_0885/tillsyn/A 44678-2022 tillsynsbegäran.docx", "A 44678-2022")</f>
        <v/>
      </c>
      <c r="AD70">
        <f>HYPERLINK("https://klasma.github.io/Logging_0885/tillsynsmail/A 44678-2022 tillsynsbegäran mail.docx", "A 44678-2022")</f>
        <v/>
      </c>
    </row>
    <row r="71" ht="15" customHeight="1">
      <c r="A71" t="inlineStr">
        <is>
          <t>A 29411-2026</t>
        </is>
      </c>
      <c r="B71" t="inlineStr">
        <is>
          <t>avverkningsanmälan</t>
        </is>
      </c>
      <c r="C71" t="inlineStr">
        <is>
          <t>Avverkning för att bevara och utveckla /försöksver</t>
        </is>
      </c>
      <c r="D71" s="1" t="n">
        <v>46203</v>
      </c>
      <c r="E71" s="1" t="n">
        <v>46312</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17699-2025</t>
        </is>
      </c>
      <c r="B72" t="inlineStr">
        <is>
          <t>avverkningsanmälan</t>
        </is>
      </c>
      <c r="C72" t="inlineStr">
        <is>
          <t>Föryngringsavverkning</t>
        </is>
      </c>
      <c r="D72" s="1" t="n">
        <v>45758</v>
      </c>
      <c r="E72" s="1" t="n">
        <v>46312</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46312</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A 29434-2026</t>
        </is>
      </c>
      <c r="B74" t="inlineStr">
        <is>
          <t>avverkningsanmälan</t>
        </is>
      </c>
      <c r="C74" t="inlineStr">
        <is>
          <t>Avverkning för att bevara och utveckla /försöksver</t>
        </is>
      </c>
      <c r="D74" s="1" t="n">
        <v>46203</v>
      </c>
      <c r="E74" s="1" t="n">
        <v>46312</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6144-2022</t>
        </is>
      </c>
      <c r="B75" t="inlineStr">
        <is>
          <t>samrådsanmälan</t>
        </is>
      </c>
      <c r="C75" t="inlineStr">
        <is>
          <t>Annan skogsbruksåtgärd</t>
        </is>
      </c>
      <c r="D75" s="1" t="n">
        <v>44865</v>
      </c>
      <c r="E75" s="1" t="n">
        <v>46312</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46312</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46312</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46312</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46312</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46312</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46312</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46312</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24704-2023</t>
        </is>
      </c>
      <c r="B83" t="inlineStr">
        <is>
          <t>avverkningsanmälan</t>
        </is>
      </c>
      <c r="C83" t="inlineStr">
        <is>
          <t>Föryngringsavverkning</t>
        </is>
      </c>
      <c r="D83" s="1" t="n">
        <v>45084</v>
      </c>
      <c r="E83" s="1" t="n">
        <v>46312</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t="n">
        <v>0</v>
      </c>
      <c r="V83" s="2" t="inlineStr">
        <is>
          <t>Ask</t>
        </is>
      </c>
      <c r="W83">
        <f>HYPERLINK("https://klasma.github.io/Logging_0885/artfynd/A 24704-2023 artfynd.xlsx", "A 24704-2023")</f>
        <v/>
      </c>
      <c r="X83">
        <f>HYPERLINK("https://klasma.github.io/Logging_0885/kartor/A 24704-2023 karta.png", "A 24704-2023")</f>
        <v/>
      </c>
      <c r="Y83">
        <f>HYPERLINK("https://klasma.github.io/Logging_0885/kartor_geotiff/A 24704-2023 georefererad karta.tif", "A 24704-2023")</f>
        <v/>
      </c>
      <c r="AA83">
        <f>HYPERLINK("https://klasma.github.io/Logging_0885/klagomål/A 24704-2023 FSC-klagomål.docx", "A 24704-2023")</f>
        <v/>
      </c>
      <c r="AB83">
        <f>HYPERLINK("https://klasma.github.io/Logging_0885/klagomålsmail/A 24704-2023 FSC-klagomål mail.docx", "A 24704-2023")</f>
        <v/>
      </c>
      <c r="AC83">
        <f>HYPERLINK("https://klasma.github.io/Logging_0885/tillsyn/A 24704-2023 tillsynsbegäran.docx", "A 24704-2023")</f>
        <v/>
      </c>
      <c r="AD83">
        <f>HYPERLINK("https://klasma.github.io/Logging_0885/tillsynsmail/A 24704-2023 tillsynsbegäran mail.docx", "A 24704-2023")</f>
        <v/>
      </c>
    </row>
    <row r="84" ht="15" customHeight="1">
      <c r="A84" t="inlineStr">
        <is>
          <t>A 41831-2025</t>
        </is>
      </c>
      <c r="B84" t="inlineStr">
        <is>
          <t>avverkningsanmälan</t>
        </is>
      </c>
      <c r="C84" t="inlineStr">
        <is>
          <t>Föryngringsavverkning</t>
        </is>
      </c>
      <c r="D84" s="1" t="n">
        <v>45902</v>
      </c>
      <c r="E84" s="1" t="n">
        <v>46312</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9745-2023</t>
        </is>
      </c>
      <c r="B85" t="inlineStr">
        <is>
          <t>avverkningsanmälan</t>
        </is>
      </c>
      <c r="C85" t="inlineStr">
        <is>
          <t>Föryngringsavverkning</t>
        </is>
      </c>
      <c r="D85" s="1" t="n">
        <v>44984</v>
      </c>
      <c r="E85" s="1" t="n">
        <v>46312</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3302-2026</t>
        </is>
      </c>
      <c r="B86" t="inlineStr">
        <is>
          <t>avverkningsanmälan</t>
        </is>
      </c>
      <c r="C86" t="inlineStr">
        <is>
          <t>Avverkning för annat ändamål</t>
        </is>
      </c>
      <c r="D86" s="1" t="n">
        <v>46041</v>
      </c>
      <c r="E86" s="1" t="n">
        <v>46312</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7481-2026</t>
        </is>
      </c>
      <c r="B87" t="inlineStr">
        <is>
          <t>avverkningsanmälan</t>
        </is>
      </c>
      <c r="C87" t="inlineStr">
        <is>
          <t>Föryngringsavverkning</t>
        </is>
      </c>
      <c r="D87" s="1" t="n">
        <v>46059</v>
      </c>
      <c r="E87" s="1" t="n">
        <v>46312</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46312</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46312</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26840-2026</t>
        </is>
      </c>
      <c r="B90" t="inlineStr">
        <is>
          <t>avverkningsanmälan</t>
        </is>
      </c>
      <c r="C90" t="inlineStr">
        <is>
          <t>Avverkning för att bevara och utveckla /försöksver</t>
        </is>
      </c>
      <c r="D90" s="1" t="n">
        <v>46185</v>
      </c>
      <c r="E90" s="1" t="n">
        <v>46312</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31720-2022</t>
        </is>
      </c>
      <c r="B91" t="inlineStr">
        <is>
          <t>avverkningsanmälan</t>
        </is>
      </c>
      <c r="C91" t="inlineStr">
        <is>
          <t>Föryngringsavverkning</t>
        </is>
      </c>
      <c r="D91" s="1" t="n">
        <v>44776</v>
      </c>
      <c r="E91" s="1" t="n">
        <v>46312</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46312</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28374-2026</t>
        </is>
      </c>
      <c r="B93" t="inlineStr">
        <is>
          <t>avverkningsanmälan</t>
        </is>
      </c>
      <c r="C93" t="inlineStr">
        <is>
          <t>Avverkning för att bevara och utveckla /försöksver</t>
        </is>
      </c>
      <c r="D93" s="1" t="n">
        <v>46196</v>
      </c>
      <c r="E93" s="1" t="n">
        <v>46312</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28430-2026</t>
        </is>
      </c>
      <c r="B94" t="inlineStr">
        <is>
          <t>avverkningsanmälan</t>
        </is>
      </c>
      <c r="C94" t="inlineStr">
        <is>
          <t>Avverkning för att bevara och utveckla /försöksver</t>
        </is>
      </c>
      <c r="D94" s="1" t="n">
        <v>46197</v>
      </c>
      <c r="E94" s="1" t="n">
        <v>46312</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13043-2024</t>
        </is>
      </c>
      <c r="B95" t="inlineStr">
        <is>
          <t>avverkningsanmälan</t>
        </is>
      </c>
      <c r="C95" t="inlineStr">
        <is>
          <t>Föryngringsavverkning</t>
        </is>
      </c>
      <c r="D95" s="1" t="n">
        <v>45385</v>
      </c>
      <c r="E95" s="1" t="n">
        <v>46312</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20878-2024</t>
        </is>
      </c>
      <c r="B96" t="inlineStr">
        <is>
          <t>avverkningsanmälan</t>
        </is>
      </c>
      <c r="C96" t="inlineStr">
        <is>
          <t>Föryngringsavverkning</t>
        </is>
      </c>
      <c r="D96" s="1" t="n">
        <v>45439</v>
      </c>
      <c r="E96" s="1" t="n">
        <v>46312</v>
      </c>
      <c r="F96" t="inlineStr">
        <is>
          <t>KALMAR LÄN</t>
        </is>
      </c>
      <c r="G96" t="inlineStr">
        <is>
          <t>BORGHOLM</t>
        </is>
      </c>
      <c r="I96" t="n">
        <v>1.9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HYPERLINK("https://klasma.github.io/Logging_0885/artfynd/A 20878-2024 artfynd.xlsx", "A 20878-2024")</f>
        <v/>
      </c>
      <c r="X96">
        <f>HYPERLINK("https://klasma.github.io/Logging_0885/kartor/A 20878-2024 karta.png", "A 20878-2024")</f>
        <v/>
      </c>
      <c r="Y96">
        <f>HYPERLINK("https://klasma.github.io/Logging_0885/kartor_geotiff/A 20878-2024 georefererad karta.tif", "A 20878-2024")</f>
        <v/>
      </c>
      <c r="AA96">
        <f>HYPERLINK("https://klasma.github.io/Logging_0885/klagomål/A 20878-2024 FSC-klagomål.docx", "A 20878-2024")</f>
        <v/>
      </c>
      <c r="AB96">
        <f>HYPERLINK("https://klasma.github.io/Logging_0885/klagomålsmail/A 20878-2024 FSC-klagomål mail.docx", "A 20878-2024")</f>
        <v/>
      </c>
      <c r="AC96">
        <f>HYPERLINK("https://klasma.github.io/Logging_0885/tillsyn/A 20878-2024 tillsynsbegäran.docx", "A 20878-2024")</f>
        <v/>
      </c>
      <c r="AD96">
        <f>HYPERLINK("https://klasma.github.io/Logging_0885/tillsynsmail/A 20878-2024 tillsynsbegäran mail.docx", "A 20878-2024")</f>
        <v/>
      </c>
    </row>
    <row r="97" ht="15" customHeight="1">
      <c r="A97" t="inlineStr">
        <is>
          <t>A 33293-2026</t>
        </is>
      </c>
      <c r="B97" t="inlineStr">
        <is>
          <t>avverkningsanmälan</t>
        </is>
      </c>
      <c r="C97" t="inlineStr">
        <is>
          <t>Avverkning för att bevara och utveckla /försöksver</t>
        </is>
      </c>
      <c r="D97" s="1" t="n">
        <v>46246</v>
      </c>
      <c r="E97" s="1" t="n">
        <v>46312</v>
      </c>
      <c r="F97" t="inlineStr">
        <is>
          <t>KALMAR LÄN</t>
        </is>
      </c>
      <c r="G97" t="inlineStr">
        <is>
          <t>BORGHOLM</t>
        </is>
      </c>
      <c r="H97" t="inlineStr">
        <is>
          <t>Sveaskog</t>
        </is>
      </c>
      <c r="I97" t="n">
        <v>3.8</v>
      </c>
      <c r="J97" t="n">
        <v>1</v>
      </c>
      <c r="K97" t="n">
        <v>1</v>
      </c>
      <c r="L97" t="n">
        <v>0</v>
      </c>
      <c r="M97" t="n">
        <v>0</v>
      </c>
      <c r="N97" t="n">
        <v>0</v>
      </c>
      <c r="O97" t="n">
        <v>0</v>
      </c>
      <c r="P97" t="n">
        <v>0</v>
      </c>
      <c r="Q97" t="n">
        <v>0</v>
      </c>
      <c r="R97" t="n">
        <v>0</v>
      </c>
      <c r="S97" t="n">
        <v>1</v>
      </c>
      <c r="T97" t="n">
        <v>2</v>
      </c>
      <c r="U97" t="n">
        <v>0</v>
      </c>
      <c r="V97" s="2" t="inlineStr">
        <is>
          <t>Skogsknipprot</t>
        </is>
      </c>
      <c r="W97">
        <f>HYPERLINK("https://klasma.github.io/Logging_0885/artfynd/A 33293-2026 artfynd.xlsx", "A 33293-2026")</f>
        <v/>
      </c>
      <c r="X97">
        <f>HYPERLINK("https://klasma.github.io/Logging_0885/kartor/A 33293-2026 karta.png", "A 33293-2026")</f>
        <v/>
      </c>
      <c r="Y97">
        <f>HYPERLINK("https://klasma.github.io/Logging_0885/kartor_geotiff/A 33293-2026 georefererad karta.tif", "A 33293-2026")</f>
        <v/>
      </c>
      <c r="AA97">
        <f>HYPERLINK("https://klasma.github.io/Logging_0885/klagomål/A 33293-2026 FSC-klagomål.docx", "A 33293-2026")</f>
        <v/>
      </c>
      <c r="AB97">
        <f>HYPERLINK("https://klasma.github.io/Logging_0885/klagomålsmail/A 33293-2026 FSC-klagomål mail.docx", "A 33293-2026")</f>
        <v/>
      </c>
      <c r="AC97">
        <f>HYPERLINK("https://klasma.github.io/Logging_0885/tillsyn/A 33293-2026 tillsynsbegäran.docx", "A 33293-2026")</f>
        <v/>
      </c>
      <c r="AD97">
        <f>HYPERLINK("https://klasma.github.io/Logging_0885/tillsynsmail/A 33293-2026 tillsynsbegäran mail.docx", "A 33293-2026")</f>
        <v/>
      </c>
    </row>
    <row r="98" ht="15" customHeight="1">
      <c r="A98" t="inlineStr">
        <is>
          <t>A 28785-2025</t>
        </is>
      </c>
      <c r="B98" t="inlineStr">
        <is>
          <t>avverkningsanmälan</t>
        </is>
      </c>
      <c r="C98" t="inlineStr">
        <is>
          <t>Avverkning för att bevara och utveckla /försöksver</t>
        </is>
      </c>
      <c r="D98" s="1" t="n">
        <v>45820</v>
      </c>
      <c r="E98" s="1" t="n">
        <v>46312</v>
      </c>
      <c r="F98" t="inlineStr">
        <is>
          <t>KALMAR LÄN</t>
        </is>
      </c>
      <c r="G98" t="inlineStr">
        <is>
          <t>BORGHOLM</t>
        </is>
      </c>
      <c r="H98" t="inlineStr">
        <is>
          <t>Sveaskog</t>
        </is>
      </c>
      <c r="I98" t="n">
        <v>2.3</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28785-2025 artfynd.xlsx", "A 28785-2025")</f>
        <v/>
      </c>
      <c r="X98">
        <f>HYPERLINK("https://klasma.github.io/Logging_0885/kartor/A 28785-2025 karta.png", "A 28785-2025")</f>
        <v/>
      </c>
      <c r="Y98">
        <f>HYPERLINK("https://klasma.github.io/Logging_0885/kartor_geotiff/A 28785-2025 georefererad karta.tif", "A 28785-2025")</f>
        <v/>
      </c>
      <c r="AA98">
        <f>HYPERLINK("https://klasma.github.io/Logging_0885/klagomål/A 28785-2025 FSC-klagomål.docx", "A 28785-2025")</f>
        <v/>
      </c>
      <c r="AB98">
        <f>HYPERLINK("https://klasma.github.io/Logging_0885/klagomålsmail/A 28785-2025 FSC-klagomål mail.docx", "A 28785-2025")</f>
        <v/>
      </c>
      <c r="AC98">
        <f>HYPERLINK("https://klasma.github.io/Logging_0885/tillsyn/A 28785-2025 tillsynsbegäran.docx", "A 28785-2025")</f>
        <v/>
      </c>
      <c r="AD98">
        <f>HYPERLINK("https://klasma.github.io/Logging_0885/tillsynsmail/A 28785-2025 tillsynsbegäran mail.docx", "A 28785-2025")</f>
        <v/>
      </c>
      <c r="AE98">
        <f>HYPERLINK("https://klasma.github.io/Logging_0885/fåglar/A 28785-2025 prioriterade fågelarter.docx", "A 28785-2025")</f>
        <v/>
      </c>
    </row>
    <row r="99" ht="15" customHeight="1">
      <c r="A99" t="inlineStr">
        <is>
          <t>A 28782-2025</t>
        </is>
      </c>
      <c r="B99" t="inlineStr">
        <is>
          <t>avverkningsanmälan</t>
        </is>
      </c>
      <c r="C99" t="inlineStr">
        <is>
          <t>Avverkning för att bevara och utveckla /försöksver</t>
        </is>
      </c>
      <c r="D99" s="1" t="n">
        <v>45820</v>
      </c>
      <c r="E99" s="1" t="n">
        <v>46312</v>
      </c>
      <c r="F99" t="inlineStr">
        <is>
          <t>KALMAR LÄN</t>
        </is>
      </c>
      <c r="G99" t="inlineStr">
        <is>
          <t>BORGHOLM</t>
        </is>
      </c>
      <c r="H99" t="inlineStr">
        <is>
          <t>Sveaskog</t>
        </is>
      </c>
      <c r="I99" t="n">
        <v>0.8</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HYPERLINK("https://klasma.github.io/Logging_0885/artfynd/A 28782-2025 artfynd.xlsx", "A 28782-2025")</f>
        <v/>
      </c>
      <c r="X99">
        <f>HYPERLINK("https://klasma.github.io/Logging_0885/kartor/A 28782-2025 karta.png", "A 28782-2025")</f>
        <v/>
      </c>
      <c r="Y99">
        <f>HYPERLINK("https://klasma.github.io/Logging_0885/kartor_geotiff/A 28782-2025 georefererad karta.tif", "A 28782-2025")</f>
        <v/>
      </c>
      <c r="AA99">
        <f>HYPERLINK("https://klasma.github.io/Logging_0885/klagomål/A 28782-2025 FSC-klagomål.docx", "A 28782-2025")</f>
        <v/>
      </c>
      <c r="AB99">
        <f>HYPERLINK("https://klasma.github.io/Logging_0885/klagomålsmail/A 28782-2025 FSC-klagomål mail.docx", "A 28782-2025")</f>
        <v/>
      </c>
      <c r="AC99">
        <f>HYPERLINK("https://klasma.github.io/Logging_0885/tillsyn/A 28782-2025 tillsynsbegäran.docx", "A 28782-2025")</f>
        <v/>
      </c>
      <c r="AD99">
        <f>HYPERLINK("https://klasma.github.io/Logging_0885/tillsynsmail/A 28782-2025 tillsynsbegäran mail.docx", "A 28782-2025")</f>
        <v/>
      </c>
      <c r="AE99">
        <f>HYPERLINK("https://klasma.github.io/Logging_0885/fåglar/A 28782-2025 prioriterade fågelarter.docx", "A 28782-2025")</f>
        <v/>
      </c>
    </row>
    <row r="100" ht="15" customHeight="1">
      <c r="A100" t="inlineStr">
        <is>
          <t>S 2390-2023</t>
        </is>
      </c>
      <c r="B100" t="inlineStr">
        <is>
          <t>samrådsanmälan</t>
        </is>
      </c>
      <c r="C100" t="inlineStr">
        <is>
          <t>Annan skogsbruksåtgärd</t>
        </is>
      </c>
      <c r="D100" s="1" t="n">
        <v>45111</v>
      </c>
      <c r="E100" s="1" t="n">
        <v>46312</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46312</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46312</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46312</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46312</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46312</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46312</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46312</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46312</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46312</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46312</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46312</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46312</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46312</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46312</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55367-2024</t>
        </is>
      </c>
      <c r="B115" t="inlineStr">
        <is>
          <t>avverkningsanmälan</t>
        </is>
      </c>
      <c r="C115" t="inlineStr">
        <is>
          <t>Föryngringsavverkning</t>
        </is>
      </c>
      <c r="D115" s="1" t="n">
        <v>45621</v>
      </c>
      <c r="E115" s="1" t="n">
        <v>46312</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46312</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46312</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31699-2022</t>
        </is>
      </c>
      <c r="B118" t="inlineStr">
        <is>
          <t>avverkningsanmälan</t>
        </is>
      </c>
      <c r="C118" t="inlineStr">
        <is>
          <t>Föryngringsavverkning</t>
        </is>
      </c>
      <c r="D118" s="1" t="n">
        <v>44776</v>
      </c>
      <c r="E118" s="1" t="n">
        <v>46312</v>
      </c>
      <c r="F118" t="inlineStr">
        <is>
          <t>KALMAR LÄN</t>
        </is>
      </c>
      <c r="G118" t="inlineStr">
        <is>
          <t>BORGHOLM</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1614-2025</t>
        </is>
      </c>
      <c r="B119" t="inlineStr">
        <is>
          <t>avverkningsanmälan</t>
        </is>
      </c>
      <c r="C119" t="inlineStr">
        <is>
          <t>Föryngringsavverkning</t>
        </is>
      </c>
      <c r="D119" s="1" t="n">
        <v>45670</v>
      </c>
      <c r="E119" s="1" t="n">
        <v>46312</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46312</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9076-2025</t>
        </is>
      </c>
      <c r="B121" t="inlineStr">
        <is>
          <t>avverkningsanmälan</t>
        </is>
      </c>
      <c r="C121" t="inlineStr">
        <is>
          <t>Föryngringsavverkning</t>
        </is>
      </c>
      <c r="D121" s="1" t="n">
        <v>45713</v>
      </c>
      <c r="E121" s="1" t="n">
        <v>46312</v>
      </c>
      <c r="F121" t="inlineStr">
        <is>
          <t>KALMAR LÄN</t>
        </is>
      </c>
      <c r="G121" t="inlineStr">
        <is>
          <t>BORGHOLM</t>
        </is>
      </c>
      <c r="H121" t="inlineStr">
        <is>
          <t>Sveaskog</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46312</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1757-2025</t>
        </is>
      </c>
      <c r="B123" t="inlineStr">
        <is>
          <t>avverkningsanmälan</t>
        </is>
      </c>
      <c r="C123" t="inlineStr">
        <is>
          <t>Föryngringsavverkning</t>
        </is>
      </c>
      <c r="D123" s="1" t="n">
        <v>45671</v>
      </c>
      <c r="E123" s="1" t="n">
        <v>46312</v>
      </c>
      <c r="F123" t="inlineStr">
        <is>
          <t>KALMAR LÄN</t>
        </is>
      </c>
      <c r="G123" t="inlineStr">
        <is>
          <t>BORGHOLM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46845-2025</t>
        </is>
      </c>
      <c r="B124" t="inlineStr">
        <is>
          <t>avverkningsanmälan</t>
        </is>
      </c>
      <c r="C124" t="inlineStr">
        <is>
          <t>Avverkning för annat ändamål</t>
        </is>
      </c>
      <c r="D124" s="1" t="n">
        <v>45928</v>
      </c>
      <c r="E124" s="1" t="n">
        <v>46312</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27357-2025</t>
        </is>
      </c>
      <c r="B125" t="inlineStr">
        <is>
          <t>avverkningsanmälan</t>
        </is>
      </c>
      <c r="C125" t="inlineStr">
        <is>
          <t>Avverkning för att bevara och utveckla /försöksver</t>
        </is>
      </c>
      <c r="D125" s="1" t="n">
        <v>45812</v>
      </c>
      <c r="E125" s="1" t="n">
        <v>46312</v>
      </c>
      <c r="F125" t="inlineStr">
        <is>
          <t>KALMAR LÄN</t>
        </is>
      </c>
      <c r="G125" t="inlineStr">
        <is>
          <t>BORGHOLM</t>
        </is>
      </c>
      <c r="H125" t="inlineStr">
        <is>
          <t>Sveaskog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7669-2024</t>
        </is>
      </c>
      <c r="B126" t="inlineStr">
        <is>
          <t>avverkningsanmälan</t>
        </is>
      </c>
      <c r="C126" t="inlineStr">
        <is>
          <t>Föryngringsavverkning</t>
        </is>
      </c>
      <c r="D126" s="1" t="n">
        <v>45348</v>
      </c>
      <c r="E126" s="1" t="n">
        <v>46312</v>
      </c>
      <c r="F126" t="inlineStr">
        <is>
          <t>KALMAR LÄN</t>
        </is>
      </c>
      <c r="G126" t="inlineStr">
        <is>
          <t>BORGHOLM</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9050-2025</t>
        </is>
      </c>
      <c r="B127" t="inlineStr">
        <is>
          <t>avverkningsanmälan</t>
        </is>
      </c>
      <c r="C127" t="inlineStr">
        <is>
          <t>Avverkning för att bevara och utveckla /försöksver</t>
        </is>
      </c>
      <c r="D127" s="1" t="n">
        <v>45713</v>
      </c>
      <c r="E127" s="1" t="n">
        <v>46312</v>
      </c>
      <c r="F127" t="inlineStr">
        <is>
          <t>KALMAR LÄN</t>
        </is>
      </c>
      <c r="G127" t="inlineStr">
        <is>
          <t>BORGHOLM</t>
        </is>
      </c>
      <c r="H127" t="inlineStr">
        <is>
          <t>Sveaskog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43603-2024</t>
        </is>
      </c>
      <c r="B128" t="inlineStr">
        <is>
          <t>avverkningsanmälan</t>
        </is>
      </c>
      <c r="C128" t="inlineStr">
        <is>
          <t>Föryngringsavverkning</t>
        </is>
      </c>
      <c r="D128" s="1" t="n">
        <v>45569</v>
      </c>
      <c r="E128" s="1" t="n">
        <v>46312</v>
      </c>
      <c r="F128" t="inlineStr">
        <is>
          <t>KALMAR LÄN</t>
        </is>
      </c>
      <c r="G128" t="inlineStr">
        <is>
          <t>BORGHOLM</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24323-2026</t>
        </is>
      </c>
      <c r="B129" t="inlineStr">
        <is>
          <t>avverkningsanmälan</t>
        </is>
      </c>
      <c r="C129" t="inlineStr">
        <is>
          <t>Föryngringsavverkning</t>
        </is>
      </c>
      <c r="D129" s="1" t="n">
        <v>46169</v>
      </c>
      <c r="E129" s="1" t="n">
        <v>46312</v>
      </c>
      <c r="F129" t="inlineStr">
        <is>
          <t>KALMAR LÄN</t>
        </is>
      </c>
      <c r="G129" t="inlineStr">
        <is>
          <t>BORGHOLM</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9259-2026</t>
        </is>
      </c>
      <c r="B130" t="inlineStr">
        <is>
          <t>avverkningsanmälan</t>
        </is>
      </c>
      <c r="C130" t="inlineStr">
        <is>
          <t>Föryngringsavverkning</t>
        </is>
      </c>
      <c r="D130" s="1" t="n">
        <v>46070</v>
      </c>
      <c r="E130" s="1" t="n">
        <v>46312</v>
      </c>
      <c r="F130" t="inlineStr">
        <is>
          <t>KALMAR LÄN</t>
        </is>
      </c>
      <c r="G130" t="inlineStr">
        <is>
          <t>BORGHOLM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32919-2023</t>
        </is>
      </c>
      <c r="B131" t="inlineStr">
        <is>
          <t>avverkningsanmälan</t>
        </is>
      </c>
      <c r="C131" t="inlineStr">
        <is>
          <t>Föryngringsavverkning</t>
        </is>
      </c>
      <c r="D131" s="1" t="n">
        <v>45125</v>
      </c>
      <c r="E131" s="1" t="n">
        <v>46312</v>
      </c>
      <c r="F131" t="inlineStr">
        <is>
          <t>KALMAR LÄN</t>
        </is>
      </c>
      <c r="G131" t="inlineStr">
        <is>
          <t>BORGHOLM</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5175-2024</t>
        </is>
      </c>
      <c r="B132" t="inlineStr">
        <is>
          <t>avverkningsanmälan</t>
        </is>
      </c>
      <c r="C132" t="inlineStr">
        <is>
          <t>Föryngringsavverkning</t>
        </is>
      </c>
      <c r="D132" s="1" t="n">
        <v>45330</v>
      </c>
      <c r="E132" s="1" t="n">
        <v>46312</v>
      </c>
      <c r="F132" t="inlineStr">
        <is>
          <t>KALMAR LÄN</t>
        </is>
      </c>
      <c r="G132" t="inlineStr">
        <is>
          <t>BORGHOLM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34951-2022</t>
        </is>
      </c>
      <c r="B133" t="inlineStr">
        <is>
          <t>avverkningsanmälan</t>
        </is>
      </c>
      <c r="C133" t="inlineStr">
        <is>
          <t>Avverkning för att bevara och utveckla /försöksver</t>
        </is>
      </c>
      <c r="D133" s="1" t="n">
        <v>44796</v>
      </c>
      <c r="E133" s="1" t="n">
        <v>46312</v>
      </c>
      <c r="F133" t="inlineStr">
        <is>
          <t>KALMAR LÄN</t>
        </is>
      </c>
      <c r="G133" t="inlineStr">
        <is>
          <t>BORGHOLM</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15272-2026</t>
        </is>
      </c>
      <c r="B134" t="inlineStr">
        <is>
          <t>avverkningsanmälan</t>
        </is>
      </c>
      <c r="C134" t="inlineStr">
        <is>
          <t>Avverkning för att bevara och utveckla /försöksver</t>
        </is>
      </c>
      <c r="D134" s="1" t="n">
        <v>46105</v>
      </c>
      <c r="E134" s="1" t="n">
        <v>46312</v>
      </c>
      <c r="F134" t="inlineStr">
        <is>
          <t>KALMAR LÄN</t>
        </is>
      </c>
      <c r="G134" t="inlineStr">
        <is>
          <t>BORGHOLM</t>
        </is>
      </c>
      <c r="H134" t="inlineStr">
        <is>
          <t>Sveaskog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15264-2026</t>
        </is>
      </c>
      <c r="B135" t="inlineStr">
        <is>
          <t>avverkningsanmälan</t>
        </is>
      </c>
      <c r="C135" t="inlineStr">
        <is>
          <t>Avverkning för att bevara och utveckla /försöksver</t>
        </is>
      </c>
      <c r="D135" s="1" t="n">
        <v>46105</v>
      </c>
      <c r="E135" s="1" t="n">
        <v>46312</v>
      </c>
      <c r="F135" t="inlineStr">
        <is>
          <t>KALMAR LÄN</t>
        </is>
      </c>
      <c r="G135" t="inlineStr">
        <is>
          <t>BORGHOLM</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28381-2026</t>
        </is>
      </c>
      <c r="B136" t="inlineStr">
        <is>
          <t>avverkningsanmälan</t>
        </is>
      </c>
      <c r="C136" t="inlineStr">
        <is>
          <t>Avverkning för att bevara och utveckla /försöksver</t>
        </is>
      </c>
      <c r="D136" s="1" t="n">
        <v>46196</v>
      </c>
      <c r="E136" s="1" t="n">
        <v>46312</v>
      </c>
      <c r="F136" t="inlineStr">
        <is>
          <t>KALMAR LÄN</t>
        </is>
      </c>
      <c r="G136" t="inlineStr">
        <is>
          <t>BORGHOLM</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28380-2026</t>
        </is>
      </c>
      <c r="B137" t="inlineStr">
        <is>
          <t>avverkningsanmälan</t>
        </is>
      </c>
      <c r="C137" t="inlineStr">
        <is>
          <t>Avverkning för att bevara och utveckla /försöksver</t>
        </is>
      </c>
      <c r="D137" s="1" t="n">
        <v>46196</v>
      </c>
      <c r="E137" s="1" t="n">
        <v>46312</v>
      </c>
      <c r="F137" t="inlineStr">
        <is>
          <t>KALMAR LÄN</t>
        </is>
      </c>
      <c r="G137" t="inlineStr">
        <is>
          <t>BORGHOLM</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28411-2026</t>
        </is>
      </c>
      <c r="B138" t="inlineStr">
        <is>
          <t>avverkningsanmälan</t>
        </is>
      </c>
      <c r="C138" t="inlineStr">
        <is>
          <t>Avverkning för att bevara och utveckla /försöksver</t>
        </is>
      </c>
      <c r="D138" s="1" t="n">
        <v>46197</v>
      </c>
      <c r="E138" s="1" t="n">
        <v>46312</v>
      </c>
      <c r="F138" t="inlineStr">
        <is>
          <t>KALMAR LÄN</t>
        </is>
      </c>
      <c r="G138" t="inlineStr">
        <is>
          <t>BORGHOLM</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13383-2023</t>
        </is>
      </c>
      <c r="B139" t="inlineStr">
        <is>
          <t>avverkningsanmälan</t>
        </is>
      </c>
      <c r="C139" t="inlineStr">
        <is>
          <t>Föryngringsavverkning</t>
        </is>
      </c>
      <c r="D139" s="1" t="n">
        <v>45005</v>
      </c>
      <c r="E139" s="1" t="n">
        <v>46312</v>
      </c>
      <c r="F139" t="inlineStr">
        <is>
          <t>KALMAR LÄN</t>
        </is>
      </c>
      <c r="G139" t="inlineStr">
        <is>
          <t>BORGHOLM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61438-2023</t>
        </is>
      </c>
      <c r="B140" t="inlineStr">
        <is>
          <t>avverkningsanmälan</t>
        </is>
      </c>
      <c r="C140" t="inlineStr">
        <is>
          <t>Avverkning för annat ändamål</t>
        </is>
      </c>
      <c r="D140" s="1" t="n">
        <v>45264</v>
      </c>
      <c r="E140" s="1" t="n">
        <v>46312</v>
      </c>
      <c r="F140" t="inlineStr">
        <is>
          <t>KALMAR LÄN</t>
        </is>
      </c>
      <c r="G140" t="inlineStr">
        <is>
          <t>BORGHOLM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13041-2024</t>
        </is>
      </c>
      <c r="B141" t="inlineStr">
        <is>
          <t>avverkningsanmälan</t>
        </is>
      </c>
      <c r="C141" t="inlineStr">
        <is>
          <t>Föryngringsavverkning</t>
        </is>
      </c>
      <c r="D141" s="1" t="n">
        <v>45385</v>
      </c>
      <c r="E141" s="1" t="n">
        <v>46312</v>
      </c>
      <c r="F141" t="inlineStr">
        <is>
          <t>KALMAR LÄN</t>
        </is>
      </c>
      <c r="G141" t="inlineStr">
        <is>
          <t>BORGHOLM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4165-2023</t>
        </is>
      </c>
      <c r="B142" t="inlineStr">
        <is>
          <t>avverkningsanmälan</t>
        </is>
      </c>
      <c r="C142" t="inlineStr">
        <is>
          <t>Föryngringsavverkning</t>
        </is>
      </c>
      <c r="D142" s="1" t="n">
        <v>44953</v>
      </c>
      <c r="E142" s="1" t="n">
        <v>46312</v>
      </c>
      <c r="F142" t="inlineStr">
        <is>
          <t>KALMAR LÄN</t>
        </is>
      </c>
      <c r="G142" t="inlineStr">
        <is>
          <t>BORGHOLM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46312</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46312</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46312</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46312</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34780-2022</t>
        </is>
      </c>
      <c r="B147" t="inlineStr">
        <is>
          <t>avverkningsanmälan</t>
        </is>
      </c>
      <c r="C147" t="inlineStr">
        <is>
          <t>Föryngringsavverkning</t>
        </is>
      </c>
      <c r="D147" s="1" t="n">
        <v>44795</v>
      </c>
      <c r="E147" s="1" t="n">
        <v>46312</v>
      </c>
      <c r="F147" t="inlineStr">
        <is>
          <t>KALMAR LÄN</t>
        </is>
      </c>
      <c r="G147" t="inlineStr">
        <is>
          <t>BORGHOLM</t>
        </is>
      </c>
      <c r="H147" t="inlineStr">
        <is>
          <t>Sveaskog</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20287-2025</t>
        </is>
      </c>
      <c r="B148" t="inlineStr">
        <is>
          <t>avverkningsanmälan</t>
        </is>
      </c>
      <c r="C148" t="inlineStr">
        <is>
          <t>Avverkning för att bevara och utveckla /försöksver</t>
        </is>
      </c>
      <c r="D148" s="1" t="n">
        <v>45774</v>
      </c>
      <c r="E148" s="1" t="n">
        <v>46312</v>
      </c>
      <c r="F148" t="inlineStr">
        <is>
          <t>KALMAR LÄN</t>
        </is>
      </c>
      <c r="G148" t="inlineStr">
        <is>
          <t>BORGHOLM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26160-2024</t>
        </is>
      </c>
      <c r="B149" t="inlineStr">
        <is>
          <t>avverkningsanmälan</t>
        </is>
      </c>
      <c r="C149" t="inlineStr">
        <is>
          <t>Avverkning för annat ändamål</t>
        </is>
      </c>
      <c r="D149" s="1" t="n">
        <v>45468</v>
      </c>
      <c r="E149" s="1" t="n">
        <v>46312</v>
      </c>
      <c r="F149" t="inlineStr">
        <is>
          <t>KALMAR LÄN</t>
        </is>
      </c>
      <c r="G149" t="inlineStr">
        <is>
          <t>BORGHOLM</t>
        </is>
      </c>
      <c r="I149" t="n">
        <v>0.4</v>
      </c>
      <c r="J149" t="n">
        <v>0</v>
      </c>
      <c r="K149" t="n">
        <v>0</v>
      </c>
      <c r="L149" t="n">
        <v>0</v>
      </c>
      <c r="M149" t="n">
        <v>0</v>
      </c>
      <c r="N149" t="n">
        <v>0</v>
      </c>
      <c r="O149" t="n">
        <v>0</v>
      </c>
      <c r="P149" t="n">
        <v>0</v>
      </c>
      <c r="Q149" t="n">
        <v>0</v>
      </c>
      <c r="R149" t="n">
        <v>0</v>
      </c>
      <c r="S149" t="n">
        <v>0</v>
      </c>
      <c r="T149" t="n">
        <v>0</v>
      </c>
      <c r="U149" t="n">
        <v>0</v>
      </c>
      <c r="V149" s="2" t="inlineStr"/>
      <c r="X149">
        <f>HYPERLINK("https://klasma.github.io/Logging_0885/kartor/A 26160-2024 karta.png", "A 26160-2024")</f>
        <v/>
      </c>
      <c r="Y149">
        <f>HYPERLINK("https://klasma.github.io/Logging_0885/kartor_geotiff/A 26160-2024 georefererad karta.tif", "A 26160-2024")</f>
        <v/>
      </c>
      <c r="AA149">
        <f>HYPERLINK("https://klasma.github.io/Logging_0885/klagomål/A 26160-2024 FSC-klagomål.docx", "A 26160-2024")</f>
        <v/>
      </c>
      <c r="AB149">
        <f>HYPERLINK("https://klasma.github.io/Logging_0885/klagomålsmail/A 26160-2024 FSC-klagomål mail.docx", "A 26160-2024")</f>
        <v/>
      </c>
      <c r="AC149">
        <f>HYPERLINK("https://klasma.github.io/Logging_0885/tillsyn/A 26160-2024 tillsynsbegäran.docx", "A 26160-2024")</f>
        <v/>
      </c>
      <c r="AD149">
        <f>HYPERLINK("https://klasma.github.io/Logging_0885/tillsynsmail/A 26160-2024 tillsynsbegäran mail.docx", "A 26160-2024")</f>
        <v/>
      </c>
    </row>
    <row r="150" ht="15" customHeight="1">
      <c r="A150" t="inlineStr">
        <is>
          <t>A 24338-2026</t>
        </is>
      </c>
      <c r="B150" t="inlineStr">
        <is>
          <t>avverkningsanmälan</t>
        </is>
      </c>
      <c r="C150" t="inlineStr">
        <is>
          <t>Avverkning för att bevara och utveckla /försöksver</t>
        </is>
      </c>
      <c r="D150" s="1" t="n">
        <v>46169</v>
      </c>
      <c r="E150" s="1" t="n">
        <v>46312</v>
      </c>
      <c r="F150" t="inlineStr">
        <is>
          <t>KALMAR LÄN</t>
        </is>
      </c>
      <c r="G150" t="inlineStr">
        <is>
          <t>BORGHOLM</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63075-2023</t>
        </is>
      </c>
      <c r="B151" t="inlineStr">
        <is>
          <t>avverkningsanmälan</t>
        </is>
      </c>
      <c r="C151" t="inlineStr">
        <is>
          <t>Avverkning för annat ändamål</t>
        </is>
      </c>
      <c r="D151" s="1" t="n">
        <v>45273</v>
      </c>
      <c r="E151" s="1" t="n">
        <v>46312</v>
      </c>
      <c r="F151" t="inlineStr">
        <is>
          <t>KALMAR LÄN</t>
        </is>
      </c>
      <c r="G151" t="inlineStr">
        <is>
          <t>BORGHOLM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22785-2025</t>
        </is>
      </c>
      <c r="B152" t="inlineStr">
        <is>
          <t>avverkningsanmälan</t>
        </is>
      </c>
      <c r="C152" t="inlineStr">
        <is>
          <t>Föryngringsavverkning</t>
        </is>
      </c>
      <c r="D152" s="1" t="n">
        <v>45789</v>
      </c>
      <c r="E152" s="1" t="n">
        <v>46312</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40339-2023</t>
        </is>
      </c>
      <c r="B153" t="inlineStr">
        <is>
          <t>avverkningsanmälan</t>
        </is>
      </c>
      <c r="C153" t="inlineStr">
        <is>
          <t>Föryngringsavverkning</t>
        </is>
      </c>
      <c r="D153" s="1" t="n">
        <v>45169</v>
      </c>
      <c r="E153" s="1" t="n">
        <v>46312</v>
      </c>
      <c r="F153" t="inlineStr">
        <is>
          <t>KALMAR LÄN</t>
        </is>
      </c>
      <c r="G153" t="inlineStr">
        <is>
          <t>BORGHOLM</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26190-2025</t>
        </is>
      </c>
      <c r="B154" t="inlineStr">
        <is>
          <t>avverkningsanmälan</t>
        </is>
      </c>
      <c r="C154" t="inlineStr">
        <is>
          <t>Föryngringsavverkning</t>
        </is>
      </c>
      <c r="D154" s="1" t="n">
        <v>45805</v>
      </c>
      <c r="E154" s="1" t="n">
        <v>46312</v>
      </c>
      <c r="F154" t="inlineStr">
        <is>
          <t>KALMAR LÄN</t>
        </is>
      </c>
      <c r="G154" t="inlineStr">
        <is>
          <t>BORGHOLM</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36269-2025</t>
        </is>
      </c>
      <c r="B155" t="inlineStr">
        <is>
          <t>avverkningsanmälan</t>
        </is>
      </c>
      <c r="C155" t="inlineStr">
        <is>
          <t>Föryngringsavverkning</t>
        </is>
      </c>
      <c r="D155" s="1" t="n">
        <v>45867</v>
      </c>
      <c r="E155" s="1" t="n">
        <v>46312</v>
      </c>
      <c r="F155" t="inlineStr">
        <is>
          <t>KALMAR LÄN</t>
        </is>
      </c>
      <c r="G155" t="inlineStr">
        <is>
          <t>BORGHOLM</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46312</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46312</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46312</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46312</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46312</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46312</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46312</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46312</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1806-2026</t>
        </is>
      </c>
      <c r="B164" t="inlineStr">
        <is>
          <t>samrådsanmälan</t>
        </is>
      </c>
      <c r="C164" t="inlineStr">
        <is>
          <t>Annan skogsbruksåtgärd</t>
        </is>
      </c>
      <c r="D164" s="1" t="n">
        <v>46196</v>
      </c>
      <c r="E164" s="1" t="n">
        <v>46312</v>
      </c>
      <c r="F164" t="inlineStr">
        <is>
          <t>KALMAR LÄN</t>
        </is>
      </c>
      <c r="G164" t="inlineStr">
        <is>
          <t>BORGHOLM</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1807-2026</t>
        </is>
      </c>
      <c r="B165" t="inlineStr">
        <is>
          <t>samrådsanmälan</t>
        </is>
      </c>
      <c r="C165" t="inlineStr">
        <is>
          <t>Annan skogsbruksåtgärd</t>
        </is>
      </c>
      <c r="D165" s="1" t="n">
        <v>46196</v>
      </c>
      <c r="E165" s="1" t="n">
        <v>46312</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46312</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46312</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46312</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46312</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46312</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2026-10-17T02:01:24Z</dcterms:created>
  <dcterms:modified xmlns:dcterms="http://purl.org/dc/terms/" xmlns:xsi="http://www.w3.org/2001/XMLSchema-instance" xsi:type="dcterms:W3CDTF">2026-10-17T02:01:24Z</dcterms:modified>
</cp:coreProperties>
</file>