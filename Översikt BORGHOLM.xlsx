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46140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46140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46140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46140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46140</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46140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46140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46140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46140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46140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46140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46140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46140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46140</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46140</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46140</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46140</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46140</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32174-2022</t>
        </is>
      </c>
      <c r="B20" s="1" t="n">
        <v>44781</v>
      </c>
      <c r="C20" s="1" t="n">
        <v>46140</v>
      </c>
      <c r="D20" t="inlineStr">
        <is>
          <t>KALMAR LÄN</t>
        </is>
      </c>
      <c r="E20" t="inlineStr">
        <is>
          <t>BORGHOLM</t>
        </is>
      </c>
      <c r="F20" t="inlineStr">
        <is>
          <t>Sveaskog</t>
        </is>
      </c>
      <c r="G20" t="n">
        <v>1.6</v>
      </c>
      <c r="H20" t="n">
        <v>1</v>
      </c>
      <c r="I20" t="n">
        <v>1</v>
      </c>
      <c r="J20" t="n">
        <v>1</v>
      </c>
      <c r="K20" t="n">
        <v>0</v>
      </c>
      <c r="L20" t="n">
        <v>0</v>
      </c>
      <c r="M20" t="n">
        <v>0</v>
      </c>
      <c r="N20" t="n">
        <v>0</v>
      </c>
      <c r="O20" t="n">
        <v>1</v>
      </c>
      <c r="P20" t="n">
        <v>0</v>
      </c>
      <c r="Q20" t="n">
        <v>2</v>
      </c>
      <c r="R20" s="2" t="inlineStr">
        <is>
          <t>Backklöver
Tvåblad</t>
        </is>
      </c>
      <c r="S20">
        <f>HYPERLINK("https://klasma.github.io/Logging_0885/artfynd/A 32174-2022 artfynd.xlsx", "A 32174-2022")</f>
        <v/>
      </c>
      <c r="T20">
        <f>HYPERLINK("https://klasma.github.io/Logging_0885/kartor/A 32174-2022 karta.png", "A 32174-2022")</f>
        <v/>
      </c>
      <c r="V20">
        <f>HYPERLINK("https://klasma.github.io/Logging_0885/klagomål/A 32174-2022 FSC-klagomål.docx", "A 32174-2022")</f>
        <v/>
      </c>
      <c r="W20">
        <f>HYPERLINK("https://klasma.github.io/Logging_0885/klagomålsmail/A 32174-2022 FSC-klagomål mail.docx", "A 32174-2022")</f>
        <v/>
      </c>
      <c r="X20">
        <f>HYPERLINK("https://klasma.github.io/Logging_0885/tillsyn/A 32174-2022 tillsynsbegäran.docx", "A 32174-2022")</f>
        <v/>
      </c>
      <c r="Y20">
        <f>HYPERLINK("https://klasma.github.io/Logging_0885/tillsynsmail/A 32174-2022 tillsynsbegäran mail.docx", "A 32174-2022")</f>
        <v/>
      </c>
    </row>
    <row r="21" ht="15" customHeight="1">
      <c r="A21" t="inlineStr">
        <is>
          <t>A 13556-2025</t>
        </is>
      </c>
      <c r="B21" s="1" t="n">
        <v>45736.54759259259</v>
      </c>
      <c r="C21" s="1" t="n">
        <v>46140</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46140</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46140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46140</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46140</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46140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46140</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44008-2022</t>
        </is>
      </c>
      <c r="B28" s="1" t="n">
        <v>44838</v>
      </c>
      <c r="C28" s="1" t="n">
        <v>46140</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28779-2025</t>
        </is>
      </c>
      <c r="B29" s="1" t="n">
        <v>45820.44920138889</v>
      </c>
      <c r="C29" s="1" t="n">
        <v>46140</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46140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46140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9745-2023</t>
        </is>
      </c>
      <c r="B32" s="1" t="n">
        <v>44984</v>
      </c>
      <c r="C32" s="1" t="n">
        <v>46140</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13558-2025</t>
        </is>
      </c>
      <c r="B33" s="1" t="n">
        <v>45736.54974537037</v>
      </c>
      <c r="C33" s="1" t="n">
        <v>46140</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24701-2023</t>
        </is>
      </c>
      <c r="B34" s="1" t="n">
        <v>45084</v>
      </c>
      <c r="C34" s="1" t="n">
        <v>46140</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45693-2025</t>
        </is>
      </c>
      <c r="B35" s="1" t="n">
        <v>45923</v>
      </c>
      <c r="C35" s="1" t="n">
        <v>46140</v>
      </c>
      <c r="D35" t="inlineStr">
        <is>
          <t>KALMAR LÄN</t>
        </is>
      </c>
      <c r="E35" t="inlineStr">
        <is>
          <t>BORGHOLM</t>
        </is>
      </c>
      <c r="G35" t="n">
        <v>4.8</v>
      </c>
      <c r="H35" t="n">
        <v>0</v>
      </c>
      <c r="I35" t="n">
        <v>0</v>
      </c>
      <c r="J35" t="n">
        <v>1</v>
      </c>
      <c r="K35" t="n">
        <v>0</v>
      </c>
      <c r="L35" t="n">
        <v>0</v>
      </c>
      <c r="M35" t="n">
        <v>0</v>
      </c>
      <c r="N35" t="n">
        <v>0</v>
      </c>
      <c r="O35" t="n">
        <v>1</v>
      </c>
      <c r="P35" t="n">
        <v>0</v>
      </c>
      <c r="Q35" t="n">
        <v>1</v>
      </c>
      <c r="R35" s="2" t="inlineStr">
        <is>
          <t>Stjälkröksvamp</t>
        </is>
      </c>
      <c r="S35">
        <f>HYPERLINK("https://klasma.github.io/Logging_0885/artfynd/A 45693-2025 artfynd.xlsx", "A 45693-2025")</f>
        <v/>
      </c>
      <c r="T35">
        <f>HYPERLINK("https://klasma.github.io/Logging_0885/kartor/A 45693-2025 karta.png", "A 45693-2025")</f>
        <v/>
      </c>
      <c r="V35">
        <f>HYPERLINK("https://klasma.github.io/Logging_0885/klagomål/A 45693-2025 FSC-klagomål.docx", "A 45693-2025")</f>
        <v/>
      </c>
      <c r="W35">
        <f>HYPERLINK("https://klasma.github.io/Logging_0885/klagomålsmail/A 45693-2025 FSC-klagomål mail.docx", "A 45693-2025")</f>
        <v/>
      </c>
      <c r="X35">
        <f>HYPERLINK("https://klasma.github.io/Logging_0885/tillsyn/A 45693-2025 tillsynsbegäran.docx", "A 45693-2025")</f>
        <v/>
      </c>
      <c r="Y35">
        <f>HYPERLINK("https://klasma.github.io/Logging_0885/tillsynsmail/A 45693-2025 tillsynsbegäran mail.docx", "A 45693-2025")</f>
        <v/>
      </c>
    </row>
    <row r="36" ht="15" customHeight="1">
      <c r="A36" t="inlineStr">
        <is>
          <t>A 43603-2024</t>
        </is>
      </c>
      <c r="B36" s="1" t="n">
        <v>45569.44700231482</v>
      </c>
      <c r="C36" s="1" t="n">
        <v>46140</v>
      </c>
      <c r="D36" t="inlineStr">
        <is>
          <t>KALMAR LÄN</t>
        </is>
      </c>
      <c r="E36" t="inlineStr">
        <is>
          <t>BORGHOLM</t>
        </is>
      </c>
      <c r="G36" t="n">
        <v>3.8</v>
      </c>
      <c r="H36" t="n">
        <v>1</v>
      </c>
      <c r="I36" t="n">
        <v>0</v>
      </c>
      <c r="J36" t="n">
        <v>0</v>
      </c>
      <c r="K36" t="n">
        <v>1</v>
      </c>
      <c r="L36" t="n">
        <v>0</v>
      </c>
      <c r="M36" t="n">
        <v>0</v>
      </c>
      <c r="N36" t="n">
        <v>0</v>
      </c>
      <c r="O36" t="n">
        <v>1</v>
      </c>
      <c r="P36" t="n">
        <v>1</v>
      </c>
      <c r="Q36" t="n">
        <v>1</v>
      </c>
      <c r="R36" s="2" t="inlineStr">
        <is>
          <t>Väddnätfjäril</t>
        </is>
      </c>
      <c r="S36">
        <f>HYPERLINK("https://klasma.github.io/Logging_0885/artfynd/A 43603-2024 artfynd.xlsx", "A 43603-2024")</f>
        <v/>
      </c>
      <c r="T36">
        <f>HYPERLINK("https://klasma.github.io/Logging_0885/kartor/A 43603-2024 karta.png", "A 43603-2024")</f>
        <v/>
      </c>
      <c r="V36">
        <f>HYPERLINK("https://klasma.github.io/Logging_0885/klagomål/A 43603-2024 FSC-klagomål.docx", "A 43603-2024")</f>
        <v/>
      </c>
      <c r="W36">
        <f>HYPERLINK("https://klasma.github.io/Logging_0885/klagomålsmail/A 43603-2024 FSC-klagomål mail.docx", "A 43603-2024")</f>
        <v/>
      </c>
      <c r="X36">
        <f>HYPERLINK("https://klasma.github.io/Logging_0885/tillsyn/A 43603-2024 tillsynsbegäran.docx", "A 43603-2024")</f>
        <v/>
      </c>
      <c r="Y36">
        <f>HYPERLINK("https://klasma.github.io/Logging_0885/tillsynsmail/A 43603-2024 tillsynsbegäran mail.docx", "A 43603-2024")</f>
        <v/>
      </c>
    </row>
    <row r="37" ht="15" customHeight="1">
      <c r="A37" t="inlineStr">
        <is>
          <t>A 24704-2023</t>
        </is>
      </c>
      <c r="B37" s="1" t="n">
        <v>45084</v>
      </c>
      <c r="C37" s="1" t="n">
        <v>46140</v>
      </c>
      <c r="D37" t="inlineStr">
        <is>
          <t>KALMAR LÄN</t>
        </is>
      </c>
      <c r="E37" t="inlineStr">
        <is>
          <t>BORGHOLM</t>
        </is>
      </c>
      <c r="G37" t="n">
        <v>3.5</v>
      </c>
      <c r="H37" t="n">
        <v>0</v>
      </c>
      <c r="I37" t="n">
        <v>0</v>
      </c>
      <c r="J37" t="n">
        <v>0</v>
      </c>
      <c r="K37" t="n">
        <v>0</v>
      </c>
      <c r="L37" t="n">
        <v>1</v>
      </c>
      <c r="M37" t="n">
        <v>0</v>
      </c>
      <c r="N37" t="n">
        <v>0</v>
      </c>
      <c r="O37" t="n">
        <v>1</v>
      </c>
      <c r="P37" t="n">
        <v>1</v>
      </c>
      <c r="Q37" t="n">
        <v>1</v>
      </c>
      <c r="R37" s="2" t="inlineStr">
        <is>
          <t>Ask</t>
        </is>
      </c>
      <c r="S37">
        <f>HYPERLINK("https://klasma.github.io/Logging_0885/artfynd/A 24704-2023 artfynd.xlsx", "A 24704-2023")</f>
        <v/>
      </c>
      <c r="T37">
        <f>HYPERLINK("https://klasma.github.io/Logging_0885/kartor/A 24704-2023 karta.png", "A 24704-2023")</f>
        <v/>
      </c>
      <c r="V37">
        <f>HYPERLINK("https://klasma.github.io/Logging_0885/klagomål/A 24704-2023 FSC-klagomål.docx", "A 24704-2023")</f>
        <v/>
      </c>
      <c r="W37">
        <f>HYPERLINK("https://klasma.github.io/Logging_0885/klagomålsmail/A 24704-2023 FSC-klagomål mail.docx", "A 24704-2023")</f>
        <v/>
      </c>
      <c r="X37">
        <f>HYPERLINK("https://klasma.github.io/Logging_0885/tillsyn/A 24704-2023 tillsynsbegäran.docx", "A 24704-2023")</f>
        <v/>
      </c>
      <c r="Y37">
        <f>HYPERLINK("https://klasma.github.io/Logging_0885/tillsynsmail/A 24704-2023 tillsynsbegäran mail.docx", "A 24704-2023")</f>
        <v/>
      </c>
    </row>
    <row r="38" ht="15" customHeight="1">
      <c r="A38" t="inlineStr">
        <is>
          <t>A 3302-2026</t>
        </is>
      </c>
      <c r="B38" s="1" t="n">
        <v>46041</v>
      </c>
      <c r="C38" s="1" t="n">
        <v>46140</v>
      </c>
      <c r="D38" t="inlineStr">
        <is>
          <t>KALMAR LÄN</t>
        </is>
      </c>
      <c r="E38" t="inlineStr">
        <is>
          <t>BORGHOLM</t>
        </is>
      </c>
      <c r="G38" t="n">
        <v>3.9</v>
      </c>
      <c r="H38" t="n">
        <v>1</v>
      </c>
      <c r="I38" t="n">
        <v>0</v>
      </c>
      <c r="J38" t="n">
        <v>0</v>
      </c>
      <c r="K38" t="n">
        <v>0</v>
      </c>
      <c r="L38" t="n">
        <v>0</v>
      </c>
      <c r="M38" t="n">
        <v>0</v>
      </c>
      <c r="N38" t="n">
        <v>0</v>
      </c>
      <c r="O38" t="n">
        <v>0</v>
      </c>
      <c r="P38" t="n">
        <v>0</v>
      </c>
      <c r="Q38" t="n">
        <v>1</v>
      </c>
      <c r="R38" s="2" t="inlineStr">
        <is>
          <t>Blåsippa</t>
        </is>
      </c>
      <c r="S38">
        <f>HYPERLINK("https://klasma.github.io/Logging_0885/artfynd/A 3302-2026 artfynd.xlsx", "A 3302-2026")</f>
        <v/>
      </c>
      <c r="T38">
        <f>HYPERLINK("https://klasma.github.io/Logging_0885/kartor/A 3302-2026 karta.png", "A 3302-2026")</f>
        <v/>
      </c>
      <c r="V38">
        <f>HYPERLINK("https://klasma.github.io/Logging_0885/klagomål/A 3302-2026 FSC-klagomål.docx", "A 3302-2026")</f>
        <v/>
      </c>
      <c r="W38">
        <f>HYPERLINK("https://klasma.github.io/Logging_0885/klagomålsmail/A 3302-2026 FSC-klagomål mail.docx", "A 3302-2026")</f>
        <v/>
      </c>
      <c r="X38">
        <f>HYPERLINK("https://klasma.github.io/Logging_0885/tillsyn/A 3302-2026 tillsynsbegäran.docx", "A 3302-2026")</f>
        <v/>
      </c>
      <c r="Y38">
        <f>HYPERLINK("https://klasma.github.io/Logging_0885/tillsynsmail/A 3302-2026 tillsynsbegäran mail.docx", "A 3302-2026")</f>
        <v/>
      </c>
    </row>
    <row r="39" ht="15" customHeight="1">
      <c r="A39" t="inlineStr">
        <is>
          <t>A 24048-2025</t>
        </is>
      </c>
      <c r="B39" s="1" t="n">
        <v>45796.4959375</v>
      </c>
      <c r="C39" s="1" t="n">
        <v>46140</v>
      </c>
      <c r="D39" t="inlineStr">
        <is>
          <t>KALMAR LÄN</t>
        </is>
      </c>
      <c r="E39" t="inlineStr">
        <is>
          <t>BORGHOLM</t>
        </is>
      </c>
      <c r="G39" t="n">
        <v>2</v>
      </c>
      <c r="H39" t="n">
        <v>0</v>
      </c>
      <c r="I39" t="n">
        <v>0</v>
      </c>
      <c r="J39" t="n">
        <v>1</v>
      </c>
      <c r="K39" t="n">
        <v>0</v>
      </c>
      <c r="L39" t="n">
        <v>0</v>
      </c>
      <c r="M39" t="n">
        <v>0</v>
      </c>
      <c r="N39" t="n">
        <v>0</v>
      </c>
      <c r="O39" t="n">
        <v>1</v>
      </c>
      <c r="P39" t="n">
        <v>0</v>
      </c>
      <c r="Q39" t="n">
        <v>1</v>
      </c>
      <c r="R39" s="2" t="inlineStr">
        <is>
          <t>Loppstarr</t>
        </is>
      </c>
      <c r="S39">
        <f>HYPERLINK("https://klasma.github.io/Logging_0885/artfynd/A 24048-2025 artfynd.xlsx", "A 24048-2025")</f>
        <v/>
      </c>
      <c r="T39">
        <f>HYPERLINK("https://klasma.github.io/Logging_0885/kartor/A 24048-2025 karta.png", "A 24048-2025")</f>
        <v/>
      </c>
      <c r="V39">
        <f>HYPERLINK("https://klasma.github.io/Logging_0885/klagomål/A 24048-2025 FSC-klagomål.docx", "A 24048-2025")</f>
        <v/>
      </c>
      <c r="W39">
        <f>HYPERLINK("https://klasma.github.io/Logging_0885/klagomålsmail/A 24048-2025 FSC-klagomål mail.docx", "A 24048-2025")</f>
        <v/>
      </c>
      <c r="X39">
        <f>HYPERLINK("https://klasma.github.io/Logging_0885/tillsyn/A 24048-2025 tillsynsbegäran.docx", "A 24048-2025")</f>
        <v/>
      </c>
      <c r="Y39">
        <f>HYPERLINK("https://klasma.github.io/Logging_0885/tillsynsmail/A 24048-2025 tillsynsbegäran mail.docx", "A 24048-2025")</f>
        <v/>
      </c>
    </row>
    <row r="40" ht="15" customHeight="1">
      <c r="A40" t="inlineStr">
        <is>
          <t>A 41640-2023</t>
        </is>
      </c>
      <c r="B40" s="1" t="n">
        <v>45175</v>
      </c>
      <c r="C40" s="1" t="n">
        <v>46140</v>
      </c>
      <c r="D40" t="inlineStr">
        <is>
          <t>KALMAR LÄN</t>
        </is>
      </c>
      <c r="E40" t="inlineStr">
        <is>
          <t>BORGHOLM</t>
        </is>
      </c>
      <c r="G40" t="n">
        <v>5</v>
      </c>
      <c r="H40" t="n">
        <v>1</v>
      </c>
      <c r="I40" t="n">
        <v>0</v>
      </c>
      <c r="J40" t="n">
        <v>0</v>
      </c>
      <c r="K40" t="n">
        <v>0</v>
      </c>
      <c r="L40" t="n">
        <v>0</v>
      </c>
      <c r="M40" t="n">
        <v>0</v>
      </c>
      <c r="N40" t="n">
        <v>0</v>
      </c>
      <c r="O40" t="n">
        <v>0</v>
      </c>
      <c r="P40" t="n">
        <v>0</v>
      </c>
      <c r="Q40" t="n">
        <v>1</v>
      </c>
      <c r="R40" s="2" t="inlineStr">
        <is>
          <t>Johannesnycklar</t>
        </is>
      </c>
      <c r="S40">
        <f>HYPERLINK("https://klasma.github.io/Logging_0885/artfynd/A 41640-2023 artfynd.xlsx", "A 41640-2023")</f>
        <v/>
      </c>
      <c r="T40">
        <f>HYPERLINK("https://klasma.github.io/Logging_0885/kartor/A 41640-2023 karta.png", "A 41640-2023")</f>
        <v/>
      </c>
      <c r="V40">
        <f>HYPERLINK("https://klasma.github.io/Logging_0885/klagomål/A 41640-2023 FSC-klagomål.docx", "A 41640-2023")</f>
        <v/>
      </c>
      <c r="W40">
        <f>HYPERLINK("https://klasma.github.io/Logging_0885/klagomålsmail/A 41640-2023 FSC-klagomål mail.docx", "A 41640-2023")</f>
        <v/>
      </c>
      <c r="X40">
        <f>HYPERLINK("https://klasma.github.io/Logging_0885/tillsyn/A 41640-2023 tillsynsbegäran.docx", "A 41640-2023")</f>
        <v/>
      </c>
      <c r="Y40">
        <f>HYPERLINK("https://klasma.github.io/Logging_0885/tillsynsmail/A 41640-2023 tillsynsbegäran mail.docx", "A 41640-2023")</f>
        <v/>
      </c>
    </row>
    <row r="41" ht="15" customHeight="1">
      <c r="A41" t="inlineStr">
        <is>
          <t>A 28785-2025</t>
        </is>
      </c>
      <c r="B41" s="1" t="n">
        <v>45820.46159722222</v>
      </c>
      <c r="C41" s="1" t="n">
        <v>46140</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46140</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46140</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42761-2021</t>
        </is>
      </c>
      <c r="B44" s="1" t="n">
        <v>44428</v>
      </c>
      <c r="C44" s="1" t="n">
        <v>46140</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46140</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46140</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46140</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46140</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46140</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46140</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46140</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46140</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46140</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46140</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46140</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46140</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9044-2025</t>
        </is>
      </c>
      <c r="B57" s="1" t="n">
        <v>45713.6275</v>
      </c>
      <c r="C57" s="1" t="n">
        <v>46140</v>
      </c>
      <c r="D57" t="inlineStr">
        <is>
          <t>KALMAR LÄN</t>
        </is>
      </c>
      <c r="E57" t="inlineStr">
        <is>
          <t>BORGHOLM</t>
        </is>
      </c>
      <c r="F57" t="inlineStr">
        <is>
          <t>Sveaskog</t>
        </is>
      </c>
      <c r="G57" t="n">
        <v>4</v>
      </c>
      <c r="H57" t="n">
        <v>0</v>
      </c>
      <c r="I57" t="n">
        <v>0</v>
      </c>
      <c r="J57" t="n">
        <v>0</v>
      </c>
      <c r="K57" t="n">
        <v>0</v>
      </c>
      <c r="L57" t="n">
        <v>0</v>
      </c>
      <c r="M57" t="n">
        <v>0</v>
      </c>
      <c r="N57" t="n">
        <v>0</v>
      </c>
      <c r="O57" t="n">
        <v>0</v>
      </c>
      <c r="P57" t="n">
        <v>0</v>
      </c>
      <c r="Q57" t="n">
        <v>0</v>
      </c>
      <c r="R57" s="2" t="inlineStr"/>
    </row>
    <row r="58" ht="15" customHeight="1">
      <c r="A58" t="inlineStr">
        <is>
          <t>A 31699-2022</t>
        </is>
      </c>
      <c r="B58" s="1" t="n">
        <v>44776</v>
      </c>
      <c r="C58" s="1" t="n">
        <v>46140</v>
      </c>
      <c r="D58" t="inlineStr">
        <is>
          <t>KALMAR LÄN</t>
        </is>
      </c>
      <c r="E58" t="inlineStr">
        <is>
          <t>BORGHOLM</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26160-2024</t>
        </is>
      </c>
      <c r="B59" s="1" t="n">
        <v>45468</v>
      </c>
      <c r="C59" s="1" t="n">
        <v>46140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c r="T59">
        <f>HYPERLINK("https://klasma.github.io/Logging_0885/kartor/A 26160-2024 karta.png", "A 26160-2024")</f>
        <v/>
      </c>
      <c r="V59">
        <f>HYPERLINK("https://klasma.github.io/Logging_0885/klagomål/A 26160-2024 FSC-klagomål.docx", "A 26160-2024")</f>
        <v/>
      </c>
      <c r="W59">
        <f>HYPERLINK("https://klasma.github.io/Logging_0885/klagomålsmail/A 26160-2024 FSC-klagomål mail.docx", "A 26160-2024")</f>
        <v/>
      </c>
      <c r="X59">
        <f>HYPERLINK("https://klasma.github.io/Logging_0885/tillsyn/A 26160-2024 tillsynsbegäran.docx", "A 26160-2024")</f>
        <v/>
      </c>
      <c r="Y59">
        <f>HYPERLINK("https://klasma.github.io/Logging_0885/tillsynsmail/A 26160-2024 tillsynsbegäran mail.docx", "A 26160-2024")</f>
        <v/>
      </c>
    </row>
    <row r="60" ht="15" customHeight="1">
      <c r="A60" t="inlineStr">
        <is>
          <t>A 20878-2024</t>
        </is>
      </c>
      <c r="B60" s="1" t="n">
        <v>45439.44748842593</v>
      </c>
      <c r="C60" s="1" t="n">
        <v>46140</v>
      </c>
      <c r="D60" t="inlineStr">
        <is>
          <t>KALMAR LÄN</t>
        </is>
      </c>
      <c r="E60" t="inlineStr">
        <is>
          <t>BORGHOLM</t>
        </is>
      </c>
      <c r="G60" t="n">
        <v>1.9</v>
      </c>
      <c r="H60" t="n">
        <v>0</v>
      </c>
      <c r="I60" t="n">
        <v>0</v>
      </c>
      <c r="J60" t="n">
        <v>0</v>
      </c>
      <c r="K60" t="n">
        <v>0</v>
      </c>
      <c r="L60" t="n">
        <v>0</v>
      </c>
      <c r="M60" t="n">
        <v>0</v>
      </c>
      <c r="N60" t="n">
        <v>0</v>
      </c>
      <c r="O60" t="n">
        <v>0</v>
      </c>
      <c r="P60" t="n">
        <v>0</v>
      </c>
      <c r="Q60" t="n">
        <v>0</v>
      </c>
      <c r="R60" s="2" t="inlineStr"/>
    </row>
    <row r="61" ht="15" customHeight="1">
      <c r="A61" t="inlineStr">
        <is>
          <t>A 4159-2024</t>
        </is>
      </c>
      <c r="B61" s="1" t="n">
        <v>45323</v>
      </c>
      <c r="C61" s="1" t="n">
        <v>46140</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53050-2021</t>
        </is>
      </c>
      <c r="B62" s="1" t="n">
        <v>44467</v>
      </c>
      <c r="C62" s="1" t="n">
        <v>46140</v>
      </c>
      <c r="D62" t="inlineStr">
        <is>
          <t>KALMAR LÄN</t>
        </is>
      </c>
      <c r="E62" t="inlineStr">
        <is>
          <t>BORGHOLM</t>
        </is>
      </c>
      <c r="G62" t="n">
        <v>3.6</v>
      </c>
      <c r="H62" t="n">
        <v>0</v>
      </c>
      <c r="I62" t="n">
        <v>0</v>
      </c>
      <c r="J62" t="n">
        <v>0</v>
      </c>
      <c r="K62" t="n">
        <v>0</v>
      </c>
      <c r="L62" t="n">
        <v>0</v>
      </c>
      <c r="M62" t="n">
        <v>0</v>
      </c>
      <c r="N62" t="n">
        <v>0</v>
      </c>
      <c r="O62" t="n">
        <v>0</v>
      </c>
      <c r="P62" t="n">
        <v>0</v>
      </c>
      <c r="Q62" t="n">
        <v>0</v>
      </c>
      <c r="R62" s="2" t="inlineStr"/>
    </row>
    <row r="63" ht="15" customHeight="1">
      <c r="A63" t="inlineStr">
        <is>
          <t>A 31720-2022</t>
        </is>
      </c>
      <c r="B63" s="1" t="n">
        <v>44776</v>
      </c>
      <c r="C63" s="1" t="n">
        <v>46140</v>
      </c>
      <c r="D63" t="inlineStr">
        <is>
          <t>KALMAR LÄN</t>
        </is>
      </c>
      <c r="E63" t="inlineStr">
        <is>
          <t>BORGHOLM</t>
        </is>
      </c>
      <c r="F63" t="inlineStr">
        <is>
          <t>Sveaskog</t>
        </is>
      </c>
      <c r="G63" t="n">
        <v>4.5</v>
      </c>
      <c r="H63" t="n">
        <v>0</v>
      </c>
      <c r="I63" t="n">
        <v>0</v>
      </c>
      <c r="J63" t="n">
        <v>0</v>
      </c>
      <c r="K63" t="n">
        <v>0</v>
      </c>
      <c r="L63" t="n">
        <v>0</v>
      </c>
      <c r="M63" t="n">
        <v>0</v>
      </c>
      <c r="N63" t="n">
        <v>0</v>
      </c>
      <c r="O63" t="n">
        <v>0</v>
      </c>
      <c r="P63" t="n">
        <v>0</v>
      </c>
      <c r="Q63" t="n">
        <v>0</v>
      </c>
      <c r="R63" s="2" t="inlineStr"/>
    </row>
    <row r="64" ht="15" customHeight="1">
      <c r="A64" t="inlineStr">
        <is>
          <t>A 29656-2023</t>
        </is>
      </c>
      <c r="B64" s="1" t="n">
        <v>45107</v>
      </c>
      <c r="C64" s="1" t="n">
        <v>46140</v>
      </c>
      <c r="D64" t="inlineStr">
        <is>
          <t>KALMAR LÄN</t>
        </is>
      </c>
      <c r="E64" t="inlineStr">
        <is>
          <t>BORGHOLM</t>
        </is>
      </c>
      <c r="G64" t="n">
        <v>4.1</v>
      </c>
      <c r="H64" t="n">
        <v>0</v>
      </c>
      <c r="I64" t="n">
        <v>0</v>
      </c>
      <c r="J64" t="n">
        <v>0</v>
      </c>
      <c r="K64" t="n">
        <v>0</v>
      </c>
      <c r="L64" t="n">
        <v>0</v>
      </c>
      <c r="M64" t="n">
        <v>0</v>
      </c>
      <c r="N64" t="n">
        <v>0</v>
      </c>
      <c r="O64" t="n">
        <v>0</v>
      </c>
      <c r="P64" t="n">
        <v>0</v>
      </c>
      <c r="Q64" t="n">
        <v>0</v>
      </c>
      <c r="R64" s="2" t="inlineStr"/>
    </row>
    <row r="65" ht="15" customHeight="1">
      <c r="A65" t="inlineStr">
        <is>
          <t>A 4165-2023</t>
        </is>
      </c>
      <c r="B65" s="1" t="n">
        <v>44953</v>
      </c>
      <c r="C65" s="1" t="n">
        <v>46140</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46140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46140</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46140</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13548-2025</t>
        </is>
      </c>
      <c r="B69" s="1" t="n">
        <v>45736.53827546296</v>
      </c>
      <c r="C69" s="1" t="n">
        <v>46140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32921-2023</t>
        </is>
      </c>
      <c r="B70" s="1" t="n">
        <v>45125</v>
      </c>
      <c r="C70" s="1" t="n">
        <v>46140</v>
      </c>
      <c r="D70" t="inlineStr">
        <is>
          <t>KALMAR LÄN</t>
        </is>
      </c>
      <c r="E70" t="inlineStr">
        <is>
          <t>BORGHOLM</t>
        </is>
      </c>
      <c r="G70" t="n">
        <v>2.9</v>
      </c>
      <c r="H70" t="n">
        <v>0</v>
      </c>
      <c r="I70" t="n">
        <v>0</v>
      </c>
      <c r="J70" t="n">
        <v>0</v>
      </c>
      <c r="K70" t="n">
        <v>0</v>
      </c>
      <c r="L70" t="n">
        <v>0</v>
      </c>
      <c r="M70" t="n">
        <v>0</v>
      </c>
      <c r="N70" t="n">
        <v>0</v>
      </c>
      <c r="O70" t="n">
        <v>0</v>
      </c>
      <c r="P70" t="n">
        <v>0</v>
      </c>
      <c r="Q70" t="n">
        <v>0</v>
      </c>
      <c r="R70" s="2" t="inlineStr"/>
    </row>
    <row r="71" ht="15" customHeight="1">
      <c r="A71" t="inlineStr">
        <is>
          <t>A 43542-2025</t>
        </is>
      </c>
      <c r="B71" s="1" t="n">
        <v>45911.61123842592</v>
      </c>
      <c r="C71" s="1" t="n">
        <v>46140</v>
      </c>
      <c r="D71" t="inlineStr">
        <is>
          <t>KALMAR LÄN</t>
        </is>
      </c>
      <c r="E71" t="inlineStr">
        <is>
          <t>BORGHOLM</t>
        </is>
      </c>
      <c r="G71" t="n">
        <v>2.4</v>
      </c>
      <c r="H71" t="n">
        <v>0</v>
      </c>
      <c r="I71" t="n">
        <v>0</v>
      </c>
      <c r="J71" t="n">
        <v>0</v>
      </c>
      <c r="K71" t="n">
        <v>0</v>
      </c>
      <c r="L71" t="n">
        <v>0</v>
      </c>
      <c r="M71" t="n">
        <v>0</v>
      </c>
      <c r="N71" t="n">
        <v>0</v>
      </c>
      <c r="O71" t="n">
        <v>0</v>
      </c>
      <c r="P71" t="n">
        <v>0</v>
      </c>
      <c r="Q71" t="n">
        <v>0</v>
      </c>
      <c r="R71" s="2" t="inlineStr"/>
    </row>
    <row r="72" ht="15" customHeight="1">
      <c r="A72" t="inlineStr">
        <is>
          <t>A 31840-2021</t>
        </is>
      </c>
      <c r="B72" s="1" t="n">
        <v>44370</v>
      </c>
      <c r="C72" s="1" t="n">
        <v>46140</v>
      </c>
      <c r="D72" t="inlineStr">
        <is>
          <t>KALMAR LÄN</t>
        </is>
      </c>
      <c r="E72" t="inlineStr">
        <is>
          <t>BORGHOLM</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44678-2022</t>
        </is>
      </c>
      <c r="B73" s="1" t="n">
        <v>44840.65100694444</v>
      </c>
      <c r="C73" s="1" t="n">
        <v>46140</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46140</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46140</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46845-2025</t>
        </is>
      </c>
      <c r="B76" s="1" t="n">
        <v>45928</v>
      </c>
      <c r="C76" s="1" t="n">
        <v>46140</v>
      </c>
      <c r="D76" t="inlineStr">
        <is>
          <t>KALMAR LÄN</t>
        </is>
      </c>
      <c r="E76" t="inlineStr">
        <is>
          <t>BORGHOLM</t>
        </is>
      </c>
      <c r="G76" t="n">
        <v>2.7</v>
      </c>
      <c r="H76" t="n">
        <v>0</v>
      </c>
      <c r="I76" t="n">
        <v>0</v>
      </c>
      <c r="J76" t="n">
        <v>0</v>
      </c>
      <c r="K76" t="n">
        <v>0</v>
      </c>
      <c r="L76" t="n">
        <v>0</v>
      </c>
      <c r="M76" t="n">
        <v>0</v>
      </c>
      <c r="N76" t="n">
        <v>0</v>
      </c>
      <c r="O76" t="n">
        <v>0</v>
      </c>
      <c r="P76" t="n">
        <v>0</v>
      </c>
      <c r="Q76" t="n">
        <v>0</v>
      </c>
      <c r="R76" s="2" t="inlineStr"/>
    </row>
    <row r="77" ht="15" customHeight="1">
      <c r="A77" t="inlineStr">
        <is>
          <t>A 64303-2023</t>
        </is>
      </c>
      <c r="B77" s="1" t="n">
        <v>45280</v>
      </c>
      <c r="C77" s="1" t="n">
        <v>46140</v>
      </c>
      <c r="D77" t="inlineStr">
        <is>
          <t>KALMAR LÄN</t>
        </is>
      </c>
      <c r="E77" t="inlineStr">
        <is>
          <t>BORGHOLM</t>
        </is>
      </c>
      <c r="G77" t="n">
        <v>1.2</v>
      </c>
      <c r="H77" t="n">
        <v>0</v>
      </c>
      <c r="I77" t="n">
        <v>0</v>
      </c>
      <c r="J77" t="n">
        <v>0</v>
      </c>
      <c r="K77" t="n">
        <v>0</v>
      </c>
      <c r="L77" t="n">
        <v>0</v>
      </c>
      <c r="M77" t="n">
        <v>0</v>
      </c>
      <c r="N77" t="n">
        <v>0</v>
      </c>
      <c r="O77" t="n">
        <v>0</v>
      </c>
      <c r="P77" t="n">
        <v>0</v>
      </c>
      <c r="Q77" t="n">
        <v>0</v>
      </c>
      <c r="R77" s="2" t="inlineStr"/>
    </row>
    <row r="78" ht="15" customHeight="1">
      <c r="A78" t="inlineStr">
        <is>
          <t>A 44547-2021</t>
        </is>
      </c>
      <c r="B78" s="1" t="n">
        <v>44435</v>
      </c>
      <c r="C78" s="1" t="n">
        <v>46140</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63075-2023</t>
        </is>
      </c>
      <c r="B79" s="1" t="n">
        <v>45273</v>
      </c>
      <c r="C79" s="1" t="n">
        <v>46140</v>
      </c>
      <c r="D79" t="inlineStr">
        <is>
          <t>KALMAR LÄN</t>
        </is>
      </c>
      <c r="E79" t="inlineStr">
        <is>
          <t>BORGHOLM</t>
        </is>
      </c>
      <c r="G79" t="n">
        <v>1.1</v>
      </c>
      <c r="H79" t="n">
        <v>0</v>
      </c>
      <c r="I79" t="n">
        <v>0</v>
      </c>
      <c r="J79" t="n">
        <v>0</v>
      </c>
      <c r="K79" t="n">
        <v>0</v>
      </c>
      <c r="L79" t="n">
        <v>0</v>
      </c>
      <c r="M79" t="n">
        <v>0</v>
      </c>
      <c r="N79" t="n">
        <v>0</v>
      </c>
      <c r="O79" t="n">
        <v>0</v>
      </c>
      <c r="P79" t="n">
        <v>0</v>
      </c>
      <c r="Q79" t="n">
        <v>0</v>
      </c>
      <c r="R79" s="2" t="inlineStr"/>
    </row>
    <row r="80" ht="15" customHeight="1">
      <c r="A80" t="inlineStr">
        <is>
          <t>A 50129-2021</t>
        </is>
      </c>
      <c r="B80" s="1" t="n">
        <v>44456</v>
      </c>
      <c r="C80" s="1" t="n">
        <v>46140</v>
      </c>
      <c r="D80" t="inlineStr">
        <is>
          <t>KALMAR LÄN</t>
        </is>
      </c>
      <c r="E80" t="inlineStr">
        <is>
          <t>BORGHOLM</t>
        </is>
      </c>
      <c r="G80" t="n">
        <v>1.6</v>
      </c>
      <c r="H80" t="n">
        <v>0</v>
      </c>
      <c r="I80" t="n">
        <v>0</v>
      </c>
      <c r="J80" t="n">
        <v>0</v>
      </c>
      <c r="K80" t="n">
        <v>0</v>
      </c>
      <c r="L80" t="n">
        <v>0</v>
      </c>
      <c r="M80" t="n">
        <v>0</v>
      </c>
      <c r="N80" t="n">
        <v>0</v>
      </c>
      <c r="O80" t="n">
        <v>0</v>
      </c>
      <c r="P80" t="n">
        <v>0</v>
      </c>
      <c r="Q80" t="n">
        <v>0</v>
      </c>
      <c r="R80" s="2" t="inlineStr"/>
    </row>
    <row r="81" ht="15" customHeight="1">
      <c r="A81" t="inlineStr">
        <is>
          <t>A 1757-2025</t>
        </is>
      </c>
      <c r="B81" s="1" t="n">
        <v>45671.42195601852</v>
      </c>
      <c r="C81" s="1" t="n">
        <v>46140</v>
      </c>
      <c r="D81" t="inlineStr">
        <is>
          <t>KALMAR LÄN</t>
        </is>
      </c>
      <c r="E81" t="inlineStr">
        <is>
          <t>BORGHOLM</t>
        </is>
      </c>
      <c r="G81" t="n">
        <v>1.4</v>
      </c>
      <c r="H81" t="n">
        <v>0</v>
      </c>
      <c r="I81" t="n">
        <v>0</v>
      </c>
      <c r="J81" t="n">
        <v>0</v>
      </c>
      <c r="K81" t="n">
        <v>0</v>
      </c>
      <c r="L81" t="n">
        <v>0</v>
      </c>
      <c r="M81" t="n">
        <v>0</v>
      </c>
      <c r="N81" t="n">
        <v>0</v>
      </c>
      <c r="O81" t="n">
        <v>0</v>
      </c>
      <c r="P81" t="n">
        <v>0</v>
      </c>
      <c r="Q81" t="n">
        <v>0</v>
      </c>
      <c r="R81" s="2" t="inlineStr"/>
    </row>
    <row r="82" ht="15" customHeight="1">
      <c r="A82" t="inlineStr">
        <is>
          <t>A 17699-2025</t>
        </is>
      </c>
      <c r="B82" s="1" t="n">
        <v>45758.41846064815</v>
      </c>
      <c r="C82" s="1" t="n">
        <v>46140</v>
      </c>
      <c r="D82" t="inlineStr">
        <is>
          <t>KALMAR LÄN</t>
        </is>
      </c>
      <c r="E82" t="inlineStr">
        <is>
          <t>BORGHOLM</t>
        </is>
      </c>
      <c r="G82" t="n">
        <v>0.7</v>
      </c>
      <c r="H82" t="n">
        <v>0</v>
      </c>
      <c r="I82" t="n">
        <v>0</v>
      </c>
      <c r="J82" t="n">
        <v>0</v>
      </c>
      <c r="K82" t="n">
        <v>0</v>
      </c>
      <c r="L82" t="n">
        <v>0</v>
      </c>
      <c r="M82" t="n">
        <v>0</v>
      </c>
      <c r="N82" t="n">
        <v>0</v>
      </c>
      <c r="O82" t="n">
        <v>0</v>
      </c>
      <c r="P82" t="n">
        <v>0</v>
      </c>
      <c r="Q82" t="n">
        <v>0</v>
      </c>
      <c r="R82" s="2" t="inlineStr"/>
    </row>
    <row r="83" ht="15" customHeight="1">
      <c r="A83" t="inlineStr">
        <is>
          <t>A 7669-2024</t>
        </is>
      </c>
      <c r="B83" s="1" t="n">
        <v>45348.82498842593</v>
      </c>
      <c r="C83" s="1" t="n">
        <v>46140</v>
      </c>
      <c r="D83" t="inlineStr">
        <is>
          <t>KALMAR LÄN</t>
        </is>
      </c>
      <c r="E83" t="inlineStr">
        <is>
          <t>BORGHOLM</t>
        </is>
      </c>
      <c r="G83" t="n">
        <v>2.3</v>
      </c>
      <c r="H83" t="n">
        <v>0</v>
      </c>
      <c r="I83" t="n">
        <v>0</v>
      </c>
      <c r="J83" t="n">
        <v>0</v>
      </c>
      <c r="K83" t="n">
        <v>0</v>
      </c>
      <c r="L83" t="n">
        <v>0</v>
      </c>
      <c r="M83" t="n">
        <v>0</v>
      </c>
      <c r="N83" t="n">
        <v>0</v>
      </c>
      <c r="O83" t="n">
        <v>0</v>
      </c>
      <c r="P83" t="n">
        <v>0</v>
      </c>
      <c r="Q83" t="n">
        <v>0</v>
      </c>
      <c r="R83" s="2" t="inlineStr"/>
    </row>
    <row r="84" ht="15" customHeight="1">
      <c r="A84" t="inlineStr">
        <is>
          <t>A 34780-2022</t>
        </is>
      </c>
      <c r="B84" s="1" t="n">
        <v>44795</v>
      </c>
      <c r="C84" s="1" t="n">
        <v>46140</v>
      </c>
      <c r="D84" t="inlineStr">
        <is>
          <t>KALMAR LÄN</t>
        </is>
      </c>
      <c r="E84" t="inlineStr">
        <is>
          <t>BORGHOLM</t>
        </is>
      </c>
      <c r="F84" t="inlineStr">
        <is>
          <t>Sveaskog</t>
        </is>
      </c>
      <c r="G84" t="n">
        <v>6.7</v>
      </c>
      <c r="H84" t="n">
        <v>0</v>
      </c>
      <c r="I84" t="n">
        <v>0</v>
      </c>
      <c r="J84" t="n">
        <v>0</v>
      </c>
      <c r="K84" t="n">
        <v>0</v>
      </c>
      <c r="L84" t="n">
        <v>0</v>
      </c>
      <c r="M84" t="n">
        <v>0</v>
      </c>
      <c r="N84" t="n">
        <v>0</v>
      </c>
      <c r="O84" t="n">
        <v>0</v>
      </c>
      <c r="P84" t="n">
        <v>0</v>
      </c>
      <c r="Q84" t="n">
        <v>0</v>
      </c>
      <c r="R84" s="2" t="inlineStr"/>
    </row>
    <row r="85" ht="15" customHeight="1">
      <c r="A85" t="inlineStr">
        <is>
          <t>A 55367-2024</t>
        </is>
      </c>
      <c r="B85" s="1" t="n">
        <v>45621.87075231481</v>
      </c>
      <c r="C85" s="1" t="n">
        <v>46140</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20287-2025</t>
        </is>
      </c>
      <c r="B86" s="1" t="n">
        <v>45774.60741898148</v>
      </c>
      <c r="C86" s="1" t="n">
        <v>46140</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9076-2025</t>
        </is>
      </c>
      <c r="B87" s="1" t="n">
        <v>45713.6596875</v>
      </c>
      <c r="C87" s="1" t="n">
        <v>46140</v>
      </c>
      <c r="D87" t="inlineStr">
        <is>
          <t>KALMAR LÄN</t>
        </is>
      </c>
      <c r="E87" t="inlineStr">
        <is>
          <t>BORGHOLM</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60141-2025</t>
        </is>
      </c>
      <c r="B88" s="1" t="n">
        <v>45994.36873842592</v>
      </c>
      <c r="C88" s="1" t="n">
        <v>46140</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46140</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46140</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21908-2022</t>
        </is>
      </c>
      <c r="B91" s="1" t="n">
        <v>44711</v>
      </c>
      <c r="C91" s="1" t="n">
        <v>46140</v>
      </c>
      <c r="D91" t="inlineStr">
        <is>
          <t>KALMAR LÄN</t>
        </is>
      </c>
      <c r="E91" t="inlineStr">
        <is>
          <t>BORGHOLM</t>
        </is>
      </c>
      <c r="G91" t="n">
        <v>4.7</v>
      </c>
      <c r="H91" t="n">
        <v>0</v>
      </c>
      <c r="I91" t="n">
        <v>0</v>
      </c>
      <c r="J91" t="n">
        <v>0</v>
      </c>
      <c r="K91" t="n">
        <v>0</v>
      </c>
      <c r="L91" t="n">
        <v>0</v>
      </c>
      <c r="M91" t="n">
        <v>0</v>
      </c>
      <c r="N91" t="n">
        <v>0</v>
      </c>
      <c r="O91" t="n">
        <v>0</v>
      </c>
      <c r="P91" t="n">
        <v>0</v>
      </c>
      <c r="Q91" t="n">
        <v>0</v>
      </c>
      <c r="R91" s="2" t="inlineStr"/>
    </row>
    <row r="92" ht="15" customHeight="1">
      <c r="A92" t="inlineStr">
        <is>
          <t>A 34951-2022</t>
        </is>
      </c>
      <c r="B92" s="1" t="n">
        <v>44796</v>
      </c>
      <c r="C92" s="1" t="n">
        <v>46140</v>
      </c>
      <c r="D92" t="inlineStr">
        <is>
          <t>KALMAR LÄN</t>
        </is>
      </c>
      <c r="E92" t="inlineStr">
        <is>
          <t>BORGHOLM</t>
        </is>
      </c>
      <c r="F92" t="inlineStr">
        <is>
          <t>Sveaskog</t>
        </is>
      </c>
      <c r="G92" t="n">
        <v>4.6</v>
      </c>
      <c r="H92" t="n">
        <v>0</v>
      </c>
      <c r="I92" t="n">
        <v>0</v>
      </c>
      <c r="J92" t="n">
        <v>0</v>
      </c>
      <c r="K92" t="n">
        <v>0</v>
      </c>
      <c r="L92" t="n">
        <v>0</v>
      </c>
      <c r="M92" t="n">
        <v>0</v>
      </c>
      <c r="N92" t="n">
        <v>0</v>
      </c>
      <c r="O92" t="n">
        <v>0</v>
      </c>
      <c r="P92" t="n">
        <v>0</v>
      </c>
      <c r="Q92" t="n">
        <v>0</v>
      </c>
      <c r="R92" s="2" t="inlineStr"/>
    </row>
    <row r="93" ht="15" customHeight="1">
      <c r="A93" t="inlineStr">
        <is>
          <t>A 9034-2025</t>
        </is>
      </c>
      <c r="B93" s="1" t="n">
        <v>45713</v>
      </c>
      <c r="C93" s="1" t="n">
        <v>46140</v>
      </c>
      <c r="D93" t="inlineStr">
        <is>
          <t>KALMAR LÄN</t>
        </is>
      </c>
      <c r="E93" t="inlineStr">
        <is>
          <t>BORGHOLM</t>
        </is>
      </c>
      <c r="F93" t="inlineStr">
        <is>
          <t>Sveaskog</t>
        </is>
      </c>
      <c r="G93" t="n">
        <v>6.8</v>
      </c>
      <c r="H93" t="n">
        <v>0</v>
      </c>
      <c r="I93" t="n">
        <v>0</v>
      </c>
      <c r="J93" t="n">
        <v>0</v>
      </c>
      <c r="K93" t="n">
        <v>0</v>
      </c>
      <c r="L93" t="n">
        <v>0</v>
      </c>
      <c r="M93" t="n">
        <v>0</v>
      </c>
      <c r="N93" t="n">
        <v>0</v>
      </c>
      <c r="O93" t="n">
        <v>0</v>
      </c>
      <c r="P93" t="n">
        <v>0</v>
      </c>
      <c r="Q93" t="n">
        <v>0</v>
      </c>
      <c r="R93" s="2" t="inlineStr"/>
    </row>
    <row r="94" ht="15" customHeight="1">
      <c r="A94" t="inlineStr">
        <is>
          <t>A 5175-2024</t>
        </is>
      </c>
      <c r="B94" s="1" t="n">
        <v>45330</v>
      </c>
      <c r="C94" s="1" t="n">
        <v>46140</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3878-2023</t>
        </is>
      </c>
      <c r="B95" s="1" t="n">
        <v>44951</v>
      </c>
      <c r="C95" s="1" t="n">
        <v>46140</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7481-2026</t>
        </is>
      </c>
      <c r="B96" s="1" t="n">
        <v>46059.51359953704</v>
      </c>
      <c r="C96" s="1" t="n">
        <v>46140</v>
      </c>
      <c r="D96" t="inlineStr">
        <is>
          <t>KALMAR LÄN</t>
        </is>
      </c>
      <c r="E96" t="inlineStr">
        <is>
          <t>BORGHOLM</t>
        </is>
      </c>
      <c r="G96" t="n">
        <v>1.9</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46140</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15264-2026</t>
        </is>
      </c>
      <c r="B98" s="1" t="n">
        <v>46105.59372685185</v>
      </c>
      <c r="C98" s="1" t="n">
        <v>46140</v>
      </c>
      <c r="D98" t="inlineStr">
        <is>
          <t>KALMAR LÄN</t>
        </is>
      </c>
      <c r="E98" t="inlineStr">
        <is>
          <t>BORGHOLM</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13383-2023</t>
        </is>
      </c>
      <c r="B99" s="1" t="n">
        <v>45005</v>
      </c>
      <c r="C99" s="1" t="n">
        <v>46140</v>
      </c>
      <c r="D99" t="inlineStr">
        <is>
          <t>KALMAR LÄN</t>
        </is>
      </c>
      <c r="E99" t="inlineStr">
        <is>
          <t>BORGHOLM</t>
        </is>
      </c>
      <c r="G99" t="n">
        <v>0.8</v>
      </c>
      <c r="H99" t="n">
        <v>0</v>
      </c>
      <c r="I99" t="n">
        <v>0</v>
      </c>
      <c r="J99" t="n">
        <v>0</v>
      </c>
      <c r="K99" t="n">
        <v>0</v>
      </c>
      <c r="L99" t="n">
        <v>0</v>
      </c>
      <c r="M99" t="n">
        <v>0</v>
      </c>
      <c r="N99" t="n">
        <v>0</v>
      </c>
      <c r="O99" t="n">
        <v>0</v>
      </c>
      <c r="P99" t="n">
        <v>0</v>
      </c>
      <c r="Q99" t="n">
        <v>0</v>
      </c>
      <c r="R99" s="2" t="inlineStr"/>
    </row>
    <row r="100" ht="15" customHeight="1">
      <c r="A100" t="inlineStr">
        <is>
          <t>A 15272-2026</t>
        </is>
      </c>
      <c r="B100" s="1" t="n">
        <v>46105.60017361111</v>
      </c>
      <c r="C100" s="1" t="n">
        <v>46140</v>
      </c>
      <c r="D100" t="inlineStr">
        <is>
          <t>KALMAR LÄN</t>
        </is>
      </c>
      <c r="E100" t="inlineStr">
        <is>
          <t>BORGHOLM</t>
        </is>
      </c>
      <c r="F100" t="inlineStr">
        <is>
          <t>Sveaskog</t>
        </is>
      </c>
      <c r="G100" t="n">
        <v>2.9</v>
      </c>
      <c r="H100" t="n">
        <v>0</v>
      </c>
      <c r="I100" t="n">
        <v>0</v>
      </c>
      <c r="J100" t="n">
        <v>0</v>
      </c>
      <c r="K100" t="n">
        <v>0</v>
      </c>
      <c r="L100" t="n">
        <v>0</v>
      </c>
      <c r="M100" t="n">
        <v>0</v>
      </c>
      <c r="N100" t="n">
        <v>0</v>
      </c>
      <c r="O100" t="n">
        <v>0</v>
      </c>
      <c r="P100" t="n">
        <v>0</v>
      </c>
      <c r="Q100" t="n">
        <v>0</v>
      </c>
      <c r="R100" s="2" t="inlineStr"/>
    </row>
    <row r="101" ht="15" customHeight="1">
      <c r="A101" t="inlineStr">
        <is>
          <t>A 15279-2026</t>
        </is>
      </c>
      <c r="B101" s="1" t="n">
        <v>46105.61030092592</v>
      </c>
      <c r="C101" s="1" t="n">
        <v>46140</v>
      </c>
      <c r="D101" t="inlineStr">
        <is>
          <t>KALMAR LÄN</t>
        </is>
      </c>
      <c r="E101" t="inlineStr">
        <is>
          <t>BORGHOLM</t>
        </is>
      </c>
      <c r="F101" t="inlineStr">
        <is>
          <t>Sveaskog</t>
        </is>
      </c>
      <c r="G101" t="n">
        <v>4.6</v>
      </c>
      <c r="H101" t="n">
        <v>0</v>
      </c>
      <c r="I101" t="n">
        <v>0</v>
      </c>
      <c r="J101" t="n">
        <v>0</v>
      </c>
      <c r="K101" t="n">
        <v>0</v>
      </c>
      <c r="L101" t="n">
        <v>0</v>
      </c>
      <c r="M101" t="n">
        <v>0</v>
      </c>
      <c r="N101" t="n">
        <v>0</v>
      </c>
      <c r="O101" t="n">
        <v>0</v>
      </c>
      <c r="P101" t="n">
        <v>0</v>
      </c>
      <c r="Q101" t="n">
        <v>0</v>
      </c>
      <c r="R101" s="2" t="inlineStr"/>
    </row>
    <row r="102" ht="15" customHeight="1">
      <c r="A102" t="inlineStr">
        <is>
          <t>A 9104-2026</t>
        </is>
      </c>
      <c r="B102" s="1" t="n">
        <v>46069</v>
      </c>
      <c r="C102" s="1" t="n">
        <v>46140</v>
      </c>
      <c r="D102" t="inlineStr">
        <is>
          <t>KALMAR LÄN</t>
        </is>
      </c>
      <c r="E102" t="inlineStr">
        <is>
          <t>BORGHOLM</t>
        </is>
      </c>
      <c r="G102" t="n">
        <v>1.3</v>
      </c>
      <c r="H102" t="n">
        <v>0</v>
      </c>
      <c r="I102" t="n">
        <v>0</v>
      </c>
      <c r="J102" t="n">
        <v>0</v>
      </c>
      <c r="K102" t="n">
        <v>0</v>
      </c>
      <c r="L102" t="n">
        <v>0</v>
      </c>
      <c r="M102" t="n">
        <v>0</v>
      </c>
      <c r="N102" t="n">
        <v>0</v>
      </c>
      <c r="O102" t="n">
        <v>0</v>
      </c>
      <c r="P102" t="n">
        <v>0</v>
      </c>
      <c r="Q102" t="n">
        <v>0</v>
      </c>
      <c r="R102" s="2" t="inlineStr"/>
    </row>
    <row r="103" ht="15" customHeight="1">
      <c r="A103" t="inlineStr">
        <is>
          <t>A 9259-2026</t>
        </is>
      </c>
      <c r="B103" s="1" t="n">
        <v>46070.51917824074</v>
      </c>
      <c r="C103" s="1" t="n">
        <v>46140</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46140</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9905-2026</t>
        </is>
      </c>
      <c r="B105" s="1" t="n">
        <v>46073.4108912037</v>
      </c>
      <c r="C105" s="1" t="n">
        <v>46140</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7960-2023</t>
        </is>
      </c>
      <c r="B106" s="1" t="n">
        <v>44973</v>
      </c>
      <c r="C106" s="1" t="n">
        <v>46140</v>
      </c>
      <c r="D106" t="inlineStr">
        <is>
          <t>KALMAR LÄN</t>
        </is>
      </c>
      <c r="E106" t="inlineStr">
        <is>
          <t>BORGHOLM</t>
        </is>
      </c>
      <c r="G106" t="n">
        <v>2.1</v>
      </c>
      <c r="H106" t="n">
        <v>0</v>
      </c>
      <c r="I106" t="n">
        <v>0</v>
      </c>
      <c r="J106" t="n">
        <v>0</v>
      </c>
      <c r="K106" t="n">
        <v>0</v>
      </c>
      <c r="L106" t="n">
        <v>0</v>
      </c>
      <c r="M106" t="n">
        <v>0</v>
      </c>
      <c r="N106" t="n">
        <v>0</v>
      </c>
      <c r="O106" t="n">
        <v>0</v>
      </c>
      <c r="P106" t="n">
        <v>0</v>
      </c>
      <c r="Q106" t="n">
        <v>0</v>
      </c>
      <c r="R106" s="2" t="inlineStr"/>
    </row>
    <row r="107" ht="15" customHeight="1">
      <c r="A107" t="inlineStr">
        <is>
          <t>A 61438-2023</t>
        </is>
      </c>
      <c r="B107" s="1" t="n">
        <v>45264</v>
      </c>
      <c r="C107" s="1" t="n">
        <v>46140</v>
      </c>
      <c r="D107" t="inlineStr">
        <is>
          <t>KALMAR LÄN</t>
        </is>
      </c>
      <c r="E107" t="inlineStr">
        <is>
          <t>BORGHOLM</t>
        </is>
      </c>
      <c r="G107" t="n">
        <v>1.1</v>
      </c>
      <c r="H107" t="n">
        <v>0</v>
      </c>
      <c r="I107" t="n">
        <v>0</v>
      </c>
      <c r="J107" t="n">
        <v>0</v>
      </c>
      <c r="K107" t="n">
        <v>0</v>
      </c>
      <c r="L107" t="n">
        <v>0</v>
      </c>
      <c r="M107" t="n">
        <v>0</v>
      </c>
      <c r="N107" t="n">
        <v>0</v>
      </c>
      <c r="O107" t="n">
        <v>0</v>
      </c>
      <c r="P107" t="n">
        <v>0</v>
      </c>
      <c r="Q107" t="n">
        <v>0</v>
      </c>
      <c r="R107" s="2" t="inlineStr"/>
    </row>
    <row r="108" ht="15" customHeight="1">
      <c r="A108" t="inlineStr">
        <is>
          <t>A 13041-2024</t>
        </is>
      </c>
      <c r="B108" s="1" t="n">
        <v>45385.60065972222</v>
      </c>
      <c r="C108" s="1" t="n">
        <v>46140</v>
      </c>
      <c r="D108" t="inlineStr">
        <is>
          <t>KALMAR LÄN</t>
        </is>
      </c>
      <c r="E108" t="inlineStr">
        <is>
          <t>BORGHOLM</t>
        </is>
      </c>
      <c r="G108" t="n">
        <v>0.5</v>
      </c>
      <c r="H108" t="n">
        <v>0</v>
      </c>
      <c r="I108" t="n">
        <v>0</v>
      </c>
      <c r="J108" t="n">
        <v>0</v>
      </c>
      <c r="K108" t="n">
        <v>0</v>
      </c>
      <c r="L108" t="n">
        <v>0</v>
      </c>
      <c r="M108" t="n">
        <v>0</v>
      </c>
      <c r="N108" t="n">
        <v>0</v>
      </c>
      <c r="O108" t="n">
        <v>0</v>
      </c>
      <c r="P108" t="n">
        <v>0</v>
      </c>
      <c r="Q108" t="n">
        <v>0</v>
      </c>
      <c r="R108" s="2" t="inlineStr"/>
    </row>
    <row r="109" ht="15" customHeight="1">
      <c r="A109" t="inlineStr">
        <is>
          <t>A 1614-2025</t>
        </is>
      </c>
      <c r="B109" s="1" t="n">
        <v>45670.60094907408</v>
      </c>
      <c r="C109" s="1" t="n">
        <v>46140</v>
      </c>
      <c r="D109" t="inlineStr">
        <is>
          <t>KALMAR LÄN</t>
        </is>
      </c>
      <c r="E109" t="inlineStr">
        <is>
          <t>BORGHOLM</t>
        </is>
      </c>
      <c r="G109" t="n">
        <v>1.4</v>
      </c>
      <c r="H109" t="n">
        <v>0</v>
      </c>
      <c r="I109" t="n">
        <v>0</v>
      </c>
      <c r="J109" t="n">
        <v>0</v>
      </c>
      <c r="K109" t="n">
        <v>0</v>
      </c>
      <c r="L109" t="n">
        <v>0</v>
      </c>
      <c r="M109" t="n">
        <v>0</v>
      </c>
      <c r="N109" t="n">
        <v>0</v>
      </c>
      <c r="O109" t="n">
        <v>0</v>
      </c>
      <c r="P109" t="n">
        <v>0</v>
      </c>
      <c r="Q109" t="n">
        <v>0</v>
      </c>
      <c r="R109" s="2" t="inlineStr"/>
    </row>
    <row r="110" ht="15" customHeight="1">
      <c r="A110" t="inlineStr">
        <is>
          <t>A 63276-2023</t>
        </is>
      </c>
      <c r="B110" s="1" t="n">
        <v>45273.82195601852</v>
      </c>
      <c r="C110" s="1" t="n">
        <v>46140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9050-2025</t>
        </is>
      </c>
      <c r="B111" s="1" t="n">
        <v>45713.63512731482</v>
      </c>
      <c r="C111" s="1" t="n">
        <v>46140</v>
      </c>
      <c r="D111" t="inlineStr">
        <is>
          <t>KALMAR LÄN</t>
        </is>
      </c>
      <c r="E111" t="inlineStr">
        <is>
          <t>BORGHOLM</t>
        </is>
      </c>
      <c r="F111" t="inlineStr">
        <is>
          <t>Sveaskog</t>
        </is>
      </c>
      <c r="G111" t="n">
        <v>2.5</v>
      </c>
      <c r="H111" t="n">
        <v>0</v>
      </c>
      <c r="I111" t="n">
        <v>0</v>
      </c>
      <c r="J111" t="n">
        <v>0</v>
      </c>
      <c r="K111" t="n">
        <v>0</v>
      </c>
      <c r="L111" t="n">
        <v>0</v>
      </c>
      <c r="M111" t="n">
        <v>0</v>
      </c>
      <c r="N111" t="n">
        <v>0</v>
      </c>
      <c r="O111" t="n">
        <v>0</v>
      </c>
      <c r="P111" t="n">
        <v>0</v>
      </c>
      <c r="Q111" t="n">
        <v>0</v>
      </c>
      <c r="R111" s="2" t="inlineStr"/>
    </row>
    <row r="112" ht="15" customHeight="1">
      <c r="A112" t="inlineStr">
        <is>
          <t>A 13043-2024</t>
        </is>
      </c>
      <c r="B112" s="1" t="n">
        <v>45385.60111111111</v>
      </c>
      <c r="C112" s="1" t="n">
        <v>46140</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46140</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46140</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46140</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46140</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46140</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46140</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46140</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46140</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ht="15" customHeight="1">
      <c r="A121" t="inlineStr">
        <is>
          <t>A 28782-2025</t>
        </is>
      </c>
      <c r="B121" s="1" t="n">
        <v>45820.45572916666</v>
      </c>
      <c r="C121" s="1" t="n">
        <v>46140</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row r="122">
      <c r="A122" t="inlineStr">
        <is>
          <t>A 36269-2025</t>
        </is>
      </c>
      <c r="B122" s="1" t="n">
        <v>45867.61736111111</v>
      </c>
      <c r="C122" s="1" t="n">
        <v>46140</v>
      </c>
      <c r="D122" t="inlineStr">
        <is>
          <t>KALMAR LÄN</t>
        </is>
      </c>
      <c r="E122" t="inlineStr">
        <is>
          <t>BORGHOLM</t>
        </is>
      </c>
      <c r="F122" t="inlineStr">
        <is>
          <t>Sveaskog</t>
        </is>
      </c>
      <c r="G122" t="n">
        <v>3.3</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2026-04-28T10:49:05Z</dcterms:created>
  <dcterms:modified xmlns:dcterms="http://purl.org/dc/terms/" xmlns:xsi="http://www.w3.org/2001/XMLSchema-instance" xsi:type="dcterms:W3CDTF">2026-04-28T10:49:06Z</dcterms:modified>
</cp:coreProperties>
</file>