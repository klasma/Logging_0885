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45931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45931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45931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45931</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45931</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45931</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45931</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45931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45931</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45931</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4881-2021</t>
        </is>
      </c>
      <c r="B14" s="1" t="n">
        <v>44225</v>
      </c>
      <c r="C14" s="1" t="n">
        <v>45931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45931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55210-2020</t>
        </is>
      </c>
      <c r="B16" s="1" t="n">
        <v>44130</v>
      </c>
      <c r="C16" s="1" t="n">
        <v>45931</v>
      </c>
      <c r="D16" t="inlineStr">
        <is>
          <t>KALMAR LÄN</t>
        </is>
      </c>
      <c r="E16" t="inlineStr">
        <is>
          <t>BORGHOLM</t>
        </is>
      </c>
      <c r="G16" t="n">
        <v>2.2</v>
      </c>
      <c r="H16" t="n">
        <v>1</v>
      </c>
      <c r="I16" t="n">
        <v>3</v>
      </c>
      <c r="J16" t="n">
        <v>1</v>
      </c>
      <c r="K16" t="n">
        <v>0</v>
      </c>
      <c r="L16" t="n">
        <v>0</v>
      </c>
      <c r="M16" t="n">
        <v>0</v>
      </c>
      <c r="N16" t="n">
        <v>0</v>
      </c>
      <c r="O16" t="n">
        <v>1</v>
      </c>
      <c r="P16" t="n">
        <v>0</v>
      </c>
      <c r="Q16" t="n">
        <v>4</v>
      </c>
      <c r="R16" s="2" t="inlineStr">
        <is>
          <t>Loppstarr
Murgröna
Nästrot
Sårläka</t>
        </is>
      </c>
      <c r="S16">
        <f>HYPERLINK("https://klasma.github.io/Logging_0885/artfynd/A 55210-2020 artfynd.xlsx", "A 55210-2020")</f>
        <v/>
      </c>
      <c r="T16">
        <f>HYPERLINK("https://klasma.github.io/Logging_0885/kartor/A 55210-2020 karta.png", "A 55210-2020")</f>
        <v/>
      </c>
      <c r="V16">
        <f>HYPERLINK("https://klasma.github.io/Logging_0885/klagomål/A 55210-2020 FSC-klagomål.docx", "A 55210-2020")</f>
        <v/>
      </c>
      <c r="W16">
        <f>HYPERLINK("https://klasma.github.io/Logging_0885/klagomålsmail/A 55210-2020 FSC-klagomål mail.docx", "A 55210-2020")</f>
        <v/>
      </c>
      <c r="X16">
        <f>HYPERLINK("https://klasma.github.io/Logging_0885/tillsyn/A 55210-2020 tillsynsbegäran.docx", "A 55210-2020")</f>
        <v/>
      </c>
      <c r="Y16">
        <f>HYPERLINK("https://klasma.github.io/Logging_0885/tillsynsmail/A 55210-2020 tillsynsbegäran mail.docx", "A 55210-2020")</f>
        <v/>
      </c>
    </row>
    <row r="17" ht="15" customHeight="1">
      <c r="A17" t="inlineStr">
        <is>
          <t>A 32640-2022</t>
        </is>
      </c>
      <c r="B17" s="1" t="n">
        <v>44783</v>
      </c>
      <c r="C17" s="1" t="n">
        <v>45931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45931</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45931</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45931</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13556-2025</t>
        </is>
      </c>
      <c r="B21" s="1" t="n">
        <v>45736.54759259259</v>
      </c>
      <c r="C21" s="1" t="n">
        <v>45931</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38860-2025</t>
        </is>
      </c>
      <c r="B22" s="1" t="n">
        <v>45887.5609375</v>
      </c>
      <c r="C22" s="1" t="n">
        <v>45931</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28779-2025</t>
        </is>
      </c>
      <c r="B23" s="1" t="n">
        <v>45820.44920138889</v>
      </c>
      <c r="C23" s="1" t="n">
        <v>45931</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34944-2022</t>
        </is>
      </c>
      <c r="B24" s="1" t="n">
        <v>44796</v>
      </c>
      <c r="C24" s="1" t="n">
        <v>45931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45931</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45931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32174-2022</t>
        </is>
      </c>
      <c r="B27" s="1" t="n">
        <v>44781</v>
      </c>
      <c r="C27" s="1" t="n">
        <v>45931</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44008-2022</t>
        </is>
      </c>
      <c r="B28" s="1" t="n">
        <v>44838</v>
      </c>
      <c r="C28" s="1" t="n">
        <v>45931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45931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31295-2022</t>
        </is>
      </c>
      <c r="B30" s="1" t="n">
        <v>44772</v>
      </c>
      <c r="C30" s="1" t="n">
        <v>45931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45931</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45931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14789-2021</t>
        </is>
      </c>
      <c r="B33" s="1" t="n">
        <v>44280</v>
      </c>
      <c r="C33" s="1" t="n">
        <v>45931</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43603-2024</t>
        </is>
      </c>
      <c r="B34" s="1" t="n">
        <v>45569.44700231482</v>
      </c>
      <c r="C34" s="1" t="n">
        <v>45931</v>
      </c>
      <c r="D34" t="inlineStr">
        <is>
          <t>KALMAR LÄN</t>
        </is>
      </c>
      <c r="E34" t="inlineStr">
        <is>
          <t>BORGHOLM</t>
        </is>
      </c>
      <c r="G34" t="n">
        <v>3.8</v>
      </c>
      <c r="H34" t="n">
        <v>1</v>
      </c>
      <c r="I34" t="n">
        <v>0</v>
      </c>
      <c r="J34" t="n">
        <v>0</v>
      </c>
      <c r="K34" t="n">
        <v>1</v>
      </c>
      <c r="L34" t="n">
        <v>0</v>
      </c>
      <c r="M34" t="n">
        <v>0</v>
      </c>
      <c r="N34" t="n">
        <v>0</v>
      </c>
      <c r="O34" t="n">
        <v>1</v>
      </c>
      <c r="P34" t="n">
        <v>1</v>
      </c>
      <c r="Q34" t="n">
        <v>1</v>
      </c>
      <c r="R34" s="2" t="inlineStr">
        <is>
          <t>Väddnätfjäril</t>
        </is>
      </c>
      <c r="S34">
        <f>HYPERLINK("https://klasma.github.io/Logging_0885/artfynd/A 43603-2024 artfynd.xlsx", "A 43603-2024")</f>
        <v/>
      </c>
      <c r="T34">
        <f>HYPERLINK("https://klasma.github.io/Logging_0885/kartor/A 43603-2024 karta.png", "A 43603-2024")</f>
        <v/>
      </c>
      <c r="V34">
        <f>HYPERLINK("https://klasma.github.io/Logging_0885/klagomål/A 43603-2024 FSC-klagomål.docx", "A 43603-2024")</f>
        <v/>
      </c>
      <c r="W34">
        <f>HYPERLINK("https://klasma.github.io/Logging_0885/klagomålsmail/A 43603-2024 FSC-klagomål mail.docx", "A 43603-2024")</f>
        <v/>
      </c>
      <c r="X34">
        <f>HYPERLINK("https://klasma.github.io/Logging_0885/tillsyn/A 43603-2024 tillsynsbegäran.docx", "A 43603-2024")</f>
        <v/>
      </c>
      <c r="Y34">
        <f>HYPERLINK("https://klasma.github.io/Logging_0885/tillsynsmail/A 43603-2024 tillsynsbegäran mail.docx", "A 43603-2024")</f>
        <v/>
      </c>
    </row>
    <row r="35" ht="15" customHeight="1">
      <c r="A35" t="inlineStr">
        <is>
          <t>A 24704-2023</t>
        </is>
      </c>
      <c r="B35" s="1" t="n">
        <v>45084</v>
      </c>
      <c r="C35" s="1" t="n">
        <v>45931</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45931</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24048-2025</t>
        </is>
      </c>
      <c r="B37" s="1" t="n">
        <v>45796.4959375</v>
      </c>
      <c r="C37" s="1" t="n">
        <v>45931</v>
      </c>
      <c r="D37" t="inlineStr">
        <is>
          <t>KALMAR LÄN</t>
        </is>
      </c>
      <c r="E37" t="inlineStr">
        <is>
          <t>BORGHOLM</t>
        </is>
      </c>
      <c r="G37" t="n">
        <v>2</v>
      </c>
      <c r="H37" t="n">
        <v>0</v>
      </c>
      <c r="I37" t="n">
        <v>0</v>
      </c>
      <c r="J37" t="n">
        <v>1</v>
      </c>
      <c r="K37" t="n">
        <v>0</v>
      </c>
      <c r="L37" t="n">
        <v>0</v>
      </c>
      <c r="M37" t="n">
        <v>0</v>
      </c>
      <c r="N37" t="n">
        <v>0</v>
      </c>
      <c r="O37" t="n">
        <v>1</v>
      </c>
      <c r="P37" t="n">
        <v>0</v>
      </c>
      <c r="Q37" t="n">
        <v>1</v>
      </c>
      <c r="R37" s="2" t="inlineStr">
        <is>
          <t>Loppstarr</t>
        </is>
      </c>
      <c r="S37">
        <f>HYPERLINK("https://klasma.github.io/Logging_0885/artfynd/A 24048-2025 artfynd.xlsx", "A 24048-2025")</f>
        <v/>
      </c>
      <c r="T37">
        <f>HYPERLINK("https://klasma.github.io/Logging_0885/kartor/A 24048-2025 karta.png", "A 24048-2025")</f>
        <v/>
      </c>
      <c r="V37">
        <f>HYPERLINK("https://klasma.github.io/Logging_0885/klagomål/A 24048-2025 FSC-klagomål.docx", "A 24048-2025")</f>
        <v/>
      </c>
      <c r="W37">
        <f>HYPERLINK("https://klasma.github.io/Logging_0885/klagomålsmail/A 24048-2025 FSC-klagomål mail.docx", "A 24048-2025")</f>
        <v/>
      </c>
      <c r="X37">
        <f>HYPERLINK("https://klasma.github.io/Logging_0885/tillsyn/A 24048-2025 tillsynsbegäran.docx", "A 24048-2025")</f>
        <v/>
      </c>
      <c r="Y37">
        <f>HYPERLINK("https://klasma.github.io/Logging_0885/tillsynsmail/A 24048-2025 tillsynsbegäran mail.docx", "A 24048-2025")</f>
        <v/>
      </c>
    </row>
    <row r="38" ht="15" customHeight="1">
      <c r="A38" t="inlineStr">
        <is>
          <t>A 41640-2023</t>
        </is>
      </c>
      <c r="B38" s="1" t="n">
        <v>45175</v>
      </c>
      <c r="C38" s="1" t="n">
        <v>45931</v>
      </c>
      <c r="D38" t="inlineStr">
        <is>
          <t>KALMAR LÄN</t>
        </is>
      </c>
      <c r="E38" t="inlineStr">
        <is>
          <t>BORGHOLM</t>
        </is>
      </c>
      <c r="G38" t="n">
        <v>5</v>
      </c>
      <c r="H38" t="n">
        <v>1</v>
      </c>
      <c r="I38" t="n">
        <v>0</v>
      </c>
      <c r="J38" t="n">
        <v>0</v>
      </c>
      <c r="K38" t="n">
        <v>0</v>
      </c>
      <c r="L38" t="n">
        <v>0</v>
      </c>
      <c r="M38" t="n">
        <v>0</v>
      </c>
      <c r="N38" t="n">
        <v>0</v>
      </c>
      <c r="O38" t="n">
        <v>0</v>
      </c>
      <c r="P38" t="n">
        <v>0</v>
      </c>
      <c r="Q38" t="n">
        <v>1</v>
      </c>
      <c r="R38" s="2" t="inlineStr">
        <is>
          <t>Johannesnycklar</t>
        </is>
      </c>
      <c r="S38">
        <f>HYPERLINK("https://klasma.github.io/Logging_0885/artfynd/A 41640-2023 artfynd.xlsx", "A 41640-2023")</f>
        <v/>
      </c>
      <c r="T38">
        <f>HYPERLINK("https://klasma.github.io/Logging_0885/kartor/A 41640-2023 karta.png", "A 41640-2023")</f>
        <v/>
      </c>
      <c r="V38">
        <f>HYPERLINK("https://klasma.github.io/Logging_0885/klagomål/A 41640-2023 FSC-klagomål.docx", "A 41640-2023")</f>
        <v/>
      </c>
      <c r="W38">
        <f>HYPERLINK("https://klasma.github.io/Logging_0885/klagomålsmail/A 41640-2023 FSC-klagomål mail.docx", "A 41640-2023")</f>
        <v/>
      </c>
      <c r="X38">
        <f>HYPERLINK("https://klasma.github.io/Logging_0885/tillsyn/A 41640-2023 tillsynsbegäran.docx", "A 41640-2023")</f>
        <v/>
      </c>
      <c r="Y38">
        <f>HYPERLINK("https://klasma.github.io/Logging_0885/tillsynsmail/A 41640-2023 tillsynsbegäran mail.docx", "A 41640-2023")</f>
        <v/>
      </c>
    </row>
    <row r="39" ht="15" customHeight="1">
      <c r="A39" t="inlineStr">
        <is>
          <t>A 28785-2025</t>
        </is>
      </c>
      <c r="B39" s="1" t="n">
        <v>45820.46159722222</v>
      </c>
      <c r="C39" s="1" t="n">
        <v>45931</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45931</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12785-2021</t>
        </is>
      </c>
      <c r="B41" s="1" t="n">
        <v>44270</v>
      </c>
      <c r="C41" s="1" t="n">
        <v>45931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34885-2025</t>
        </is>
      </c>
      <c r="B42" s="1" t="n">
        <v>45849.47128472223</v>
      </c>
      <c r="C42" s="1" t="n">
        <v>45931</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13558-2025</t>
        </is>
      </c>
      <c r="B43" s="1" t="n">
        <v>45736.54974537037</v>
      </c>
      <c r="C43" s="1" t="n">
        <v>45931</v>
      </c>
      <c r="D43" t="inlineStr">
        <is>
          <t>KALMAR LÄN</t>
        </is>
      </c>
      <c r="E43" t="inlineStr">
        <is>
          <t>BORGHOLM</t>
        </is>
      </c>
      <c r="G43" t="n">
        <v>0.7</v>
      </c>
      <c r="H43" t="n">
        <v>0</v>
      </c>
      <c r="I43" t="n">
        <v>0</v>
      </c>
      <c r="J43" t="n">
        <v>1</v>
      </c>
      <c r="K43" t="n">
        <v>0</v>
      </c>
      <c r="L43" t="n">
        <v>0</v>
      </c>
      <c r="M43" t="n">
        <v>0</v>
      </c>
      <c r="N43" t="n">
        <v>0</v>
      </c>
      <c r="O43" t="n">
        <v>1</v>
      </c>
      <c r="P43" t="n">
        <v>0</v>
      </c>
      <c r="Q43" t="n">
        <v>1</v>
      </c>
      <c r="R43" s="2" t="inlineStr">
        <is>
          <t>Backruta</t>
        </is>
      </c>
      <c r="S43">
        <f>HYPERLINK("https://klasma.github.io/Logging_0885/artfynd/A 13558-2025 artfynd.xlsx", "A 13558-2025")</f>
        <v/>
      </c>
      <c r="T43">
        <f>HYPERLINK("https://klasma.github.io/Logging_0885/kartor/A 13558-2025 karta.png", "A 13558-2025")</f>
        <v/>
      </c>
      <c r="V43">
        <f>HYPERLINK("https://klasma.github.io/Logging_0885/klagomål/A 13558-2025 FSC-klagomål.docx", "A 13558-2025")</f>
        <v/>
      </c>
      <c r="W43">
        <f>HYPERLINK("https://klasma.github.io/Logging_0885/klagomålsmail/A 13558-2025 FSC-klagomål mail.docx", "A 13558-2025")</f>
        <v/>
      </c>
      <c r="X43">
        <f>HYPERLINK("https://klasma.github.io/Logging_0885/tillsyn/A 13558-2025 tillsynsbegäran.docx", "A 13558-2025")</f>
        <v/>
      </c>
      <c r="Y43">
        <f>HYPERLINK("https://klasma.github.io/Logging_0885/tillsynsmail/A 13558-2025 tillsynsbegäran mail.docx", "A 13558-2025")</f>
        <v/>
      </c>
    </row>
    <row r="44" ht="15" customHeight="1">
      <c r="A44" t="inlineStr">
        <is>
          <t>A 45693-2025</t>
        </is>
      </c>
      <c r="B44" s="1" t="n">
        <v>45923</v>
      </c>
      <c r="C44" s="1" t="n">
        <v>45931</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56499-2020</t>
        </is>
      </c>
      <c r="B45" s="1" t="n">
        <v>44137</v>
      </c>
      <c r="C45" s="1" t="n">
        <v>45931</v>
      </c>
      <c r="D45" t="inlineStr">
        <is>
          <t>KALMAR LÄN</t>
        </is>
      </c>
      <c r="E45" t="inlineStr">
        <is>
          <t>BORGHOLM</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45931</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58113-2020</t>
        </is>
      </c>
      <c r="B47" s="1" t="n">
        <v>44144</v>
      </c>
      <c r="C47" s="1" t="n">
        <v>45931</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56475-2020</t>
        </is>
      </c>
      <c r="B48" s="1" t="n">
        <v>44137</v>
      </c>
      <c r="C48" s="1" t="n">
        <v>45931</v>
      </c>
      <c r="D48" t="inlineStr">
        <is>
          <t>KALMAR LÄN</t>
        </is>
      </c>
      <c r="E48" t="inlineStr">
        <is>
          <t>BORGHOLM</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12711-2021</t>
        </is>
      </c>
      <c r="B49" s="1" t="n">
        <v>44270</v>
      </c>
      <c r="C49" s="1" t="n">
        <v>45931</v>
      </c>
      <c r="D49" t="inlineStr">
        <is>
          <t>KALMAR LÄN</t>
        </is>
      </c>
      <c r="E49" t="inlineStr">
        <is>
          <t>BORGHOLM</t>
        </is>
      </c>
      <c r="G49" t="n">
        <v>1.3</v>
      </c>
      <c r="H49" t="n">
        <v>0</v>
      </c>
      <c r="I49" t="n">
        <v>0</v>
      </c>
      <c r="J49" t="n">
        <v>0</v>
      </c>
      <c r="K49" t="n">
        <v>0</v>
      </c>
      <c r="L49" t="n">
        <v>0</v>
      </c>
      <c r="M49" t="n">
        <v>0</v>
      </c>
      <c r="N49" t="n">
        <v>0</v>
      </c>
      <c r="O49" t="n">
        <v>0</v>
      </c>
      <c r="P49" t="n">
        <v>0</v>
      </c>
      <c r="Q49" t="n">
        <v>0</v>
      </c>
      <c r="R49" s="2" t="inlineStr"/>
    </row>
    <row r="50" ht="15" customHeight="1">
      <c r="A50" t="inlineStr">
        <is>
          <t>A 56488-2020</t>
        </is>
      </c>
      <c r="B50" s="1" t="n">
        <v>44137</v>
      </c>
      <c r="C50" s="1" t="n">
        <v>45931</v>
      </c>
      <c r="D50" t="inlineStr">
        <is>
          <t>KALMAR LÄN</t>
        </is>
      </c>
      <c r="E50" t="inlineStr">
        <is>
          <t>BORGHOLM</t>
        </is>
      </c>
      <c r="F50" t="inlineStr">
        <is>
          <t>Sveaskog</t>
        </is>
      </c>
      <c r="G50" t="n">
        <v>1.4</v>
      </c>
      <c r="H50" t="n">
        <v>0</v>
      </c>
      <c r="I50" t="n">
        <v>0</v>
      </c>
      <c r="J50" t="n">
        <v>0</v>
      </c>
      <c r="K50" t="n">
        <v>0</v>
      </c>
      <c r="L50" t="n">
        <v>0</v>
      </c>
      <c r="M50" t="n">
        <v>0</v>
      </c>
      <c r="N50" t="n">
        <v>0</v>
      </c>
      <c r="O50" t="n">
        <v>0</v>
      </c>
      <c r="P50" t="n">
        <v>0</v>
      </c>
      <c r="Q50" t="n">
        <v>0</v>
      </c>
      <c r="R50" s="2" t="inlineStr"/>
    </row>
    <row r="51" ht="15" customHeight="1">
      <c r="A51" t="inlineStr">
        <is>
          <t>A 56506-2020</t>
        </is>
      </c>
      <c r="B51" s="1" t="n">
        <v>44137</v>
      </c>
      <c r="C51" s="1" t="n">
        <v>45931</v>
      </c>
      <c r="D51" t="inlineStr">
        <is>
          <t>KALMAR LÄN</t>
        </is>
      </c>
      <c r="E51" t="inlineStr">
        <is>
          <t>BORGHOLM</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42761-2021</t>
        </is>
      </c>
      <c r="B52" s="1" t="n">
        <v>44428</v>
      </c>
      <c r="C52" s="1" t="n">
        <v>45931</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13325-2021</t>
        </is>
      </c>
      <c r="B53" s="1" t="n">
        <v>44273</v>
      </c>
      <c r="C53" s="1" t="n">
        <v>45931</v>
      </c>
      <c r="D53" t="inlineStr">
        <is>
          <t>KALMAR LÄN</t>
        </is>
      </c>
      <c r="E53" t="inlineStr">
        <is>
          <t>BORGHOLM</t>
        </is>
      </c>
      <c r="G53" t="n">
        <v>0.7</v>
      </c>
      <c r="H53" t="n">
        <v>0</v>
      </c>
      <c r="I53" t="n">
        <v>0</v>
      </c>
      <c r="J53" t="n">
        <v>0</v>
      </c>
      <c r="K53" t="n">
        <v>0</v>
      </c>
      <c r="L53" t="n">
        <v>0</v>
      </c>
      <c r="M53" t="n">
        <v>0</v>
      </c>
      <c r="N53" t="n">
        <v>0</v>
      </c>
      <c r="O53" t="n">
        <v>0</v>
      </c>
      <c r="P53" t="n">
        <v>0</v>
      </c>
      <c r="Q53" t="n">
        <v>0</v>
      </c>
      <c r="R53" s="2" t="inlineStr"/>
    </row>
    <row r="54" ht="15" customHeight="1">
      <c r="A54" t="inlineStr">
        <is>
          <t>A 56421-2020</t>
        </is>
      </c>
      <c r="B54" s="1" t="n">
        <v>44137</v>
      </c>
      <c r="C54" s="1" t="n">
        <v>45931</v>
      </c>
      <c r="D54" t="inlineStr">
        <is>
          <t>KALMAR LÄN</t>
        </is>
      </c>
      <c r="E54" t="inlineStr">
        <is>
          <t>BORGHOLM</t>
        </is>
      </c>
      <c r="F54" t="inlineStr">
        <is>
          <t>Sveaskog</t>
        </is>
      </c>
      <c r="G54" t="n">
        <v>3.9</v>
      </c>
      <c r="H54" t="n">
        <v>0</v>
      </c>
      <c r="I54" t="n">
        <v>0</v>
      </c>
      <c r="J54" t="n">
        <v>0</v>
      </c>
      <c r="K54" t="n">
        <v>0</v>
      </c>
      <c r="L54" t="n">
        <v>0</v>
      </c>
      <c r="M54" t="n">
        <v>0</v>
      </c>
      <c r="N54" t="n">
        <v>0</v>
      </c>
      <c r="O54" t="n">
        <v>0</v>
      </c>
      <c r="P54" t="n">
        <v>0</v>
      </c>
      <c r="Q54" t="n">
        <v>0</v>
      </c>
      <c r="R54" s="2" t="inlineStr"/>
    </row>
    <row r="55" ht="15" customHeight="1">
      <c r="A55" t="inlineStr">
        <is>
          <t>A 32665-2022</t>
        </is>
      </c>
      <c r="B55" s="1" t="n">
        <v>44783</v>
      </c>
      <c r="C55" s="1" t="n">
        <v>45931</v>
      </c>
      <c r="D55" t="inlineStr">
        <is>
          <t>KALMAR LÄN</t>
        </is>
      </c>
      <c r="E55" t="inlineStr">
        <is>
          <t>BORGHOLM</t>
        </is>
      </c>
      <c r="F55" t="inlineStr">
        <is>
          <t>Sveaskog</t>
        </is>
      </c>
      <c r="G55" t="n">
        <v>4.2</v>
      </c>
      <c r="H55" t="n">
        <v>0</v>
      </c>
      <c r="I55" t="n">
        <v>0</v>
      </c>
      <c r="J55" t="n">
        <v>0</v>
      </c>
      <c r="K55" t="n">
        <v>0</v>
      </c>
      <c r="L55" t="n">
        <v>0</v>
      </c>
      <c r="M55" t="n">
        <v>0</v>
      </c>
      <c r="N55" t="n">
        <v>0</v>
      </c>
      <c r="O55" t="n">
        <v>0</v>
      </c>
      <c r="P55" t="n">
        <v>0</v>
      </c>
      <c r="Q55" t="n">
        <v>0</v>
      </c>
      <c r="R55" s="2" t="inlineStr"/>
    </row>
    <row r="56" ht="15" customHeight="1">
      <c r="A56" t="inlineStr">
        <is>
          <t>A 31790-2021</t>
        </is>
      </c>
      <c r="B56" s="1" t="n">
        <v>44370</v>
      </c>
      <c r="C56" s="1" t="n">
        <v>45931</v>
      </c>
      <c r="D56" t="inlineStr">
        <is>
          <t>KALMAR LÄN</t>
        </is>
      </c>
      <c r="E56" t="inlineStr">
        <is>
          <t>BORGHOLM</t>
        </is>
      </c>
      <c r="F56" t="inlineStr">
        <is>
          <t>Sveaskog</t>
        </is>
      </c>
      <c r="G56" t="n">
        <v>3.3</v>
      </c>
      <c r="H56" t="n">
        <v>0</v>
      </c>
      <c r="I56" t="n">
        <v>0</v>
      </c>
      <c r="J56" t="n">
        <v>0</v>
      </c>
      <c r="K56" t="n">
        <v>0</v>
      </c>
      <c r="L56" t="n">
        <v>0</v>
      </c>
      <c r="M56" t="n">
        <v>0</v>
      </c>
      <c r="N56" t="n">
        <v>0</v>
      </c>
      <c r="O56" t="n">
        <v>0</v>
      </c>
      <c r="P56" t="n">
        <v>0</v>
      </c>
      <c r="Q56" t="n">
        <v>0</v>
      </c>
      <c r="R56" s="2" t="inlineStr"/>
    </row>
    <row r="57" ht="15" customHeight="1">
      <c r="A57" t="inlineStr">
        <is>
          <t>A 10348-2022</t>
        </is>
      </c>
      <c r="B57" s="1" t="n">
        <v>44623</v>
      </c>
      <c r="C57" s="1" t="n">
        <v>45931</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28345-2022</t>
        </is>
      </c>
      <c r="B58" s="1" t="n">
        <v>44747</v>
      </c>
      <c r="C58" s="1" t="n">
        <v>45931</v>
      </c>
      <c r="D58" t="inlineStr">
        <is>
          <t>KALMAR LÄN</t>
        </is>
      </c>
      <c r="E58" t="inlineStr">
        <is>
          <t>BORGHOLM</t>
        </is>
      </c>
      <c r="G58" t="n">
        <v>1.5</v>
      </c>
      <c r="H58" t="n">
        <v>0</v>
      </c>
      <c r="I58" t="n">
        <v>0</v>
      </c>
      <c r="J58" t="n">
        <v>0</v>
      </c>
      <c r="K58" t="n">
        <v>0</v>
      </c>
      <c r="L58" t="n">
        <v>0</v>
      </c>
      <c r="M58" t="n">
        <v>0</v>
      </c>
      <c r="N58" t="n">
        <v>0</v>
      </c>
      <c r="O58" t="n">
        <v>0</v>
      </c>
      <c r="P58" t="n">
        <v>0</v>
      </c>
      <c r="Q58" t="n">
        <v>0</v>
      </c>
      <c r="R58" s="2" t="inlineStr"/>
    </row>
    <row r="59" ht="15" customHeight="1">
      <c r="A59" t="inlineStr">
        <is>
          <t>A 44681-2022</t>
        </is>
      </c>
      <c r="B59" s="1" t="n">
        <v>44840</v>
      </c>
      <c r="C59" s="1" t="n">
        <v>45931</v>
      </c>
      <c r="D59" t="inlineStr">
        <is>
          <t>KALMAR LÄN</t>
        </is>
      </c>
      <c r="E59" t="inlineStr">
        <is>
          <t>BORGHOLM</t>
        </is>
      </c>
      <c r="G59" t="n">
        <v>0.5</v>
      </c>
      <c r="H59" t="n">
        <v>0</v>
      </c>
      <c r="I59" t="n">
        <v>0</v>
      </c>
      <c r="J59" t="n">
        <v>0</v>
      </c>
      <c r="K59" t="n">
        <v>0</v>
      </c>
      <c r="L59" t="n">
        <v>0</v>
      </c>
      <c r="M59" t="n">
        <v>0</v>
      </c>
      <c r="N59" t="n">
        <v>0</v>
      </c>
      <c r="O59" t="n">
        <v>0</v>
      </c>
      <c r="P59" t="n">
        <v>0</v>
      </c>
      <c r="Q59" t="n">
        <v>0</v>
      </c>
      <c r="R59" s="2" t="inlineStr"/>
    </row>
    <row r="60" ht="15" customHeight="1">
      <c r="A60" t="inlineStr">
        <is>
          <t>A 32608-2022</t>
        </is>
      </c>
      <c r="B60" s="1" t="n">
        <v>44783</v>
      </c>
      <c r="C60" s="1" t="n">
        <v>45931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61828-2021</t>
        </is>
      </c>
      <c r="B61" s="1" t="n">
        <v>44501</v>
      </c>
      <c r="C61" s="1" t="n">
        <v>45931</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60735-2020</t>
        </is>
      </c>
      <c r="B62" s="1" t="n">
        <v>44153</v>
      </c>
      <c r="C62" s="1" t="n">
        <v>45931</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56188-2021</t>
        </is>
      </c>
      <c r="B63" s="1" t="n">
        <v>44477.83525462963</v>
      </c>
      <c r="C63" s="1" t="n">
        <v>45931</v>
      </c>
      <c r="D63" t="inlineStr">
        <is>
          <t>KALMAR LÄN</t>
        </is>
      </c>
      <c r="E63" t="inlineStr">
        <is>
          <t>BORGHOLM</t>
        </is>
      </c>
      <c r="G63" t="n">
        <v>1.8</v>
      </c>
      <c r="H63" t="n">
        <v>0</v>
      </c>
      <c r="I63" t="n">
        <v>0</v>
      </c>
      <c r="J63" t="n">
        <v>0</v>
      </c>
      <c r="K63" t="n">
        <v>0</v>
      </c>
      <c r="L63" t="n">
        <v>0</v>
      </c>
      <c r="M63" t="n">
        <v>0</v>
      </c>
      <c r="N63" t="n">
        <v>0</v>
      </c>
      <c r="O63" t="n">
        <v>0</v>
      </c>
      <c r="P63" t="n">
        <v>0</v>
      </c>
      <c r="Q63" t="n">
        <v>0</v>
      </c>
      <c r="R63" s="2" t="inlineStr"/>
    </row>
    <row r="64" ht="15" customHeight="1">
      <c r="A64" t="inlineStr">
        <is>
          <t>A 56983-2021</t>
        </is>
      </c>
      <c r="B64" s="1" t="n">
        <v>44482</v>
      </c>
      <c r="C64" s="1" t="n">
        <v>45931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58394-2020</t>
        </is>
      </c>
      <c r="B65" s="1" t="n">
        <v>44145</v>
      </c>
      <c r="C65" s="1" t="n">
        <v>45931</v>
      </c>
      <c r="D65" t="inlineStr">
        <is>
          <t>KALMAR LÄN</t>
        </is>
      </c>
      <c r="E65" t="inlineStr">
        <is>
          <t>BORGHOLM</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56479-2020</t>
        </is>
      </c>
      <c r="B66" s="1" t="n">
        <v>44137</v>
      </c>
      <c r="C66" s="1" t="n">
        <v>45931</v>
      </c>
      <c r="D66" t="inlineStr">
        <is>
          <t>KALMAR LÄN</t>
        </is>
      </c>
      <c r="E66" t="inlineStr">
        <is>
          <t>BORGHOLM</t>
        </is>
      </c>
      <c r="F66" t="inlineStr">
        <is>
          <t>Sveaskog</t>
        </is>
      </c>
      <c r="G66" t="n">
        <v>2.6</v>
      </c>
      <c r="H66" t="n">
        <v>0</v>
      </c>
      <c r="I66" t="n">
        <v>0</v>
      </c>
      <c r="J66" t="n">
        <v>0</v>
      </c>
      <c r="K66" t="n">
        <v>0</v>
      </c>
      <c r="L66" t="n">
        <v>0</v>
      </c>
      <c r="M66" t="n">
        <v>0</v>
      </c>
      <c r="N66" t="n">
        <v>0</v>
      </c>
      <c r="O66" t="n">
        <v>0</v>
      </c>
      <c r="P66" t="n">
        <v>0</v>
      </c>
      <c r="Q66" t="n">
        <v>0</v>
      </c>
      <c r="R66" s="2" t="inlineStr"/>
    </row>
    <row r="67" ht="15" customHeight="1">
      <c r="A67" t="inlineStr">
        <is>
          <t>A 58253-2020</t>
        </is>
      </c>
      <c r="B67" s="1" t="n">
        <v>44144</v>
      </c>
      <c r="C67" s="1" t="n">
        <v>45931</v>
      </c>
      <c r="D67" t="inlineStr">
        <is>
          <t>KALMAR LÄN</t>
        </is>
      </c>
      <c r="E67" t="inlineStr">
        <is>
          <t>BORGHOLM</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56492-2020</t>
        </is>
      </c>
      <c r="B68" s="1" t="n">
        <v>44137</v>
      </c>
      <c r="C68" s="1" t="n">
        <v>45931</v>
      </c>
      <c r="D68" t="inlineStr">
        <is>
          <t>KALMAR LÄN</t>
        </is>
      </c>
      <c r="E68" t="inlineStr">
        <is>
          <t>BORGHOLM</t>
        </is>
      </c>
      <c r="F68" t="inlineStr">
        <is>
          <t>Sveaskog</t>
        </is>
      </c>
      <c r="G68" t="n">
        <v>10.9</v>
      </c>
      <c r="H68" t="n">
        <v>0</v>
      </c>
      <c r="I68" t="n">
        <v>0</v>
      </c>
      <c r="J68" t="n">
        <v>0</v>
      </c>
      <c r="K68" t="n">
        <v>0</v>
      </c>
      <c r="L68" t="n">
        <v>0</v>
      </c>
      <c r="M68" t="n">
        <v>0</v>
      </c>
      <c r="N68" t="n">
        <v>0</v>
      </c>
      <c r="O68" t="n">
        <v>0</v>
      </c>
      <c r="P68" t="n">
        <v>0</v>
      </c>
      <c r="Q68" t="n">
        <v>0</v>
      </c>
      <c r="R68" s="2" t="inlineStr"/>
    </row>
    <row r="69" ht="15" customHeight="1">
      <c r="A69" t="inlineStr">
        <is>
          <t>A 42785-2021</t>
        </is>
      </c>
      <c r="B69" s="1" t="n">
        <v>44428</v>
      </c>
      <c r="C69" s="1" t="n">
        <v>45931</v>
      </c>
      <c r="D69" t="inlineStr">
        <is>
          <t>KALMAR LÄN</t>
        </is>
      </c>
      <c r="E69" t="inlineStr">
        <is>
          <t>BORGHOLM</t>
        </is>
      </c>
      <c r="G69" t="n">
        <v>2.8</v>
      </c>
      <c r="H69" t="n">
        <v>0</v>
      </c>
      <c r="I69" t="n">
        <v>0</v>
      </c>
      <c r="J69" t="n">
        <v>0</v>
      </c>
      <c r="K69" t="n">
        <v>0</v>
      </c>
      <c r="L69" t="n">
        <v>0</v>
      </c>
      <c r="M69" t="n">
        <v>0</v>
      </c>
      <c r="N69" t="n">
        <v>0</v>
      </c>
      <c r="O69" t="n">
        <v>0</v>
      </c>
      <c r="P69" t="n">
        <v>0</v>
      </c>
      <c r="Q69" t="n">
        <v>0</v>
      </c>
      <c r="R69" s="2" t="inlineStr"/>
    </row>
    <row r="70" ht="15" customHeight="1">
      <c r="A70" t="inlineStr">
        <is>
          <t>A 56495-2020</t>
        </is>
      </c>
      <c r="B70" s="1" t="n">
        <v>44137</v>
      </c>
      <c r="C70" s="1" t="n">
        <v>45931</v>
      </c>
      <c r="D70" t="inlineStr">
        <is>
          <t>KALMAR LÄN</t>
        </is>
      </c>
      <c r="E70" t="inlineStr">
        <is>
          <t>BORGHOLM</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32180-2022</t>
        </is>
      </c>
      <c r="B71" s="1" t="n">
        <v>44781</v>
      </c>
      <c r="C71" s="1" t="n">
        <v>45931</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44678-2022</t>
        </is>
      </c>
      <c r="B72" s="1" t="n">
        <v>44840.65100694444</v>
      </c>
      <c r="C72" s="1" t="n">
        <v>45931</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27437-2022</t>
        </is>
      </c>
      <c r="B73" s="1" t="n">
        <v>44742.55567129629</v>
      </c>
      <c r="C73" s="1" t="n">
        <v>45931</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45931</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61438-2023</t>
        </is>
      </c>
      <c r="B75" s="1" t="n">
        <v>45264</v>
      </c>
      <c r="C75" s="1" t="n">
        <v>45931</v>
      </c>
      <c r="D75" t="inlineStr">
        <is>
          <t>KALMAR LÄN</t>
        </is>
      </c>
      <c r="E75" t="inlineStr">
        <is>
          <t>BORGHOLM</t>
        </is>
      </c>
      <c r="G75" t="n">
        <v>1.1</v>
      </c>
      <c r="H75" t="n">
        <v>0</v>
      </c>
      <c r="I75" t="n">
        <v>0</v>
      </c>
      <c r="J75" t="n">
        <v>0</v>
      </c>
      <c r="K75" t="n">
        <v>0</v>
      </c>
      <c r="L75" t="n">
        <v>0</v>
      </c>
      <c r="M75" t="n">
        <v>0</v>
      </c>
      <c r="N75" t="n">
        <v>0</v>
      </c>
      <c r="O75" t="n">
        <v>0</v>
      </c>
      <c r="P75" t="n">
        <v>0</v>
      </c>
      <c r="Q75" t="n">
        <v>0</v>
      </c>
      <c r="R75" s="2" t="inlineStr"/>
    </row>
    <row r="76" ht="15" customHeight="1">
      <c r="A76" t="inlineStr">
        <is>
          <t>A 13041-2024</t>
        </is>
      </c>
      <c r="B76" s="1" t="n">
        <v>45385.60065972222</v>
      </c>
      <c r="C76" s="1" t="n">
        <v>45931</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31699-2022</t>
        </is>
      </c>
      <c r="B77" s="1" t="n">
        <v>44776</v>
      </c>
      <c r="C77" s="1" t="n">
        <v>45931</v>
      </c>
      <c r="D77" t="inlineStr">
        <is>
          <t>KALMAR LÄN</t>
        </is>
      </c>
      <c r="E77" t="inlineStr">
        <is>
          <t>BORGHOLM</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9044-2025</t>
        </is>
      </c>
      <c r="B78" s="1" t="n">
        <v>45713.6275</v>
      </c>
      <c r="C78" s="1" t="n">
        <v>45931</v>
      </c>
      <c r="D78" t="inlineStr">
        <is>
          <t>KALMAR LÄN</t>
        </is>
      </c>
      <c r="E78" t="inlineStr">
        <is>
          <t>BORGHOLM</t>
        </is>
      </c>
      <c r="F78" t="inlineStr">
        <is>
          <t>Sveaskog</t>
        </is>
      </c>
      <c r="G78" t="n">
        <v>4</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45931</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64303-2023</t>
        </is>
      </c>
      <c r="B80" s="1" t="n">
        <v>45280</v>
      </c>
      <c r="C80" s="1" t="n">
        <v>45931</v>
      </c>
      <c r="D80" t="inlineStr">
        <is>
          <t>KALMAR LÄN</t>
        </is>
      </c>
      <c r="E80" t="inlineStr">
        <is>
          <t>BORGHOLM</t>
        </is>
      </c>
      <c r="G80" t="n">
        <v>1.2</v>
      </c>
      <c r="H80" t="n">
        <v>0</v>
      </c>
      <c r="I80" t="n">
        <v>0</v>
      </c>
      <c r="J80" t="n">
        <v>0</v>
      </c>
      <c r="K80" t="n">
        <v>0</v>
      </c>
      <c r="L80" t="n">
        <v>0</v>
      </c>
      <c r="M80" t="n">
        <v>0</v>
      </c>
      <c r="N80" t="n">
        <v>0</v>
      </c>
      <c r="O80" t="n">
        <v>0</v>
      </c>
      <c r="P80" t="n">
        <v>0</v>
      </c>
      <c r="Q80" t="n">
        <v>0</v>
      </c>
      <c r="R80" s="2" t="inlineStr"/>
    </row>
    <row r="81" ht="15" customHeight="1">
      <c r="A81" t="inlineStr">
        <is>
          <t>A 44547-2021</t>
        </is>
      </c>
      <c r="B81" s="1" t="n">
        <v>44435</v>
      </c>
      <c r="C81" s="1" t="n">
        <v>45931</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45931</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9028-2025</t>
        </is>
      </c>
      <c r="B83" s="1" t="n">
        <v>45713</v>
      </c>
      <c r="C83" s="1" t="n">
        <v>45931</v>
      </c>
      <c r="D83" t="inlineStr">
        <is>
          <t>KALMAR LÄN</t>
        </is>
      </c>
      <c r="E83" t="inlineStr">
        <is>
          <t>BORGHOLM</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26160-2024</t>
        </is>
      </c>
      <c r="B84" s="1" t="n">
        <v>45468</v>
      </c>
      <c r="C84" s="1" t="n">
        <v>45931</v>
      </c>
      <c r="D84" t="inlineStr">
        <is>
          <t>KALMAR LÄN</t>
        </is>
      </c>
      <c r="E84" t="inlineStr">
        <is>
          <t>BORGHOLM</t>
        </is>
      </c>
      <c r="G84" t="n">
        <v>0.4</v>
      </c>
      <c r="H84" t="n">
        <v>0</v>
      </c>
      <c r="I84" t="n">
        <v>0</v>
      </c>
      <c r="J84" t="n">
        <v>0</v>
      </c>
      <c r="K84" t="n">
        <v>0</v>
      </c>
      <c r="L84" t="n">
        <v>0</v>
      </c>
      <c r="M84" t="n">
        <v>0</v>
      </c>
      <c r="N84" t="n">
        <v>0</v>
      </c>
      <c r="O84" t="n">
        <v>0</v>
      </c>
      <c r="P84" t="n">
        <v>0</v>
      </c>
      <c r="Q84" t="n">
        <v>0</v>
      </c>
      <c r="R84" s="2" t="inlineStr"/>
      <c r="T84">
        <f>HYPERLINK("https://klasma.github.io/Logging_0885/kartor/A 26160-2024 karta.png", "A 26160-2024")</f>
        <v/>
      </c>
      <c r="V84">
        <f>HYPERLINK("https://klasma.github.io/Logging_0885/klagomål/A 26160-2024 FSC-klagomål.docx", "A 26160-2024")</f>
        <v/>
      </c>
      <c r="W84">
        <f>HYPERLINK("https://klasma.github.io/Logging_0885/klagomålsmail/A 26160-2024 FSC-klagomål mail.docx", "A 26160-2024")</f>
        <v/>
      </c>
      <c r="X84">
        <f>HYPERLINK("https://klasma.github.io/Logging_0885/tillsyn/A 26160-2024 tillsynsbegäran.docx", "A 26160-2024")</f>
        <v/>
      </c>
      <c r="Y84">
        <f>HYPERLINK("https://klasma.github.io/Logging_0885/tillsynsmail/A 26160-2024 tillsynsbegäran mail.docx", "A 26160-2024")</f>
        <v/>
      </c>
    </row>
    <row r="85" ht="15" customHeight="1">
      <c r="A85" t="inlineStr">
        <is>
          <t>A 63075-2023</t>
        </is>
      </c>
      <c r="B85" s="1" t="n">
        <v>45273</v>
      </c>
      <c r="C85" s="1" t="n">
        <v>45931</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50129-2021</t>
        </is>
      </c>
      <c r="B86" s="1" t="n">
        <v>44456</v>
      </c>
      <c r="C86" s="1" t="n">
        <v>45931</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45931</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13043-2024</t>
        </is>
      </c>
      <c r="B88" s="1" t="n">
        <v>45385.60111111111</v>
      </c>
      <c r="C88" s="1" t="n">
        <v>45931</v>
      </c>
      <c r="D88" t="inlineStr">
        <is>
          <t>KALMAR LÄN</t>
        </is>
      </c>
      <c r="E88" t="inlineStr">
        <is>
          <t>BORGHOLM</t>
        </is>
      </c>
      <c r="G88" t="n">
        <v>0.4</v>
      </c>
      <c r="H88" t="n">
        <v>0</v>
      </c>
      <c r="I88" t="n">
        <v>0</v>
      </c>
      <c r="J88" t="n">
        <v>0</v>
      </c>
      <c r="K88" t="n">
        <v>0</v>
      </c>
      <c r="L88" t="n">
        <v>0</v>
      </c>
      <c r="M88" t="n">
        <v>0</v>
      </c>
      <c r="N88" t="n">
        <v>0</v>
      </c>
      <c r="O88" t="n">
        <v>0</v>
      </c>
      <c r="P88" t="n">
        <v>0</v>
      </c>
      <c r="Q88" t="n">
        <v>0</v>
      </c>
      <c r="R88" s="2" t="inlineStr"/>
    </row>
    <row r="89" ht="15" customHeight="1">
      <c r="A89" t="inlineStr">
        <is>
          <t>A 20878-2024</t>
        </is>
      </c>
      <c r="B89" s="1" t="n">
        <v>45439.44748842593</v>
      </c>
      <c r="C89" s="1" t="n">
        <v>45931</v>
      </c>
      <c r="D89" t="inlineStr">
        <is>
          <t>KALMAR LÄN</t>
        </is>
      </c>
      <c r="E89" t="inlineStr">
        <is>
          <t>BORGHOLM</t>
        </is>
      </c>
      <c r="G89" t="n">
        <v>1.9</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45931</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46845-2025</t>
        </is>
      </c>
      <c r="B91" s="1" t="n">
        <v>45928.65019675926</v>
      </c>
      <c r="C91" s="1" t="n">
        <v>45931</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17699-2025</t>
        </is>
      </c>
      <c r="B92" s="1" t="n">
        <v>45758.41846064815</v>
      </c>
      <c r="C92" s="1" t="n">
        <v>45931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45931</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45931</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34780-2022</t>
        </is>
      </c>
      <c r="B95" s="1" t="n">
        <v>44795</v>
      </c>
      <c r="C95" s="1" t="n">
        <v>45931</v>
      </c>
      <c r="D95" t="inlineStr">
        <is>
          <t>KALMAR LÄN</t>
        </is>
      </c>
      <c r="E95" t="inlineStr">
        <is>
          <t>BORGHOLM</t>
        </is>
      </c>
      <c r="F95" t="inlineStr">
        <is>
          <t>Sveaskog</t>
        </is>
      </c>
      <c r="G95" t="n">
        <v>6.7</v>
      </c>
      <c r="H95" t="n">
        <v>0</v>
      </c>
      <c r="I95" t="n">
        <v>0</v>
      </c>
      <c r="J95" t="n">
        <v>0</v>
      </c>
      <c r="K95" t="n">
        <v>0</v>
      </c>
      <c r="L95" t="n">
        <v>0</v>
      </c>
      <c r="M95" t="n">
        <v>0</v>
      </c>
      <c r="N95" t="n">
        <v>0</v>
      </c>
      <c r="O95" t="n">
        <v>0</v>
      </c>
      <c r="P95" t="n">
        <v>0</v>
      </c>
      <c r="Q95" t="n">
        <v>0</v>
      </c>
      <c r="R95" s="2" t="inlineStr"/>
    </row>
    <row r="96" ht="15" customHeight="1">
      <c r="A96" t="inlineStr">
        <is>
          <t>A 55367-2024</t>
        </is>
      </c>
      <c r="B96" s="1" t="n">
        <v>45621.87075231481</v>
      </c>
      <c r="C96" s="1" t="n">
        <v>45931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20287-2025</t>
        </is>
      </c>
      <c r="B97" s="1" t="n">
        <v>45774.60741898148</v>
      </c>
      <c r="C97" s="1" t="n">
        <v>45931</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22785-2025</t>
        </is>
      </c>
      <c r="B98" s="1" t="n">
        <v>45789.64186342592</v>
      </c>
      <c r="C98" s="1" t="n">
        <v>45931</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9076-2025</t>
        </is>
      </c>
      <c r="B99" s="1" t="n">
        <v>45713.6596875</v>
      </c>
      <c r="C99" s="1" t="n">
        <v>45931</v>
      </c>
      <c r="D99" t="inlineStr">
        <is>
          <t>KALMAR LÄN</t>
        </is>
      </c>
      <c r="E99" t="inlineStr">
        <is>
          <t>BORGHOLM</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45931</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45931</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40339-2023</t>
        </is>
      </c>
      <c r="B102" s="1" t="n">
        <v>45169.62733796296</v>
      </c>
      <c r="C102" s="1" t="n">
        <v>45931</v>
      </c>
      <c r="D102" t="inlineStr">
        <is>
          <t>KALMAR LÄN</t>
        </is>
      </c>
      <c r="E102" t="inlineStr">
        <is>
          <t>BORGHOLM</t>
        </is>
      </c>
      <c r="G102" t="n">
        <v>3.8</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45931</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45931</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65144-2020</t>
        </is>
      </c>
      <c r="B105" s="1" t="n">
        <v>44172</v>
      </c>
      <c r="C105" s="1" t="n">
        <v>45931</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26160-2025</t>
        </is>
      </c>
      <c r="B106" s="1" t="n">
        <v>45805.4490162037</v>
      </c>
      <c r="C106" s="1" t="n">
        <v>45931</v>
      </c>
      <c r="D106" t="inlineStr">
        <is>
          <t>KALMAR LÄN</t>
        </is>
      </c>
      <c r="E106" t="inlineStr">
        <is>
          <t>BORGHOLM</t>
        </is>
      </c>
      <c r="G106" t="n">
        <v>3.7</v>
      </c>
      <c r="H106" t="n">
        <v>0</v>
      </c>
      <c r="I106" t="n">
        <v>0</v>
      </c>
      <c r="J106" t="n">
        <v>0</v>
      </c>
      <c r="K106" t="n">
        <v>0</v>
      </c>
      <c r="L106" t="n">
        <v>0</v>
      </c>
      <c r="M106" t="n">
        <v>0</v>
      </c>
      <c r="N106" t="n">
        <v>0</v>
      </c>
      <c r="O106" t="n">
        <v>0</v>
      </c>
      <c r="P106" t="n">
        <v>0</v>
      </c>
      <c r="Q106" t="n">
        <v>0</v>
      </c>
      <c r="R106" s="2" t="inlineStr"/>
    </row>
    <row r="107" ht="15" customHeight="1">
      <c r="A107" t="inlineStr">
        <is>
          <t>A 26190-2025</t>
        </is>
      </c>
      <c r="B107" s="1" t="n">
        <v>45805.48349537037</v>
      </c>
      <c r="C107" s="1" t="n">
        <v>45931</v>
      </c>
      <c r="D107" t="inlineStr">
        <is>
          <t>KALMAR LÄN</t>
        </is>
      </c>
      <c r="E107" t="inlineStr">
        <is>
          <t>BORGHOLM</t>
        </is>
      </c>
      <c r="G107" t="n">
        <v>3.2</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45931</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27357-2025</t>
        </is>
      </c>
      <c r="B109" s="1" t="n">
        <v>45812.63650462963</v>
      </c>
      <c r="C109" s="1" t="n">
        <v>45931</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45931</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45931</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4878-2021</t>
        </is>
      </c>
      <c r="B112" s="1" t="n">
        <v>44225</v>
      </c>
      <c r="C112" s="1" t="n">
        <v>45931</v>
      </c>
      <c r="D112" t="inlineStr">
        <is>
          <t>KALMAR LÄN</t>
        </is>
      </c>
      <c r="E112" t="inlineStr">
        <is>
          <t>BORGHOLM</t>
        </is>
      </c>
      <c r="G112" t="n">
        <v>3</v>
      </c>
      <c r="H112" t="n">
        <v>0</v>
      </c>
      <c r="I112" t="n">
        <v>0</v>
      </c>
      <c r="J112" t="n">
        <v>0</v>
      </c>
      <c r="K112" t="n">
        <v>0</v>
      </c>
      <c r="L112" t="n">
        <v>0</v>
      </c>
      <c r="M112" t="n">
        <v>0</v>
      </c>
      <c r="N112" t="n">
        <v>0</v>
      </c>
      <c r="O112" t="n">
        <v>0</v>
      </c>
      <c r="P112" t="n">
        <v>0</v>
      </c>
      <c r="Q112" t="n">
        <v>0</v>
      </c>
      <c r="R112" s="2" t="inlineStr"/>
    </row>
    <row r="113" ht="15" customHeight="1">
      <c r="A113" t="inlineStr">
        <is>
          <t>A 31720-2022</t>
        </is>
      </c>
      <c r="B113" s="1" t="n">
        <v>44776</v>
      </c>
      <c r="C113" s="1" t="n">
        <v>45931</v>
      </c>
      <c r="D113" t="inlineStr">
        <is>
          <t>KALMAR LÄN</t>
        </is>
      </c>
      <c r="E113" t="inlineStr">
        <is>
          <t>BORGHOLM</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28782-2025</t>
        </is>
      </c>
      <c r="B114" s="1" t="n">
        <v>45820.45572916666</v>
      </c>
      <c r="C114" s="1" t="n">
        <v>45931</v>
      </c>
      <c r="D114" t="inlineStr">
        <is>
          <t>KALMAR LÄN</t>
        </is>
      </c>
      <c r="E114" t="inlineStr">
        <is>
          <t>BORGHOLM</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29656-2023</t>
        </is>
      </c>
      <c r="B115" s="1" t="n">
        <v>45107</v>
      </c>
      <c r="C115" s="1" t="n">
        <v>45931</v>
      </c>
      <c r="D115" t="inlineStr">
        <is>
          <t>KALMAR LÄN</t>
        </is>
      </c>
      <c r="E115" t="inlineStr">
        <is>
          <t>BORGHOLM</t>
        </is>
      </c>
      <c r="G115" t="n">
        <v>4.1</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45931</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9034-2025</t>
        </is>
      </c>
      <c r="B117" s="1" t="n">
        <v>45713</v>
      </c>
      <c r="C117" s="1" t="n">
        <v>45931</v>
      </c>
      <c r="D117" t="inlineStr">
        <is>
          <t>KALMAR LÄN</t>
        </is>
      </c>
      <c r="E117" t="inlineStr">
        <is>
          <t>BORGHOLM</t>
        </is>
      </c>
      <c r="F117" t="inlineStr">
        <is>
          <t>Sveaskog</t>
        </is>
      </c>
      <c r="G117" t="n">
        <v>6.8</v>
      </c>
      <c r="H117" t="n">
        <v>0</v>
      </c>
      <c r="I117" t="n">
        <v>0</v>
      </c>
      <c r="J117" t="n">
        <v>0</v>
      </c>
      <c r="K117" t="n">
        <v>0</v>
      </c>
      <c r="L117" t="n">
        <v>0</v>
      </c>
      <c r="M117" t="n">
        <v>0</v>
      </c>
      <c r="N117" t="n">
        <v>0</v>
      </c>
      <c r="O117" t="n">
        <v>0</v>
      </c>
      <c r="P117" t="n">
        <v>0</v>
      </c>
      <c r="Q117" t="n">
        <v>0</v>
      </c>
      <c r="R117" s="2" t="inlineStr"/>
    </row>
    <row r="118" ht="15" customHeight="1">
      <c r="A118" t="inlineStr">
        <is>
          <t>A 5175-2024</t>
        </is>
      </c>
      <c r="B118" s="1" t="n">
        <v>45330</v>
      </c>
      <c r="C118" s="1" t="n">
        <v>45931</v>
      </c>
      <c r="D118" t="inlineStr">
        <is>
          <t>KALMAR LÄN</t>
        </is>
      </c>
      <c r="E118" t="inlineStr">
        <is>
          <t>BORGHOLM</t>
        </is>
      </c>
      <c r="G118" t="n">
        <v>1.5</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45931</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45931</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41831-2025</t>
        </is>
      </c>
      <c r="B121" s="1" t="n">
        <v>45902.67887731481</v>
      </c>
      <c r="C121" s="1" t="n">
        <v>45931</v>
      </c>
      <c r="D121" t="inlineStr">
        <is>
          <t>KALMAR LÄN</t>
        </is>
      </c>
      <c r="E121" t="inlineStr">
        <is>
          <t>BORGHOLM</t>
        </is>
      </c>
      <c r="G121" t="n">
        <v>1.5</v>
      </c>
      <c r="H121" t="n">
        <v>0</v>
      </c>
      <c r="I121" t="n">
        <v>0</v>
      </c>
      <c r="J121" t="n">
        <v>0</v>
      </c>
      <c r="K121" t="n">
        <v>0</v>
      </c>
      <c r="L121" t="n">
        <v>0</v>
      </c>
      <c r="M121" t="n">
        <v>0</v>
      </c>
      <c r="N121" t="n">
        <v>0</v>
      </c>
      <c r="O121" t="n">
        <v>0</v>
      </c>
      <c r="P121" t="n">
        <v>0</v>
      </c>
      <c r="Q121" t="n">
        <v>0</v>
      </c>
      <c r="R121" s="2" t="inlineStr"/>
    </row>
    <row r="122" ht="15" customHeight="1">
      <c r="A122" t="inlineStr">
        <is>
          <t>A 13548-2025</t>
        </is>
      </c>
      <c r="B122" s="1" t="n">
        <v>45736.53827546296</v>
      </c>
      <c r="C122" s="1" t="n">
        <v>45931</v>
      </c>
      <c r="D122" t="inlineStr">
        <is>
          <t>KALMAR LÄN</t>
        </is>
      </c>
      <c r="E122" t="inlineStr">
        <is>
          <t>BORGHOLM</t>
        </is>
      </c>
      <c r="G122" t="n">
        <v>1</v>
      </c>
      <c r="H122" t="n">
        <v>0</v>
      </c>
      <c r="I122" t="n">
        <v>0</v>
      </c>
      <c r="J122" t="n">
        <v>0</v>
      </c>
      <c r="K122" t="n">
        <v>0</v>
      </c>
      <c r="L122" t="n">
        <v>0</v>
      </c>
      <c r="M122" t="n">
        <v>0</v>
      </c>
      <c r="N122" t="n">
        <v>0</v>
      </c>
      <c r="O122" t="n">
        <v>0</v>
      </c>
      <c r="P122" t="n">
        <v>0</v>
      </c>
      <c r="Q122" t="n">
        <v>0</v>
      </c>
      <c r="R122" s="2" t="inlineStr"/>
    </row>
    <row r="123" ht="15" customHeight="1">
      <c r="A123" t="inlineStr">
        <is>
          <t>A 19867-2024</t>
        </is>
      </c>
      <c r="B123" s="1" t="n">
        <v>45433</v>
      </c>
      <c r="C123" s="1" t="n">
        <v>45931</v>
      </c>
      <c r="D123" t="inlineStr">
        <is>
          <t>KALMAR LÄN</t>
        </is>
      </c>
      <c r="E123" t="inlineStr">
        <is>
          <t>BORGHOLM</t>
        </is>
      </c>
      <c r="G123" t="n">
        <v>3.9</v>
      </c>
      <c r="H123" t="n">
        <v>0</v>
      </c>
      <c r="I123" t="n">
        <v>0</v>
      </c>
      <c r="J123" t="n">
        <v>0</v>
      </c>
      <c r="K123" t="n">
        <v>0</v>
      </c>
      <c r="L123" t="n">
        <v>0</v>
      </c>
      <c r="M123" t="n">
        <v>0</v>
      </c>
      <c r="N123" t="n">
        <v>0</v>
      </c>
      <c r="O123" t="n">
        <v>0</v>
      </c>
      <c r="P123" t="n">
        <v>0</v>
      </c>
      <c r="Q123" t="n">
        <v>0</v>
      </c>
      <c r="R123" s="2" t="inlineStr"/>
    </row>
    <row r="124" ht="15" customHeight="1">
      <c r="A124" t="inlineStr">
        <is>
          <t>A 42232-2025</t>
        </is>
      </c>
      <c r="B124" s="1" t="n">
        <v>45904.55591435185</v>
      </c>
      <c r="C124" s="1" t="n">
        <v>45931</v>
      </c>
      <c r="D124" t="inlineStr">
        <is>
          <t>KALMAR LÄN</t>
        </is>
      </c>
      <c r="E124" t="inlineStr">
        <is>
          <t>BORGHOLM</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41950-2025</t>
        </is>
      </c>
      <c r="B125" s="1" t="n">
        <v>45903.45767361111</v>
      </c>
      <c r="C125" s="1" t="n">
        <v>45931</v>
      </c>
      <c r="D125" t="inlineStr">
        <is>
          <t>KALMAR LÄN</t>
        </is>
      </c>
      <c r="E125" t="inlineStr">
        <is>
          <t>BORGHOLM</t>
        </is>
      </c>
      <c r="G125" t="n">
        <v>1.8</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45931</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45931</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36269-2025</t>
        </is>
      </c>
      <c r="B128" s="1" t="n">
        <v>45867.61736111111</v>
      </c>
      <c r="C128" s="1" t="n">
        <v>45931</v>
      </c>
      <c r="D128" t="inlineStr">
        <is>
          <t>KALMAR LÄN</t>
        </is>
      </c>
      <c r="E128" t="inlineStr">
        <is>
          <t>BORGHOLM</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31840-2021</t>
        </is>
      </c>
      <c r="B129" s="1" t="n">
        <v>44370</v>
      </c>
      <c r="C129" s="1" t="n">
        <v>45931</v>
      </c>
      <c r="D129" t="inlineStr">
        <is>
          <t>KALMAR LÄN</t>
        </is>
      </c>
      <c r="E129" t="inlineStr">
        <is>
          <t>BORGHOLM</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43542-2025</t>
        </is>
      </c>
      <c r="B130" s="1" t="n">
        <v>45911.61123842592</v>
      </c>
      <c r="C130" s="1" t="n">
        <v>45931</v>
      </c>
      <c r="D130" t="inlineStr">
        <is>
          <t>KALMAR LÄN</t>
        </is>
      </c>
      <c r="E130" t="inlineStr">
        <is>
          <t>BORGHOLM</t>
        </is>
      </c>
      <c r="G130" t="n">
        <v>2.4</v>
      </c>
      <c r="H130" t="n">
        <v>0</v>
      </c>
      <c r="I130" t="n">
        <v>0</v>
      </c>
      <c r="J130" t="n">
        <v>0</v>
      </c>
      <c r="K130" t="n">
        <v>0</v>
      </c>
      <c r="L130" t="n">
        <v>0</v>
      </c>
      <c r="M130" t="n">
        <v>0</v>
      </c>
      <c r="N130" t="n">
        <v>0</v>
      </c>
      <c r="O130" t="n">
        <v>0</v>
      </c>
      <c r="P130" t="n">
        <v>0</v>
      </c>
      <c r="Q130" t="n">
        <v>0</v>
      </c>
      <c r="R130" s="2" t="inlineStr"/>
    </row>
    <row r="131" ht="15" customHeight="1">
      <c r="A131" t="inlineStr">
        <is>
          <t>A 12937-2022</t>
        </is>
      </c>
      <c r="B131" s="1" t="n">
        <v>44642</v>
      </c>
      <c r="C131" s="1" t="n">
        <v>45931</v>
      </c>
      <c r="D131" t="inlineStr">
        <is>
          <t>KALMAR LÄN</t>
        </is>
      </c>
      <c r="E131" t="inlineStr">
        <is>
          <t>BORGHOLM</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44224-2025</t>
        </is>
      </c>
      <c r="B132" s="1" t="n">
        <v>45915</v>
      </c>
      <c r="C132" s="1" t="n">
        <v>45931</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7960-2023</t>
        </is>
      </c>
      <c r="B133" s="1" t="n">
        <v>44973</v>
      </c>
      <c r="C133" s="1" t="n">
        <v>45931</v>
      </c>
      <c r="D133" t="inlineStr">
        <is>
          <t>KALMAR LÄN</t>
        </is>
      </c>
      <c r="E133" t="inlineStr">
        <is>
          <t>BORGHOLM</t>
        </is>
      </c>
      <c r="G133" t="n">
        <v>2.1</v>
      </c>
      <c r="H133" t="n">
        <v>0</v>
      </c>
      <c r="I133" t="n">
        <v>0</v>
      </c>
      <c r="J133" t="n">
        <v>0</v>
      </c>
      <c r="K133" t="n">
        <v>0</v>
      </c>
      <c r="L133" t="n">
        <v>0</v>
      </c>
      <c r="M133" t="n">
        <v>0</v>
      </c>
      <c r="N133" t="n">
        <v>0</v>
      </c>
      <c r="O133" t="n">
        <v>0</v>
      </c>
      <c r="P133" t="n">
        <v>0</v>
      </c>
      <c r="Q133" t="n">
        <v>0</v>
      </c>
      <c r="R133" s="2" t="inlineStr"/>
    </row>
    <row r="134" ht="15" customHeight="1">
      <c r="A134" t="inlineStr">
        <is>
          <t>A 45734-2025</t>
        </is>
      </c>
      <c r="B134" s="1" t="n">
        <v>45923.46512731481</v>
      </c>
      <c r="C134" s="1" t="n">
        <v>45931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c r="A135" t="inlineStr">
        <is>
          <t>A 45869-2025</t>
        </is>
      </c>
      <c r="B135" s="1" t="n">
        <v>45923.65313657407</v>
      </c>
      <c r="C135" s="1" t="n">
        <v>45931</v>
      </c>
      <c r="D135" t="inlineStr">
        <is>
          <t>KALMAR LÄN</t>
        </is>
      </c>
      <c r="E135" t="inlineStr">
        <is>
          <t>BORGHOLM</t>
        </is>
      </c>
      <c r="G135" t="n">
        <v>4.5</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2025-10-01T12:52:05Z</dcterms:created>
  <dcterms:modified xmlns:dcterms="http://purl.org/dc/terms/" xmlns:xsi="http://www.w3.org/2001/XMLSchema-instance" xsi:type="dcterms:W3CDTF">2025-10-01T12:52:05Z</dcterms:modified>
</cp:coreProperties>
</file>