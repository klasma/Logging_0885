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46261</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46261</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46261</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46261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46261</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46261</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46261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46261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46261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46261</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46261</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16171-2023</t>
        </is>
      </c>
      <c r="B34" t="inlineStr">
        <is>
          <t>avverkningsanmälan</t>
        </is>
      </c>
      <c r="C34" t="inlineStr">
        <is>
          <t>Föryngringsavverkning</t>
        </is>
      </c>
      <c r="D34" s="1" t="n">
        <v>45027</v>
      </c>
      <c r="E34" s="1" t="n">
        <v>46261</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27298-2026</t>
        </is>
      </c>
      <c r="B35" t="inlineStr">
        <is>
          <t>avverkningsanmälan</t>
        </is>
      </c>
      <c r="C35" t="inlineStr">
        <is>
          <t>Avverkning för att bevara och utveckla /försöksver</t>
        </is>
      </c>
      <c r="D35" s="1" t="n">
        <v>46188</v>
      </c>
      <c r="E35" s="1" t="n">
        <v>46261</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46261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46261</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46261</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27290-2026</t>
        </is>
      </c>
      <c r="B42" t="inlineStr">
        <is>
          <t>avverkningsanmälan</t>
        </is>
      </c>
      <c r="C42" t="inlineStr">
        <is>
          <t>Avverkning för att bevara och utveckla /försöksver</t>
        </is>
      </c>
      <c r="D42" s="1" t="n">
        <v>46188</v>
      </c>
      <c r="E42" s="1" t="n">
        <v>46261</v>
      </c>
      <c r="F42" t="inlineStr">
        <is>
          <t>KALMAR LÄN</t>
        </is>
      </c>
      <c r="G42" t="inlineStr">
        <is>
          <t>BORGHOLM</t>
        </is>
      </c>
      <c r="H42" t="inlineStr">
        <is>
          <t>Sveaskog</t>
        </is>
      </c>
      <c r="I42" t="n">
        <v>4.1</v>
      </c>
      <c r="J42" t="n">
        <v>2</v>
      </c>
      <c r="K42" t="n">
        <v>1</v>
      </c>
      <c r="L42" t="n">
        <v>0</v>
      </c>
      <c r="M42" t="n">
        <v>1</v>
      </c>
      <c r="N42" t="n">
        <v>1</v>
      </c>
      <c r="O42" t="n">
        <v>0</v>
      </c>
      <c r="P42" t="n">
        <v>0</v>
      </c>
      <c r="Q42" t="n">
        <v>2</v>
      </c>
      <c r="R42" t="n">
        <v>2</v>
      </c>
      <c r="S42" t="n">
        <v>4</v>
      </c>
      <c r="T42" t="n">
        <v>4</v>
      </c>
      <c r="U42" t="n">
        <v>0</v>
      </c>
      <c r="V42" s="2" t="inlineStr">
        <is>
          <t>Ask
Gotlandsmåra
Skogsknipprot
Havsörn</t>
        </is>
      </c>
      <c r="W42">
        <f>HYPERLINK("https://klasma.github.io/Logging_0885/artfynd/A 27290-2026 artfynd.xlsx", "A 27290-2026")</f>
        <v/>
      </c>
      <c r="X42">
        <f>HYPERLINK("https://klasma.github.io/Logging_0885/kartor/A 27290-2026 karta.png", "A 27290-2026")</f>
        <v/>
      </c>
      <c r="Y42">
        <f>HYPERLINK("https://klasma.github.io/Logging_0885/kartor_geotiff/A 27290-2026 georefererad karta.tif", "A 27290-2026")</f>
        <v/>
      </c>
      <c r="AA42">
        <f>HYPERLINK("https://klasma.github.io/Logging_0885/klagomål/A 27290-2026 FSC-klagomål.docx", "A 27290-2026")</f>
        <v/>
      </c>
      <c r="AB42">
        <f>HYPERLINK("https://klasma.github.io/Logging_0885/klagomålsmail/A 27290-2026 FSC-klagomål mail.docx", "A 27290-2026")</f>
        <v/>
      </c>
      <c r="AC42">
        <f>HYPERLINK("https://klasma.github.io/Logging_0885/tillsyn/A 27290-2026 tillsynsbegäran.docx", "A 27290-2026")</f>
        <v/>
      </c>
      <c r="AD42">
        <f>HYPERLINK("https://klasma.github.io/Logging_0885/tillsynsmail/A 27290-2026 tillsynsbegäran mail.docx", "A 27290-2026")</f>
        <v/>
      </c>
      <c r="AE42">
        <f>HYPERLINK("https://klasma.github.io/Logging_0885/fåglar/A 27290-2026 prioriterade fågelarter.docx", "A 27290-2026")</f>
        <v/>
      </c>
    </row>
    <row r="43" ht="15" customHeight="1">
      <c r="A43" t="inlineStr">
        <is>
          <t>A 13556-2025</t>
        </is>
      </c>
      <c r="B43" t="inlineStr">
        <is>
          <t>avverkningsanmälan</t>
        </is>
      </c>
      <c r="C43" t="inlineStr">
        <is>
          <t>Föryngringsavverkning</t>
        </is>
      </c>
      <c r="D43" s="1" t="n">
        <v>45736</v>
      </c>
      <c r="E43" s="1" t="n">
        <v>46261</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46261</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4164-2023</t>
        </is>
      </c>
      <c r="B45" t="inlineStr">
        <is>
          <t>avverkningsanmälan</t>
        </is>
      </c>
      <c r="C45" t="inlineStr">
        <is>
          <t>Föryngringsavverkning</t>
        </is>
      </c>
      <c r="D45" s="1" t="n">
        <v>44953</v>
      </c>
      <c r="E45" s="1" t="n">
        <v>46261</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46261</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2740-2022</t>
        </is>
      </c>
      <c r="B47" t="inlineStr">
        <is>
          <t>samrådsanmälan</t>
        </is>
      </c>
      <c r="C47" t="inlineStr">
        <is>
          <t>Annan skogsbruksåtgärd</t>
        </is>
      </c>
      <c r="D47" s="1" t="n">
        <v>44704</v>
      </c>
      <c r="E47" s="1" t="n">
        <v>46261</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46261</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46261</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24048-2025</t>
        </is>
      </c>
      <c r="B50" t="inlineStr">
        <is>
          <t>avverkningsanmälan</t>
        </is>
      </c>
      <c r="C50" t="inlineStr">
        <is>
          <t>Föryngringsavverkning</t>
        </is>
      </c>
      <c r="D50" s="1" t="n">
        <v>45796</v>
      </c>
      <c r="E50" s="1" t="n">
        <v>46261</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t="n">
        <v>0</v>
      </c>
      <c r="V50" s="2" t="inlineStr">
        <is>
          <t>Loppstarr
Ängsstarr
Kärrknipprot</t>
        </is>
      </c>
      <c r="W50">
        <f>HYPERLINK("https://klasma.github.io/Logging_0885/artfynd/A 24048-2025 artfynd.xlsx", "A 24048-2025")</f>
        <v/>
      </c>
      <c r="X50">
        <f>HYPERLINK("https://klasma.github.io/Logging_0885/kartor/A 24048-2025 karta.png", "A 24048-2025")</f>
        <v/>
      </c>
      <c r="Y50">
        <f>HYPERLINK("https://klasma.github.io/Logging_0885/kartor_geotiff/A 24048-2025 georefererad karta.tif", "A 24048-2025")</f>
        <v/>
      </c>
      <c r="AA50">
        <f>HYPERLINK("https://klasma.github.io/Logging_0885/klagomål/A 24048-2025 FSC-klagomål.docx", "A 24048-2025")</f>
        <v/>
      </c>
      <c r="AB50">
        <f>HYPERLINK("https://klasma.github.io/Logging_0885/klagomålsmail/A 24048-2025 FSC-klagomål mail.docx", "A 24048-2025")</f>
        <v/>
      </c>
      <c r="AC50">
        <f>HYPERLINK("https://klasma.github.io/Logging_0885/tillsyn/A 24048-2025 tillsynsbegäran.docx", "A 24048-2025")</f>
        <v/>
      </c>
      <c r="AD50">
        <f>HYPERLINK("https://klasma.github.io/Logging_0885/tillsynsmail/A 24048-2025 tillsynsbegäran mail.docx", "A 24048-2025")</f>
        <v/>
      </c>
    </row>
    <row r="51" ht="15" customHeight="1">
      <c r="A51" t="inlineStr">
        <is>
          <t>A 38860-2025</t>
        </is>
      </c>
      <c r="B51" t="inlineStr">
        <is>
          <t>avverkningsanmälan</t>
        </is>
      </c>
      <c r="C51" t="inlineStr">
        <is>
          <t>Föryngringsavverkning</t>
        </is>
      </c>
      <c r="D51" s="1" t="n">
        <v>45887</v>
      </c>
      <c r="E51" s="1" t="n">
        <v>46261</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46261</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46261</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46261</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31520-2026</t>
        </is>
      </c>
      <c r="B55" t="inlineStr">
        <is>
          <t>avverkningsanmälan</t>
        </is>
      </c>
      <c r="C55" t="inlineStr">
        <is>
          <t>Avverkning för att bevara och utveckla /försöksver</t>
        </is>
      </c>
      <c r="D55" s="1" t="n">
        <v>46223</v>
      </c>
      <c r="E55" s="1" t="n">
        <v>46261</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26849-2026</t>
        </is>
      </c>
      <c r="B56" t="inlineStr">
        <is>
          <t>avverkningsanmälan</t>
        </is>
      </c>
      <c r="C56" t="inlineStr">
        <is>
          <t>Föryngringsavverkning</t>
        </is>
      </c>
      <c r="D56" s="1" t="n">
        <v>46185</v>
      </c>
      <c r="E56" s="1" t="n">
        <v>46261</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46261</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43756-2022</t>
        </is>
      </c>
      <c r="B58" t="inlineStr">
        <is>
          <t>avverkningsanmälan</t>
        </is>
      </c>
      <c r="C58" t="inlineStr">
        <is>
          <t>Föryngringsavverkning</t>
        </is>
      </c>
      <c r="D58" s="1" t="n">
        <v>44837</v>
      </c>
      <c r="E58" s="1" t="n">
        <v>46261</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S 846-2026</t>
        </is>
      </c>
      <c r="B59" t="inlineStr">
        <is>
          <t>samrådsanmälan</t>
        </is>
      </c>
      <c r="C59" t="inlineStr">
        <is>
          <t>Annan skogsbruksåtgärd</t>
        </is>
      </c>
      <c r="D59" s="1" t="n">
        <v>46105</v>
      </c>
      <c r="E59" s="1" t="n">
        <v>46261</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46261</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46261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46261</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46261</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9253-2026</t>
        </is>
      </c>
      <c r="B64" t="inlineStr">
        <is>
          <t>avverkningsanmälan</t>
        </is>
      </c>
      <c r="C64" t="inlineStr">
        <is>
          <t>Föryngringsavverkning</t>
        </is>
      </c>
      <c r="D64" s="1" t="n">
        <v>46070</v>
      </c>
      <c r="E64" s="1" t="n">
        <v>46261</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60141-2025</t>
        </is>
      </c>
      <c r="B65" t="inlineStr">
        <is>
          <t>avverkningsanmälan</t>
        </is>
      </c>
      <c r="C65" t="inlineStr">
        <is>
          <t>Föryngringsavverkning</t>
        </is>
      </c>
      <c r="D65" s="1" t="n">
        <v>45994</v>
      </c>
      <c r="E65" s="1" t="n">
        <v>46261</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46261</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24322-2026</t>
        </is>
      </c>
      <c r="B67" t="inlineStr">
        <is>
          <t>avverkningsanmälan</t>
        </is>
      </c>
      <c r="C67" t="inlineStr">
        <is>
          <t>Föryngringsavverkning</t>
        </is>
      </c>
      <c r="D67" s="1" t="n">
        <v>46169</v>
      </c>
      <c r="E67" s="1" t="n">
        <v>46261</v>
      </c>
      <c r="F67" t="inlineStr">
        <is>
          <t>KALMAR LÄN</t>
        </is>
      </c>
      <c r="G67" t="inlineStr">
        <is>
          <t>BORGHOLM</t>
        </is>
      </c>
      <c r="H67" t="inlineStr">
        <is>
          <t>Sveaskog</t>
        </is>
      </c>
      <c r="I67" t="n">
        <v>5.5</v>
      </c>
      <c r="J67" t="n">
        <v>2</v>
      </c>
      <c r="K67" t="n">
        <v>2</v>
      </c>
      <c r="L67" t="n">
        <v>0</v>
      </c>
      <c r="M67" t="n">
        <v>0</v>
      </c>
      <c r="N67" t="n">
        <v>0</v>
      </c>
      <c r="O67" t="n">
        <v>0</v>
      </c>
      <c r="P67" t="n">
        <v>0</v>
      </c>
      <c r="Q67" t="n">
        <v>0</v>
      </c>
      <c r="R67" t="n">
        <v>0</v>
      </c>
      <c r="S67" t="n">
        <v>2</v>
      </c>
      <c r="T67" t="n">
        <v>2</v>
      </c>
      <c r="U67" t="n">
        <v>0</v>
      </c>
      <c r="V67" s="2" t="inlineStr">
        <is>
          <t>Purpurknipprot
Skogsknipprot</t>
        </is>
      </c>
      <c r="W67">
        <f>HYPERLINK("https://klasma.github.io/Logging_0885/artfynd/A 24322-2026 artfynd.xlsx", "A 24322-2026")</f>
        <v/>
      </c>
      <c r="X67">
        <f>HYPERLINK("https://klasma.github.io/Logging_0885/kartor/A 24322-2026 karta.png", "A 24322-2026")</f>
        <v/>
      </c>
      <c r="Y67">
        <f>HYPERLINK("https://klasma.github.io/Logging_0885/kartor_geotiff/A 24322-2026 georefererad karta.tif", "A 24322-2026")</f>
        <v/>
      </c>
      <c r="AA67">
        <f>HYPERLINK("https://klasma.github.io/Logging_0885/klagomål/A 24322-2026 FSC-klagomål.docx", "A 24322-2026")</f>
        <v/>
      </c>
      <c r="AB67">
        <f>HYPERLINK("https://klasma.github.io/Logging_0885/klagomålsmail/A 24322-2026 FSC-klagomål mail.docx", "A 24322-2026")</f>
        <v/>
      </c>
      <c r="AC67">
        <f>HYPERLINK("https://klasma.github.io/Logging_0885/tillsyn/A 24322-2026 tillsynsbegäran.docx", "A 24322-2026")</f>
        <v/>
      </c>
      <c r="AD67">
        <f>HYPERLINK("https://klasma.github.io/Logging_0885/tillsynsmail/A 24322-2026 tillsynsbegäran mail.docx", "A 24322-2026")</f>
        <v/>
      </c>
    </row>
    <row r="68" ht="15" customHeight="1">
      <c r="A68" t="inlineStr">
        <is>
          <t>A 44678-2022</t>
        </is>
      </c>
      <c r="B68" t="inlineStr">
        <is>
          <t>avverkningsanmälan</t>
        </is>
      </c>
      <c r="C68" t="inlineStr">
        <is>
          <t>Föryngringsavverkning</t>
        </is>
      </c>
      <c r="D68" s="1" t="n">
        <v>44840</v>
      </c>
      <c r="E68" s="1" t="n">
        <v>46261</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29411-2026</t>
        </is>
      </c>
      <c r="B69" t="inlineStr">
        <is>
          <t>avverkningsanmälan</t>
        </is>
      </c>
      <c r="C69" t="inlineStr">
        <is>
          <t>Avverkning för att bevara och utveckla /försöksver</t>
        </is>
      </c>
      <c r="D69" s="1" t="n">
        <v>46203</v>
      </c>
      <c r="E69" s="1" t="n">
        <v>46261</v>
      </c>
      <c r="F69" t="inlineStr">
        <is>
          <t>KALMAR LÄN</t>
        </is>
      </c>
      <c r="G69" t="inlineStr">
        <is>
          <t>BORGHOLM</t>
        </is>
      </c>
      <c r="H69" t="inlineStr">
        <is>
          <t>Sveaskog</t>
        </is>
      </c>
      <c r="I69" t="n">
        <v>0.6</v>
      </c>
      <c r="J69" t="n">
        <v>1</v>
      </c>
      <c r="K69" t="n">
        <v>1</v>
      </c>
      <c r="L69" t="n">
        <v>0</v>
      </c>
      <c r="M69" t="n">
        <v>1</v>
      </c>
      <c r="N69" t="n">
        <v>0</v>
      </c>
      <c r="O69" t="n">
        <v>0</v>
      </c>
      <c r="P69" t="n">
        <v>0</v>
      </c>
      <c r="Q69" t="n">
        <v>1</v>
      </c>
      <c r="R69" t="n">
        <v>1</v>
      </c>
      <c r="S69" t="n">
        <v>2</v>
      </c>
      <c r="T69" t="n">
        <v>2</v>
      </c>
      <c r="U69" t="n">
        <v>1</v>
      </c>
      <c r="V69" s="2" t="inlineStr">
        <is>
          <t>Bredbrämad bastardsvärmare
Ekoxe</t>
        </is>
      </c>
      <c r="W69">
        <f>HYPERLINK("https://klasma.github.io/Logging_0885/artfynd/A 29411-2026 artfynd.xlsx", "A 29411-2026")</f>
        <v/>
      </c>
      <c r="X69">
        <f>HYPERLINK("https://klasma.github.io/Logging_0885/kartor/A 29411-2026 karta.png", "A 29411-2026")</f>
        <v/>
      </c>
      <c r="Y69">
        <f>HYPERLINK("https://klasma.github.io/Logging_0885/kartor_geotiff/A 29411-2026 georefererad karta.tif", "A 29411-2026")</f>
        <v/>
      </c>
      <c r="AA69">
        <f>HYPERLINK("https://klasma.github.io/Logging_0885/klagomål/A 29411-2026 FSC-klagomål.docx", "A 29411-2026")</f>
        <v/>
      </c>
      <c r="AB69">
        <f>HYPERLINK("https://klasma.github.io/Logging_0885/klagomålsmail/A 29411-2026 FSC-klagomål mail.docx", "A 29411-2026")</f>
        <v/>
      </c>
      <c r="AC69">
        <f>HYPERLINK("https://klasma.github.io/Logging_0885/tillsyn/A 29411-2026 tillsynsbegäran.docx", "A 29411-2026")</f>
        <v/>
      </c>
      <c r="AD69">
        <f>HYPERLINK("https://klasma.github.io/Logging_0885/tillsynsmail/A 29411-2026 tillsynsbegäran mail.docx", "A 29411-2026")</f>
        <v/>
      </c>
    </row>
    <row r="70" ht="15" customHeight="1">
      <c r="A70" t="inlineStr">
        <is>
          <t>A 29434-2026</t>
        </is>
      </c>
      <c r="B70" t="inlineStr">
        <is>
          <t>avverkningsanmälan</t>
        </is>
      </c>
      <c r="C70" t="inlineStr">
        <is>
          <t>Avverkning för att bevara och utveckla /försöksver</t>
        </is>
      </c>
      <c r="D70" s="1" t="n">
        <v>46203</v>
      </c>
      <c r="E70" s="1" t="n">
        <v>46261</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50129-2021</t>
        </is>
      </c>
      <c r="B71" t="inlineStr">
        <is>
          <t>avverkningsanmälan</t>
        </is>
      </c>
      <c r="C71" t="inlineStr">
        <is>
          <t>Avverkning för annat ändamål</t>
        </is>
      </c>
      <c r="D71" s="1" t="n">
        <v>44456</v>
      </c>
      <c r="E71" s="1" t="n">
        <v>46261</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46261</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21908-2022</t>
        </is>
      </c>
      <c r="B73" t="inlineStr">
        <is>
          <t>avverkningsanmälan</t>
        </is>
      </c>
      <c r="C73" t="inlineStr">
        <is>
          <t>Föryngringsavverkning</t>
        </is>
      </c>
      <c r="D73" s="1" t="n">
        <v>44711</v>
      </c>
      <c r="E73" s="1" t="n">
        <v>46261</v>
      </c>
      <c r="F73" t="inlineStr">
        <is>
          <t>KALMAR LÄN</t>
        </is>
      </c>
      <c r="G73" t="inlineStr">
        <is>
          <t>BORGHOLM</t>
        </is>
      </c>
      <c r="I73" t="n">
        <v>4.7</v>
      </c>
      <c r="J73" t="n">
        <v>1</v>
      </c>
      <c r="K73" t="n">
        <v>2</v>
      </c>
      <c r="L73" t="n">
        <v>0</v>
      </c>
      <c r="M73" t="n">
        <v>0</v>
      </c>
      <c r="N73" t="n">
        <v>0</v>
      </c>
      <c r="O73" t="n">
        <v>0</v>
      </c>
      <c r="P73" t="n">
        <v>0</v>
      </c>
      <c r="Q73" t="n">
        <v>0</v>
      </c>
      <c r="R73" t="n">
        <v>0</v>
      </c>
      <c r="S73" t="n">
        <v>2</v>
      </c>
      <c r="T73" t="n">
        <v>2</v>
      </c>
      <c r="U73" t="n">
        <v>2</v>
      </c>
      <c r="V73" s="2" t="inlineStr">
        <is>
          <t>Myskmadra
Skogsknipprot</t>
        </is>
      </c>
      <c r="W73">
        <f>HYPERLINK("https://klasma.github.io/Logging_0885/artfynd/A 21908-2022 artfynd.xlsx", "A 21908-2022")</f>
        <v/>
      </c>
      <c r="X73">
        <f>HYPERLINK("https://klasma.github.io/Logging_0885/kartor/A 21908-2022 karta.png", "A 21908-2022")</f>
        <v/>
      </c>
      <c r="Y73">
        <f>HYPERLINK("https://klasma.github.io/Logging_0885/kartor_geotiff/A 21908-2022 georefererad karta.tif", "A 21908-2022")</f>
        <v/>
      </c>
      <c r="AA73">
        <f>HYPERLINK("https://klasma.github.io/Logging_0885/klagomål/A 21908-2022 FSC-klagomål.docx", "A 21908-2022")</f>
        <v/>
      </c>
      <c r="AB73">
        <f>HYPERLINK("https://klasma.github.io/Logging_0885/klagomålsmail/A 21908-2022 FSC-klagomål mail.docx", "A 21908-2022")</f>
        <v/>
      </c>
      <c r="AC73">
        <f>HYPERLINK("https://klasma.github.io/Logging_0885/tillsyn/A 21908-2022 tillsynsbegäran.docx", "A 21908-2022")</f>
        <v/>
      </c>
      <c r="AD73">
        <f>HYPERLINK("https://klasma.github.io/Logging_0885/tillsynsmail/A 21908-2022 tillsynsbegäran mail.docx", "A 21908-2022")</f>
        <v/>
      </c>
    </row>
    <row r="74" ht="15" customHeight="1">
      <c r="A74" t="inlineStr">
        <is>
          <t>S 1650-2022</t>
        </is>
      </c>
      <c r="B74" t="inlineStr">
        <is>
          <t>samrådsanmälan</t>
        </is>
      </c>
      <c r="C74" t="inlineStr">
        <is>
          <t>Åtgärd i nyckelbiotop</t>
        </is>
      </c>
      <c r="D74" s="1" t="n">
        <v>44649</v>
      </c>
      <c r="E74" s="1" t="n">
        <v>46261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46261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46261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3302-2026</t>
        </is>
      </c>
      <c r="B80" t="inlineStr">
        <is>
          <t>avverkningsanmälan</t>
        </is>
      </c>
      <c r="C80" t="inlineStr">
        <is>
          <t>Avverkning för annat ändamål</t>
        </is>
      </c>
      <c r="D80" s="1" t="n">
        <v>46041</v>
      </c>
      <c r="E80" s="1" t="n">
        <v>46261</v>
      </c>
      <c r="F80" t="inlineStr">
        <is>
          <t>KALMAR LÄN</t>
        </is>
      </c>
      <c r="G80" t="inlineStr">
        <is>
          <t>BORGHOLM</t>
        </is>
      </c>
      <c r="I80" t="n">
        <v>3.9</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HYPERLINK("https://klasma.github.io/Logging_0885/artfynd/A 3302-2026 artfynd.xlsx", "A 3302-2026")</f>
        <v/>
      </c>
      <c r="X80">
        <f>HYPERLINK("https://klasma.github.io/Logging_0885/kartor/A 3302-2026 karta.png", "A 3302-2026")</f>
        <v/>
      </c>
      <c r="Y80">
        <f>HYPERLINK("https://klasma.github.io/Logging_0885/kartor_geotiff/A 3302-2026 georefererad karta.tif", "A 3302-2026")</f>
        <v/>
      </c>
      <c r="AA80">
        <f>HYPERLINK("https://klasma.github.io/Logging_0885/klagomål/A 3302-2026 FSC-klagomål.docx", "A 3302-2026")</f>
        <v/>
      </c>
      <c r="AB80">
        <f>HYPERLINK("https://klasma.github.io/Logging_0885/klagomålsmail/A 3302-2026 FSC-klagomål mail.docx", "A 3302-2026")</f>
        <v/>
      </c>
      <c r="AC80">
        <f>HYPERLINK("https://klasma.github.io/Logging_0885/tillsyn/A 3302-2026 tillsynsbegäran.docx", "A 3302-2026")</f>
        <v/>
      </c>
      <c r="AD80">
        <f>HYPERLINK("https://klasma.github.io/Logging_0885/tillsynsmail/A 3302-2026 tillsynsbegäran mail.docx", "A 3302-2026")</f>
        <v/>
      </c>
    </row>
    <row r="81" ht="15" customHeight="1">
      <c r="A81" t="inlineStr">
        <is>
          <t>A 28782-2025</t>
        </is>
      </c>
      <c r="B81" t="inlineStr">
        <is>
          <t>avverkningsanmälan</t>
        </is>
      </c>
      <c r="C81" t="inlineStr">
        <is>
          <t>Avverkning för att bevara och utveckla /försöksver</t>
        </is>
      </c>
      <c r="D81" s="1" t="n">
        <v>45820</v>
      </c>
      <c r="E81" s="1" t="n">
        <v>46261</v>
      </c>
      <c r="F81" t="inlineStr">
        <is>
          <t>KALMAR LÄN</t>
        </is>
      </c>
      <c r="G81" t="inlineStr">
        <is>
          <t>BORGHOLM</t>
        </is>
      </c>
      <c r="H81" t="inlineStr">
        <is>
          <t>Sveaskog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28782-2025 artfynd.xlsx", "A 28782-2025")</f>
        <v/>
      </c>
      <c r="X81">
        <f>HYPERLINK("https://klasma.github.io/Logging_0885/kartor/A 28782-2025 karta.png", "A 28782-2025")</f>
        <v/>
      </c>
      <c r="Y81">
        <f>HYPERLINK("https://klasma.github.io/Logging_0885/kartor_geotiff/A 28782-2025 georefererad karta.tif", "A 28782-2025")</f>
        <v/>
      </c>
      <c r="AA81">
        <f>HYPERLINK("https://klasma.github.io/Logging_0885/klagomål/A 28782-2025 FSC-klagomål.docx", "A 28782-2025")</f>
        <v/>
      </c>
      <c r="AB81">
        <f>HYPERLINK("https://klasma.github.io/Logging_0885/klagomålsmail/A 28782-2025 FSC-klagomål mail.docx", "A 28782-2025")</f>
        <v/>
      </c>
      <c r="AC81">
        <f>HYPERLINK("https://klasma.github.io/Logging_0885/tillsyn/A 28782-2025 tillsynsbegäran.docx", "A 28782-2025")</f>
        <v/>
      </c>
      <c r="AD81">
        <f>HYPERLINK("https://klasma.github.io/Logging_0885/tillsynsmail/A 28782-2025 tillsynsbegäran mail.docx", "A 28782-2025")</f>
        <v/>
      </c>
      <c r="AE81">
        <f>HYPERLINK("https://klasma.github.io/Logging_0885/fåglar/A 28782-2025 prioriterade fågelarter.docx", "A 28782-2025")</f>
        <v/>
      </c>
    </row>
    <row r="82" ht="15" customHeight="1">
      <c r="A82" t="inlineStr">
        <is>
          <t>A 28785-2025</t>
        </is>
      </c>
      <c r="B82" t="inlineStr">
        <is>
          <t>avverkningsanmälan</t>
        </is>
      </c>
      <c r="C82" t="inlineStr">
        <is>
          <t>Avverkning för att bevara och utveckla /försöksver</t>
        </is>
      </c>
      <c r="D82" s="1" t="n">
        <v>45820</v>
      </c>
      <c r="E82" s="1" t="n">
        <v>46261</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41831-2025</t>
        </is>
      </c>
      <c r="B83" t="inlineStr">
        <is>
          <t>avverkningsanmälan</t>
        </is>
      </c>
      <c r="C83" t="inlineStr">
        <is>
          <t>Föryngringsavverkning</t>
        </is>
      </c>
      <c r="D83" s="1" t="n">
        <v>45902</v>
      </c>
      <c r="E83" s="1" t="n">
        <v>46261</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7481-2026</t>
        </is>
      </c>
      <c r="B84" t="inlineStr">
        <is>
          <t>avverkningsanmälan</t>
        </is>
      </c>
      <c r="C84" t="inlineStr">
        <is>
          <t>Föryngringsavverkning</t>
        </is>
      </c>
      <c r="D84" s="1" t="n">
        <v>46059</v>
      </c>
      <c r="E84" s="1" t="n">
        <v>46261</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9104-2026</t>
        </is>
      </c>
      <c r="B85" t="inlineStr">
        <is>
          <t>avverkningsanmälan</t>
        </is>
      </c>
      <c r="C85" t="inlineStr">
        <is>
          <t>Avverkning för annat ändamål</t>
        </is>
      </c>
      <c r="D85" s="1" t="n">
        <v>46069</v>
      </c>
      <c r="E85" s="1" t="n">
        <v>46261</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46261</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9745-2023</t>
        </is>
      </c>
      <c r="B87" t="inlineStr">
        <is>
          <t>avverkningsanmälan</t>
        </is>
      </c>
      <c r="C87" t="inlineStr">
        <is>
          <t>Föryngringsavverkning</t>
        </is>
      </c>
      <c r="D87" s="1" t="n">
        <v>44984</v>
      </c>
      <c r="E87" s="1" t="n">
        <v>46261</v>
      </c>
      <c r="F87" t="inlineStr">
        <is>
          <t>KALMAR LÄN</t>
        </is>
      </c>
      <c r="G87" t="inlineStr">
        <is>
          <t>BORGHOLM</t>
        </is>
      </c>
      <c r="I87" t="n">
        <v>1.2</v>
      </c>
      <c r="J87" t="n">
        <v>1</v>
      </c>
      <c r="K87" t="n">
        <v>1</v>
      </c>
      <c r="L87" t="n">
        <v>0</v>
      </c>
      <c r="M87" t="n">
        <v>0</v>
      </c>
      <c r="N87" t="n">
        <v>0</v>
      </c>
      <c r="O87" t="n">
        <v>0</v>
      </c>
      <c r="P87" t="n">
        <v>0</v>
      </c>
      <c r="Q87" t="n">
        <v>0</v>
      </c>
      <c r="R87" t="n">
        <v>0</v>
      </c>
      <c r="S87" t="n">
        <v>1</v>
      </c>
      <c r="T87" t="n">
        <v>2</v>
      </c>
      <c r="U87" t="n">
        <v>1</v>
      </c>
      <c r="V87" s="2" t="inlineStr">
        <is>
          <t>Skogsknipprot</t>
        </is>
      </c>
      <c r="W87">
        <f>HYPERLINK("https://klasma.github.io/Logging_0885/artfynd/A 9745-2023 artfynd.xlsx", "A 9745-2023")</f>
        <v/>
      </c>
      <c r="X87">
        <f>HYPERLINK("https://klasma.github.io/Logging_0885/kartor/A 9745-2023 karta.png", "A 9745-2023")</f>
        <v/>
      </c>
      <c r="Y87">
        <f>HYPERLINK("https://klasma.github.io/Logging_0885/kartor_geotiff/A 9745-2023 georefererad karta.tif", "A 9745-2023")</f>
        <v/>
      </c>
      <c r="AA87">
        <f>HYPERLINK("https://klasma.github.io/Logging_0885/klagomål/A 9745-2023 FSC-klagomål.docx", "A 9745-2023")</f>
        <v/>
      </c>
      <c r="AB87">
        <f>HYPERLINK("https://klasma.github.io/Logging_0885/klagomålsmail/A 9745-2023 FSC-klagomål mail.docx", "A 9745-2023")</f>
        <v/>
      </c>
      <c r="AC87">
        <f>HYPERLINK("https://klasma.github.io/Logging_0885/tillsyn/A 9745-2023 tillsynsbegäran.docx", "A 9745-2023")</f>
        <v/>
      </c>
      <c r="AD87">
        <f>HYPERLINK("https://klasma.github.io/Logging_0885/tillsynsmail/A 9745-2023 tillsynsbegäran mail.docx", "A 9745-2023")</f>
        <v/>
      </c>
    </row>
    <row r="88" ht="15" customHeight="1">
      <c r="A88" t="inlineStr">
        <is>
          <t>A 20878-2024</t>
        </is>
      </c>
      <c r="B88" t="inlineStr">
        <is>
          <t>avverkningsanmälan</t>
        </is>
      </c>
      <c r="C88" t="inlineStr">
        <is>
          <t>Föryngringsavverkning</t>
        </is>
      </c>
      <c r="D88" s="1" t="n">
        <v>45439</v>
      </c>
      <c r="E88" s="1" t="n">
        <v>46261</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20878-2024 artfynd.xlsx", "A 20878-2024")</f>
        <v/>
      </c>
      <c r="X88">
        <f>HYPERLINK("https://klasma.github.io/Logging_0885/kartor/A 20878-2024 karta.png", "A 20878-2024")</f>
        <v/>
      </c>
      <c r="Y88">
        <f>HYPERLINK("https://klasma.github.io/Logging_0885/kartor_geotiff/A 20878-2024 georefererad karta.tif", "A 20878-2024")</f>
        <v/>
      </c>
      <c r="AA88">
        <f>HYPERLINK("https://klasma.github.io/Logging_0885/klagomål/A 20878-2024 FSC-klagomål.docx", "A 20878-2024")</f>
        <v/>
      </c>
      <c r="AB88">
        <f>HYPERLINK("https://klasma.github.io/Logging_0885/klagomålsmail/A 20878-2024 FSC-klagomål mail.docx", "A 20878-2024")</f>
        <v/>
      </c>
      <c r="AC88">
        <f>HYPERLINK("https://klasma.github.io/Logging_0885/tillsyn/A 20878-2024 tillsynsbegäran.docx", "A 20878-2024")</f>
        <v/>
      </c>
      <c r="AD88">
        <f>HYPERLINK("https://klasma.github.io/Logging_0885/tillsynsmail/A 20878-2024 tillsynsbegäran mail.docx", "A 20878-2024")</f>
        <v/>
      </c>
    </row>
    <row r="89" ht="15" customHeight="1">
      <c r="A89" t="inlineStr">
        <is>
          <t>A 31720-2022</t>
        </is>
      </c>
      <c r="B89" t="inlineStr">
        <is>
          <t>avverkningsanmälan</t>
        </is>
      </c>
      <c r="C89" t="inlineStr">
        <is>
          <t>Föryngringsavverkning</t>
        </is>
      </c>
      <c r="D89" s="1" t="n">
        <v>44776</v>
      </c>
      <c r="E89" s="1" t="n">
        <v>46261</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26840-2026</t>
        </is>
      </c>
      <c r="B90" t="inlineStr">
        <is>
          <t>avverkningsanmälan</t>
        </is>
      </c>
      <c r="C90" t="inlineStr">
        <is>
          <t>Avverkning för att bevara och utveckla /försöksver</t>
        </is>
      </c>
      <c r="D90" s="1" t="n">
        <v>46185</v>
      </c>
      <c r="E90" s="1" t="n">
        <v>46261</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24701-2023</t>
        </is>
      </c>
      <c r="B91" t="inlineStr">
        <is>
          <t>avverkningsanmälan</t>
        </is>
      </c>
      <c r="C91" t="inlineStr">
        <is>
          <t>Föryngringsavverkning</t>
        </is>
      </c>
      <c r="D91" s="1" t="n">
        <v>45084</v>
      </c>
      <c r="E91" s="1" t="n">
        <v>46261</v>
      </c>
      <c r="F91" t="inlineStr">
        <is>
          <t>KALMAR LÄN</t>
        </is>
      </c>
      <c r="G91" t="inlineStr">
        <is>
          <t>BORGHOLM</t>
        </is>
      </c>
      <c r="I91" t="n">
        <v>3</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24701-2023 artfynd.xlsx", "A 24701-2023")</f>
        <v/>
      </c>
      <c r="X91">
        <f>HYPERLINK("https://klasma.github.io/Logging_0885/kartor/A 24701-2023 karta.png", "A 24701-2023")</f>
        <v/>
      </c>
      <c r="Y91">
        <f>HYPERLINK("https://klasma.github.io/Logging_0885/kartor_geotiff/A 24701-2023 georefererad karta.tif", "A 24701-2023")</f>
        <v/>
      </c>
      <c r="AA91">
        <f>HYPERLINK("https://klasma.github.io/Logging_0885/klagomål/A 24701-2023 FSC-klagomål.docx", "A 24701-2023")</f>
        <v/>
      </c>
      <c r="AB91">
        <f>HYPERLINK("https://klasma.github.io/Logging_0885/klagomålsmail/A 24701-2023 FSC-klagomål mail.docx", "A 24701-2023")</f>
        <v/>
      </c>
      <c r="AC91">
        <f>HYPERLINK("https://klasma.github.io/Logging_0885/tillsyn/A 24701-2023 tillsynsbegäran.docx", "A 24701-2023")</f>
        <v/>
      </c>
      <c r="AD91">
        <f>HYPERLINK("https://klasma.github.io/Logging_0885/tillsynsmail/A 24701-2023 tillsynsbegäran mail.docx", "A 24701-2023")</f>
        <v/>
      </c>
    </row>
    <row r="92" ht="15" customHeight="1">
      <c r="A92" t="inlineStr">
        <is>
          <t>A 28430-2026</t>
        </is>
      </c>
      <c r="B92" t="inlineStr">
        <is>
          <t>avverkningsanmälan</t>
        </is>
      </c>
      <c r="C92" t="inlineStr">
        <is>
          <t>Avverkning för att bevara och utveckla /försöksver</t>
        </is>
      </c>
      <c r="D92" s="1" t="n">
        <v>46197</v>
      </c>
      <c r="E92" s="1" t="n">
        <v>46261</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46261</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33293-2026</t>
        </is>
      </c>
      <c r="B94" t="inlineStr">
        <is>
          <t>avverkningsanmälan</t>
        </is>
      </c>
      <c r="C94" t="inlineStr">
        <is>
          <t>Avverkning för att bevara och utveckla /försöksver</t>
        </is>
      </c>
      <c r="D94" s="1" t="n">
        <v>46246</v>
      </c>
      <c r="E94" s="1" t="n">
        <v>46261</v>
      </c>
      <c r="F94" t="inlineStr">
        <is>
          <t>KALMAR LÄN</t>
        </is>
      </c>
      <c r="G94" t="inlineStr">
        <is>
          <t>BORGHOLM</t>
        </is>
      </c>
      <c r="H94" t="inlineStr">
        <is>
          <t>Sveaskog</t>
        </is>
      </c>
      <c r="I94" t="n">
        <v>3.8</v>
      </c>
      <c r="J94" t="n">
        <v>1</v>
      </c>
      <c r="K94" t="n">
        <v>1</v>
      </c>
      <c r="L94" t="n">
        <v>0</v>
      </c>
      <c r="M94" t="n">
        <v>0</v>
      </c>
      <c r="N94" t="n">
        <v>0</v>
      </c>
      <c r="O94" t="n">
        <v>0</v>
      </c>
      <c r="P94" t="n">
        <v>0</v>
      </c>
      <c r="Q94" t="n">
        <v>0</v>
      </c>
      <c r="R94" t="n">
        <v>0</v>
      </c>
      <c r="S94" t="n">
        <v>1</v>
      </c>
      <c r="T94" t="n">
        <v>2</v>
      </c>
      <c r="U94" t="n">
        <v>0</v>
      </c>
      <c r="V94" s="2" t="inlineStr">
        <is>
          <t>Skogsknipprot</t>
        </is>
      </c>
      <c r="W94">
        <f>HYPERLINK("https://klasma.github.io/Logging_0885/artfynd/A 33293-2026 artfynd.xlsx", "A 33293-2026")</f>
        <v/>
      </c>
      <c r="X94">
        <f>HYPERLINK("https://klasma.github.io/Logging_0885/kartor/A 33293-2026 karta.png", "A 33293-2026")</f>
        <v/>
      </c>
      <c r="Y94">
        <f>HYPERLINK("https://klasma.github.io/Logging_0885/kartor_geotiff/A 33293-2026 georefererad karta.tif", "A 33293-2026")</f>
        <v/>
      </c>
      <c r="AA94">
        <f>HYPERLINK("https://klasma.github.io/Logging_0885/klagomål/A 33293-2026 FSC-klagomål.docx", "A 33293-2026")</f>
        <v/>
      </c>
      <c r="AB94">
        <f>HYPERLINK("https://klasma.github.io/Logging_0885/klagomålsmail/A 33293-2026 FSC-klagomål mail.docx", "A 33293-2026")</f>
        <v/>
      </c>
      <c r="AC94">
        <f>HYPERLINK("https://klasma.github.io/Logging_0885/tillsyn/A 33293-2026 tillsynsbegäran.docx", "A 33293-2026")</f>
        <v/>
      </c>
      <c r="AD94">
        <f>HYPERLINK("https://klasma.github.io/Logging_0885/tillsynsmail/A 33293-2026 tillsynsbegäran mail.docx", "A 33293-2026")</f>
        <v/>
      </c>
    </row>
    <row r="95" ht="15" customHeight="1">
      <c r="A95" t="inlineStr">
        <is>
          <t>A 24704-2023</t>
        </is>
      </c>
      <c r="B95" t="inlineStr">
        <is>
          <t>avverkningsanmälan</t>
        </is>
      </c>
      <c r="C95" t="inlineStr">
        <is>
          <t>Föryngringsavverkning</t>
        </is>
      </c>
      <c r="D95" s="1" t="n">
        <v>45084</v>
      </c>
      <c r="E95" s="1" t="n">
        <v>46261</v>
      </c>
      <c r="F95" t="inlineStr">
        <is>
          <t>KALMAR LÄN</t>
        </is>
      </c>
      <c r="G95" t="inlineStr">
        <is>
          <t>BORGHOLM</t>
        </is>
      </c>
      <c r="I95" t="n">
        <v>3.5</v>
      </c>
      <c r="J95" t="n">
        <v>0</v>
      </c>
      <c r="K95" t="n">
        <v>0</v>
      </c>
      <c r="L95" t="n">
        <v>0</v>
      </c>
      <c r="M95" t="n">
        <v>0</v>
      </c>
      <c r="N95" t="n">
        <v>1</v>
      </c>
      <c r="O95" t="n">
        <v>0</v>
      </c>
      <c r="P95" t="n">
        <v>0</v>
      </c>
      <c r="Q95" t="n">
        <v>1</v>
      </c>
      <c r="R95" t="n">
        <v>1</v>
      </c>
      <c r="S95" t="n">
        <v>1</v>
      </c>
      <c r="T95" t="n">
        <v>2</v>
      </c>
      <c r="U95" t="n">
        <v>0</v>
      </c>
      <c r="V95" s="2" t="inlineStr">
        <is>
          <t>Ask</t>
        </is>
      </c>
      <c r="W95">
        <f>HYPERLINK("https://klasma.github.io/Logging_0885/artfynd/A 24704-2023 artfynd.xlsx", "A 24704-2023")</f>
        <v/>
      </c>
      <c r="X95">
        <f>HYPERLINK("https://klasma.github.io/Logging_0885/kartor/A 24704-2023 karta.png", "A 24704-2023")</f>
        <v/>
      </c>
      <c r="Y95">
        <f>HYPERLINK("https://klasma.github.io/Logging_0885/kartor_geotiff/A 24704-2023 georefererad karta.tif", "A 24704-2023")</f>
        <v/>
      </c>
      <c r="AA95">
        <f>HYPERLINK("https://klasma.github.io/Logging_0885/klagomål/A 24704-2023 FSC-klagomål.docx", "A 24704-2023")</f>
        <v/>
      </c>
      <c r="AB95">
        <f>HYPERLINK("https://klasma.github.io/Logging_0885/klagomålsmail/A 24704-2023 FSC-klagomål mail.docx", "A 24704-2023")</f>
        <v/>
      </c>
      <c r="AC95">
        <f>HYPERLINK("https://klasma.github.io/Logging_0885/tillsyn/A 24704-2023 tillsynsbegäran.docx", "A 24704-2023")</f>
        <v/>
      </c>
      <c r="AD95">
        <f>HYPERLINK("https://klasma.github.io/Logging_0885/tillsynsmail/A 24704-2023 tillsynsbegäran mail.docx", "A 24704-2023")</f>
        <v/>
      </c>
    </row>
    <row r="96" ht="15" customHeight="1">
      <c r="A96" t="inlineStr">
        <is>
          <t>A 19867-2024</t>
        </is>
      </c>
      <c r="B96" t="inlineStr">
        <is>
          <t>avverkningsanmälan</t>
        </is>
      </c>
      <c r="C96" t="inlineStr">
        <is>
          <t>Föryngringsavverkning</t>
        </is>
      </c>
      <c r="D96" s="1" t="n">
        <v>45433</v>
      </c>
      <c r="E96" s="1" t="n">
        <v>46261</v>
      </c>
      <c r="F96" t="inlineStr">
        <is>
          <t>KALMAR LÄN</t>
        </is>
      </c>
      <c r="G96" t="inlineStr">
        <is>
          <t>BORGHOLM</t>
        </is>
      </c>
      <c r="I96" t="n">
        <v>3.9</v>
      </c>
      <c r="J96" t="n">
        <v>0</v>
      </c>
      <c r="K96" t="n">
        <v>0</v>
      </c>
      <c r="L96" t="n">
        <v>1</v>
      </c>
      <c r="M96" t="n">
        <v>0</v>
      </c>
      <c r="N96" t="n">
        <v>0</v>
      </c>
      <c r="O96" t="n">
        <v>0</v>
      </c>
      <c r="P96" t="n">
        <v>0</v>
      </c>
      <c r="Q96" t="n">
        <v>1</v>
      </c>
      <c r="R96" t="n">
        <v>0</v>
      </c>
      <c r="S96" t="n">
        <v>1</v>
      </c>
      <c r="T96" t="n">
        <v>1</v>
      </c>
      <c r="U96" t="n">
        <v>1</v>
      </c>
      <c r="V96" s="2" t="inlineStr">
        <is>
          <t>Åkerkulla</t>
        </is>
      </c>
      <c r="W96">
        <f>HYPERLINK("https://klasma.github.io/Logging_0885/artfynd/A 19867-2024 artfynd.xlsx", "A 19867-2024")</f>
        <v/>
      </c>
      <c r="X96">
        <f>HYPERLINK("https://klasma.github.io/Logging_0885/kartor/A 19867-2024 karta.png", "A 19867-2024")</f>
        <v/>
      </c>
      <c r="Y96">
        <f>HYPERLINK("https://klasma.github.io/Logging_0885/kartor_geotiff/A 19867-2024 georefererad karta.tif", "A 19867-2024")</f>
        <v/>
      </c>
      <c r="AA96">
        <f>HYPERLINK("https://klasma.github.io/Logging_0885/klagomål/A 19867-2024 FSC-klagomål.docx", "A 19867-2024")</f>
        <v/>
      </c>
      <c r="AB96">
        <f>HYPERLINK("https://klasma.github.io/Logging_0885/klagomålsmail/A 19867-2024 FSC-klagomål mail.docx", "A 19867-2024")</f>
        <v/>
      </c>
      <c r="AC96">
        <f>HYPERLINK("https://klasma.github.io/Logging_0885/tillsyn/A 19867-2024 tillsynsbegäran.docx", "A 19867-2024")</f>
        <v/>
      </c>
      <c r="AD96">
        <f>HYPERLINK("https://klasma.github.io/Logging_0885/tillsynsmail/A 19867-2024 tillsynsbegäran mail.docx", "A 19867-2024")</f>
        <v/>
      </c>
    </row>
    <row r="97" ht="15" customHeight="1">
      <c r="A97" t="inlineStr">
        <is>
          <t>A 63276-2023</t>
        </is>
      </c>
      <c r="B97" t="inlineStr">
        <is>
          <t>avverkningsanmälan</t>
        </is>
      </c>
      <c r="C97" t="inlineStr">
        <is>
          <t>Föryngringsavverkning</t>
        </is>
      </c>
      <c r="D97" s="1" t="n">
        <v>45273</v>
      </c>
      <c r="E97" s="1" t="n">
        <v>46261</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46261</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46261</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46261</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46261</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46261</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46261</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46261</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46261</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46261</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46261</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46261</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46261</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46261</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46261</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46261</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46261</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46261</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46261</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46261</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46261</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46261</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46261</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46261</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15272-2026</t>
        </is>
      </c>
      <c r="B122" t="inlineStr">
        <is>
          <t>avverkningsanmälan</t>
        </is>
      </c>
      <c r="C122" t="inlineStr">
        <is>
          <t>Avverkning för att bevara och utveckla /försöksver</t>
        </is>
      </c>
      <c r="D122" s="1" t="n">
        <v>46105</v>
      </c>
      <c r="E122" s="1" t="n">
        <v>46261</v>
      </c>
      <c r="F122" t="inlineStr">
        <is>
          <t>KALMAR LÄN</t>
        </is>
      </c>
      <c r="G122" t="inlineStr">
        <is>
          <t>BORGHOLM</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15279-2026</t>
        </is>
      </c>
      <c r="B123" t="inlineStr">
        <is>
          <t>avverkningsanmälan</t>
        </is>
      </c>
      <c r="C123" t="inlineStr">
        <is>
          <t>Avverkning för att bevara och utveckla /försöksver</t>
        </is>
      </c>
      <c r="D123" s="1" t="n">
        <v>46105</v>
      </c>
      <c r="E123" s="1" t="n">
        <v>46261</v>
      </c>
      <c r="F123" t="inlineStr">
        <is>
          <t>KALMAR LÄN</t>
        </is>
      </c>
      <c r="G123" t="inlineStr">
        <is>
          <t>BORGHOLM</t>
        </is>
      </c>
      <c r="H123" t="inlineStr">
        <is>
          <t>Sveaskog</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15264-2026</t>
        </is>
      </c>
      <c r="B124" t="inlineStr">
        <is>
          <t>avverkningsanmälan</t>
        </is>
      </c>
      <c r="C124" t="inlineStr">
        <is>
          <t>Avverkning för att bevara och utveckla /försöksver</t>
        </is>
      </c>
      <c r="D124" s="1" t="n">
        <v>46105</v>
      </c>
      <c r="E124" s="1" t="n">
        <v>46261</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4159-2024</t>
        </is>
      </c>
      <c r="B125" t="inlineStr">
        <is>
          <t>avverkningsanmälan</t>
        </is>
      </c>
      <c r="C125" t="inlineStr">
        <is>
          <t>Föryngringsavverkning</t>
        </is>
      </c>
      <c r="D125" s="1" t="n">
        <v>45323</v>
      </c>
      <c r="E125" s="1" t="n">
        <v>46261</v>
      </c>
      <c r="F125" t="inlineStr">
        <is>
          <t>KALMAR LÄN</t>
        </is>
      </c>
      <c r="G125" t="inlineStr">
        <is>
          <t>BORGHOLM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53050-2021</t>
        </is>
      </c>
      <c r="B126" t="inlineStr">
        <is>
          <t>avverkningsanmälan</t>
        </is>
      </c>
      <c r="C126" t="inlineStr">
        <is>
          <t>Föryngringsavverkning</t>
        </is>
      </c>
      <c r="D126" s="1" t="n">
        <v>44467</v>
      </c>
      <c r="E126" s="1" t="n">
        <v>46261</v>
      </c>
      <c r="F126" t="inlineStr">
        <is>
          <t>KALMAR LÄN</t>
        </is>
      </c>
      <c r="G126" t="inlineStr">
        <is>
          <t>BORGHOLM</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27357-2025</t>
        </is>
      </c>
      <c r="B127" t="inlineStr">
        <is>
          <t>avverkningsanmälan</t>
        </is>
      </c>
      <c r="C127" t="inlineStr">
        <is>
          <t>Avverkning för att bevara och utveckla /försöksver</t>
        </is>
      </c>
      <c r="D127" s="1" t="n">
        <v>45812</v>
      </c>
      <c r="E127" s="1" t="n">
        <v>46261</v>
      </c>
      <c r="F127" t="inlineStr">
        <is>
          <t>KALMAR LÄN</t>
        </is>
      </c>
      <c r="G127" t="inlineStr">
        <is>
          <t>BORGHOLM</t>
        </is>
      </c>
      <c r="H127" t="inlineStr">
        <is>
          <t>Sveaskog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7669-2024</t>
        </is>
      </c>
      <c r="B128" t="inlineStr">
        <is>
          <t>avverkningsanmälan</t>
        </is>
      </c>
      <c r="C128" t="inlineStr">
        <is>
          <t>Föryngringsavverkning</t>
        </is>
      </c>
      <c r="D128" s="1" t="n">
        <v>45348</v>
      </c>
      <c r="E128" s="1" t="n">
        <v>46261</v>
      </c>
      <c r="F128" t="inlineStr">
        <is>
          <t>KALMAR LÄN</t>
        </is>
      </c>
      <c r="G128" t="inlineStr">
        <is>
          <t>BORGHOLM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4165-2023</t>
        </is>
      </c>
      <c r="B129" t="inlineStr">
        <is>
          <t>avverkningsanmälan</t>
        </is>
      </c>
      <c r="C129" t="inlineStr">
        <is>
          <t>Föryngringsavverkning</t>
        </is>
      </c>
      <c r="D129" s="1" t="n">
        <v>44953</v>
      </c>
      <c r="E129" s="1" t="n">
        <v>46261</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24338-2026</t>
        </is>
      </c>
      <c r="B130" t="inlineStr">
        <is>
          <t>avverkningsanmälan</t>
        </is>
      </c>
      <c r="C130" t="inlineStr">
        <is>
          <t>Avverkning för att bevara och utveckla /försöksver</t>
        </is>
      </c>
      <c r="D130" s="1" t="n">
        <v>46169</v>
      </c>
      <c r="E130" s="1" t="n">
        <v>46261</v>
      </c>
      <c r="F130" t="inlineStr">
        <is>
          <t>KALMAR LÄN</t>
        </is>
      </c>
      <c r="G130" t="inlineStr">
        <is>
          <t>BORGHOLM</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24345-2026</t>
        </is>
      </c>
      <c r="B131" t="inlineStr">
        <is>
          <t>avverkningsanmälan</t>
        </is>
      </c>
      <c r="C131" t="inlineStr">
        <is>
          <t>Avverkning för att bevara och utveckla /försöksver</t>
        </is>
      </c>
      <c r="D131" s="1" t="n">
        <v>46169</v>
      </c>
      <c r="E131" s="1" t="n">
        <v>46261</v>
      </c>
      <c r="F131" t="inlineStr">
        <is>
          <t>KALMAR LÄN</t>
        </is>
      </c>
      <c r="G131" t="inlineStr">
        <is>
          <t>BORGHOLM</t>
        </is>
      </c>
      <c r="H131" t="inlineStr">
        <is>
          <t>Sveaskog</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24323-2026</t>
        </is>
      </c>
      <c r="B132" t="inlineStr">
        <is>
          <t>avverkningsanmälan</t>
        </is>
      </c>
      <c r="C132" t="inlineStr">
        <is>
          <t>Föryngringsavverkning</t>
        </is>
      </c>
      <c r="D132" s="1" t="n">
        <v>46169</v>
      </c>
      <c r="E132" s="1" t="n">
        <v>46261</v>
      </c>
      <c r="F132" t="inlineStr">
        <is>
          <t>KALMAR LÄN</t>
        </is>
      </c>
      <c r="G132" t="inlineStr">
        <is>
          <t>BORGHOLM</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32921-2023</t>
        </is>
      </c>
      <c r="B133" t="inlineStr">
        <is>
          <t>avverkningsanmälan</t>
        </is>
      </c>
      <c r="C133" t="inlineStr">
        <is>
          <t>Föryngringsavverkning</t>
        </is>
      </c>
      <c r="D133" s="1" t="n">
        <v>45125</v>
      </c>
      <c r="E133" s="1" t="n">
        <v>46261</v>
      </c>
      <c r="F133" t="inlineStr">
        <is>
          <t>KALMAR LÄN</t>
        </is>
      </c>
      <c r="G133" t="inlineStr">
        <is>
          <t>BORGHOLM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28380-2026</t>
        </is>
      </c>
      <c r="B134" t="inlineStr">
        <is>
          <t>avverkningsanmälan</t>
        </is>
      </c>
      <c r="C134" t="inlineStr">
        <is>
          <t>Avverkning för att bevara och utveckla /försöksver</t>
        </is>
      </c>
      <c r="D134" s="1" t="n">
        <v>46196</v>
      </c>
      <c r="E134" s="1" t="n">
        <v>46261</v>
      </c>
      <c r="F134" t="inlineStr">
        <is>
          <t>KALMAR LÄN</t>
        </is>
      </c>
      <c r="G134" t="inlineStr">
        <is>
          <t>BORGHOLM</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28381-2026</t>
        </is>
      </c>
      <c r="B135" t="inlineStr">
        <is>
          <t>avverkningsanmälan</t>
        </is>
      </c>
      <c r="C135" t="inlineStr">
        <is>
          <t>Avverkning för att bevara och utveckla /försöksver</t>
        </is>
      </c>
      <c r="D135" s="1" t="n">
        <v>46196</v>
      </c>
      <c r="E135" s="1" t="n">
        <v>46261</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64303-2023</t>
        </is>
      </c>
      <c r="B136" t="inlineStr">
        <is>
          <t>avverkningsanmälan</t>
        </is>
      </c>
      <c r="C136" t="inlineStr">
        <is>
          <t>Avverkning för annat ändamål</t>
        </is>
      </c>
      <c r="D136" s="1" t="n">
        <v>45280</v>
      </c>
      <c r="E136" s="1" t="n">
        <v>46261</v>
      </c>
      <c r="F136" t="inlineStr">
        <is>
          <t>KALMAR LÄN</t>
        </is>
      </c>
      <c r="G136" t="inlineStr">
        <is>
          <t>BORGHOLM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28411-2026</t>
        </is>
      </c>
      <c r="B137" t="inlineStr">
        <is>
          <t>avverkningsanmälan</t>
        </is>
      </c>
      <c r="C137" t="inlineStr">
        <is>
          <t>Avverkning för att bevara och utveckla /försöksver</t>
        </is>
      </c>
      <c r="D137" s="1" t="n">
        <v>46197</v>
      </c>
      <c r="E137" s="1" t="n">
        <v>46261</v>
      </c>
      <c r="F137" t="inlineStr">
        <is>
          <t>KALMAR LÄN</t>
        </is>
      </c>
      <c r="G137" t="inlineStr">
        <is>
          <t>BORGHOLM</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44547-2021</t>
        </is>
      </c>
      <c r="B138" t="inlineStr">
        <is>
          <t>avverkningsanmälan</t>
        </is>
      </c>
      <c r="C138" t="inlineStr">
        <is>
          <t>Avverkning för annat ändamål</t>
        </is>
      </c>
      <c r="D138" s="1" t="n">
        <v>44435</v>
      </c>
      <c r="E138" s="1" t="n">
        <v>46261</v>
      </c>
      <c r="F138" t="inlineStr">
        <is>
          <t>KALMAR LÄN</t>
        </is>
      </c>
      <c r="G138" t="inlineStr">
        <is>
          <t>BORGHOLM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29413-2026</t>
        </is>
      </c>
      <c r="B139" t="inlineStr">
        <is>
          <t>avverkningsanmälan</t>
        </is>
      </c>
      <c r="C139" t="inlineStr">
        <is>
          <t>Avverkning för att bevara och utveckla /försöksver</t>
        </is>
      </c>
      <c r="D139" s="1" t="n">
        <v>46203</v>
      </c>
      <c r="E139" s="1" t="n">
        <v>46261</v>
      </c>
      <c r="F139" t="inlineStr">
        <is>
          <t>KALMAR LÄN</t>
        </is>
      </c>
      <c r="G139" t="inlineStr">
        <is>
          <t>BORGHOLM</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29414-2026</t>
        </is>
      </c>
      <c r="B140" t="inlineStr">
        <is>
          <t>avverkningsanmälan</t>
        </is>
      </c>
      <c r="C140" t="inlineStr">
        <is>
          <t>Avverkning för att bevara och utveckla /försöksver</t>
        </is>
      </c>
      <c r="D140" s="1" t="n">
        <v>46203</v>
      </c>
      <c r="E140" s="1" t="n">
        <v>46261</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29431-2026</t>
        </is>
      </c>
      <c r="B141" t="inlineStr">
        <is>
          <t>avverkningsanmälan</t>
        </is>
      </c>
      <c r="C141" t="inlineStr">
        <is>
          <t>Avverkning för att bevara och utveckla /försöksver</t>
        </is>
      </c>
      <c r="D141" s="1" t="n">
        <v>46203</v>
      </c>
      <c r="E141" s="1" t="n">
        <v>46261</v>
      </c>
      <c r="F141" t="inlineStr">
        <is>
          <t>KALMAR LÄN</t>
        </is>
      </c>
      <c r="G141" t="inlineStr">
        <is>
          <t>BORGHOLM</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29410-2026</t>
        </is>
      </c>
      <c r="B142" t="inlineStr">
        <is>
          <t>avverkningsanmälan</t>
        </is>
      </c>
      <c r="C142" t="inlineStr">
        <is>
          <t>Avverkning för att bevara och utveckla /försöksver</t>
        </is>
      </c>
      <c r="D142" s="1" t="n">
        <v>46203</v>
      </c>
      <c r="E142" s="1" t="n">
        <v>46261</v>
      </c>
      <c r="F142" t="inlineStr">
        <is>
          <t>KALMAR LÄN</t>
        </is>
      </c>
      <c r="G142" t="inlineStr">
        <is>
          <t>BORGHOLM</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43603-2024</t>
        </is>
      </c>
      <c r="B143" t="inlineStr">
        <is>
          <t>avverkningsanmälan</t>
        </is>
      </c>
      <c r="C143" t="inlineStr">
        <is>
          <t>Föryngringsavverkning</t>
        </is>
      </c>
      <c r="D143" s="1" t="n">
        <v>45569</v>
      </c>
      <c r="E143" s="1" t="n">
        <v>46261</v>
      </c>
      <c r="F143" t="inlineStr">
        <is>
          <t>KALMAR LÄN</t>
        </is>
      </c>
      <c r="G143" t="inlineStr">
        <is>
          <t>BORGHOLM</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63075-2023</t>
        </is>
      </c>
      <c r="B144" t="inlineStr">
        <is>
          <t>avverkningsanmälan</t>
        </is>
      </c>
      <c r="C144" t="inlineStr">
        <is>
          <t>Avverkning för annat ändamål</t>
        </is>
      </c>
      <c r="D144" s="1" t="n">
        <v>45273</v>
      </c>
      <c r="E144" s="1" t="n">
        <v>46261</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1757-2025</t>
        </is>
      </c>
      <c r="B145" t="inlineStr">
        <is>
          <t>avverkningsanmälan</t>
        </is>
      </c>
      <c r="C145" t="inlineStr">
        <is>
          <t>Föryngringsavverkning</t>
        </is>
      </c>
      <c r="D145" s="1" t="n">
        <v>45671</v>
      </c>
      <c r="E145" s="1" t="n">
        <v>46261</v>
      </c>
      <c r="F145" t="inlineStr">
        <is>
          <t>KALMAR LÄN</t>
        </is>
      </c>
      <c r="G145" t="inlineStr">
        <is>
          <t>BORGHOLM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34780-2022</t>
        </is>
      </c>
      <c r="B146" t="inlineStr">
        <is>
          <t>avverkningsanmälan</t>
        </is>
      </c>
      <c r="C146" t="inlineStr">
        <is>
          <t>Föryngringsavverkning</t>
        </is>
      </c>
      <c r="D146" s="1" t="n">
        <v>44795</v>
      </c>
      <c r="E146" s="1" t="n">
        <v>46261</v>
      </c>
      <c r="F146" t="inlineStr">
        <is>
          <t>KALMAR LÄN</t>
        </is>
      </c>
      <c r="G146" t="inlineStr">
        <is>
          <t>BORGHOLM</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55367-2024</t>
        </is>
      </c>
      <c r="B147" t="inlineStr">
        <is>
          <t>avverkningsanmälan</t>
        </is>
      </c>
      <c r="C147" t="inlineStr">
        <is>
          <t>Föryngringsavverkning</t>
        </is>
      </c>
      <c r="D147" s="1" t="n">
        <v>45621</v>
      </c>
      <c r="E147" s="1" t="n">
        <v>46261</v>
      </c>
      <c r="F147" t="inlineStr">
        <is>
          <t>KALMAR LÄN</t>
        </is>
      </c>
      <c r="G147" t="inlineStr">
        <is>
          <t>BORGHOLM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46261</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9076-2025</t>
        </is>
      </c>
      <c r="B149" t="inlineStr">
        <is>
          <t>avverkningsanmälan</t>
        </is>
      </c>
      <c r="C149" t="inlineStr">
        <is>
          <t>Föryngringsavverkning</t>
        </is>
      </c>
      <c r="D149" s="1" t="n">
        <v>45713</v>
      </c>
      <c r="E149" s="1" t="n">
        <v>46261</v>
      </c>
      <c r="F149" t="inlineStr">
        <is>
          <t>KALMAR LÄN</t>
        </is>
      </c>
      <c r="G149" t="inlineStr">
        <is>
          <t>BORGHOLM</t>
        </is>
      </c>
      <c r="H149" t="inlineStr">
        <is>
          <t>Sveaskog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46261</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34951-2022</t>
        </is>
      </c>
      <c r="B151" t="inlineStr">
        <is>
          <t>avverkningsanmälan</t>
        </is>
      </c>
      <c r="C151" t="inlineStr">
        <is>
          <t>Avverkning för att bevara och utveckla /försöksver</t>
        </is>
      </c>
      <c r="D151" s="1" t="n">
        <v>44796</v>
      </c>
      <c r="E151" s="1" t="n">
        <v>46261</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5175-2024</t>
        </is>
      </c>
      <c r="B152" t="inlineStr">
        <is>
          <t>avverkningsanmälan</t>
        </is>
      </c>
      <c r="C152" t="inlineStr">
        <is>
          <t>Föryngringsavverkning</t>
        </is>
      </c>
      <c r="D152" s="1" t="n">
        <v>45330</v>
      </c>
      <c r="E152" s="1" t="n">
        <v>46261</v>
      </c>
      <c r="F152" t="inlineStr">
        <is>
          <t>KALMAR LÄN</t>
        </is>
      </c>
      <c r="G152" t="inlineStr">
        <is>
          <t>BORGHOLM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3878-2023</t>
        </is>
      </c>
      <c r="B153" t="inlineStr">
        <is>
          <t>avverkningsanmälan</t>
        </is>
      </c>
      <c r="C153" t="inlineStr">
        <is>
          <t>Föryngringsavverkning</t>
        </is>
      </c>
      <c r="D153" s="1" t="n">
        <v>44951</v>
      </c>
      <c r="E153" s="1" t="n">
        <v>46261</v>
      </c>
      <c r="F153" t="inlineStr">
        <is>
          <t>KALMAR LÄN</t>
        </is>
      </c>
      <c r="G153" t="inlineStr">
        <is>
          <t>BORGHOLM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13383-2023</t>
        </is>
      </c>
      <c r="B154" t="inlineStr">
        <is>
          <t>avverkningsanmälan</t>
        </is>
      </c>
      <c r="C154" t="inlineStr">
        <is>
          <t>Föryngringsavverkning</t>
        </is>
      </c>
      <c r="D154" s="1" t="n">
        <v>45005</v>
      </c>
      <c r="E154" s="1" t="n">
        <v>46261</v>
      </c>
      <c r="F154" t="inlineStr">
        <is>
          <t>KALMAR LÄN</t>
        </is>
      </c>
      <c r="G154" t="inlineStr">
        <is>
          <t>BORGHOLM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12937-2022</t>
        </is>
      </c>
      <c r="B155" t="inlineStr">
        <is>
          <t>avverkningsanmälan</t>
        </is>
      </c>
      <c r="C155" t="inlineStr">
        <is>
          <t>Föryngringsavverkning</t>
        </is>
      </c>
      <c r="D155" s="1" t="n">
        <v>44642</v>
      </c>
      <c r="E155" s="1" t="n">
        <v>46261</v>
      </c>
      <c r="F155" t="inlineStr">
        <is>
          <t>KALMAR LÄN</t>
        </is>
      </c>
      <c r="G155" t="inlineStr">
        <is>
          <t>BORGHOLM</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61438-2023</t>
        </is>
      </c>
      <c r="B156" t="inlineStr">
        <is>
          <t>avverkningsanmälan</t>
        </is>
      </c>
      <c r="C156" t="inlineStr">
        <is>
          <t>Avverkning för annat ändamål</t>
        </is>
      </c>
      <c r="D156" s="1" t="n">
        <v>45264</v>
      </c>
      <c r="E156" s="1" t="n">
        <v>46261</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13041-2024</t>
        </is>
      </c>
      <c r="B157" t="inlineStr">
        <is>
          <t>avverkningsanmälan</t>
        </is>
      </c>
      <c r="C157" t="inlineStr">
        <is>
          <t>Föryngringsavverkning</t>
        </is>
      </c>
      <c r="D157" s="1" t="n">
        <v>45385</v>
      </c>
      <c r="E157" s="1" t="n">
        <v>46261</v>
      </c>
      <c r="F157" t="inlineStr">
        <is>
          <t>KALMAR LÄN</t>
        </is>
      </c>
      <c r="G157" t="inlineStr">
        <is>
          <t>BORGHOLM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1614-2025</t>
        </is>
      </c>
      <c r="B158" t="inlineStr">
        <is>
          <t>avverkningsanmälan</t>
        </is>
      </c>
      <c r="C158" t="inlineStr">
        <is>
          <t>Föryngringsavverkning</t>
        </is>
      </c>
      <c r="D158" s="1" t="n">
        <v>45670</v>
      </c>
      <c r="E158" s="1" t="n">
        <v>46261</v>
      </c>
      <c r="F158" t="inlineStr">
        <is>
          <t>KALMAR LÄN</t>
        </is>
      </c>
      <c r="G158" t="inlineStr">
        <is>
          <t>BORGHOLM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9050-2025</t>
        </is>
      </c>
      <c r="B159" t="inlineStr">
        <is>
          <t>avverkningsanmälan</t>
        </is>
      </c>
      <c r="C159" t="inlineStr">
        <is>
          <t>Avverkning för att bevara och utveckla /försöksver</t>
        </is>
      </c>
      <c r="D159" s="1" t="n">
        <v>45713</v>
      </c>
      <c r="E159" s="1" t="n">
        <v>46261</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46261</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46261</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46261</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46261</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46261</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46261</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46261</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46261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46261</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1557-2026</t>
        </is>
      </c>
      <c r="B169" t="inlineStr">
        <is>
          <t>samrådsanmälan</t>
        </is>
      </c>
      <c r="C169" t="inlineStr">
        <is>
          <t>Annan skogsbruksåtgärd</t>
        </is>
      </c>
      <c r="D169" s="1" t="n">
        <v>46169</v>
      </c>
      <c r="E169" s="1" t="n">
        <v>46261</v>
      </c>
      <c r="F169" t="inlineStr">
        <is>
          <t>KALMAR LÄN</t>
        </is>
      </c>
      <c r="G169" t="inlineStr">
        <is>
          <t>BORGHOLM</t>
        </is>
      </c>
      <c r="H169" t="inlineStr">
        <is>
          <t>Sveaskog</t>
        </is>
      </c>
      <c r="I169" t="n">
        <v>7.3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46261</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1806-2026</t>
        </is>
      </c>
      <c r="B171" t="inlineStr">
        <is>
          <t>samrådsanmälan</t>
        </is>
      </c>
      <c r="C171" t="inlineStr">
        <is>
          <t>Annan skogsbruksåtgärd</t>
        </is>
      </c>
      <c r="D171" s="1" t="n">
        <v>46196</v>
      </c>
      <c r="E171" s="1" t="n">
        <v>46261</v>
      </c>
      <c r="F171" t="inlineStr">
        <is>
          <t>KALMAR LÄN</t>
        </is>
      </c>
      <c r="G171" t="inlineStr">
        <is>
          <t>BORGHOLM</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1807-2026</t>
        </is>
      </c>
      <c r="B172" t="inlineStr">
        <is>
          <t>samrådsanmälan</t>
        </is>
      </c>
      <c r="C172" t="inlineStr">
        <is>
          <t>Annan skogsbruksåtgärd</t>
        </is>
      </c>
      <c r="D172" s="1" t="n">
        <v>46196</v>
      </c>
      <c r="E172" s="1" t="n">
        <v>46261</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1891-2026</t>
        </is>
      </c>
      <c r="B173" t="inlineStr">
        <is>
          <t>samrådsanmälan</t>
        </is>
      </c>
      <c r="C173" t="inlineStr">
        <is>
          <t>Annan skogsbruksåtgärd</t>
        </is>
      </c>
      <c r="D173" s="1" t="n">
        <v>46203</v>
      </c>
      <c r="E173" s="1" t="n">
        <v>46261</v>
      </c>
      <c r="F173" t="inlineStr">
        <is>
          <t>KALMAR LÄN</t>
        </is>
      </c>
      <c r="G173" t="inlineStr">
        <is>
          <t>BORGHOLM</t>
        </is>
      </c>
      <c r="H173" t="inlineStr">
        <is>
          <t>Sveaskog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1885-2026</t>
        </is>
      </c>
      <c r="B174" t="inlineStr">
        <is>
          <t>samrådsanmälan</t>
        </is>
      </c>
      <c r="C174" t="inlineStr">
        <is>
          <t>Annan skogsbruksåtgärd</t>
        </is>
      </c>
      <c r="D174" s="1" t="n">
        <v>46203</v>
      </c>
      <c r="E174" s="1" t="n">
        <v>46261</v>
      </c>
      <c r="F174" t="inlineStr">
        <is>
          <t>KALMAR LÄN</t>
        </is>
      </c>
      <c r="G174" t="inlineStr">
        <is>
          <t>BORGHOLM</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1887-2026</t>
        </is>
      </c>
      <c r="B175" t="inlineStr">
        <is>
          <t>samrådsanmälan</t>
        </is>
      </c>
      <c r="C175" t="inlineStr">
        <is>
          <t>Annan skogsbruksåtgärd</t>
        </is>
      </c>
      <c r="D175" s="1" t="n">
        <v>46203</v>
      </c>
      <c r="E175" s="1" t="n">
        <v>46261</v>
      </c>
      <c r="F175" t="inlineStr">
        <is>
          <t>KALMAR LÄN</t>
        </is>
      </c>
      <c r="G175" t="inlineStr">
        <is>
          <t>BORGHOLM</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c r="A176" t="inlineStr">
        <is>
          <t>S 1888-2026</t>
        </is>
      </c>
      <c r="B176" t="inlineStr">
        <is>
          <t>samrådsanmälan</t>
        </is>
      </c>
      <c r="C176" t="inlineStr">
        <is>
          <t>Annan skogsbruksåtgärd</t>
        </is>
      </c>
      <c r="D176" s="1" t="n">
        <v>46203</v>
      </c>
      <c r="E176" s="1" t="n">
        <v>46261</v>
      </c>
      <c r="F176" t="inlineStr">
        <is>
          <t>KALMAR LÄN</t>
        </is>
      </c>
      <c r="G176" t="inlineStr">
        <is>
          <t>BORGHOLM</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2026-08-27T01:51:11Z</dcterms:created>
  <dcterms:modified xmlns:dcterms="http://purl.org/dc/terms/" xmlns:xsi="http://www.w3.org/2001/XMLSchema-instance" xsi:type="dcterms:W3CDTF">2026-08-27T01:51:11Z</dcterms:modified>
</cp:coreProperties>
</file>