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45892</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45892</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45892</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45892</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45892</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45892</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45892</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45892</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45892</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45892</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45892</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4164-2023</t>
        </is>
      </c>
      <c r="B18" s="1" t="n">
        <v>44953</v>
      </c>
      <c r="C18" s="1" t="n">
        <v>45892</v>
      </c>
      <c r="D18" t="inlineStr">
        <is>
          <t>KALMAR LÄN</t>
        </is>
      </c>
      <c r="E18" t="inlineStr">
        <is>
          <t>BORGHOLM</t>
        </is>
      </c>
      <c r="G18" t="n">
        <v>3.3</v>
      </c>
      <c r="H18" t="n">
        <v>1</v>
      </c>
      <c r="I18" t="n">
        <v>1</v>
      </c>
      <c r="J18" t="n">
        <v>0</v>
      </c>
      <c r="K18" t="n">
        <v>0</v>
      </c>
      <c r="L18" t="n">
        <v>0</v>
      </c>
      <c r="M18" t="n">
        <v>0</v>
      </c>
      <c r="N18" t="n">
        <v>0</v>
      </c>
      <c r="O18" t="n">
        <v>0</v>
      </c>
      <c r="P18" t="n">
        <v>0</v>
      </c>
      <c r="Q18" t="n">
        <v>2</v>
      </c>
      <c r="R18" s="2" t="inlineStr">
        <is>
          <t>Murgröna
Blåsippa</t>
        </is>
      </c>
      <c r="S18">
        <f>HYPERLINK("https://klasma.github.io/Logging_0885/artfynd/A 4164-2023 artfynd.xlsx", "A 4164-2023")</f>
        <v/>
      </c>
      <c r="T18">
        <f>HYPERLINK("https://klasma.github.io/Logging_0885/kartor/A 4164-2023 karta.png", "A 4164-2023")</f>
        <v/>
      </c>
      <c r="V18">
        <f>HYPERLINK("https://klasma.github.io/Logging_0885/klagomål/A 4164-2023 FSC-klagomål.docx", "A 4164-2023")</f>
        <v/>
      </c>
      <c r="W18">
        <f>HYPERLINK("https://klasma.github.io/Logging_0885/klagomålsmail/A 4164-2023 FSC-klagomål mail.docx", "A 4164-2023")</f>
        <v/>
      </c>
      <c r="X18">
        <f>HYPERLINK("https://klasma.github.io/Logging_0885/tillsyn/A 4164-2023 tillsynsbegäran.docx", "A 4164-2023")</f>
        <v/>
      </c>
      <c r="Y18">
        <f>HYPERLINK("https://klasma.github.io/Logging_0885/tillsynsmail/A 4164-2023 tillsynsbegäran mail.docx", "A 4164-2023")</f>
        <v/>
      </c>
    </row>
    <row r="19" ht="15" customHeight="1">
      <c r="A19" t="inlineStr">
        <is>
          <t>A 34944-2022</t>
        </is>
      </c>
      <c r="B19" s="1" t="n">
        <v>44796</v>
      </c>
      <c r="C19" s="1" t="n">
        <v>45892</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13556-2025</t>
        </is>
      </c>
      <c r="B20" s="1" t="n">
        <v>45736.54759259259</v>
      </c>
      <c r="C20" s="1" t="n">
        <v>45892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45892</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45892</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28779-2025</t>
        </is>
      </c>
      <c r="B23" s="1" t="n">
        <v>45820.44920138889</v>
      </c>
      <c r="C23" s="1" t="n">
        <v>45892</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38860-2025</t>
        </is>
      </c>
      <c r="B24" s="1" t="n">
        <v>45887.5609375</v>
      </c>
      <c r="C24" s="1" t="n">
        <v>45892</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45892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45892</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45892</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45892</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45892</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13558-2025</t>
        </is>
      </c>
      <c r="B30" s="1" t="n">
        <v>45736.54974537037</v>
      </c>
      <c r="C30" s="1" t="n">
        <v>45892</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43603-2024</t>
        </is>
      </c>
      <c r="B31" s="1" t="n">
        <v>45569.44700231482</v>
      </c>
      <c r="C31" s="1" t="n">
        <v>45892</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45892</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45892</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45892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45892</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45892</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24704-2023</t>
        </is>
      </c>
      <c r="B37" s="1" t="n">
        <v>45084</v>
      </c>
      <c r="C37" s="1" t="n">
        <v>45892</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34885-2025</t>
        </is>
      </c>
      <c r="B38" s="1" t="n">
        <v>45849.47128472223</v>
      </c>
      <c r="C38" s="1" t="n">
        <v>45892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45892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9745-2023</t>
        </is>
      </c>
      <c r="B40" s="1" t="n">
        <v>44984</v>
      </c>
      <c r="C40" s="1" t="n">
        <v>45892</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56434-2020</t>
        </is>
      </c>
      <c r="B41" s="1" t="n">
        <v>44137</v>
      </c>
      <c r="C41" s="1" t="n">
        <v>45892</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45892</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56499-2020</t>
        </is>
      </c>
      <c r="B43" s="1" t="n">
        <v>44137</v>
      </c>
      <c r="C43" s="1" t="n">
        <v>45892</v>
      </c>
      <c r="D43" t="inlineStr">
        <is>
          <t>KALMAR LÄN</t>
        </is>
      </c>
      <c r="E43" t="inlineStr">
        <is>
          <t>BORGHOLM</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45892</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45892</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45892</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45892</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45892</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45892</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45892</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45892</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45892</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45892</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45892</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45892</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45892</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45892</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45892</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45892</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45892</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45892</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45892</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45892</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45892</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45892</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45892</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45892</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17699-2025</t>
        </is>
      </c>
      <c r="B68" s="1" t="n">
        <v>45758.41846064815</v>
      </c>
      <c r="C68" s="1" t="n">
        <v>45892</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45892</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20287-2025</t>
        </is>
      </c>
      <c r="B70" s="1" t="n">
        <v>45774.60741898148</v>
      </c>
      <c r="C70" s="1" t="n">
        <v>45892</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45892</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45892</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26160-2024</t>
        </is>
      </c>
      <c r="B73" s="1" t="n">
        <v>45468</v>
      </c>
      <c r="C73" s="1" t="n">
        <v>45892</v>
      </c>
      <c r="D73" t="inlineStr">
        <is>
          <t>KALMAR LÄN</t>
        </is>
      </c>
      <c r="E73" t="inlineStr">
        <is>
          <t>BORGHOLM</t>
        </is>
      </c>
      <c r="G73" t="n">
        <v>0.4</v>
      </c>
      <c r="H73" t="n">
        <v>0</v>
      </c>
      <c r="I73" t="n">
        <v>0</v>
      </c>
      <c r="J73" t="n">
        <v>0</v>
      </c>
      <c r="K73" t="n">
        <v>0</v>
      </c>
      <c r="L73" t="n">
        <v>0</v>
      </c>
      <c r="M73" t="n">
        <v>0</v>
      </c>
      <c r="N73" t="n">
        <v>0</v>
      </c>
      <c r="O73" t="n">
        <v>0</v>
      </c>
      <c r="P73" t="n">
        <v>0</v>
      </c>
      <c r="Q73" t="n">
        <v>0</v>
      </c>
      <c r="R73" s="2" t="inlineStr"/>
      <c r="T73">
        <f>HYPERLINK("https://klasma.github.io/Logging_0885/kartor/A 26160-2024 karta.png", "A 26160-2024")</f>
        <v/>
      </c>
      <c r="V73">
        <f>HYPERLINK("https://klasma.github.io/Logging_0885/klagomål/A 26160-2024 FSC-klagomål.docx", "A 26160-2024")</f>
        <v/>
      </c>
      <c r="W73">
        <f>HYPERLINK("https://klasma.github.io/Logging_0885/klagomålsmail/A 26160-2024 FSC-klagomål mail.docx", "A 26160-2024")</f>
        <v/>
      </c>
      <c r="X73">
        <f>HYPERLINK("https://klasma.github.io/Logging_0885/tillsyn/A 26160-2024 tillsynsbegäran.docx", "A 26160-2024")</f>
        <v/>
      </c>
      <c r="Y73">
        <f>HYPERLINK("https://klasma.github.io/Logging_0885/tillsynsmail/A 26160-2024 tillsynsbegäran mail.docx", "A 26160-2024")</f>
        <v/>
      </c>
    </row>
    <row r="74" ht="15" customHeight="1">
      <c r="A74" t="inlineStr">
        <is>
          <t>A 9050-2025</t>
        </is>
      </c>
      <c r="B74" s="1" t="n">
        <v>45713.63512731482</v>
      </c>
      <c r="C74" s="1" t="n">
        <v>45892</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45892</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9034-2025</t>
        </is>
      </c>
      <c r="B76" s="1" t="n">
        <v>45713</v>
      </c>
      <c r="C76" s="1" t="n">
        <v>45892</v>
      </c>
      <c r="D76" t="inlineStr">
        <is>
          <t>KALMAR LÄN</t>
        </is>
      </c>
      <c r="E76" t="inlineStr">
        <is>
          <t>BORGHOLM</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45892</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7669-2024</t>
        </is>
      </c>
      <c r="B78" s="1" t="n">
        <v>45348.82498842593</v>
      </c>
      <c r="C78" s="1" t="n">
        <v>45892</v>
      </c>
      <c r="D78" t="inlineStr">
        <is>
          <t>KALMAR LÄN</t>
        </is>
      </c>
      <c r="E78" t="inlineStr">
        <is>
          <t>BORGHOLM</t>
        </is>
      </c>
      <c r="G78" t="n">
        <v>2.3</v>
      </c>
      <c r="H78" t="n">
        <v>0</v>
      </c>
      <c r="I78" t="n">
        <v>0</v>
      </c>
      <c r="J78" t="n">
        <v>0</v>
      </c>
      <c r="K78" t="n">
        <v>0</v>
      </c>
      <c r="L78" t="n">
        <v>0</v>
      </c>
      <c r="M78" t="n">
        <v>0</v>
      </c>
      <c r="N78" t="n">
        <v>0</v>
      </c>
      <c r="O78" t="n">
        <v>0</v>
      </c>
      <c r="P78" t="n">
        <v>0</v>
      </c>
      <c r="Q78" t="n">
        <v>0</v>
      </c>
      <c r="R78" s="2" t="inlineStr"/>
    </row>
    <row r="79" ht="15" customHeight="1">
      <c r="A79" t="inlineStr">
        <is>
          <t>A 9028-2025</t>
        </is>
      </c>
      <c r="B79" s="1" t="n">
        <v>45713</v>
      </c>
      <c r="C79" s="1" t="n">
        <v>45892</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45892</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31840-2021</t>
        </is>
      </c>
      <c r="B81" s="1" t="n">
        <v>44370</v>
      </c>
      <c r="C81" s="1" t="n">
        <v>45892</v>
      </c>
      <c r="D81" t="inlineStr">
        <is>
          <t>KALMAR LÄN</t>
        </is>
      </c>
      <c r="E81" t="inlineStr">
        <is>
          <t>BORGHOLM</t>
        </is>
      </c>
      <c r="F81" t="inlineStr">
        <is>
          <t>Sveaskog</t>
        </is>
      </c>
      <c r="G81" t="n">
        <v>2.8</v>
      </c>
      <c r="H81" t="n">
        <v>0</v>
      </c>
      <c r="I81" t="n">
        <v>0</v>
      </c>
      <c r="J81" t="n">
        <v>0</v>
      </c>
      <c r="K81" t="n">
        <v>0</v>
      </c>
      <c r="L81" t="n">
        <v>0</v>
      </c>
      <c r="M81" t="n">
        <v>0</v>
      </c>
      <c r="N81" t="n">
        <v>0</v>
      </c>
      <c r="O81" t="n">
        <v>0</v>
      </c>
      <c r="P81" t="n">
        <v>0</v>
      </c>
      <c r="Q81" t="n">
        <v>0</v>
      </c>
      <c r="R81" s="2" t="inlineStr"/>
    </row>
    <row r="82" ht="15" customHeight="1">
      <c r="A82" t="inlineStr">
        <is>
          <t>A 64303-2023</t>
        </is>
      </c>
      <c r="B82" s="1" t="n">
        <v>45280</v>
      </c>
      <c r="C82" s="1" t="n">
        <v>45892</v>
      </c>
      <c r="D82" t="inlineStr">
        <is>
          <t>KALMAR LÄN</t>
        </is>
      </c>
      <c r="E82" t="inlineStr">
        <is>
          <t>BORGHOLM</t>
        </is>
      </c>
      <c r="G82" t="n">
        <v>1.2</v>
      </c>
      <c r="H82" t="n">
        <v>0</v>
      </c>
      <c r="I82" t="n">
        <v>0</v>
      </c>
      <c r="J82" t="n">
        <v>0</v>
      </c>
      <c r="K82" t="n">
        <v>0</v>
      </c>
      <c r="L82" t="n">
        <v>0</v>
      </c>
      <c r="M82" t="n">
        <v>0</v>
      </c>
      <c r="N82" t="n">
        <v>0</v>
      </c>
      <c r="O82" t="n">
        <v>0</v>
      </c>
      <c r="P82" t="n">
        <v>0</v>
      </c>
      <c r="Q82" t="n">
        <v>0</v>
      </c>
      <c r="R82" s="2" t="inlineStr"/>
    </row>
    <row r="83" ht="15" customHeight="1">
      <c r="A83" t="inlineStr">
        <is>
          <t>A 17978-2021</t>
        </is>
      </c>
      <c r="B83" s="1" t="n">
        <v>44301</v>
      </c>
      <c r="C83" s="1" t="n">
        <v>45892</v>
      </c>
      <c r="D83" t="inlineStr">
        <is>
          <t>KALMAR LÄN</t>
        </is>
      </c>
      <c r="E83" t="inlineStr">
        <is>
          <t>BORGHOLM</t>
        </is>
      </c>
      <c r="G83" t="n">
        <v>6</v>
      </c>
      <c r="H83" t="n">
        <v>0</v>
      </c>
      <c r="I83" t="n">
        <v>0</v>
      </c>
      <c r="J83" t="n">
        <v>0</v>
      </c>
      <c r="K83" t="n">
        <v>0</v>
      </c>
      <c r="L83" t="n">
        <v>0</v>
      </c>
      <c r="M83" t="n">
        <v>0</v>
      </c>
      <c r="N83" t="n">
        <v>0</v>
      </c>
      <c r="O83" t="n">
        <v>0</v>
      </c>
      <c r="P83" t="n">
        <v>0</v>
      </c>
      <c r="Q83" t="n">
        <v>0</v>
      </c>
      <c r="R83" s="2" t="inlineStr"/>
    </row>
    <row r="84" ht="15" customHeight="1">
      <c r="A84" t="inlineStr">
        <is>
          <t>A 22785-2025</t>
        </is>
      </c>
      <c r="B84" s="1" t="n">
        <v>45789.64186342592</v>
      </c>
      <c r="C84" s="1" t="n">
        <v>45892</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21908-2022</t>
        </is>
      </c>
      <c r="B85" s="1" t="n">
        <v>44711</v>
      </c>
      <c r="C85" s="1" t="n">
        <v>45892</v>
      </c>
      <c r="D85" t="inlineStr">
        <is>
          <t>KALMAR LÄN</t>
        </is>
      </c>
      <c r="E85" t="inlineStr">
        <is>
          <t>BORGHOLM</t>
        </is>
      </c>
      <c r="G85" t="n">
        <v>4.7</v>
      </c>
      <c r="H85" t="n">
        <v>0</v>
      </c>
      <c r="I85" t="n">
        <v>0</v>
      </c>
      <c r="J85" t="n">
        <v>0</v>
      </c>
      <c r="K85" t="n">
        <v>0</v>
      </c>
      <c r="L85" t="n">
        <v>0</v>
      </c>
      <c r="M85" t="n">
        <v>0</v>
      </c>
      <c r="N85" t="n">
        <v>0</v>
      </c>
      <c r="O85" t="n">
        <v>0</v>
      </c>
      <c r="P85" t="n">
        <v>0</v>
      </c>
      <c r="Q85" t="n">
        <v>0</v>
      </c>
      <c r="R85" s="2" t="inlineStr"/>
    </row>
    <row r="86" ht="15" customHeight="1">
      <c r="A86" t="inlineStr">
        <is>
          <t>A 55367-2024</t>
        </is>
      </c>
      <c r="B86" s="1" t="n">
        <v>45621.87075231481</v>
      </c>
      <c r="C86" s="1" t="n">
        <v>45892</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12534-2022</t>
        </is>
      </c>
      <c r="B87" s="1" t="n">
        <v>44638</v>
      </c>
      <c r="C87" s="1" t="n">
        <v>45892</v>
      </c>
      <c r="D87" t="inlineStr">
        <is>
          <t>KALMAR LÄN</t>
        </is>
      </c>
      <c r="E87" t="inlineStr">
        <is>
          <t>BORGHOLM</t>
        </is>
      </c>
      <c r="G87" t="n">
        <v>8.6</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45892</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40339-2023</t>
        </is>
      </c>
      <c r="B89" s="1" t="n">
        <v>45169.62733796296</v>
      </c>
      <c r="C89" s="1" t="n">
        <v>45892</v>
      </c>
      <c r="D89" t="inlineStr">
        <is>
          <t>KALMAR LÄN</t>
        </is>
      </c>
      <c r="E89" t="inlineStr">
        <is>
          <t>BORGHOLM</t>
        </is>
      </c>
      <c r="G89" t="n">
        <v>3.8</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45892</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45892</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31720-2022</t>
        </is>
      </c>
      <c r="B92" s="1" t="n">
        <v>44776</v>
      </c>
      <c r="C92" s="1" t="n">
        <v>45892</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45892</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45892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45892</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45892</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26190-2025</t>
        </is>
      </c>
      <c r="B97" s="1" t="n">
        <v>45805.48349537037</v>
      </c>
      <c r="C97" s="1" t="n">
        <v>45892</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45892</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45892</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26160-2025</t>
        </is>
      </c>
      <c r="B100" s="1" t="n">
        <v>45805.4490162037</v>
      </c>
      <c r="C100" s="1" t="n">
        <v>45892</v>
      </c>
      <c r="D100" t="inlineStr">
        <is>
          <t>KALMAR LÄN</t>
        </is>
      </c>
      <c r="E100" t="inlineStr">
        <is>
          <t>BORGHOLM</t>
        </is>
      </c>
      <c r="G100" t="n">
        <v>3.7</v>
      </c>
      <c r="H100" t="n">
        <v>0</v>
      </c>
      <c r="I100" t="n">
        <v>0</v>
      </c>
      <c r="J100" t="n">
        <v>0</v>
      </c>
      <c r="K100" t="n">
        <v>0</v>
      </c>
      <c r="L100" t="n">
        <v>0</v>
      </c>
      <c r="M100" t="n">
        <v>0</v>
      </c>
      <c r="N100" t="n">
        <v>0</v>
      </c>
      <c r="O100" t="n">
        <v>0</v>
      </c>
      <c r="P100" t="n">
        <v>0</v>
      </c>
      <c r="Q100" t="n">
        <v>0</v>
      </c>
      <c r="R100" s="2" t="inlineStr"/>
    </row>
    <row r="101" ht="15" customHeight="1">
      <c r="A101" t="inlineStr">
        <is>
          <t>A 4159-2024</t>
        </is>
      </c>
      <c r="B101" s="1" t="n">
        <v>45323</v>
      </c>
      <c r="C101" s="1" t="n">
        <v>45892</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45892</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32921-2023</t>
        </is>
      </c>
      <c r="B103" s="1" t="n">
        <v>45125</v>
      </c>
      <c r="C103" s="1" t="n">
        <v>45892</v>
      </c>
      <c r="D103" t="inlineStr">
        <is>
          <t>KALMAR LÄN</t>
        </is>
      </c>
      <c r="E103" t="inlineStr">
        <is>
          <t>BORGHOLM</t>
        </is>
      </c>
      <c r="G103" t="n">
        <v>2.9</v>
      </c>
      <c r="H103" t="n">
        <v>0</v>
      </c>
      <c r="I103" t="n">
        <v>0</v>
      </c>
      <c r="J103" t="n">
        <v>0</v>
      </c>
      <c r="K103" t="n">
        <v>0</v>
      </c>
      <c r="L103" t="n">
        <v>0</v>
      </c>
      <c r="M103" t="n">
        <v>0</v>
      </c>
      <c r="N103" t="n">
        <v>0</v>
      </c>
      <c r="O103" t="n">
        <v>0</v>
      </c>
      <c r="P103" t="n">
        <v>0</v>
      </c>
      <c r="Q103" t="n">
        <v>0</v>
      </c>
      <c r="R103" s="2" t="inlineStr"/>
    </row>
    <row r="104" ht="15" customHeight="1">
      <c r="A104" t="inlineStr">
        <is>
          <t>A 27357-2025</t>
        </is>
      </c>
      <c r="B104" s="1" t="n">
        <v>45812.63650462963</v>
      </c>
      <c r="C104" s="1" t="n">
        <v>45892</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45892</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45892</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45892</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53050-2021</t>
        </is>
      </c>
      <c r="B108" s="1" t="n">
        <v>44467</v>
      </c>
      <c r="C108" s="1" t="n">
        <v>45892</v>
      </c>
      <c r="D108" t="inlineStr">
        <is>
          <t>KALMAR LÄN</t>
        </is>
      </c>
      <c r="E108" t="inlineStr">
        <is>
          <t>BORGHOLM</t>
        </is>
      </c>
      <c r="G108" t="n">
        <v>3.6</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45892</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45892</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45892</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45892</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45892</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36269-2025</t>
        </is>
      </c>
      <c r="B114" s="1" t="n">
        <v>45867.61736111111</v>
      </c>
      <c r="C114" s="1" t="n">
        <v>45892</v>
      </c>
      <c r="D114" t="inlineStr">
        <is>
          <t>KALMAR LÄN</t>
        </is>
      </c>
      <c r="E114" t="inlineStr">
        <is>
          <t>BORGHOLM</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12481-2025</t>
        </is>
      </c>
      <c r="B115" s="1" t="n">
        <v>45730.57878472222</v>
      </c>
      <c r="C115" s="1" t="n">
        <v>45892</v>
      </c>
      <c r="D115" t="inlineStr">
        <is>
          <t>KALMAR LÄN</t>
        </is>
      </c>
      <c r="E115" t="inlineStr">
        <is>
          <t>BORGHOLM</t>
        </is>
      </c>
      <c r="G115" t="n">
        <v>7.2</v>
      </c>
      <c r="H115" t="n">
        <v>0</v>
      </c>
      <c r="I115" t="n">
        <v>0</v>
      </c>
      <c r="J115" t="n">
        <v>0</v>
      </c>
      <c r="K115" t="n">
        <v>0</v>
      </c>
      <c r="L115" t="n">
        <v>0</v>
      </c>
      <c r="M115" t="n">
        <v>0</v>
      </c>
      <c r="N115" t="n">
        <v>0</v>
      </c>
      <c r="O115" t="n">
        <v>0</v>
      </c>
      <c r="P115" t="n">
        <v>0</v>
      </c>
      <c r="Q115" t="n">
        <v>0</v>
      </c>
      <c r="R115" s="2" t="inlineStr"/>
    </row>
    <row r="116" ht="15" customHeight="1">
      <c r="A116" t="inlineStr">
        <is>
          <t>A 27326-2025</t>
        </is>
      </c>
      <c r="B116" s="1" t="n">
        <v>45812</v>
      </c>
      <c r="C116" s="1" t="n">
        <v>45892</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45892</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45892</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45892</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9076-2025</t>
        </is>
      </c>
      <c r="B120" s="1" t="n">
        <v>45713.6596875</v>
      </c>
      <c r="C120" s="1" t="n">
        <v>45892</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1757-2025</t>
        </is>
      </c>
      <c r="B121" s="1" t="n">
        <v>45671.42195601852</v>
      </c>
      <c r="C121" s="1" t="n">
        <v>45892</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45892</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9044-2025</t>
        </is>
      </c>
      <c r="B123" s="1" t="n">
        <v>45713.6275</v>
      </c>
      <c r="C123" s="1" t="n">
        <v>45892</v>
      </c>
      <c r="D123" t="inlineStr">
        <is>
          <t>KALMAR LÄN</t>
        </is>
      </c>
      <c r="E123" t="inlineStr">
        <is>
          <t>BORGHOLM</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45892</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c r="A125" t="inlineStr">
        <is>
          <t>A 20878-2024</t>
        </is>
      </c>
      <c r="B125" s="1" t="n">
        <v>45439.44748842593</v>
      </c>
      <c r="C125" s="1" t="n">
        <v>45892</v>
      </c>
      <c r="D125" t="inlineStr">
        <is>
          <t>KALMAR LÄN</t>
        </is>
      </c>
      <c r="E125" t="inlineStr">
        <is>
          <t>BORGHOLM</t>
        </is>
      </c>
      <c r="G125" t="n">
        <v>1.9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2025-08-23T08:36:50Z</dcterms:created>
  <dcterms:modified xmlns:dcterms="http://purl.org/dc/terms/" xmlns:xsi="http://www.w3.org/2001/XMLSchema-instance" xsi:type="dcterms:W3CDTF">2025-08-23T08:36:50Z</dcterms:modified>
</cp:coreProperties>
</file>