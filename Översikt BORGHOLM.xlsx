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45924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45924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45924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45924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45924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45924</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45924</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45924</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45924</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57656-2020</t>
        </is>
      </c>
      <c r="B11" s="1" t="n">
        <v>44140</v>
      </c>
      <c r="C11" s="1" t="n">
        <v>45924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34948-2022</t>
        </is>
      </c>
      <c r="B12" s="1" t="n">
        <v>44796</v>
      </c>
      <c r="C12" s="1" t="n">
        <v>45924</v>
      </c>
      <c r="D12" t="inlineStr">
        <is>
          <t>KALMAR LÄN</t>
        </is>
      </c>
      <c r="E12" t="inlineStr">
        <is>
          <t>BORGHOLM</t>
        </is>
      </c>
      <c r="F12" t="inlineStr">
        <is>
          <t>Sveaskog</t>
        </is>
      </c>
      <c r="G12" t="n">
        <v>2.8</v>
      </c>
      <c r="H12" t="n">
        <v>1</v>
      </c>
      <c r="I12" t="n">
        <v>1</v>
      </c>
      <c r="J12" t="n">
        <v>2</v>
      </c>
      <c r="K12" t="n">
        <v>0</v>
      </c>
      <c r="L12" t="n">
        <v>1</v>
      </c>
      <c r="M12" t="n">
        <v>0</v>
      </c>
      <c r="N12" t="n">
        <v>0</v>
      </c>
      <c r="O12" t="n">
        <v>3</v>
      </c>
      <c r="P12" t="n">
        <v>1</v>
      </c>
      <c r="Q12" t="n">
        <v>5</v>
      </c>
      <c r="R12" s="2" t="inlineStr">
        <is>
          <t>Brödmusseron
Juvelspindling
Persiljespindling
Fransig jordstjärna
Blåsippa</t>
        </is>
      </c>
      <c r="S12">
        <f>HYPERLINK("https://klasma.github.io/Logging_0885/artfynd/A 34948-2022 artfynd.xlsx", "A 34948-2022")</f>
        <v/>
      </c>
      <c r="T12">
        <f>HYPERLINK("https://klasma.github.io/Logging_0885/kartor/A 34948-2022 karta.png", "A 34948-2022")</f>
        <v/>
      </c>
      <c r="V12">
        <f>HYPERLINK("https://klasma.github.io/Logging_0885/klagomål/A 34948-2022 FSC-klagomål.docx", "A 34948-2022")</f>
        <v/>
      </c>
      <c r="W12">
        <f>HYPERLINK("https://klasma.github.io/Logging_0885/klagomålsmail/A 34948-2022 FSC-klagomål mail.docx", "A 34948-2022")</f>
        <v/>
      </c>
      <c r="X12">
        <f>HYPERLINK("https://klasma.github.io/Logging_0885/tillsyn/A 34948-2022 tillsynsbegäran.docx", "A 34948-2022")</f>
        <v/>
      </c>
      <c r="Y12">
        <f>HYPERLINK("https://klasma.github.io/Logging_0885/tillsynsmail/A 34948-2022 tillsynsbegäran mail.docx", "A 34948-2022")</f>
        <v/>
      </c>
    </row>
    <row r="13" ht="15" customHeight="1">
      <c r="A13" t="inlineStr">
        <is>
          <t>A 4881-2021</t>
        </is>
      </c>
      <c r="B13" s="1" t="n">
        <v>44225</v>
      </c>
      <c r="C13" s="1" t="n">
        <v>45924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55210-2020</t>
        </is>
      </c>
      <c r="B14" s="1" t="n">
        <v>44130</v>
      </c>
      <c r="C14" s="1" t="n">
        <v>45924</v>
      </c>
      <c r="D14" t="inlineStr">
        <is>
          <t>KALMAR LÄN</t>
        </is>
      </c>
      <c r="E14" t="inlineStr">
        <is>
          <t>BORGHOLM</t>
        </is>
      </c>
      <c r="G14" t="n">
        <v>2.2</v>
      </c>
      <c r="H14" t="n">
        <v>1</v>
      </c>
      <c r="I14" t="n">
        <v>3</v>
      </c>
      <c r="J14" t="n">
        <v>1</v>
      </c>
      <c r="K14" t="n">
        <v>0</v>
      </c>
      <c r="L14" t="n">
        <v>0</v>
      </c>
      <c r="M14" t="n">
        <v>0</v>
      </c>
      <c r="N14" t="n">
        <v>0</v>
      </c>
      <c r="O14" t="n">
        <v>1</v>
      </c>
      <c r="P14" t="n">
        <v>0</v>
      </c>
      <c r="Q14" t="n">
        <v>4</v>
      </c>
      <c r="R14" s="2" t="inlineStr">
        <is>
          <t>Loppstarr
Murgröna
Nästrot
Sårläka</t>
        </is>
      </c>
      <c r="S14">
        <f>HYPERLINK("https://klasma.github.io/Logging_0885/artfynd/A 55210-2020 artfynd.xlsx", "A 55210-2020")</f>
        <v/>
      </c>
      <c r="T14">
        <f>HYPERLINK("https://klasma.github.io/Logging_0885/kartor/A 55210-2020 karta.png", "A 55210-2020")</f>
        <v/>
      </c>
      <c r="V14">
        <f>HYPERLINK("https://klasma.github.io/Logging_0885/klagomål/A 55210-2020 FSC-klagomål.docx", "A 55210-2020")</f>
        <v/>
      </c>
      <c r="W14">
        <f>HYPERLINK("https://klasma.github.io/Logging_0885/klagomålsmail/A 55210-2020 FSC-klagomål mail.docx", "A 55210-2020")</f>
        <v/>
      </c>
      <c r="X14">
        <f>HYPERLINK("https://klasma.github.io/Logging_0885/tillsyn/A 55210-2020 tillsynsbegäran.docx", "A 55210-2020")</f>
        <v/>
      </c>
      <c r="Y14">
        <f>HYPERLINK("https://klasma.github.io/Logging_0885/tillsynsmail/A 55210-2020 tillsynsbegäran mail.docx", "A 55210-2020")</f>
        <v/>
      </c>
    </row>
    <row r="15" ht="15" customHeight="1">
      <c r="A15" t="inlineStr">
        <is>
          <t>A 50720-2021</t>
        </is>
      </c>
      <c r="B15" s="1" t="n">
        <v>44459</v>
      </c>
      <c r="C15" s="1" t="n">
        <v>45924</v>
      </c>
      <c r="D15" t="inlineStr">
        <is>
          <t>KALMAR LÄN</t>
        </is>
      </c>
      <c r="E15" t="inlineStr">
        <is>
          <t>BORGHOLM</t>
        </is>
      </c>
      <c r="G15" t="n">
        <v>1.7</v>
      </c>
      <c r="H15" t="n">
        <v>0</v>
      </c>
      <c r="I15" t="n">
        <v>1</v>
      </c>
      <c r="J15" t="n">
        <v>3</v>
      </c>
      <c r="K15" t="n">
        <v>0</v>
      </c>
      <c r="L15" t="n">
        <v>0</v>
      </c>
      <c r="M15" t="n">
        <v>0</v>
      </c>
      <c r="N15" t="n">
        <v>0</v>
      </c>
      <c r="O15" t="n">
        <v>3</v>
      </c>
      <c r="P15" t="n">
        <v>0</v>
      </c>
      <c r="Q15" t="n">
        <v>4</v>
      </c>
      <c r="R15" s="2" t="inlineStr">
        <is>
          <t>Flentimotej
Grådådra
Sminkrot
Geastrum</t>
        </is>
      </c>
      <c r="S15">
        <f>HYPERLINK("https://klasma.github.io/Logging_0885/artfynd/A 50720-2021 artfynd.xlsx", "A 50720-2021")</f>
        <v/>
      </c>
      <c r="T15">
        <f>HYPERLINK("https://klasma.github.io/Logging_0885/kartor/A 50720-2021 karta.png", "A 50720-2021")</f>
        <v/>
      </c>
      <c r="V15">
        <f>HYPERLINK("https://klasma.github.io/Logging_0885/klagomål/A 50720-2021 FSC-klagomål.docx", "A 50720-2021")</f>
        <v/>
      </c>
      <c r="W15">
        <f>HYPERLINK("https://klasma.github.io/Logging_0885/klagomålsmail/A 50720-2021 FSC-klagomål mail.docx", "A 50720-2021")</f>
        <v/>
      </c>
      <c r="X15">
        <f>HYPERLINK("https://klasma.github.io/Logging_0885/tillsyn/A 50720-2021 tillsynsbegäran.docx", "A 50720-2021")</f>
        <v/>
      </c>
      <c r="Y15">
        <f>HYPERLINK("https://klasma.github.io/Logging_0885/tillsynsmail/A 50720-2021 tillsynsbegäran mail.docx", "A 50720-2021")</f>
        <v/>
      </c>
    </row>
    <row r="16" ht="15" customHeight="1">
      <c r="A16" t="inlineStr">
        <is>
          <t>A 32640-2022</t>
        </is>
      </c>
      <c r="B16" s="1" t="n">
        <v>44783</v>
      </c>
      <c r="C16" s="1" t="n">
        <v>45924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58231-2020</t>
        </is>
      </c>
      <c r="B17" s="1" t="n">
        <v>44144</v>
      </c>
      <c r="C17" s="1" t="n">
        <v>45924</v>
      </c>
      <c r="D17" t="inlineStr">
        <is>
          <t>KALMAR LÄN</t>
        </is>
      </c>
      <c r="E17" t="inlineStr">
        <is>
          <t>BORGHOLM</t>
        </is>
      </c>
      <c r="F17" t="inlineStr">
        <is>
          <t>Sveaskog</t>
        </is>
      </c>
      <c r="G17" t="n">
        <v>8.5</v>
      </c>
      <c r="H17" t="n">
        <v>1</v>
      </c>
      <c r="I17" t="n">
        <v>2</v>
      </c>
      <c r="J17" t="n">
        <v>1</v>
      </c>
      <c r="K17" t="n">
        <v>0</v>
      </c>
      <c r="L17" t="n">
        <v>0</v>
      </c>
      <c r="M17" t="n">
        <v>0</v>
      </c>
      <c r="N17" t="n">
        <v>0</v>
      </c>
      <c r="O17" t="n">
        <v>1</v>
      </c>
      <c r="P17" t="n">
        <v>0</v>
      </c>
      <c r="Q17" t="n">
        <v>3</v>
      </c>
      <c r="R17" s="2" t="inlineStr">
        <is>
          <t>Skugglosta
Skogsknipprot
Strävlosta</t>
        </is>
      </c>
      <c r="S17">
        <f>HYPERLINK("https://klasma.github.io/Logging_0885/artfynd/A 58231-2020 artfynd.xlsx", "A 58231-2020")</f>
        <v/>
      </c>
      <c r="T17">
        <f>HYPERLINK("https://klasma.github.io/Logging_0885/kartor/A 58231-2020 karta.png", "A 58231-2020")</f>
        <v/>
      </c>
      <c r="V17">
        <f>HYPERLINK("https://klasma.github.io/Logging_0885/klagomål/A 58231-2020 FSC-klagomål.docx", "A 58231-2020")</f>
        <v/>
      </c>
      <c r="W17">
        <f>HYPERLINK("https://klasma.github.io/Logging_0885/klagomålsmail/A 58231-2020 FSC-klagomål mail.docx", "A 58231-2020")</f>
        <v/>
      </c>
      <c r="X17">
        <f>HYPERLINK("https://klasma.github.io/Logging_0885/tillsyn/A 58231-2020 tillsynsbegäran.docx", "A 58231-2020")</f>
        <v/>
      </c>
      <c r="Y17">
        <f>HYPERLINK("https://klasma.github.io/Logging_0885/tillsynsmail/A 58231-2020 tillsynsbegäran mail.docx", "A 58231-2020")</f>
        <v/>
      </c>
    </row>
    <row r="18" ht="15" customHeight="1">
      <c r="A18" t="inlineStr">
        <is>
          <t>A 16171-2023</t>
        </is>
      </c>
      <c r="B18" s="1" t="n">
        <v>45027</v>
      </c>
      <c r="C18" s="1" t="n">
        <v>45924</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45924</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45924</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32174-2022</t>
        </is>
      </c>
      <c r="B21" s="1" t="n">
        <v>44781</v>
      </c>
      <c r="C21" s="1" t="n">
        <v>45924</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28779-2025</t>
        </is>
      </c>
      <c r="B22" s="1" t="n">
        <v>45820.44920138889</v>
      </c>
      <c r="C22" s="1" t="n">
        <v>45924</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43756-2022</t>
        </is>
      </c>
      <c r="B23" s="1" t="n">
        <v>44837</v>
      </c>
      <c r="C23" s="1" t="n">
        <v>45924</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38860-2025</t>
        </is>
      </c>
      <c r="B24" s="1" t="n">
        <v>45887.5609375</v>
      </c>
      <c r="C24" s="1" t="n">
        <v>45924</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44008-2022</t>
        </is>
      </c>
      <c r="B25" s="1" t="n">
        <v>44838</v>
      </c>
      <c r="C25" s="1" t="n">
        <v>45924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34944-2022</t>
        </is>
      </c>
      <c r="B26" s="1" t="n">
        <v>44796</v>
      </c>
      <c r="C26" s="1" t="n">
        <v>45924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45924</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3871-2021</t>
        </is>
      </c>
      <c r="B28" s="1" t="n">
        <v>44222</v>
      </c>
      <c r="C28" s="1" t="n">
        <v>45924</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66329-2020</t>
        </is>
      </c>
      <c r="B29" s="1" t="n">
        <v>44176</v>
      </c>
      <c r="C29" s="1" t="n">
        <v>45924</v>
      </c>
      <c r="D29" t="inlineStr">
        <is>
          <t>KALMAR LÄN</t>
        </is>
      </c>
      <c r="E29" t="inlineStr">
        <is>
          <t>BORGHOLM</t>
        </is>
      </c>
      <c r="G29" t="n">
        <v>7.4</v>
      </c>
      <c r="H29" t="n">
        <v>0</v>
      </c>
      <c r="I29" t="n">
        <v>0</v>
      </c>
      <c r="J29" t="n">
        <v>1</v>
      </c>
      <c r="K29" t="n">
        <v>0</v>
      </c>
      <c r="L29" t="n">
        <v>0</v>
      </c>
      <c r="M29" t="n">
        <v>0</v>
      </c>
      <c r="N29" t="n">
        <v>0</v>
      </c>
      <c r="O29" t="n">
        <v>1</v>
      </c>
      <c r="P29" t="n">
        <v>0</v>
      </c>
      <c r="Q29" t="n">
        <v>1</v>
      </c>
      <c r="R29" s="2" t="inlineStr">
        <is>
          <t>Säfferot</t>
        </is>
      </c>
      <c r="S29">
        <f>HYPERLINK("https://klasma.github.io/Logging_0885/artfynd/A 66329-2020 artfynd.xlsx", "A 66329-2020")</f>
        <v/>
      </c>
      <c r="T29">
        <f>HYPERLINK("https://klasma.github.io/Logging_0885/kartor/A 66329-2020 karta.png", "A 66329-2020")</f>
        <v/>
      </c>
      <c r="V29">
        <f>HYPERLINK("https://klasma.github.io/Logging_0885/klagomål/A 66329-2020 FSC-klagomål.docx", "A 66329-2020")</f>
        <v/>
      </c>
      <c r="W29">
        <f>HYPERLINK("https://klasma.github.io/Logging_0885/klagomålsmail/A 66329-2020 FSC-klagomål mail.docx", "A 66329-2020")</f>
        <v/>
      </c>
      <c r="X29">
        <f>HYPERLINK("https://klasma.github.io/Logging_0885/tillsyn/A 66329-2020 tillsynsbegäran.docx", "A 66329-2020")</f>
        <v/>
      </c>
      <c r="Y29">
        <f>HYPERLINK("https://klasma.github.io/Logging_0885/tillsynsmail/A 66329-2020 tillsynsbegäran mail.docx", "A 66329-2020")</f>
        <v/>
      </c>
    </row>
    <row r="30" ht="15" customHeight="1">
      <c r="A30" t="inlineStr">
        <is>
          <t>A 31295-2022</t>
        </is>
      </c>
      <c r="B30" s="1" t="n">
        <v>44772</v>
      </c>
      <c r="C30" s="1" t="n">
        <v>45924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43603-2024</t>
        </is>
      </c>
      <c r="B31" s="1" t="n">
        <v>45569.44700231482</v>
      </c>
      <c r="C31" s="1" t="n">
        <v>45924</v>
      </c>
      <c r="D31" t="inlineStr">
        <is>
          <t>KALMAR LÄN</t>
        </is>
      </c>
      <c r="E31" t="inlineStr">
        <is>
          <t>BORGHOLM</t>
        </is>
      </c>
      <c r="G31" t="n">
        <v>3.8</v>
      </c>
      <c r="H31" t="n">
        <v>1</v>
      </c>
      <c r="I31" t="n">
        <v>0</v>
      </c>
      <c r="J31" t="n">
        <v>0</v>
      </c>
      <c r="K31" t="n">
        <v>1</v>
      </c>
      <c r="L31" t="n">
        <v>0</v>
      </c>
      <c r="M31" t="n">
        <v>0</v>
      </c>
      <c r="N31" t="n">
        <v>0</v>
      </c>
      <c r="O31" t="n">
        <v>1</v>
      </c>
      <c r="P31" t="n">
        <v>1</v>
      </c>
      <c r="Q31" t="n">
        <v>1</v>
      </c>
      <c r="R31" s="2" t="inlineStr">
        <is>
          <t>Väddnätfjäril</t>
        </is>
      </c>
      <c r="S31">
        <f>HYPERLINK("https://klasma.github.io/Logging_0885/artfynd/A 43603-2024 artfynd.xlsx", "A 43603-2024")</f>
        <v/>
      </c>
      <c r="T31">
        <f>HYPERLINK("https://klasma.github.io/Logging_0885/kartor/A 43603-2024 karta.png", "A 43603-2024")</f>
        <v/>
      </c>
      <c r="V31">
        <f>HYPERLINK("https://klasma.github.io/Logging_0885/klagomål/A 43603-2024 FSC-klagomål.docx", "A 43603-2024")</f>
        <v/>
      </c>
      <c r="W31">
        <f>HYPERLINK("https://klasma.github.io/Logging_0885/klagomålsmail/A 43603-2024 FSC-klagomål mail.docx", "A 43603-2024")</f>
        <v/>
      </c>
      <c r="X31">
        <f>HYPERLINK("https://klasma.github.io/Logging_0885/tillsyn/A 43603-2024 tillsynsbegäran.docx", "A 43603-2024")</f>
        <v/>
      </c>
      <c r="Y31">
        <f>HYPERLINK("https://klasma.github.io/Logging_0885/tillsynsmail/A 43603-2024 tillsynsbegäran mail.docx", "A 43603-2024")</f>
        <v/>
      </c>
    </row>
    <row r="32" ht="15" customHeight="1">
      <c r="A32" t="inlineStr">
        <is>
          <t>A 24048-2025</t>
        </is>
      </c>
      <c r="B32" s="1" t="n">
        <v>45796.4959375</v>
      </c>
      <c r="C32" s="1" t="n">
        <v>45924</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13558-2025</t>
        </is>
      </c>
      <c r="B33" s="1" t="n">
        <v>45736.54974537037</v>
      </c>
      <c r="C33" s="1" t="n">
        <v>45924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41640-2023</t>
        </is>
      </c>
      <c r="B34" s="1" t="n">
        <v>45175</v>
      </c>
      <c r="C34" s="1" t="n">
        <v>45924</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14789-2021</t>
        </is>
      </c>
      <c r="B35" s="1" t="n">
        <v>44280</v>
      </c>
      <c r="C35" s="1" t="n">
        <v>45924</v>
      </c>
      <c r="D35" t="inlineStr">
        <is>
          <t>KALMAR LÄN</t>
        </is>
      </c>
      <c r="E35" t="inlineStr">
        <is>
          <t>BORGHOLM</t>
        </is>
      </c>
      <c r="G35" t="n">
        <v>1</v>
      </c>
      <c r="H35" t="n">
        <v>1</v>
      </c>
      <c r="I35" t="n">
        <v>1</v>
      </c>
      <c r="J35" t="n">
        <v>0</v>
      </c>
      <c r="K35" t="n">
        <v>0</v>
      </c>
      <c r="L35" t="n">
        <v>0</v>
      </c>
      <c r="M35" t="n">
        <v>0</v>
      </c>
      <c r="N35" t="n">
        <v>0</v>
      </c>
      <c r="O35" t="n">
        <v>0</v>
      </c>
      <c r="P35" t="n">
        <v>0</v>
      </c>
      <c r="Q35" t="n">
        <v>1</v>
      </c>
      <c r="R35" s="2" t="inlineStr">
        <is>
          <t>Skogsknipprot</t>
        </is>
      </c>
      <c r="S35">
        <f>HYPERLINK("https://klasma.github.io/Logging_0885/artfynd/A 14789-2021 artfynd.xlsx", "A 14789-2021")</f>
        <v/>
      </c>
      <c r="T35">
        <f>HYPERLINK("https://klasma.github.io/Logging_0885/kartor/A 14789-2021 karta.png", "A 14789-2021")</f>
        <v/>
      </c>
      <c r="V35">
        <f>HYPERLINK("https://klasma.github.io/Logging_0885/klagomål/A 14789-2021 FSC-klagomål.docx", "A 14789-2021")</f>
        <v/>
      </c>
      <c r="W35">
        <f>HYPERLINK("https://klasma.github.io/Logging_0885/klagomålsmail/A 14789-2021 FSC-klagomål mail.docx", "A 14789-2021")</f>
        <v/>
      </c>
      <c r="X35">
        <f>HYPERLINK("https://klasma.github.io/Logging_0885/tillsyn/A 14789-2021 tillsynsbegäran.docx", "A 14789-2021")</f>
        <v/>
      </c>
      <c r="Y35">
        <f>HYPERLINK("https://klasma.github.io/Logging_0885/tillsynsmail/A 14789-2021 tillsynsbegäran mail.docx", "A 14789-2021")</f>
        <v/>
      </c>
    </row>
    <row r="36" ht="15" customHeight="1">
      <c r="A36" t="inlineStr">
        <is>
          <t>A 24701-2023</t>
        </is>
      </c>
      <c r="B36" s="1" t="n">
        <v>45084</v>
      </c>
      <c r="C36" s="1" t="n">
        <v>45924</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28785-2025</t>
        </is>
      </c>
      <c r="B37" s="1" t="n">
        <v>45820.46159722222</v>
      </c>
      <c r="C37" s="1" t="n">
        <v>45924</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45924</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34885-2025</t>
        </is>
      </c>
      <c r="B39" s="1" t="n">
        <v>45849.47128472223</v>
      </c>
      <c r="C39" s="1" t="n">
        <v>45924</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45693-2025</t>
        </is>
      </c>
      <c r="B40" s="1" t="n">
        <v>45923</v>
      </c>
      <c r="C40" s="1" t="n">
        <v>45924</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24704-2023</t>
        </is>
      </c>
      <c r="B41" s="1" t="n">
        <v>45084</v>
      </c>
      <c r="C41" s="1" t="n">
        <v>45924</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9745-2023</t>
        </is>
      </c>
      <c r="B42" s="1" t="n">
        <v>44984</v>
      </c>
      <c r="C42" s="1" t="n">
        <v>45924</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12785-2021</t>
        </is>
      </c>
      <c r="B43" s="1" t="n">
        <v>44270</v>
      </c>
      <c r="C43" s="1" t="n">
        <v>45924</v>
      </c>
      <c r="D43" t="inlineStr">
        <is>
          <t>KALMAR LÄN</t>
        </is>
      </c>
      <c r="E43" t="inlineStr">
        <is>
          <t>BORGHOLM</t>
        </is>
      </c>
      <c r="G43" t="n">
        <v>1.2</v>
      </c>
      <c r="H43" t="n">
        <v>0</v>
      </c>
      <c r="I43" t="n">
        <v>0</v>
      </c>
      <c r="J43" t="n">
        <v>0</v>
      </c>
      <c r="K43" t="n">
        <v>0</v>
      </c>
      <c r="L43" t="n">
        <v>1</v>
      </c>
      <c r="M43" t="n">
        <v>0</v>
      </c>
      <c r="N43" t="n">
        <v>0</v>
      </c>
      <c r="O43" t="n">
        <v>1</v>
      </c>
      <c r="P43" t="n">
        <v>1</v>
      </c>
      <c r="Q43" t="n">
        <v>1</v>
      </c>
      <c r="R43" s="2" t="inlineStr">
        <is>
          <t>Ask</t>
        </is>
      </c>
      <c r="S43">
        <f>HYPERLINK("https://klasma.github.io/Logging_0885/artfynd/A 12785-2021 artfynd.xlsx", "A 12785-2021")</f>
        <v/>
      </c>
      <c r="T43">
        <f>HYPERLINK("https://klasma.github.io/Logging_0885/kartor/A 12785-2021 karta.png", "A 12785-2021")</f>
        <v/>
      </c>
      <c r="V43">
        <f>HYPERLINK("https://klasma.github.io/Logging_0885/klagomål/A 12785-2021 FSC-klagomål.docx", "A 12785-2021")</f>
        <v/>
      </c>
      <c r="W43">
        <f>HYPERLINK("https://klasma.github.io/Logging_0885/klagomålsmail/A 12785-2021 FSC-klagomål mail.docx", "A 12785-2021")</f>
        <v/>
      </c>
      <c r="X43">
        <f>HYPERLINK("https://klasma.github.io/Logging_0885/tillsyn/A 12785-2021 tillsynsbegäran.docx", "A 12785-2021")</f>
        <v/>
      </c>
      <c r="Y43">
        <f>HYPERLINK("https://klasma.github.io/Logging_0885/tillsynsmail/A 12785-2021 tillsynsbegäran mail.docx", "A 12785-2021")</f>
        <v/>
      </c>
    </row>
    <row r="44" ht="15" customHeight="1">
      <c r="A44" t="inlineStr">
        <is>
          <t>A 56499-2020</t>
        </is>
      </c>
      <c r="B44" s="1" t="n">
        <v>44137</v>
      </c>
      <c r="C44" s="1" t="n">
        <v>45924</v>
      </c>
      <c r="D44" t="inlineStr">
        <is>
          <t>KALMAR LÄN</t>
        </is>
      </c>
      <c r="E44" t="inlineStr">
        <is>
          <t>BORGHOLM</t>
        </is>
      </c>
      <c r="F44" t="inlineStr">
        <is>
          <t>Sveaskog</t>
        </is>
      </c>
      <c r="G44" t="n">
        <v>0.5</v>
      </c>
      <c r="H44" t="n">
        <v>0</v>
      </c>
      <c r="I44" t="n">
        <v>0</v>
      </c>
      <c r="J44" t="n">
        <v>0</v>
      </c>
      <c r="K44" t="n">
        <v>0</v>
      </c>
      <c r="L44" t="n">
        <v>0</v>
      </c>
      <c r="M44" t="n">
        <v>0</v>
      </c>
      <c r="N44" t="n">
        <v>0</v>
      </c>
      <c r="O44" t="n">
        <v>0</v>
      </c>
      <c r="P44" t="n">
        <v>0</v>
      </c>
      <c r="Q44" t="n">
        <v>0</v>
      </c>
      <c r="R44" s="2" t="inlineStr"/>
    </row>
    <row r="45" ht="15" customHeight="1">
      <c r="A45" t="inlineStr">
        <is>
          <t>A 58113-2020</t>
        </is>
      </c>
      <c r="B45" s="1" t="n">
        <v>44144</v>
      </c>
      <c r="C45" s="1" t="n">
        <v>45924</v>
      </c>
      <c r="D45" t="inlineStr">
        <is>
          <t>KALMAR LÄN</t>
        </is>
      </c>
      <c r="E45" t="inlineStr">
        <is>
          <t>BORGHOLM</t>
        </is>
      </c>
      <c r="F45" t="inlineStr">
        <is>
          <t>Sveaskog</t>
        </is>
      </c>
      <c r="G45" t="n">
        <v>3</v>
      </c>
      <c r="H45" t="n">
        <v>0</v>
      </c>
      <c r="I45" t="n">
        <v>0</v>
      </c>
      <c r="J45" t="n">
        <v>0</v>
      </c>
      <c r="K45" t="n">
        <v>0</v>
      </c>
      <c r="L45" t="n">
        <v>0</v>
      </c>
      <c r="M45" t="n">
        <v>0</v>
      </c>
      <c r="N45" t="n">
        <v>0</v>
      </c>
      <c r="O45" t="n">
        <v>0</v>
      </c>
      <c r="P45" t="n">
        <v>0</v>
      </c>
      <c r="Q45" t="n">
        <v>0</v>
      </c>
      <c r="R45" s="2" t="inlineStr"/>
    </row>
    <row r="46" ht="15" customHeight="1">
      <c r="A46" t="inlineStr">
        <is>
          <t>A 56434-2020</t>
        </is>
      </c>
      <c r="B46" s="1" t="n">
        <v>44137</v>
      </c>
      <c r="C46" s="1" t="n">
        <v>45924</v>
      </c>
      <c r="D46" t="inlineStr">
        <is>
          <t>KALMAR LÄN</t>
        </is>
      </c>
      <c r="E46" t="inlineStr">
        <is>
          <t>BORGHOLM</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45924</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56475-2020</t>
        </is>
      </c>
      <c r="B48" s="1" t="n">
        <v>44137</v>
      </c>
      <c r="C48" s="1" t="n">
        <v>45924</v>
      </c>
      <c r="D48" t="inlineStr">
        <is>
          <t>KALMAR LÄN</t>
        </is>
      </c>
      <c r="E48" t="inlineStr">
        <is>
          <t>BORGHOLM</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56488-2020</t>
        </is>
      </c>
      <c r="B49" s="1" t="n">
        <v>44137</v>
      </c>
      <c r="C49" s="1" t="n">
        <v>45924</v>
      </c>
      <c r="D49" t="inlineStr">
        <is>
          <t>KALMAR LÄN</t>
        </is>
      </c>
      <c r="E49" t="inlineStr">
        <is>
          <t>BORGHOLM</t>
        </is>
      </c>
      <c r="F49" t="inlineStr">
        <is>
          <t>Sveaskog</t>
        </is>
      </c>
      <c r="G49" t="n">
        <v>1.4</v>
      </c>
      <c r="H49" t="n">
        <v>0</v>
      </c>
      <c r="I49" t="n">
        <v>0</v>
      </c>
      <c r="J49" t="n">
        <v>0</v>
      </c>
      <c r="K49" t="n">
        <v>0</v>
      </c>
      <c r="L49" t="n">
        <v>0</v>
      </c>
      <c r="M49" t="n">
        <v>0</v>
      </c>
      <c r="N49" t="n">
        <v>0</v>
      </c>
      <c r="O49" t="n">
        <v>0</v>
      </c>
      <c r="P49" t="n">
        <v>0</v>
      </c>
      <c r="Q49" t="n">
        <v>0</v>
      </c>
      <c r="R49" s="2" t="inlineStr"/>
    </row>
    <row r="50" ht="15" customHeight="1">
      <c r="A50" t="inlineStr">
        <is>
          <t>A 56506-2020</t>
        </is>
      </c>
      <c r="B50" s="1" t="n">
        <v>44137</v>
      </c>
      <c r="C50" s="1" t="n">
        <v>45924</v>
      </c>
      <c r="D50" t="inlineStr">
        <is>
          <t>KALMAR LÄN</t>
        </is>
      </c>
      <c r="E50" t="inlineStr">
        <is>
          <t>BORGHOLM</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42761-2021</t>
        </is>
      </c>
      <c r="B51" s="1" t="n">
        <v>44428</v>
      </c>
      <c r="C51" s="1" t="n">
        <v>45924</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13325-2021</t>
        </is>
      </c>
      <c r="B52" s="1" t="n">
        <v>44273</v>
      </c>
      <c r="C52" s="1" t="n">
        <v>45924</v>
      </c>
      <c r="D52" t="inlineStr">
        <is>
          <t>KALMAR LÄN</t>
        </is>
      </c>
      <c r="E52" t="inlineStr">
        <is>
          <t>BORGHOLM</t>
        </is>
      </c>
      <c r="G52" t="n">
        <v>0.7</v>
      </c>
      <c r="H52" t="n">
        <v>0</v>
      </c>
      <c r="I52" t="n">
        <v>0</v>
      </c>
      <c r="J52" t="n">
        <v>0</v>
      </c>
      <c r="K52" t="n">
        <v>0</v>
      </c>
      <c r="L52" t="n">
        <v>0</v>
      </c>
      <c r="M52" t="n">
        <v>0</v>
      </c>
      <c r="N52" t="n">
        <v>0</v>
      </c>
      <c r="O52" t="n">
        <v>0</v>
      </c>
      <c r="P52" t="n">
        <v>0</v>
      </c>
      <c r="Q52" t="n">
        <v>0</v>
      </c>
      <c r="R52" s="2" t="inlineStr"/>
    </row>
    <row r="53" ht="15" customHeight="1">
      <c r="A53" t="inlineStr">
        <is>
          <t>A 56421-2020</t>
        </is>
      </c>
      <c r="B53" s="1" t="n">
        <v>44137</v>
      </c>
      <c r="C53" s="1" t="n">
        <v>45924</v>
      </c>
      <c r="D53" t="inlineStr">
        <is>
          <t>KALMAR LÄN</t>
        </is>
      </c>
      <c r="E53" t="inlineStr">
        <is>
          <t>BORGHOLM</t>
        </is>
      </c>
      <c r="F53" t="inlineStr">
        <is>
          <t>Sveaskog</t>
        </is>
      </c>
      <c r="G53" t="n">
        <v>3.9</v>
      </c>
      <c r="H53" t="n">
        <v>0</v>
      </c>
      <c r="I53" t="n">
        <v>0</v>
      </c>
      <c r="J53" t="n">
        <v>0</v>
      </c>
      <c r="K53" t="n">
        <v>0</v>
      </c>
      <c r="L53" t="n">
        <v>0</v>
      </c>
      <c r="M53" t="n">
        <v>0</v>
      </c>
      <c r="N53" t="n">
        <v>0</v>
      </c>
      <c r="O53" t="n">
        <v>0</v>
      </c>
      <c r="P53" t="n">
        <v>0</v>
      </c>
      <c r="Q53" t="n">
        <v>0</v>
      </c>
      <c r="R53" s="2" t="inlineStr"/>
    </row>
    <row r="54" ht="15" customHeight="1">
      <c r="A54" t="inlineStr">
        <is>
          <t>A 32665-2022</t>
        </is>
      </c>
      <c r="B54" s="1" t="n">
        <v>44783</v>
      </c>
      <c r="C54" s="1" t="n">
        <v>45924</v>
      </c>
      <c r="D54" t="inlineStr">
        <is>
          <t>KALMAR LÄN</t>
        </is>
      </c>
      <c r="E54" t="inlineStr">
        <is>
          <t>BORGHOLM</t>
        </is>
      </c>
      <c r="F54" t="inlineStr">
        <is>
          <t>Sveaskog</t>
        </is>
      </c>
      <c r="G54" t="n">
        <v>4.2</v>
      </c>
      <c r="H54" t="n">
        <v>0</v>
      </c>
      <c r="I54" t="n">
        <v>0</v>
      </c>
      <c r="J54" t="n">
        <v>0</v>
      </c>
      <c r="K54" t="n">
        <v>0</v>
      </c>
      <c r="L54" t="n">
        <v>0</v>
      </c>
      <c r="M54" t="n">
        <v>0</v>
      </c>
      <c r="N54" t="n">
        <v>0</v>
      </c>
      <c r="O54" t="n">
        <v>0</v>
      </c>
      <c r="P54" t="n">
        <v>0</v>
      </c>
      <c r="Q54" t="n">
        <v>0</v>
      </c>
      <c r="R54" s="2" t="inlineStr"/>
    </row>
    <row r="55" ht="15" customHeight="1">
      <c r="A55" t="inlineStr">
        <is>
          <t>A 31790-2021</t>
        </is>
      </c>
      <c r="B55" s="1" t="n">
        <v>44370</v>
      </c>
      <c r="C55" s="1" t="n">
        <v>45924</v>
      </c>
      <c r="D55" t="inlineStr">
        <is>
          <t>KALMAR LÄN</t>
        </is>
      </c>
      <c r="E55" t="inlineStr">
        <is>
          <t>BORGHOLM</t>
        </is>
      </c>
      <c r="F55" t="inlineStr">
        <is>
          <t>Sveaskog</t>
        </is>
      </c>
      <c r="G55" t="n">
        <v>3.3</v>
      </c>
      <c r="H55" t="n">
        <v>0</v>
      </c>
      <c r="I55" t="n">
        <v>0</v>
      </c>
      <c r="J55" t="n">
        <v>0</v>
      </c>
      <c r="K55" t="n">
        <v>0</v>
      </c>
      <c r="L55" t="n">
        <v>0</v>
      </c>
      <c r="M55" t="n">
        <v>0</v>
      </c>
      <c r="N55" t="n">
        <v>0</v>
      </c>
      <c r="O55" t="n">
        <v>0</v>
      </c>
      <c r="P55" t="n">
        <v>0</v>
      </c>
      <c r="Q55" t="n">
        <v>0</v>
      </c>
      <c r="R55" s="2" t="inlineStr"/>
    </row>
    <row r="56" ht="15" customHeight="1">
      <c r="A56" t="inlineStr">
        <is>
          <t>A 10348-2022</t>
        </is>
      </c>
      <c r="B56" s="1" t="n">
        <v>44623</v>
      </c>
      <c r="C56" s="1" t="n">
        <v>45924</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28345-2022</t>
        </is>
      </c>
      <c r="B57" s="1" t="n">
        <v>44747</v>
      </c>
      <c r="C57" s="1" t="n">
        <v>45924</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44681-2022</t>
        </is>
      </c>
      <c r="B58" s="1" t="n">
        <v>44840</v>
      </c>
      <c r="C58" s="1" t="n">
        <v>45924</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32608-2022</t>
        </is>
      </c>
      <c r="B59" s="1" t="n">
        <v>44783</v>
      </c>
      <c r="C59" s="1" t="n">
        <v>45924</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61828-2021</t>
        </is>
      </c>
      <c r="B60" s="1" t="n">
        <v>44501</v>
      </c>
      <c r="C60" s="1" t="n">
        <v>45924</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60735-2020</t>
        </is>
      </c>
      <c r="B61" s="1" t="n">
        <v>44153</v>
      </c>
      <c r="C61" s="1" t="n">
        <v>45924</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58253-2020</t>
        </is>
      </c>
      <c r="B62" s="1" t="n">
        <v>44144</v>
      </c>
      <c r="C62" s="1" t="n">
        <v>45924</v>
      </c>
      <c r="D62" t="inlineStr">
        <is>
          <t>KALMAR LÄN</t>
        </is>
      </c>
      <c r="E62" t="inlineStr">
        <is>
          <t>BORGHOLM</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56188-2021</t>
        </is>
      </c>
      <c r="B63" s="1" t="n">
        <v>44477.83525462963</v>
      </c>
      <c r="C63" s="1" t="n">
        <v>45924</v>
      </c>
      <c r="D63" t="inlineStr">
        <is>
          <t>KALMAR LÄN</t>
        </is>
      </c>
      <c r="E63" t="inlineStr">
        <is>
          <t>BORGHOLM</t>
        </is>
      </c>
      <c r="G63" t="n">
        <v>1.8</v>
      </c>
      <c r="H63" t="n">
        <v>0</v>
      </c>
      <c r="I63" t="n">
        <v>0</v>
      </c>
      <c r="J63" t="n">
        <v>0</v>
      </c>
      <c r="K63" t="n">
        <v>0</v>
      </c>
      <c r="L63" t="n">
        <v>0</v>
      </c>
      <c r="M63" t="n">
        <v>0</v>
      </c>
      <c r="N63" t="n">
        <v>0</v>
      </c>
      <c r="O63" t="n">
        <v>0</v>
      </c>
      <c r="P63" t="n">
        <v>0</v>
      </c>
      <c r="Q63" t="n">
        <v>0</v>
      </c>
      <c r="R63" s="2" t="inlineStr"/>
    </row>
    <row r="64" ht="15" customHeight="1">
      <c r="A64" t="inlineStr">
        <is>
          <t>A 56983-2021</t>
        </is>
      </c>
      <c r="B64" s="1" t="n">
        <v>44482</v>
      </c>
      <c r="C64" s="1" t="n">
        <v>45924</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58394-2020</t>
        </is>
      </c>
      <c r="B65" s="1" t="n">
        <v>44145</v>
      </c>
      <c r="C65" s="1" t="n">
        <v>45924</v>
      </c>
      <c r="D65" t="inlineStr">
        <is>
          <t>KALMAR LÄN</t>
        </is>
      </c>
      <c r="E65" t="inlineStr">
        <is>
          <t>BORGHOLM</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27437-2022</t>
        </is>
      </c>
      <c r="B66" s="1" t="n">
        <v>44742.55567129629</v>
      </c>
      <c r="C66" s="1" t="n">
        <v>45924</v>
      </c>
      <c r="D66" t="inlineStr">
        <is>
          <t>KALMAR LÄN</t>
        </is>
      </c>
      <c r="E66" t="inlineStr">
        <is>
          <t>BORGHOLM</t>
        </is>
      </c>
      <c r="G66" t="n">
        <v>0.6</v>
      </c>
      <c r="H66" t="n">
        <v>0</v>
      </c>
      <c r="I66" t="n">
        <v>0</v>
      </c>
      <c r="J66" t="n">
        <v>0</v>
      </c>
      <c r="K66" t="n">
        <v>0</v>
      </c>
      <c r="L66" t="n">
        <v>0</v>
      </c>
      <c r="M66" t="n">
        <v>0</v>
      </c>
      <c r="N66" t="n">
        <v>0</v>
      </c>
      <c r="O66" t="n">
        <v>0</v>
      </c>
      <c r="P66" t="n">
        <v>0</v>
      </c>
      <c r="Q66" t="n">
        <v>0</v>
      </c>
      <c r="R66" s="2" t="inlineStr"/>
    </row>
    <row r="67" ht="15" customHeight="1">
      <c r="A67" t="inlineStr">
        <is>
          <t>A 56495-2020</t>
        </is>
      </c>
      <c r="B67" s="1" t="n">
        <v>44137</v>
      </c>
      <c r="C67" s="1" t="n">
        <v>45924</v>
      </c>
      <c r="D67" t="inlineStr">
        <is>
          <t>KALMAR LÄN</t>
        </is>
      </c>
      <c r="E67" t="inlineStr">
        <is>
          <t>BORGHOLM</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32180-2022</t>
        </is>
      </c>
      <c r="B68" s="1" t="n">
        <v>44781</v>
      </c>
      <c r="C68" s="1" t="n">
        <v>45924</v>
      </c>
      <c r="D68" t="inlineStr">
        <is>
          <t>KALMAR LÄN</t>
        </is>
      </c>
      <c r="E68" t="inlineStr">
        <is>
          <t>BORGHOLM</t>
        </is>
      </c>
      <c r="F68" t="inlineStr">
        <is>
          <t>Sveaskog</t>
        </is>
      </c>
      <c r="G68" t="n">
        <v>0.9</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45924</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9034-2025</t>
        </is>
      </c>
      <c r="B70" s="1" t="n">
        <v>45713</v>
      </c>
      <c r="C70" s="1" t="n">
        <v>45924</v>
      </c>
      <c r="D70" t="inlineStr">
        <is>
          <t>KALMAR LÄN</t>
        </is>
      </c>
      <c r="E70" t="inlineStr">
        <is>
          <t>BORGHOLM</t>
        </is>
      </c>
      <c r="F70" t="inlineStr">
        <is>
          <t>Sveaskog</t>
        </is>
      </c>
      <c r="G70" t="n">
        <v>6.8</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45924</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45924</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42785-2021</t>
        </is>
      </c>
      <c r="B73" s="1" t="n">
        <v>44428</v>
      </c>
      <c r="C73" s="1" t="n">
        <v>45924</v>
      </c>
      <c r="D73" t="inlineStr">
        <is>
          <t>KALMAR LÄN</t>
        </is>
      </c>
      <c r="E73" t="inlineStr">
        <is>
          <t>BORGHOLM</t>
        </is>
      </c>
      <c r="G73" t="n">
        <v>2.8</v>
      </c>
      <c r="H73" t="n">
        <v>0</v>
      </c>
      <c r="I73" t="n">
        <v>0</v>
      </c>
      <c r="J73" t="n">
        <v>0</v>
      </c>
      <c r="K73" t="n">
        <v>0</v>
      </c>
      <c r="L73" t="n">
        <v>0</v>
      </c>
      <c r="M73" t="n">
        <v>0</v>
      </c>
      <c r="N73" t="n">
        <v>0</v>
      </c>
      <c r="O73" t="n">
        <v>0</v>
      </c>
      <c r="P73" t="n">
        <v>0</v>
      </c>
      <c r="Q73" t="n">
        <v>0</v>
      </c>
      <c r="R73" s="2" t="inlineStr"/>
    </row>
    <row r="74" ht="15" customHeight="1">
      <c r="A74" t="inlineStr">
        <is>
          <t>A 12534-2022</t>
        </is>
      </c>
      <c r="B74" s="1" t="n">
        <v>44638</v>
      </c>
      <c r="C74" s="1" t="n">
        <v>45924</v>
      </c>
      <c r="D74" t="inlineStr">
        <is>
          <t>KALMAR LÄN</t>
        </is>
      </c>
      <c r="E74" t="inlineStr">
        <is>
          <t>BORGHOLM</t>
        </is>
      </c>
      <c r="G74" t="n">
        <v>8.6</v>
      </c>
      <c r="H74" t="n">
        <v>0</v>
      </c>
      <c r="I74" t="n">
        <v>0</v>
      </c>
      <c r="J74" t="n">
        <v>0</v>
      </c>
      <c r="K74" t="n">
        <v>0</v>
      </c>
      <c r="L74" t="n">
        <v>0</v>
      </c>
      <c r="M74" t="n">
        <v>0</v>
      </c>
      <c r="N74" t="n">
        <v>0</v>
      </c>
      <c r="O74" t="n">
        <v>0</v>
      </c>
      <c r="P74" t="n">
        <v>0</v>
      </c>
      <c r="Q74" t="n">
        <v>0</v>
      </c>
      <c r="R74" s="2" t="inlineStr"/>
    </row>
    <row r="75" ht="15" customHeight="1">
      <c r="A75" t="inlineStr">
        <is>
          <t>A 7669-2024</t>
        </is>
      </c>
      <c r="B75" s="1" t="n">
        <v>45348.82498842593</v>
      </c>
      <c r="C75" s="1" t="n">
        <v>45924</v>
      </c>
      <c r="D75" t="inlineStr">
        <is>
          <t>KALMAR LÄN</t>
        </is>
      </c>
      <c r="E75" t="inlineStr">
        <is>
          <t>BORGHOLM</t>
        </is>
      </c>
      <c r="G75" t="n">
        <v>2.3</v>
      </c>
      <c r="H75" t="n">
        <v>0</v>
      </c>
      <c r="I75" t="n">
        <v>0</v>
      </c>
      <c r="J75" t="n">
        <v>0</v>
      </c>
      <c r="K75" t="n">
        <v>0</v>
      </c>
      <c r="L75" t="n">
        <v>0</v>
      </c>
      <c r="M75" t="n">
        <v>0</v>
      </c>
      <c r="N75" t="n">
        <v>0</v>
      </c>
      <c r="O75" t="n">
        <v>0</v>
      </c>
      <c r="P75" t="n">
        <v>0</v>
      </c>
      <c r="Q75" t="n">
        <v>0</v>
      </c>
      <c r="R75" s="2" t="inlineStr"/>
    </row>
    <row r="76" ht="15" customHeight="1">
      <c r="A76" t="inlineStr">
        <is>
          <t>A 13548-2025</t>
        </is>
      </c>
      <c r="B76" s="1" t="n">
        <v>45736.53827546296</v>
      </c>
      <c r="C76" s="1" t="n">
        <v>45924</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40339-2023</t>
        </is>
      </c>
      <c r="B77" s="1" t="n">
        <v>45169.62733796296</v>
      </c>
      <c r="C77" s="1" t="n">
        <v>45924</v>
      </c>
      <c r="D77" t="inlineStr">
        <is>
          <t>KALMAR LÄN</t>
        </is>
      </c>
      <c r="E77" t="inlineStr">
        <is>
          <t>BORGHOLM</t>
        </is>
      </c>
      <c r="G77" t="n">
        <v>3.8</v>
      </c>
      <c r="H77" t="n">
        <v>0</v>
      </c>
      <c r="I77" t="n">
        <v>0</v>
      </c>
      <c r="J77" t="n">
        <v>0</v>
      </c>
      <c r="K77" t="n">
        <v>0</v>
      </c>
      <c r="L77" t="n">
        <v>0</v>
      </c>
      <c r="M77" t="n">
        <v>0</v>
      </c>
      <c r="N77" t="n">
        <v>0</v>
      </c>
      <c r="O77" t="n">
        <v>0</v>
      </c>
      <c r="P77" t="n">
        <v>0</v>
      </c>
      <c r="Q77" t="n">
        <v>0</v>
      </c>
      <c r="R77" s="2" t="inlineStr"/>
    </row>
    <row r="78" ht="15" customHeight="1">
      <c r="A78" t="inlineStr">
        <is>
          <t>A 24166-2022</t>
        </is>
      </c>
      <c r="B78" s="1" t="n">
        <v>44725</v>
      </c>
      <c r="C78" s="1" t="n">
        <v>45924</v>
      </c>
      <c r="D78" t="inlineStr">
        <is>
          <t>KALMAR LÄN</t>
        </is>
      </c>
      <c r="E78" t="inlineStr">
        <is>
          <t>BORGHOLM</t>
        </is>
      </c>
      <c r="G78" t="n">
        <v>10.7</v>
      </c>
      <c r="H78" t="n">
        <v>0</v>
      </c>
      <c r="I78" t="n">
        <v>0</v>
      </c>
      <c r="J78" t="n">
        <v>0</v>
      </c>
      <c r="K78" t="n">
        <v>0</v>
      </c>
      <c r="L78" t="n">
        <v>0</v>
      </c>
      <c r="M78" t="n">
        <v>0</v>
      </c>
      <c r="N78" t="n">
        <v>0</v>
      </c>
      <c r="O78" t="n">
        <v>0</v>
      </c>
      <c r="P78" t="n">
        <v>0</v>
      </c>
      <c r="Q78" t="n">
        <v>0</v>
      </c>
      <c r="R78" s="2" t="inlineStr"/>
    </row>
    <row r="79" ht="15" customHeight="1">
      <c r="A79" t="inlineStr">
        <is>
          <t>A 26190-2025</t>
        </is>
      </c>
      <c r="B79" s="1" t="n">
        <v>45805.48349537037</v>
      </c>
      <c r="C79" s="1" t="n">
        <v>45924</v>
      </c>
      <c r="D79" t="inlineStr">
        <is>
          <t>KALMAR LÄN</t>
        </is>
      </c>
      <c r="E79" t="inlineStr">
        <is>
          <t>BORGHOLM</t>
        </is>
      </c>
      <c r="G79" t="n">
        <v>3.2</v>
      </c>
      <c r="H79" t="n">
        <v>0</v>
      </c>
      <c r="I79" t="n">
        <v>0</v>
      </c>
      <c r="J79" t="n">
        <v>0</v>
      </c>
      <c r="K79" t="n">
        <v>0</v>
      </c>
      <c r="L79" t="n">
        <v>0</v>
      </c>
      <c r="M79" t="n">
        <v>0</v>
      </c>
      <c r="N79" t="n">
        <v>0</v>
      </c>
      <c r="O79" t="n">
        <v>0</v>
      </c>
      <c r="P79" t="n">
        <v>0</v>
      </c>
      <c r="Q79" t="n">
        <v>0</v>
      </c>
      <c r="R79" s="2" t="inlineStr"/>
    </row>
    <row r="80" ht="15" customHeight="1">
      <c r="A80" t="inlineStr">
        <is>
          <t>A 3878-2023</t>
        </is>
      </c>
      <c r="B80" s="1" t="n">
        <v>44951</v>
      </c>
      <c r="C80" s="1" t="n">
        <v>45924</v>
      </c>
      <c r="D80" t="inlineStr">
        <is>
          <t>KALMAR LÄN</t>
        </is>
      </c>
      <c r="E80" t="inlineStr">
        <is>
          <t>BORGHOLM</t>
        </is>
      </c>
      <c r="G80" t="n">
        <v>1.7</v>
      </c>
      <c r="H80" t="n">
        <v>0</v>
      </c>
      <c r="I80" t="n">
        <v>0</v>
      </c>
      <c r="J80" t="n">
        <v>0</v>
      </c>
      <c r="K80" t="n">
        <v>0</v>
      </c>
      <c r="L80" t="n">
        <v>0</v>
      </c>
      <c r="M80" t="n">
        <v>0</v>
      </c>
      <c r="N80" t="n">
        <v>0</v>
      </c>
      <c r="O80" t="n">
        <v>0</v>
      </c>
      <c r="P80" t="n">
        <v>0</v>
      </c>
      <c r="Q80" t="n">
        <v>0</v>
      </c>
      <c r="R80" s="2" t="inlineStr"/>
    </row>
    <row r="81" ht="15" customHeight="1">
      <c r="A81" t="inlineStr">
        <is>
          <t>A 26160-2025</t>
        </is>
      </c>
      <c r="B81" s="1" t="n">
        <v>45805.4490162037</v>
      </c>
      <c r="C81" s="1" t="n">
        <v>45924</v>
      </c>
      <c r="D81" t="inlineStr">
        <is>
          <t>KALMAR LÄN</t>
        </is>
      </c>
      <c r="E81" t="inlineStr">
        <is>
          <t>BORGHOLM</t>
        </is>
      </c>
      <c r="G81" t="n">
        <v>3.7</v>
      </c>
      <c r="H81" t="n">
        <v>0</v>
      </c>
      <c r="I81" t="n">
        <v>0</v>
      </c>
      <c r="J81" t="n">
        <v>0</v>
      </c>
      <c r="K81" t="n">
        <v>0</v>
      </c>
      <c r="L81" t="n">
        <v>0</v>
      </c>
      <c r="M81" t="n">
        <v>0</v>
      </c>
      <c r="N81" t="n">
        <v>0</v>
      </c>
      <c r="O81" t="n">
        <v>0</v>
      </c>
      <c r="P81" t="n">
        <v>0</v>
      </c>
      <c r="Q81" t="n">
        <v>0</v>
      </c>
      <c r="R81" s="2" t="inlineStr"/>
    </row>
    <row r="82" ht="15" customHeight="1">
      <c r="A82" t="inlineStr">
        <is>
          <t>A 12937-2022</t>
        </is>
      </c>
      <c r="B82" s="1" t="n">
        <v>44642</v>
      </c>
      <c r="C82" s="1" t="n">
        <v>45924</v>
      </c>
      <c r="D82" t="inlineStr">
        <is>
          <t>KALMAR LÄN</t>
        </is>
      </c>
      <c r="E82" t="inlineStr">
        <is>
          <t>BORGHOLM</t>
        </is>
      </c>
      <c r="F82" t="inlineStr">
        <is>
          <t>Sveaskog</t>
        </is>
      </c>
      <c r="G82" t="n">
        <v>1.8</v>
      </c>
      <c r="H82" t="n">
        <v>0</v>
      </c>
      <c r="I82" t="n">
        <v>0</v>
      </c>
      <c r="J82" t="n">
        <v>0</v>
      </c>
      <c r="K82" t="n">
        <v>0</v>
      </c>
      <c r="L82" t="n">
        <v>0</v>
      </c>
      <c r="M82" t="n">
        <v>0</v>
      </c>
      <c r="N82" t="n">
        <v>0</v>
      </c>
      <c r="O82" t="n">
        <v>0</v>
      </c>
      <c r="P82" t="n">
        <v>0</v>
      </c>
      <c r="Q82" t="n">
        <v>0</v>
      </c>
      <c r="R82" s="2" t="inlineStr"/>
    </row>
    <row r="83" ht="15" customHeight="1">
      <c r="A83" t="inlineStr">
        <is>
          <t>A 27357-2025</t>
        </is>
      </c>
      <c r="B83" s="1" t="n">
        <v>45812.63650462963</v>
      </c>
      <c r="C83" s="1" t="n">
        <v>45924</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27366-2025</t>
        </is>
      </c>
      <c r="B84" s="1" t="n">
        <v>45812.64475694444</v>
      </c>
      <c r="C84" s="1" t="n">
        <v>45924</v>
      </c>
      <c r="D84" t="inlineStr">
        <is>
          <t>KALMAR LÄN</t>
        </is>
      </c>
      <c r="E84" t="inlineStr">
        <is>
          <t>BORGHOLM</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45924</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45924</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28782-2025</t>
        </is>
      </c>
      <c r="B87" s="1" t="n">
        <v>45820.45572916666</v>
      </c>
      <c r="C87" s="1" t="n">
        <v>45924</v>
      </c>
      <c r="D87" t="inlineStr">
        <is>
          <t>KALMAR LÄN</t>
        </is>
      </c>
      <c r="E87" t="inlineStr">
        <is>
          <t>BORGHOLM</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21908-2022</t>
        </is>
      </c>
      <c r="B88" s="1" t="n">
        <v>44711</v>
      </c>
      <c r="C88" s="1" t="n">
        <v>45924</v>
      </c>
      <c r="D88" t="inlineStr">
        <is>
          <t>KALMAR LÄN</t>
        </is>
      </c>
      <c r="E88" t="inlineStr">
        <is>
          <t>BORGHOLM</t>
        </is>
      </c>
      <c r="G88" t="n">
        <v>4.7</v>
      </c>
      <c r="H88" t="n">
        <v>0</v>
      </c>
      <c r="I88" t="n">
        <v>0</v>
      </c>
      <c r="J88" t="n">
        <v>0</v>
      </c>
      <c r="K88" t="n">
        <v>0</v>
      </c>
      <c r="L88" t="n">
        <v>0</v>
      </c>
      <c r="M88" t="n">
        <v>0</v>
      </c>
      <c r="N88" t="n">
        <v>0</v>
      </c>
      <c r="O88" t="n">
        <v>0</v>
      </c>
      <c r="P88" t="n">
        <v>0</v>
      </c>
      <c r="Q88" t="n">
        <v>0</v>
      </c>
      <c r="R88" s="2" t="inlineStr"/>
    </row>
    <row r="89" ht="15" customHeight="1">
      <c r="A89" t="inlineStr">
        <is>
          <t>A 55367-2024</t>
        </is>
      </c>
      <c r="B89" s="1" t="n">
        <v>45621.87075231481</v>
      </c>
      <c r="C89" s="1" t="n">
        <v>45924</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45924</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32919-2023</t>
        </is>
      </c>
      <c r="B91" s="1" t="n">
        <v>45125</v>
      </c>
      <c r="C91" s="1" t="n">
        <v>45924</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44678-2022</t>
        </is>
      </c>
      <c r="B92" s="1" t="n">
        <v>44840.65100694444</v>
      </c>
      <c r="C92" s="1" t="n">
        <v>45924</v>
      </c>
      <c r="D92" t="inlineStr">
        <is>
          <t>KALMAR LÄN</t>
        </is>
      </c>
      <c r="E92" t="inlineStr">
        <is>
          <t>BORGHOLM</t>
        </is>
      </c>
      <c r="G92" t="n">
        <v>2.4</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45924</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31720-2022</t>
        </is>
      </c>
      <c r="B94" s="1" t="n">
        <v>44776</v>
      </c>
      <c r="C94" s="1" t="n">
        <v>45924</v>
      </c>
      <c r="D94" t="inlineStr">
        <is>
          <t>KALMAR LÄN</t>
        </is>
      </c>
      <c r="E94" t="inlineStr">
        <is>
          <t>BORGHOLM</t>
        </is>
      </c>
      <c r="F94" t="inlineStr">
        <is>
          <t>Sveaskog</t>
        </is>
      </c>
      <c r="G94" t="n">
        <v>4.5</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45924</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5175-2024</t>
        </is>
      </c>
      <c r="B96" s="1" t="n">
        <v>45330</v>
      </c>
      <c r="C96" s="1" t="n">
        <v>45924</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4159-2024</t>
        </is>
      </c>
      <c r="B97" s="1" t="n">
        <v>45323</v>
      </c>
      <c r="C97" s="1" t="n">
        <v>45924</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34951-2022</t>
        </is>
      </c>
      <c r="B98" s="1" t="n">
        <v>44796</v>
      </c>
      <c r="C98" s="1" t="n">
        <v>45924</v>
      </c>
      <c r="D98" t="inlineStr">
        <is>
          <t>KALMAR LÄN</t>
        </is>
      </c>
      <c r="E98" t="inlineStr">
        <is>
          <t>BORGHOLM</t>
        </is>
      </c>
      <c r="F98" t="inlineStr">
        <is>
          <t>Sveaskog</t>
        </is>
      </c>
      <c r="G98" t="n">
        <v>4.6</v>
      </c>
      <c r="H98" t="n">
        <v>0</v>
      </c>
      <c r="I98" t="n">
        <v>0</v>
      </c>
      <c r="J98" t="n">
        <v>0</v>
      </c>
      <c r="K98" t="n">
        <v>0</v>
      </c>
      <c r="L98" t="n">
        <v>0</v>
      </c>
      <c r="M98" t="n">
        <v>0</v>
      </c>
      <c r="N98" t="n">
        <v>0</v>
      </c>
      <c r="O98" t="n">
        <v>0</v>
      </c>
      <c r="P98" t="n">
        <v>0</v>
      </c>
      <c r="Q98" t="n">
        <v>0</v>
      </c>
      <c r="R98" s="2" t="inlineStr"/>
    </row>
    <row r="99" ht="15" customHeight="1">
      <c r="A99" t="inlineStr">
        <is>
          <t>A 19867-2024</t>
        </is>
      </c>
      <c r="B99" s="1" t="n">
        <v>45433</v>
      </c>
      <c r="C99" s="1" t="n">
        <v>45924</v>
      </c>
      <c r="D99" t="inlineStr">
        <is>
          <t>KALMAR LÄN</t>
        </is>
      </c>
      <c r="E99" t="inlineStr">
        <is>
          <t>BORGHOLM</t>
        </is>
      </c>
      <c r="G99" t="n">
        <v>3.9</v>
      </c>
      <c r="H99" t="n">
        <v>0</v>
      </c>
      <c r="I99" t="n">
        <v>0</v>
      </c>
      <c r="J99" t="n">
        <v>0</v>
      </c>
      <c r="K99" t="n">
        <v>0</v>
      </c>
      <c r="L99" t="n">
        <v>0</v>
      </c>
      <c r="M99" t="n">
        <v>0</v>
      </c>
      <c r="N99" t="n">
        <v>0</v>
      </c>
      <c r="O99" t="n">
        <v>0</v>
      </c>
      <c r="P99" t="n">
        <v>0</v>
      </c>
      <c r="Q99" t="n">
        <v>0</v>
      </c>
      <c r="R99" s="2" t="inlineStr"/>
    </row>
    <row r="100" ht="15" customHeight="1">
      <c r="A100" t="inlineStr">
        <is>
          <t>A 41831-2025</t>
        </is>
      </c>
      <c r="B100" s="1" t="n">
        <v>45902.67887731481</v>
      </c>
      <c r="C100" s="1" t="n">
        <v>45924</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32921-2023</t>
        </is>
      </c>
      <c r="B101" s="1" t="n">
        <v>45125</v>
      </c>
      <c r="C101" s="1" t="n">
        <v>45924</v>
      </c>
      <c r="D101" t="inlineStr">
        <is>
          <t>KALMAR LÄN</t>
        </is>
      </c>
      <c r="E101" t="inlineStr">
        <is>
          <t>BORGHOLM</t>
        </is>
      </c>
      <c r="G101" t="n">
        <v>2.9</v>
      </c>
      <c r="H101" t="n">
        <v>0</v>
      </c>
      <c r="I101" t="n">
        <v>0</v>
      </c>
      <c r="J101" t="n">
        <v>0</v>
      </c>
      <c r="K101" t="n">
        <v>0</v>
      </c>
      <c r="L101" t="n">
        <v>0</v>
      </c>
      <c r="M101" t="n">
        <v>0</v>
      </c>
      <c r="N101" t="n">
        <v>0</v>
      </c>
      <c r="O101" t="n">
        <v>0</v>
      </c>
      <c r="P101" t="n">
        <v>0</v>
      </c>
      <c r="Q101" t="n">
        <v>0</v>
      </c>
      <c r="R101" s="2" t="inlineStr"/>
    </row>
    <row r="102" ht="15" customHeight="1">
      <c r="A102" t="inlineStr">
        <is>
          <t>A 41950-2025</t>
        </is>
      </c>
      <c r="B102" s="1" t="n">
        <v>45903.45767361111</v>
      </c>
      <c r="C102" s="1" t="n">
        <v>45924</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31699-2022</t>
        </is>
      </c>
      <c r="B103" s="1" t="n">
        <v>44776</v>
      </c>
      <c r="C103" s="1" t="n">
        <v>45924</v>
      </c>
      <c r="D103" t="inlineStr">
        <is>
          <t>KALMAR LÄN</t>
        </is>
      </c>
      <c r="E103" t="inlineStr">
        <is>
          <t>BORGHOLM</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42232-2025</t>
        </is>
      </c>
      <c r="B104" s="1" t="n">
        <v>45904.55591435185</v>
      </c>
      <c r="C104" s="1" t="n">
        <v>45924</v>
      </c>
      <c r="D104" t="inlineStr">
        <is>
          <t>KALMAR LÄN</t>
        </is>
      </c>
      <c r="E104" t="inlineStr">
        <is>
          <t>BORGHOLM</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36269-2025</t>
        </is>
      </c>
      <c r="B105" s="1" t="n">
        <v>45867.61736111111</v>
      </c>
      <c r="C105" s="1" t="n">
        <v>45924</v>
      </c>
      <c r="D105" t="inlineStr">
        <is>
          <t>KALMAR LÄN</t>
        </is>
      </c>
      <c r="E105" t="inlineStr">
        <is>
          <t>BORGHOLM</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45924</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63276-2023</t>
        </is>
      </c>
      <c r="B107" s="1" t="n">
        <v>45273.82195601852</v>
      </c>
      <c r="C107" s="1" t="n">
        <v>45924</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43542-2025</t>
        </is>
      </c>
      <c r="B108" s="1" t="n">
        <v>45911.61123842592</v>
      </c>
      <c r="C108" s="1" t="n">
        <v>45924</v>
      </c>
      <c r="D108" t="inlineStr">
        <is>
          <t>KALMAR LÄN</t>
        </is>
      </c>
      <c r="E108" t="inlineStr">
        <is>
          <t>BORGHOLM</t>
        </is>
      </c>
      <c r="G108" t="n">
        <v>2.4</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45924</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45924</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45924</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45924</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45924</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1614-2025</t>
        </is>
      </c>
      <c r="B114" s="1" t="n">
        <v>45670.60094907408</v>
      </c>
      <c r="C114" s="1" t="n">
        <v>45924</v>
      </c>
      <c r="D114" t="inlineStr">
        <is>
          <t>KALMAR LÄN</t>
        </is>
      </c>
      <c r="E114" t="inlineStr">
        <is>
          <t>BORGHOLM</t>
        </is>
      </c>
      <c r="G114" t="n">
        <v>1.4</v>
      </c>
      <c r="H114" t="n">
        <v>0</v>
      </c>
      <c r="I114" t="n">
        <v>0</v>
      </c>
      <c r="J114" t="n">
        <v>0</v>
      </c>
      <c r="K114" t="n">
        <v>0</v>
      </c>
      <c r="L114" t="n">
        <v>0</v>
      </c>
      <c r="M114" t="n">
        <v>0</v>
      </c>
      <c r="N114" t="n">
        <v>0</v>
      </c>
      <c r="O114" t="n">
        <v>0</v>
      </c>
      <c r="P114" t="n">
        <v>0</v>
      </c>
      <c r="Q114" t="n">
        <v>0</v>
      </c>
      <c r="R114" s="2" t="inlineStr"/>
    </row>
    <row r="115" ht="15" customHeight="1">
      <c r="A115" t="inlineStr">
        <is>
          <t>A 44224-2025</t>
        </is>
      </c>
      <c r="B115" s="1" t="n">
        <v>45915</v>
      </c>
      <c r="C115" s="1" t="n">
        <v>45924</v>
      </c>
      <c r="D115" t="inlineStr">
        <is>
          <t>KALMAR LÄN</t>
        </is>
      </c>
      <c r="E115" t="inlineStr">
        <is>
          <t>BORGHOLM</t>
        </is>
      </c>
      <c r="G115" t="n">
        <v>1.3</v>
      </c>
      <c r="H115" t="n">
        <v>0</v>
      </c>
      <c r="I115" t="n">
        <v>0</v>
      </c>
      <c r="J115" t="n">
        <v>0</v>
      </c>
      <c r="K115" t="n">
        <v>0</v>
      </c>
      <c r="L115" t="n">
        <v>0</v>
      </c>
      <c r="M115" t="n">
        <v>0</v>
      </c>
      <c r="N115" t="n">
        <v>0</v>
      </c>
      <c r="O115" t="n">
        <v>0</v>
      </c>
      <c r="P115" t="n">
        <v>0</v>
      </c>
      <c r="Q115" t="n">
        <v>0</v>
      </c>
      <c r="R115" s="2" t="inlineStr"/>
    </row>
    <row r="116" ht="15" customHeight="1">
      <c r="A116" t="inlineStr">
        <is>
          <t>A 45734-2025</t>
        </is>
      </c>
      <c r="B116" s="1" t="n">
        <v>45923.46512731481</v>
      </c>
      <c r="C116" s="1" t="n">
        <v>45924</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45869-2025</t>
        </is>
      </c>
      <c r="B117" s="1" t="n">
        <v>45923.65313657407</v>
      </c>
      <c r="C117" s="1" t="n">
        <v>45924</v>
      </c>
      <c r="D117" t="inlineStr">
        <is>
          <t>KALMAR LÄN</t>
        </is>
      </c>
      <c r="E117" t="inlineStr">
        <is>
          <t>BORGHOLM</t>
        </is>
      </c>
      <c r="G117" t="n">
        <v>4.5</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45924</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45924</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9076-2025</t>
        </is>
      </c>
      <c r="B120" s="1" t="n">
        <v>45713.6596875</v>
      </c>
      <c r="C120" s="1" t="n">
        <v>45924</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1757-2025</t>
        </is>
      </c>
      <c r="B121" s="1" t="n">
        <v>45671.42195601852</v>
      </c>
      <c r="C121" s="1" t="n">
        <v>45924</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45924</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45924</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9044-2025</t>
        </is>
      </c>
      <c r="B124" s="1" t="n">
        <v>45713.6275</v>
      </c>
      <c r="C124" s="1" t="n">
        <v>45924</v>
      </c>
      <c r="D124" t="inlineStr">
        <is>
          <t>KALMAR LÄN</t>
        </is>
      </c>
      <c r="E124" t="inlineStr">
        <is>
          <t>BORGHOLM</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9050-2025</t>
        </is>
      </c>
      <c r="B125" s="1" t="n">
        <v>45713.63512731482</v>
      </c>
      <c r="C125" s="1" t="n">
        <v>45924</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row r="126" ht="15" customHeight="1">
      <c r="A126" t="inlineStr">
        <is>
          <t>A 20878-2024</t>
        </is>
      </c>
      <c r="B126" s="1" t="n">
        <v>45439.44748842593</v>
      </c>
      <c r="C126" s="1" t="n">
        <v>45924</v>
      </c>
      <c r="D126" t="inlineStr">
        <is>
          <t>KALMAR LÄN</t>
        </is>
      </c>
      <c r="E126" t="inlineStr">
        <is>
          <t>BORGHOLM</t>
        </is>
      </c>
      <c r="G126" t="n">
        <v>1.9</v>
      </c>
      <c r="H126" t="n">
        <v>0</v>
      </c>
      <c r="I126" t="n">
        <v>0</v>
      </c>
      <c r="J126" t="n">
        <v>0</v>
      </c>
      <c r="K126" t="n">
        <v>0</v>
      </c>
      <c r="L126" t="n">
        <v>0</v>
      </c>
      <c r="M126" t="n">
        <v>0</v>
      </c>
      <c r="N126" t="n">
        <v>0</v>
      </c>
      <c r="O126" t="n">
        <v>0</v>
      </c>
      <c r="P126" t="n">
        <v>0</v>
      </c>
      <c r="Q126" t="n">
        <v>0</v>
      </c>
      <c r="R126" s="2" t="inlineStr"/>
    </row>
    <row r="127" ht="15" customHeight="1">
      <c r="A127" t="inlineStr">
        <is>
          <t>A 17699-2025</t>
        </is>
      </c>
      <c r="B127" s="1" t="n">
        <v>45758.41846064815</v>
      </c>
      <c r="C127" s="1" t="n">
        <v>45924</v>
      </c>
      <c r="D127" t="inlineStr">
        <is>
          <t>KALMAR LÄN</t>
        </is>
      </c>
      <c r="E127" t="inlineStr">
        <is>
          <t>BORGHOLM</t>
        </is>
      </c>
      <c r="G127" t="n">
        <v>0.7</v>
      </c>
      <c r="H127" t="n">
        <v>0</v>
      </c>
      <c r="I127" t="n">
        <v>0</v>
      </c>
      <c r="J127" t="n">
        <v>0</v>
      </c>
      <c r="K127" t="n">
        <v>0</v>
      </c>
      <c r="L127" t="n">
        <v>0</v>
      </c>
      <c r="M127" t="n">
        <v>0</v>
      </c>
      <c r="N127" t="n">
        <v>0</v>
      </c>
      <c r="O127" t="n">
        <v>0</v>
      </c>
      <c r="P127" t="n">
        <v>0</v>
      </c>
      <c r="Q127" t="n">
        <v>0</v>
      </c>
      <c r="R127" s="2" t="inlineStr"/>
    </row>
    <row r="128" ht="15" customHeight="1">
      <c r="A128" t="inlineStr">
        <is>
          <t>A 20287-2025</t>
        </is>
      </c>
      <c r="B128" s="1" t="n">
        <v>45774.60741898148</v>
      </c>
      <c r="C128" s="1" t="n">
        <v>45924</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26160-2024</t>
        </is>
      </c>
      <c r="B129" s="1" t="n">
        <v>45468</v>
      </c>
      <c r="C129" s="1" t="n">
        <v>45924</v>
      </c>
      <c r="D129" t="inlineStr">
        <is>
          <t>KALMAR LÄN</t>
        </is>
      </c>
      <c r="E129" t="inlineStr">
        <is>
          <t>BORGHOLM</t>
        </is>
      </c>
      <c r="G129" t="n">
        <v>0.4</v>
      </c>
      <c r="H129" t="n">
        <v>0</v>
      </c>
      <c r="I129" t="n">
        <v>0</v>
      </c>
      <c r="J129" t="n">
        <v>0</v>
      </c>
      <c r="K129" t="n">
        <v>0</v>
      </c>
      <c r="L129" t="n">
        <v>0</v>
      </c>
      <c r="M129" t="n">
        <v>0</v>
      </c>
      <c r="N129" t="n">
        <v>0</v>
      </c>
      <c r="O129" t="n">
        <v>0</v>
      </c>
      <c r="P129" t="n">
        <v>0</v>
      </c>
      <c r="Q129" t="n">
        <v>0</v>
      </c>
      <c r="R129" s="2" t="inlineStr"/>
      <c r="T129">
        <f>HYPERLINK("https://klasma.github.io/Logging_0885/kartor/A 26160-2024 karta.png", "A 26160-2024")</f>
        <v/>
      </c>
      <c r="V129">
        <f>HYPERLINK("https://klasma.github.io/Logging_0885/klagomål/A 26160-2024 FSC-klagomål.docx", "A 26160-2024")</f>
        <v/>
      </c>
      <c r="W129">
        <f>HYPERLINK("https://klasma.github.io/Logging_0885/klagomålsmail/A 26160-2024 FSC-klagomål mail.docx", "A 26160-2024")</f>
        <v/>
      </c>
      <c r="X129">
        <f>HYPERLINK("https://klasma.github.io/Logging_0885/tillsyn/A 26160-2024 tillsynsbegäran.docx", "A 26160-2024")</f>
        <v/>
      </c>
      <c r="Y129">
        <f>HYPERLINK("https://klasma.github.io/Logging_0885/tillsynsmail/A 26160-2024 tillsynsbegäran mail.docx", "A 26160-2024")</f>
        <v/>
      </c>
    </row>
    <row r="130" ht="15" customHeight="1">
      <c r="A130" t="inlineStr">
        <is>
          <t>A 9028-2025</t>
        </is>
      </c>
      <c r="B130" s="1" t="n">
        <v>45713</v>
      </c>
      <c r="C130" s="1" t="n">
        <v>45924</v>
      </c>
      <c r="D130" t="inlineStr">
        <is>
          <t>KALMAR LÄN</t>
        </is>
      </c>
      <c r="E130" t="inlineStr">
        <is>
          <t>BORGHOLM</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45924</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17978-2021</t>
        </is>
      </c>
      <c r="B132" s="1" t="n">
        <v>44301</v>
      </c>
      <c r="C132" s="1" t="n">
        <v>45924</v>
      </c>
      <c r="D132" t="inlineStr">
        <is>
          <t>KALMAR LÄN</t>
        </is>
      </c>
      <c r="E132" t="inlineStr">
        <is>
          <t>BORGHOLM</t>
        </is>
      </c>
      <c r="G132" t="n">
        <v>6</v>
      </c>
      <c r="H132" t="n">
        <v>0</v>
      </c>
      <c r="I132" t="n">
        <v>0</v>
      </c>
      <c r="J132" t="n">
        <v>0</v>
      </c>
      <c r="K132" t="n">
        <v>0</v>
      </c>
      <c r="L132" t="n">
        <v>0</v>
      </c>
      <c r="M132" t="n">
        <v>0</v>
      </c>
      <c r="N132" t="n">
        <v>0</v>
      </c>
      <c r="O132" t="n">
        <v>0</v>
      </c>
      <c r="P132" t="n">
        <v>0</v>
      </c>
      <c r="Q132" t="n">
        <v>0</v>
      </c>
      <c r="R132" s="2" t="inlineStr"/>
    </row>
    <row r="133">
      <c r="A133" t="inlineStr">
        <is>
          <t>A 22785-2025</t>
        </is>
      </c>
      <c r="B133" s="1" t="n">
        <v>45789.64186342592</v>
      </c>
      <c r="C133" s="1" t="n">
        <v>45924</v>
      </c>
      <c r="D133" t="inlineStr">
        <is>
          <t>KALMAR LÄN</t>
        </is>
      </c>
      <c r="E133" t="inlineStr">
        <is>
          <t>BORGHOLM</t>
        </is>
      </c>
      <c r="G133" t="n">
        <v>0.6</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2025-09-24T10:12:00Z</dcterms:created>
  <dcterms:modified xmlns:dcterms="http://purl.org/dc/terms/" xmlns:xsi="http://www.w3.org/2001/XMLSchema-instance" xsi:type="dcterms:W3CDTF">2025-09-24T10:12:00Z</dcterms:modified>
</cp:coreProperties>
</file>