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46074</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46074</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46074</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46074</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46074</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46074</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46074</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46074</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46074</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46074</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46074</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46074</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46074</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46074</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46074</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46074</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46074</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46074</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46074</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46074</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44008-2022</t>
        </is>
      </c>
      <c r="B22" s="1" t="n">
        <v>44838</v>
      </c>
      <c r="C22" s="1" t="n">
        <v>46074</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34944-2022</t>
        </is>
      </c>
      <c r="B23" s="1" t="n">
        <v>44796</v>
      </c>
      <c r="C23" s="1" t="n">
        <v>46074</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60140-2025</t>
        </is>
      </c>
      <c r="B24" s="1" t="n">
        <v>45994.36274305556</v>
      </c>
      <c r="C24" s="1" t="n">
        <v>46074</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32174-2022</t>
        </is>
      </c>
      <c r="B25" s="1" t="n">
        <v>44781</v>
      </c>
      <c r="C25" s="1" t="n">
        <v>46074</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46074</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9253-2026</t>
        </is>
      </c>
      <c r="B27" s="1" t="n">
        <v>46070.51003472223</v>
      </c>
      <c r="C27" s="1" t="n">
        <v>46074</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46074</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31790-2021</t>
        </is>
      </c>
      <c r="B29" s="1" t="n">
        <v>44370</v>
      </c>
      <c r="C29" s="1" t="n">
        <v>46074</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46074</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24701-2023</t>
        </is>
      </c>
      <c r="B31" s="1" t="n">
        <v>45084</v>
      </c>
      <c r="C31" s="1" t="n">
        <v>46074</v>
      </c>
      <c r="D31" t="inlineStr">
        <is>
          <t>KALMAR LÄN</t>
        </is>
      </c>
      <c r="E31" t="inlineStr">
        <is>
          <t>BORGHOLM</t>
        </is>
      </c>
      <c r="G31" t="n">
        <v>3</v>
      </c>
      <c r="H31" t="n">
        <v>0</v>
      </c>
      <c r="I31" t="n">
        <v>0</v>
      </c>
      <c r="J31" t="n">
        <v>0</v>
      </c>
      <c r="K31" t="n">
        <v>0</v>
      </c>
      <c r="L31" t="n">
        <v>1</v>
      </c>
      <c r="M31" t="n">
        <v>0</v>
      </c>
      <c r="N31" t="n">
        <v>0</v>
      </c>
      <c r="O31" t="n">
        <v>1</v>
      </c>
      <c r="P31" t="n">
        <v>1</v>
      </c>
      <c r="Q31" t="n">
        <v>1</v>
      </c>
      <c r="R31" s="2" t="inlineStr">
        <is>
          <t>Ask</t>
        </is>
      </c>
      <c r="S31">
        <f>HYPERLINK("https://klasma.github.io/Logging_0885/artfynd/A 24701-2023 artfynd.xlsx", "A 24701-2023")</f>
        <v/>
      </c>
      <c r="T31">
        <f>HYPERLINK("https://klasma.github.io/Logging_0885/kartor/A 24701-2023 karta.png", "A 24701-2023")</f>
        <v/>
      </c>
      <c r="V31">
        <f>HYPERLINK("https://klasma.github.io/Logging_0885/klagomål/A 24701-2023 FSC-klagomål.docx", "A 24701-2023")</f>
        <v/>
      </c>
      <c r="W31">
        <f>HYPERLINK("https://klasma.github.io/Logging_0885/klagomålsmail/A 24701-2023 FSC-klagomål mail.docx", "A 24701-2023")</f>
        <v/>
      </c>
      <c r="X31">
        <f>HYPERLINK("https://klasma.github.io/Logging_0885/tillsyn/A 24701-2023 tillsynsbegäran.docx", "A 24701-2023")</f>
        <v/>
      </c>
      <c r="Y31">
        <f>HYPERLINK("https://klasma.github.io/Logging_0885/tillsynsmail/A 24701-2023 tillsynsbegäran mail.docx", "A 24701-2023")</f>
        <v/>
      </c>
    </row>
    <row r="32" ht="15" customHeight="1">
      <c r="A32" t="inlineStr">
        <is>
          <t>A 13558-2025</t>
        </is>
      </c>
      <c r="B32" s="1" t="n">
        <v>45736.54974537037</v>
      </c>
      <c r="C32" s="1" t="n">
        <v>46074</v>
      </c>
      <c r="D32" t="inlineStr">
        <is>
          <t>KALMAR LÄN</t>
        </is>
      </c>
      <c r="E32" t="inlineStr">
        <is>
          <t>BORGHOLM</t>
        </is>
      </c>
      <c r="G32" t="n">
        <v>0.7</v>
      </c>
      <c r="H32" t="n">
        <v>0</v>
      </c>
      <c r="I32" t="n">
        <v>0</v>
      </c>
      <c r="J32" t="n">
        <v>1</v>
      </c>
      <c r="K32" t="n">
        <v>0</v>
      </c>
      <c r="L32" t="n">
        <v>0</v>
      </c>
      <c r="M32" t="n">
        <v>0</v>
      </c>
      <c r="N32" t="n">
        <v>0</v>
      </c>
      <c r="O32" t="n">
        <v>1</v>
      </c>
      <c r="P32" t="n">
        <v>0</v>
      </c>
      <c r="Q32" t="n">
        <v>1</v>
      </c>
      <c r="R32" s="2" t="inlineStr">
        <is>
          <t>Backruta</t>
        </is>
      </c>
      <c r="S32">
        <f>HYPERLINK("https://klasma.github.io/Logging_0885/artfynd/A 13558-2025 artfynd.xlsx", "A 13558-2025")</f>
        <v/>
      </c>
      <c r="T32">
        <f>HYPERLINK("https://klasma.github.io/Logging_0885/kartor/A 13558-2025 karta.png", "A 13558-2025")</f>
        <v/>
      </c>
      <c r="V32">
        <f>HYPERLINK("https://klasma.github.io/Logging_0885/klagomål/A 13558-2025 FSC-klagomål.docx", "A 13558-2025")</f>
        <v/>
      </c>
      <c r="W32">
        <f>HYPERLINK("https://klasma.github.io/Logging_0885/klagomålsmail/A 13558-2025 FSC-klagomål mail.docx", "A 13558-2025")</f>
        <v/>
      </c>
      <c r="X32">
        <f>HYPERLINK("https://klasma.github.io/Logging_0885/tillsyn/A 13558-2025 tillsynsbegäran.docx", "A 13558-2025")</f>
        <v/>
      </c>
      <c r="Y32">
        <f>HYPERLINK("https://klasma.github.io/Logging_0885/tillsynsmail/A 13558-2025 tillsynsbegäran mail.docx", "A 13558-2025")</f>
        <v/>
      </c>
    </row>
    <row r="33" ht="15" customHeight="1">
      <c r="A33" t="inlineStr">
        <is>
          <t>A 28785-2025</t>
        </is>
      </c>
      <c r="B33" s="1" t="n">
        <v>45820.46159722222</v>
      </c>
      <c r="C33" s="1" t="n">
        <v>46074</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46074</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34885-2025</t>
        </is>
      </c>
      <c r="B35" s="1" t="n">
        <v>45849.47128472223</v>
      </c>
      <c r="C35" s="1" t="n">
        <v>46074</v>
      </c>
      <c r="D35" t="inlineStr">
        <is>
          <t>KALMAR LÄN</t>
        </is>
      </c>
      <c r="E35" t="inlineStr">
        <is>
          <t>BORGHOLM</t>
        </is>
      </c>
      <c r="G35" t="n">
        <v>4.4</v>
      </c>
      <c r="H35" t="n">
        <v>0</v>
      </c>
      <c r="I35" t="n">
        <v>0</v>
      </c>
      <c r="J35" t="n">
        <v>1</v>
      </c>
      <c r="K35" t="n">
        <v>0</v>
      </c>
      <c r="L35" t="n">
        <v>0</v>
      </c>
      <c r="M35" t="n">
        <v>0</v>
      </c>
      <c r="N35" t="n">
        <v>0</v>
      </c>
      <c r="O35" t="n">
        <v>1</v>
      </c>
      <c r="P35" t="n">
        <v>0</v>
      </c>
      <c r="Q35" t="n">
        <v>1</v>
      </c>
      <c r="R35" s="2" t="inlineStr">
        <is>
          <t>Backfryle</t>
        </is>
      </c>
      <c r="S35">
        <f>HYPERLINK("https://klasma.github.io/Logging_0885/artfynd/A 34885-2025 artfynd.xlsx", "A 34885-2025")</f>
        <v/>
      </c>
      <c r="T35">
        <f>HYPERLINK("https://klasma.github.io/Logging_0885/kartor/A 34885-2025 karta.png", "A 34885-2025")</f>
        <v/>
      </c>
      <c r="V35">
        <f>HYPERLINK("https://klasma.github.io/Logging_0885/klagomål/A 34885-2025 FSC-klagomål.docx", "A 34885-2025")</f>
        <v/>
      </c>
      <c r="W35">
        <f>HYPERLINK("https://klasma.github.io/Logging_0885/klagomålsmail/A 34885-2025 FSC-klagomål mail.docx", "A 34885-2025")</f>
        <v/>
      </c>
      <c r="X35">
        <f>HYPERLINK("https://klasma.github.io/Logging_0885/tillsyn/A 34885-2025 tillsynsbegäran.docx", "A 34885-2025")</f>
        <v/>
      </c>
      <c r="Y35">
        <f>HYPERLINK("https://klasma.github.io/Logging_0885/tillsynsmail/A 34885-2025 tillsynsbegäran mail.docx", "A 34885-2025")</f>
        <v/>
      </c>
    </row>
    <row r="36" ht="15" customHeight="1">
      <c r="A36" t="inlineStr">
        <is>
          <t>A 24704-2023</t>
        </is>
      </c>
      <c r="B36" s="1" t="n">
        <v>45084</v>
      </c>
      <c r="C36" s="1" t="n">
        <v>46074</v>
      </c>
      <c r="D36" t="inlineStr">
        <is>
          <t>KALMAR LÄN</t>
        </is>
      </c>
      <c r="E36" t="inlineStr">
        <is>
          <t>BORGHOLM</t>
        </is>
      </c>
      <c r="G36" t="n">
        <v>3.5</v>
      </c>
      <c r="H36" t="n">
        <v>0</v>
      </c>
      <c r="I36" t="n">
        <v>0</v>
      </c>
      <c r="J36" t="n">
        <v>0</v>
      </c>
      <c r="K36" t="n">
        <v>0</v>
      </c>
      <c r="L36" t="n">
        <v>1</v>
      </c>
      <c r="M36" t="n">
        <v>0</v>
      </c>
      <c r="N36" t="n">
        <v>0</v>
      </c>
      <c r="O36" t="n">
        <v>1</v>
      </c>
      <c r="P36" t="n">
        <v>1</v>
      </c>
      <c r="Q36" t="n">
        <v>1</v>
      </c>
      <c r="R36" s="2" t="inlineStr">
        <is>
          <t>Ask</t>
        </is>
      </c>
      <c r="S36">
        <f>HYPERLINK("https://klasma.github.io/Logging_0885/artfynd/A 24704-2023 artfynd.xlsx", "A 24704-2023")</f>
        <v/>
      </c>
      <c r="T36">
        <f>HYPERLINK("https://klasma.github.io/Logging_0885/kartor/A 24704-2023 karta.png", "A 24704-2023")</f>
        <v/>
      </c>
      <c r="V36">
        <f>HYPERLINK("https://klasma.github.io/Logging_0885/klagomål/A 24704-2023 FSC-klagomål.docx", "A 24704-2023")</f>
        <v/>
      </c>
      <c r="W36">
        <f>HYPERLINK("https://klasma.github.io/Logging_0885/klagomålsmail/A 24704-2023 FSC-klagomål mail.docx", "A 24704-2023")</f>
        <v/>
      </c>
      <c r="X36">
        <f>HYPERLINK("https://klasma.github.io/Logging_0885/tillsyn/A 24704-2023 tillsynsbegäran.docx", "A 24704-2023")</f>
        <v/>
      </c>
      <c r="Y36">
        <f>HYPERLINK("https://klasma.github.io/Logging_0885/tillsynsmail/A 24704-2023 tillsynsbegäran mail.docx", "A 24704-2023")</f>
        <v/>
      </c>
    </row>
    <row r="37" ht="15" customHeight="1">
      <c r="A37" t="inlineStr">
        <is>
          <t>A 45693-2025</t>
        </is>
      </c>
      <c r="B37" s="1" t="n">
        <v>45923</v>
      </c>
      <c r="C37" s="1" t="n">
        <v>46074</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9745-2023</t>
        </is>
      </c>
      <c r="B38" s="1" t="n">
        <v>44984</v>
      </c>
      <c r="C38" s="1" t="n">
        <v>46074</v>
      </c>
      <c r="D38" t="inlineStr">
        <is>
          <t>KALMAR LÄN</t>
        </is>
      </c>
      <c r="E38" t="inlineStr">
        <is>
          <t>BORGHOLM</t>
        </is>
      </c>
      <c r="G38" t="n">
        <v>1.2</v>
      </c>
      <c r="H38" t="n">
        <v>1</v>
      </c>
      <c r="I38" t="n">
        <v>1</v>
      </c>
      <c r="J38" t="n">
        <v>0</v>
      </c>
      <c r="K38" t="n">
        <v>0</v>
      </c>
      <c r="L38" t="n">
        <v>0</v>
      </c>
      <c r="M38" t="n">
        <v>0</v>
      </c>
      <c r="N38" t="n">
        <v>0</v>
      </c>
      <c r="O38" t="n">
        <v>0</v>
      </c>
      <c r="P38" t="n">
        <v>0</v>
      </c>
      <c r="Q38" t="n">
        <v>1</v>
      </c>
      <c r="R38" s="2" t="inlineStr">
        <is>
          <t>Skogsknipprot</t>
        </is>
      </c>
      <c r="S38">
        <f>HYPERLINK("https://klasma.github.io/Logging_0885/artfynd/A 9745-2023 artfynd.xlsx", "A 9745-2023")</f>
        <v/>
      </c>
      <c r="T38">
        <f>HYPERLINK("https://klasma.github.io/Logging_0885/kartor/A 9745-2023 karta.png", "A 9745-2023")</f>
        <v/>
      </c>
      <c r="V38">
        <f>HYPERLINK("https://klasma.github.io/Logging_0885/klagomål/A 9745-2023 FSC-klagomål.docx", "A 9745-2023")</f>
        <v/>
      </c>
      <c r="W38">
        <f>HYPERLINK("https://klasma.github.io/Logging_0885/klagomålsmail/A 9745-2023 FSC-klagomål mail.docx", "A 9745-2023")</f>
        <v/>
      </c>
      <c r="X38">
        <f>HYPERLINK("https://klasma.github.io/Logging_0885/tillsyn/A 9745-2023 tillsynsbegäran.docx", "A 9745-2023")</f>
        <v/>
      </c>
      <c r="Y38">
        <f>HYPERLINK("https://klasma.github.io/Logging_0885/tillsynsmail/A 9745-2023 tillsynsbegäran mail.docx", "A 9745-2023")</f>
        <v/>
      </c>
    </row>
    <row r="39" ht="15" customHeight="1">
      <c r="A39" t="inlineStr">
        <is>
          <t>A 43603-2024</t>
        </is>
      </c>
      <c r="B39" s="1" t="n">
        <v>45569.44700231482</v>
      </c>
      <c r="C39" s="1" t="n">
        <v>46074</v>
      </c>
      <c r="D39" t="inlineStr">
        <is>
          <t>KALMAR LÄN</t>
        </is>
      </c>
      <c r="E39" t="inlineStr">
        <is>
          <t>BORGHOLM</t>
        </is>
      </c>
      <c r="G39" t="n">
        <v>3.8</v>
      </c>
      <c r="H39" t="n">
        <v>1</v>
      </c>
      <c r="I39" t="n">
        <v>0</v>
      </c>
      <c r="J39" t="n">
        <v>0</v>
      </c>
      <c r="K39" t="n">
        <v>1</v>
      </c>
      <c r="L39" t="n">
        <v>0</v>
      </c>
      <c r="M39" t="n">
        <v>0</v>
      </c>
      <c r="N39" t="n">
        <v>0</v>
      </c>
      <c r="O39" t="n">
        <v>1</v>
      </c>
      <c r="P39" t="n">
        <v>1</v>
      </c>
      <c r="Q39" t="n">
        <v>1</v>
      </c>
      <c r="R39" s="2" t="inlineStr">
        <is>
          <t>Väddnätfjäril</t>
        </is>
      </c>
      <c r="S39">
        <f>HYPERLINK("https://klasma.github.io/Logging_0885/artfynd/A 43603-2024 artfynd.xlsx", "A 43603-2024")</f>
        <v/>
      </c>
      <c r="T39">
        <f>HYPERLINK("https://klasma.github.io/Logging_0885/kartor/A 43603-2024 karta.png", "A 43603-2024")</f>
        <v/>
      </c>
      <c r="V39">
        <f>HYPERLINK("https://klasma.github.io/Logging_0885/klagomål/A 43603-2024 FSC-klagomål.docx", "A 43603-2024")</f>
        <v/>
      </c>
      <c r="W39">
        <f>HYPERLINK("https://klasma.github.io/Logging_0885/klagomålsmail/A 43603-2024 FSC-klagomål mail.docx", "A 43603-2024")</f>
        <v/>
      </c>
      <c r="X39">
        <f>HYPERLINK("https://klasma.github.io/Logging_0885/tillsyn/A 43603-2024 tillsynsbegäran.docx", "A 43603-2024")</f>
        <v/>
      </c>
      <c r="Y39">
        <f>HYPERLINK("https://klasma.github.io/Logging_0885/tillsynsmail/A 43603-2024 tillsynsbegäran mail.docx", "A 43603-2024")</f>
        <v/>
      </c>
    </row>
    <row r="40" ht="15" customHeight="1">
      <c r="A40" t="inlineStr">
        <is>
          <t>A 14789-2021</t>
        </is>
      </c>
      <c r="B40" s="1" t="n">
        <v>44280</v>
      </c>
      <c r="C40" s="1" t="n">
        <v>46074</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3302-2026</t>
        </is>
      </c>
      <c r="B41" s="1" t="n">
        <v>46041</v>
      </c>
      <c r="C41" s="1" t="n">
        <v>46074</v>
      </c>
      <c r="D41" t="inlineStr">
        <is>
          <t>KALMAR LÄN</t>
        </is>
      </c>
      <c r="E41" t="inlineStr">
        <is>
          <t>BORGHOLM</t>
        </is>
      </c>
      <c r="G41" t="n">
        <v>3.9</v>
      </c>
      <c r="H41" t="n">
        <v>1</v>
      </c>
      <c r="I41" t="n">
        <v>0</v>
      </c>
      <c r="J41" t="n">
        <v>0</v>
      </c>
      <c r="K41" t="n">
        <v>0</v>
      </c>
      <c r="L41" t="n">
        <v>0</v>
      </c>
      <c r="M41" t="n">
        <v>0</v>
      </c>
      <c r="N41" t="n">
        <v>0</v>
      </c>
      <c r="O41" t="n">
        <v>0</v>
      </c>
      <c r="P41" t="n">
        <v>0</v>
      </c>
      <c r="Q41" t="n">
        <v>1</v>
      </c>
      <c r="R41" s="2" t="inlineStr">
        <is>
          <t>Blåsippa</t>
        </is>
      </c>
      <c r="S41">
        <f>HYPERLINK("https://klasma.github.io/Logging_0885/artfynd/A 3302-2026 artfynd.xlsx", "A 3302-2026")</f>
        <v/>
      </c>
      <c r="T41">
        <f>HYPERLINK("https://klasma.github.io/Logging_0885/kartor/A 3302-2026 karta.png", "A 3302-2026")</f>
        <v/>
      </c>
      <c r="V41">
        <f>HYPERLINK("https://klasma.github.io/Logging_0885/klagomål/A 3302-2026 FSC-klagomål.docx", "A 3302-2026")</f>
        <v/>
      </c>
      <c r="W41">
        <f>HYPERLINK("https://klasma.github.io/Logging_0885/klagomålsmail/A 3302-2026 FSC-klagomål mail.docx", "A 3302-2026")</f>
        <v/>
      </c>
      <c r="X41">
        <f>HYPERLINK("https://klasma.github.io/Logging_0885/tillsyn/A 3302-2026 tillsynsbegäran.docx", "A 3302-2026")</f>
        <v/>
      </c>
      <c r="Y41">
        <f>HYPERLINK("https://klasma.github.io/Logging_0885/tillsynsmail/A 3302-2026 tillsynsbegäran mail.docx", "A 3302-2026")</f>
        <v/>
      </c>
    </row>
    <row r="42" ht="15" customHeight="1">
      <c r="A42" t="inlineStr">
        <is>
          <t>A 12785-2021</t>
        </is>
      </c>
      <c r="B42" s="1" t="n">
        <v>44270</v>
      </c>
      <c r="C42" s="1" t="n">
        <v>46074</v>
      </c>
      <c r="D42" t="inlineStr">
        <is>
          <t>KALMAR LÄN</t>
        </is>
      </c>
      <c r="E42" t="inlineStr">
        <is>
          <t>BORGHOLM</t>
        </is>
      </c>
      <c r="G42" t="n">
        <v>1.2</v>
      </c>
      <c r="H42" t="n">
        <v>0</v>
      </c>
      <c r="I42" t="n">
        <v>0</v>
      </c>
      <c r="J42" t="n">
        <v>0</v>
      </c>
      <c r="K42" t="n">
        <v>0</v>
      </c>
      <c r="L42" t="n">
        <v>1</v>
      </c>
      <c r="M42" t="n">
        <v>0</v>
      </c>
      <c r="N42" t="n">
        <v>0</v>
      </c>
      <c r="O42" t="n">
        <v>1</v>
      </c>
      <c r="P42" t="n">
        <v>1</v>
      </c>
      <c r="Q42" t="n">
        <v>1</v>
      </c>
      <c r="R42" s="2" t="inlineStr">
        <is>
          <t>Ask</t>
        </is>
      </c>
      <c r="S42">
        <f>HYPERLINK("https://klasma.github.io/Logging_0885/artfynd/A 12785-2021 artfynd.xlsx", "A 12785-2021")</f>
        <v/>
      </c>
      <c r="T42">
        <f>HYPERLINK("https://klasma.github.io/Logging_0885/kartor/A 12785-2021 karta.png", "A 12785-2021")</f>
        <v/>
      </c>
      <c r="V42">
        <f>HYPERLINK("https://klasma.github.io/Logging_0885/klagomål/A 12785-2021 FSC-klagomål.docx", "A 12785-2021")</f>
        <v/>
      </c>
      <c r="W42">
        <f>HYPERLINK("https://klasma.github.io/Logging_0885/klagomålsmail/A 12785-2021 FSC-klagomål mail.docx", "A 12785-2021")</f>
        <v/>
      </c>
      <c r="X42">
        <f>HYPERLINK("https://klasma.github.io/Logging_0885/tillsyn/A 12785-2021 tillsynsbegäran.docx", "A 12785-2021")</f>
        <v/>
      </c>
      <c r="Y42">
        <f>HYPERLINK("https://klasma.github.io/Logging_0885/tillsynsmail/A 12785-2021 tillsynsbegäran mail.docx", "A 12785-2021")</f>
        <v/>
      </c>
    </row>
    <row r="43" ht="15" customHeight="1">
      <c r="A43" t="inlineStr">
        <is>
          <t>A 24048-2025</t>
        </is>
      </c>
      <c r="B43" s="1" t="n">
        <v>45796.4959375</v>
      </c>
      <c r="C43" s="1" t="n">
        <v>46074</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46074</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46074</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46074</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46074</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46074</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46074</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46074</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46074</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46074</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46074</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46074</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46074</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46074</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46074</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46074</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46074</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12937-2022</t>
        </is>
      </c>
      <c r="B60" s="1" t="n">
        <v>44642</v>
      </c>
      <c r="C60" s="1" t="n">
        <v>46074</v>
      </c>
      <c r="D60" t="inlineStr">
        <is>
          <t>KALMAR LÄN</t>
        </is>
      </c>
      <c r="E60" t="inlineStr">
        <is>
          <t>BORGHOLM</t>
        </is>
      </c>
      <c r="F60" t="inlineStr">
        <is>
          <t>Sveaskog</t>
        </is>
      </c>
      <c r="G60" t="n">
        <v>1.8</v>
      </c>
      <c r="H60" t="n">
        <v>0</v>
      </c>
      <c r="I60" t="n">
        <v>0</v>
      </c>
      <c r="J60" t="n">
        <v>0</v>
      </c>
      <c r="K60" t="n">
        <v>0</v>
      </c>
      <c r="L60" t="n">
        <v>0</v>
      </c>
      <c r="M60" t="n">
        <v>0</v>
      </c>
      <c r="N60" t="n">
        <v>0</v>
      </c>
      <c r="O60" t="n">
        <v>0</v>
      </c>
      <c r="P60" t="n">
        <v>0</v>
      </c>
      <c r="Q60" t="n">
        <v>0</v>
      </c>
      <c r="R60" s="2" t="inlineStr"/>
    </row>
    <row r="61" ht="15" customHeight="1">
      <c r="A61" t="inlineStr">
        <is>
          <t>A 9034-2025</t>
        </is>
      </c>
      <c r="B61" s="1" t="n">
        <v>45713</v>
      </c>
      <c r="C61" s="1" t="n">
        <v>46074</v>
      </c>
      <c r="D61" t="inlineStr">
        <is>
          <t>KALMAR LÄN</t>
        </is>
      </c>
      <c r="E61" t="inlineStr">
        <is>
          <t>BORGHOLM</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3878-2023</t>
        </is>
      </c>
      <c r="B62" s="1" t="n">
        <v>44951</v>
      </c>
      <c r="C62" s="1" t="n">
        <v>46074</v>
      </c>
      <c r="D62" t="inlineStr">
        <is>
          <t>KALMAR LÄN</t>
        </is>
      </c>
      <c r="E62" t="inlineStr">
        <is>
          <t>BORGHOLM</t>
        </is>
      </c>
      <c r="G62" t="n">
        <v>1.7</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46074</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64303-2023</t>
        </is>
      </c>
      <c r="B64" s="1" t="n">
        <v>45280</v>
      </c>
      <c r="C64" s="1" t="n">
        <v>46074</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21908-2022</t>
        </is>
      </c>
      <c r="B65" s="1" t="n">
        <v>44711</v>
      </c>
      <c r="C65" s="1" t="n">
        <v>46074</v>
      </c>
      <c r="D65" t="inlineStr">
        <is>
          <t>KALMAR LÄN</t>
        </is>
      </c>
      <c r="E65" t="inlineStr">
        <is>
          <t>BORGHOLM</t>
        </is>
      </c>
      <c r="G65" t="n">
        <v>4.7</v>
      </c>
      <c r="H65" t="n">
        <v>0</v>
      </c>
      <c r="I65" t="n">
        <v>0</v>
      </c>
      <c r="J65" t="n">
        <v>0</v>
      </c>
      <c r="K65" t="n">
        <v>0</v>
      </c>
      <c r="L65" t="n">
        <v>0</v>
      </c>
      <c r="M65" t="n">
        <v>0</v>
      </c>
      <c r="N65" t="n">
        <v>0</v>
      </c>
      <c r="O65" t="n">
        <v>0</v>
      </c>
      <c r="P65" t="n">
        <v>0</v>
      </c>
      <c r="Q65" t="n">
        <v>0</v>
      </c>
      <c r="R65" s="2" t="inlineStr"/>
    </row>
    <row r="66" ht="15" customHeight="1">
      <c r="A66" t="inlineStr">
        <is>
          <t>A 55367-2024</t>
        </is>
      </c>
      <c r="B66" s="1" t="n">
        <v>45621.87075231481</v>
      </c>
      <c r="C66" s="1" t="n">
        <v>46074</v>
      </c>
      <c r="D66" t="inlineStr">
        <is>
          <t>KALMAR LÄN</t>
        </is>
      </c>
      <c r="E66" t="inlineStr">
        <is>
          <t>BORGHOLM</t>
        </is>
      </c>
      <c r="G66" t="n">
        <v>0.7</v>
      </c>
      <c r="H66" t="n">
        <v>0</v>
      </c>
      <c r="I66" t="n">
        <v>0</v>
      </c>
      <c r="J66" t="n">
        <v>0</v>
      </c>
      <c r="K66" t="n">
        <v>0</v>
      </c>
      <c r="L66" t="n">
        <v>0</v>
      </c>
      <c r="M66" t="n">
        <v>0</v>
      </c>
      <c r="N66" t="n">
        <v>0</v>
      </c>
      <c r="O66" t="n">
        <v>0</v>
      </c>
      <c r="P66" t="n">
        <v>0</v>
      </c>
      <c r="Q66" t="n">
        <v>0</v>
      </c>
      <c r="R66" s="2" t="inlineStr"/>
    </row>
    <row r="67" ht="15" customHeight="1">
      <c r="A67" t="inlineStr">
        <is>
          <t>A 28782-2025</t>
        </is>
      </c>
      <c r="B67" s="1" t="n">
        <v>45820.45572916666</v>
      </c>
      <c r="C67" s="1" t="n">
        <v>46074</v>
      </c>
      <c r="D67" t="inlineStr">
        <is>
          <t>KALMAR LÄN</t>
        </is>
      </c>
      <c r="E67" t="inlineStr">
        <is>
          <t>BORGHOLM</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4159-2024</t>
        </is>
      </c>
      <c r="B68" s="1" t="n">
        <v>45323</v>
      </c>
      <c r="C68" s="1" t="n">
        <v>46074</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32921-2023</t>
        </is>
      </c>
      <c r="B69" s="1" t="n">
        <v>45125</v>
      </c>
      <c r="C69" s="1" t="n">
        <v>46074</v>
      </c>
      <c r="D69" t="inlineStr">
        <is>
          <t>KALMAR LÄN</t>
        </is>
      </c>
      <c r="E69" t="inlineStr">
        <is>
          <t>BORGHOLM</t>
        </is>
      </c>
      <c r="G69" t="n">
        <v>2.9</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46074</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46074</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46074</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46074</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63276-2023</t>
        </is>
      </c>
      <c r="B74" s="1" t="n">
        <v>45273.82195601852</v>
      </c>
      <c r="C74" s="1" t="n">
        <v>46074</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43542-2025</t>
        </is>
      </c>
      <c r="B75" s="1" t="n">
        <v>45911.61123842592</v>
      </c>
      <c r="C75" s="1" t="n">
        <v>46074</v>
      </c>
      <c r="D75" t="inlineStr">
        <is>
          <t>KALMAR LÄN</t>
        </is>
      </c>
      <c r="E75" t="inlineStr">
        <is>
          <t>BORGHOLM</t>
        </is>
      </c>
      <c r="G75" t="n">
        <v>2.4</v>
      </c>
      <c r="H75" t="n">
        <v>0</v>
      </c>
      <c r="I75" t="n">
        <v>0</v>
      </c>
      <c r="J75" t="n">
        <v>0</v>
      </c>
      <c r="K75" t="n">
        <v>0</v>
      </c>
      <c r="L75" t="n">
        <v>0</v>
      </c>
      <c r="M75" t="n">
        <v>0</v>
      </c>
      <c r="N75" t="n">
        <v>0</v>
      </c>
      <c r="O75" t="n">
        <v>0</v>
      </c>
      <c r="P75" t="n">
        <v>0</v>
      </c>
      <c r="Q75" t="n">
        <v>0</v>
      </c>
      <c r="R75" s="2" t="inlineStr"/>
    </row>
    <row r="76" ht="15" customHeight="1">
      <c r="A76" t="inlineStr">
        <is>
          <t>A 1614-2025</t>
        </is>
      </c>
      <c r="B76" s="1" t="n">
        <v>45670.60094907408</v>
      </c>
      <c r="C76" s="1" t="n">
        <v>46074</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45734-2025</t>
        </is>
      </c>
      <c r="B77" s="1" t="n">
        <v>45923.46512731481</v>
      </c>
      <c r="C77" s="1" t="n">
        <v>46074</v>
      </c>
      <c r="D77" t="inlineStr">
        <is>
          <t>KALMAR LÄN</t>
        </is>
      </c>
      <c r="E77" t="inlineStr">
        <is>
          <t>BORGHOLM</t>
        </is>
      </c>
      <c r="G77" t="n">
        <v>5</v>
      </c>
      <c r="H77" t="n">
        <v>0</v>
      </c>
      <c r="I77" t="n">
        <v>0</v>
      </c>
      <c r="J77" t="n">
        <v>0</v>
      </c>
      <c r="K77" t="n">
        <v>0</v>
      </c>
      <c r="L77" t="n">
        <v>0</v>
      </c>
      <c r="M77" t="n">
        <v>0</v>
      </c>
      <c r="N77" t="n">
        <v>0</v>
      </c>
      <c r="O77" t="n">
        <v>0</v>
      </c>
      <c r="P77" t="n">
        <v>0</v>
      </c>
      <c r="Q77" t="n">
        <v>0</v>
      </c>
      <c r="R77" s="2" t="inlineStr"/>
    </row>
    <row r="78" ht="15" customHeight="1">
      <c r="A78" t="inlineStr">
        <is>
          <t>A 45869-2025</t>
        </is>
      </c>
      <c r="B78" s="1" t="n">
        <v>45923.65313657407</v>
      </c>
      <c r="C78" s="1" t="n">
        <v>46074</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36269-2025</t>
        </is>
      </c>
      <c r="B79" s="1" t="n">
        <v>45867.61736111111</v>
      </c>
      <c r="C79" s="1" t="n">
        <v>46074</v>
      </c>
      <c r="D79" t="inlineStr">
        <is>
          <t>KALMAR LÄN</t>
        </is>
      </c>
      <c r="E79" t="inlineStr">
        <is>
          <t>BORGHOLM</t>
        </is>
      </c>
      <c r="F79" t="inlineStr">
        <is>
          <t>Sveaskog</t>
        </is>
      </c>
      <c r="G79" t="n">
        <v>3.3</v>
      </c>
      <c r="H79" t="n">
        <v>0</v>
      </c>
      <c r="I79" t="n">
        <v>0</v>
      </c>
      <c r="J79" t="n">
        <v>0</v>
      </c>
      <c r="K79" t="n">
        <v>0</v>
      </c>
      <c r="L79" t="n">
        <v>0</v>
      </c>
      <c r="M79" t="n">
        <v>0</v>
      </c>
      <c r="N79" t="n">
        <v>0</v>
      </c>
      <c r="O79" t="n">
        <v>0</v>
      </c>
      <c r="P79" t="n">
        <v>0</v>
      </c>
      <c r="Q79" t="n">
        <v>0</v>
      </c>
      <c r="R79" s="2" t="inlineStr"/>
    </row>
    <row r="80" ht="15" customHeight="1">
      <c r="A80" t="inlineStr">
        <is>
          <t>A 46845-2025</t>
        </is>
      </c>
      <c r="B80" s="1" t="n">
        <v>45928</v>
      </c>
      <c r="C80" s="1" t="n">
        <v>46074</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9076-2025</t>
        </is>
      </c>
      <c r="B81" s="1" t="n">
        <v>45713.6596875</v>
      </c>
      <c r="C81" s="1" t="n">
        <v>46074</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1757-2025</t>
        </is>
      </c>
      <c r="B82" s="1" t="n">
        <v>45671.42195601852</v>
      </c>
      <c r="C82" s="1" t="n">
        <v>46074</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7960-2023</t>
        </is>
      </c>
      <c r="B83" s="1" t="n">
        <v>44973</v>
      </c>
      <c r="C83" s="1" t="n">
        <v>46074</v>
      </c>
      <c r="D83" t="inlineStr">
        <is>
          <t>KALMAR LÄN</t>
        </is>
      </c>
      <c r="E83" t="inlineStr">
        <is>
          <t>BORGHOLM</t>
        </is>
      </c>
      <c r="G83" t="n">
        <v>2.1</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46074</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9050-2025</t>
        </is>
      </c>
      <c r="B85" s="1" t="n">
        <v>45713.63512731482</v>
      </c>
      <c r="C85" s="1" t="n">
        <v>46074</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7669-2024</t>
        </is>
      </c>
      <c r="B86" s="1" t="n">
        <v>45348.82498842593</v>
      </c>
      <c r="C86" s="1" t="n">
        <v>46074</v>
      </c>
      <c r="D86" t="inlineStr">
        <is>
          <t>KALMAR LÄN</t>
        </is>
      </c>
      <c r="E86" t="inlineStr">
        <is>
          <t>BORGHOLM</t>
        </is>
      </c>
      <c r="G86" t="n">
        <v>2.3</v>
      </c>
      <c r="H86" t="n">
        <v>0</v>
      </c>
      <c r="I86" t="n">
        <v>0</v>
      </c>
      <c r="J86" t="n">
        <v>0</v>
      </c>
      <c r="K86" t="n">
        <v>0</v>
      </c>
      <c r="L86" t="n">
        <v>0</v>
      </c>
      <c r="M86" t="n">
        <v>0</v>
      </c>
      <c r="N86" t="n">
        <v>0</v>
      </c>
      <c r="O86" t="n">
        <v>0</v>
      </c>
      <c r="P86" t="n">
        <v>0</v>
      </c>
      <c r="Q86" t="n">
        <v>0</v>
      </c>
      <c r="R86" s="2" t="inlineStr"/>
    </row>
    <row r="87" ht="15" customHeight="1">
      <c r="A87" t="inlineStr">
        <is>
          <t>A 60141-2025</t>
        </is>
      </c>
      <c r="B87" s="1" t="n">
        <v>45994.36873842592</v>
      </c>
      <c r="C87" s="1" t="n">
        <v>46074</v>
      </c>
      <c r="D87" t="inlineStr">
        <is>
          <t>KALMAR LÄN</t>
        </is>
      </c>
      <c r="E87" t="inlineStr">
        <is>
          <t>BORGHOLM</t>
        </is>
      </c>
      <c r="G87" t="n">
        <v>0.7</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46074</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46074</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46074</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46074</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31720-2022</t>
        </is>
      </c>
      <c r="B92" s="1" t="n">
        <v>44776</v>
      </c>
      <c r="C92" s="1" t="n">
        <v>46074</v>
      </c>
      <c r="D92" t="inlineStr">
        <is>
          <t>KALMAR LÄN</t>
        </is>
      </c>
      <c r="E92" t="inlineStr">
        <is>
          <t>BORGHOLM</t>
        </is>
      </c>
      <c r="F92" t="inlineStr">
        <is>
          <t>Sveaskog</t>
        </is>
      </c>
      <c r="G92" t="n">
        <v>4.5</v>
      </c>
      <c r="H92" t="n">
        <v>0</v>
      </c>
      <c r="I92" t="n">
        <v>0</v>
      </c>
      <c r="J92" t="n">
        <v>0</v>
      </c>
      <c r="K92" t="n">
        <v>0</v>
      </c>
      <c r="L92" t="n">
        <v>0</v>
      </c>
      <c r="M92" t="n">
        <v>0</v>
      </c>
      <c r="N92" t="n">
        <v>0</v>
      </c>
      <c r="O92" t="n">
        <v>0</v>
      </c>
      <c r="P92" t="n">
        <v>0</v>
      </c>
      <c r="Q92" t="n">
        <v>0</v>
      </c>
      <c r="R92" s="2" t="inlineStr"/>
    </row>
    <row r="93" ht="15" customHeight="1">
      <c r="A93" t="inlineStr">
        <is>
          <t>A 7481-2026</t>
        </is>
      </c>
      <c r="B93" s="1" t="n">
        <v>46059.51359953704</v>
      </c>
      <c r="C93" s="1" t="n">
        <v>46074</v>
      </c>
      <c r="D93" t="inlineStr">
        <is>
          <t>KALMAR LÄN</t>
        </is>
      </c>
      <c r="E93" t="inlineStr">
        <is>
          <t>BORGHOLM</t>
        </is>
      </c>
      <c r="G93" t="n">
        <v>1.9</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46074</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5175-2024</t>
        </is>
      </c>
      <c r="B95" s="1" t="n">
        <v>45330</v>
      </c>
      <c r="C95" s="1" t="n">
        <v>46074</v>
      </c>
      <c r="D95" t="inlineStr">
        <is>
          <t>KALMAR LÄN</t>
        </is>
      </c>
      <c r="E95" t="inlineStr">
        <is>
          <t>BORGHOLM</t>
        </is>
      </c>
      <c r="G95" t="n">
        <v>1.5</v>
      </c>
      <c r="H95" t="n">
        <v>0</v>
      </c>
      <c r="I95" t="n">
        <v>0</v>
      </c>
      <c r="J95" t="n">
        <v>0</v>
      </c>
      <c r="K95" t="n">
        <v>0</v>
      </c>
      <c r="L95" t="n">
        <v>0</v>
      </c>
      <c r="M95" t="n">
        <v>0</v>
      </c>
      <c r="N95" t="n">
        <v>0</v>
      </c>
      <c r="O95" t="n">
        <v>0</v>
      </c>
      <c r="P95" t="n">
        <v>0</v>
      </c>
      <c r="Q95" t="n">
        <v>0</v>
      </c>
      <c r="R95" s="2" t="inlineStr"/>
    </row>
    <row r="96" ht="15" customHeight="1">
      <c r="A96" t="inlineStr">
        <is>
          <t>A 34951-2022</t>
        </is>
      </c>
      <c r="B96" s="1" t="n">
        <v>44796</v>
      </c>
      <c r="C96" s="1" t="n">
        <v>46074</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19867-2024</t>
        </is>
      </c>
      <c r="B97" s="1" t="n">
        <v>45433</v>
      </c>
      <c r="C97" s="1" t="n">
        <v>46074</v>
      </c>
      <c r="D97" t="inlineStr">
        <is>
          <t>KALMAR LÄN</t>
        </is>
      </c>
      <c r="E97" t="inlineStr">
        <is>
          <t>BORGHOLM</t>
        </is>
      </c>
      <c r="G97" t="n">
        <v>3.9</v>
      </c>
      <c r="H97" t="n">
        <v>0</v>
      </c>
      <c r="I97" t="n">
        <v>0</v>
      </c>
      <c r="J97" t="n">
        <v>0</v>
      </c>
      <c r="K97" t="n">
        <v>0</v>
      </c>
      <c r="L97" t="n">
        <v>0</v>
      </c>
      <c r="M97" t="n">
        <v>0</v>
      </c>
      <c r="N97" t="n">
        <v>0</v>
      </c>
      <c r="O97" t="n">
        <v>0</v>
      </c>
      <c r="P97" t="n">
        <v>0</v>
      </c>
      <c r="Q97" t="n">
        <v>0</v>
      </c>
      <c r="R97" s="2" t="inlineStr"/>
    </row>
    <row r="98" ht="15" customHeight="1">
      <c r="A98" t="inlineStr">
        <is>
          <t>A 13383-2023</t>
        </is>
      </c>
      <c r="B98" s="1" t="n">
        <v>45005</v>
      </c>
      <c r="C98" s="1" t="n">
        <v>46074</v>
      </c>
      <c r="D98" t="inlineStr">
        <is>
          <t>KALMAR LÄN</t>
        </is>
      </c>
      <c r="E98" t="inlineStr">
        <is>
          <t>BORGHOLM</t>
        </is>
      </c>
      <c r="G98" t="n">
        <v>0.8</v>
      </c>
      <c r="H98" t="n">
        <v>0</v>
      </c>
      <c r="I98" t="n">
        <v>0</v>
      </c>
      <c r="J98" t="n">
        <v>0</v>
      </c>
      <c r="K98" t="n">
        <v>0</v>
      </c>
      <c r="L98" t="n">
        <v>0</v>
      </c>
      <c r="M98" t="n">
        <v>0</v>
      </c>
      <c r="N98" t="n">
        <v>0</v>
      </c>
      <c r="O98" t="n">
        <v>0</v>
      </c>
      <c r="P98" t="n">
        <v>0</v>
      </c>
      <c r="Q98" t="n">
        <v>0</v>
      </c>
      <c r="R98" s="2" t="inlineStr"/>
    </row>
    <row r="99" ht="15" customHeight="1">
      <c r="A99" t="inlineStr">
        <is>
          <t>A 61438-2023</t>
        </is>
      </c>
      <c r="B99" s="1" t="n">
        <v>45264</v>
      </c>
      <c r="C99" s="1" t="n">
        <v>46074</v>
      </c>
      <c r="D99" t="inlineStr">
        <is>
          <t>KALMAR LÄN</t>
        </is>
      </c>
      <c r="E99" t="inlineStr">
        <is>
          <t>BORGHOLM</t>
        </is>
      </c>
      <c r="G99" t="n">
        <v>1.1</v>
      </c>
      <c r="H99" t="n">
        <v>0</v>
      </c>
      <c r="I99" t="n">
        <v>0</v>
      </c>
      <c r="J99" t="n">
        <v>0</v>
      </c>
      <c r="K99" t="n">
        <v>0</v>
      </c>
      <c r="L99" t="n">
        <v>0</v>
      </c>
      <c r="M99" t="n">
        <v>0</v>
      </c>
      <c r="N99" t="n">
        <v>0</v>
      </c>
      <c r="O99" t="n">
        <v>0</v>
      </c>
      <c r="P99" t="n">
        <v>0</v>
      </c>
      <c r="Q99" t="n">
        <v>0</v>
      </c>
      <c r="R99" s="2" t="inlineStr"/>
    </row>
    <row r="100" ht="15" customHeight="1">
      <c r="A100" t="inlineStr">
        <is>
          <t>A 13041-2024</t>
        </is>
      </c>
      <c r="B100" s="1" t="n">
        <v>45385.60065972222</v>
      </c>
      <c r="C100" s="1" t="n">
        <v>46074</v>
      </c>
      <c r="D100" t="inlineStr">
        <is>
          <t>KALMAR LÄN</t>
        </is>
      </c>
      <c r="E100" t="inlineStr">
        <is>
          <t>BORGHOLM</t>
        </is>
      </c>
      <c r="G100" t="n">
        <v>0.5</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46074</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4165-2023</t>
        </is>
      </c>
      <c r="B102" s="1" t="n">
        <v>44953</v>
      </c>
      <c r="C102" s="1" t="n">
        <v>46074</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50129-2021</t>
        </is>
      </c>
      <c r="B103" s="1" t="n">
        <v>44456</v>
      </c>
      <c r="C103" s="1" t="n">
        <v>46074</v>
      </c>
      <c r="D103" t="inlineStr">
        <is>
          <t>KALMAR LÄN</t>
        </is>
      </c>
      <c r="E103" t="inlineStr">
        <is>
          <t>BORGHOLM</t>
        </is>
      </c>
      <c r="G103" t="n">
        <v>1.6</v>
      </c>
      <c r="H103" t="n">
        <v>0</v>
      </c>
      <c r="I103" t="n">
        <v>0</v>
      </c>
      <c r="J103" t="n">
        <v>0</v>
      </c>
      <c r="K103" t="n">
        <v>0</v>
      </c>
      <c r="L103" t="n">
        <v>0</v>
      </c>
      <c r="M103" t="n">
        <v>0</v>
      </c>
      <c r="N103" t="n">
        <v>0</v>
      </c>
      <c r="O103" t="n">
        <v>0</v>
      </c>
      <c r="P103" t="n">
        <v>0</v>
      </c>
      <c r="Q103" t="n">
        <v>0</v>
      </c>
      <c r="R103" s="2" t="inlineStr"/>
    </row>
    <row r="104" ht="15" customHeight="1">
      <c r="A104" t="inlineStr">
        <is>
          <t>A 9104-2026</t>
        </is>
      </c>
      <c r="B104" s="1" t="n">
        <v>46069</v>
      </c>
      <c r="C104" s="1" t="n">
        <v>46074</v>
      </c>
      <c r="D104" t="inlineStr">
        <is>
          <t>KALMAR LÄN</t>
        </is>
      </c>
      <c r="E104" t="inlineStr">
        <is>
          <t>BORGHOLM</t>
        </is>
      </c>
      <c r="G104" t="n">
        <v>1.3</v>
      </c>
      <c r="H104" t="n">
        <v>0</v>
      </c>
      <c r="I104" t="n">
        <v>0</v>
      </c>
      <c r="J104" t="n">
        <v>0</v>
      </c>
      <c r="K104" t="n">
        <v>0</v>
      </c>
      <c r="L104" t="n">
        <v>0</v>
      </c>
      <c r="M104" t="n">
        <v>0</v>
      </c>
      <c r="N104" t="n">
        <v>0</v>
      </c>
      <c r="O104" t="n">
        <v>0</v>
      </c>
      <c r="P104" t="n">
        <v>0</v>
      </c>
      <c r="Q104" t="n">
        <v>0</v>
      </c>
      <c r="R104" s="2" t="inlineStr"/>
    </row>
    <row r="105" ht="15" customHeight="1">
      <c r="A105" t="inlineStr">
        <is>
          <t>A 9259-2026</t>
        </is>
      </c>
      <c r="B105" s="1" t="n">
        <v>46070.51917824074</v>
      </c>
      <c r="C105" s="1" t="n">
        <v>46074</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9905-2026</t>
        </is>
      </c>
      <c r="B106" s="1" t="n">
        <v>46073.4108912037</v>
      </c>
      <c r="C106" s="1" t="n">
        <v>46074</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46074</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34780-2022</t>
        </is>
      </c>
      <c r="B108" s="1" t="n">
        <v>44795</v>
      </c>
      <c r="C108" s="1" t="n">
        <v>46074</v>
      </c>
      <c r="D108" t="inlineStr">
        <is>
          <t>KALMAR LÄN</t>
        </is>
      </c>
      <c r="E108" t="inlineStr">
        <is>
          <t>BORGHOLM</t>
        </is>
      </c>
      <c r="F108" t="inlineStr">
        <is>
          <t>Sveaskog</t>
        </is>
      </c>
      <c r="G108" t="n">
        <v>6.7</v>
      </c>
      <c r="H108" t="n">
        <v>0</v>
      </c>
      <c r="I108" t="n">
        <v>0</v>
      </c>
      <c r="J108" t="n">
        <v>0</v>
      </c>
      <c r="K108" t="n">
        <v>0</v>
      </c>
      <c r="L108" t="n">
        <v>0</v>
      </c>
      <c r="M108" t="n">
        <v>0</v>
      </c>
      <c r="N108" t="n">
        <v>0</v>
      </c>
      <c r="O108" t="n">
        <v>0</v>
      </c>
      <c r="P108" t="n">
        <v>0</v>
      </c>
      <c r="Q108" t="n">
        <v>0</v>
      </c>
      <c r="R108" s="2" t="inlineStr"/>
    </row>
    <row r="109" ht="15" customHeight="1">
      <c r="A109" t="inlineStr">
        <is>
          <t>A 9044-2025</t>
        </is>
      </c>
      <c r="B109" s="1" t="n">
        <v>45713.6275</v>
      </c>
      <c r="C109" s="1" t="n">
        <v>46074</v>
      </c>
      <c r="D109" t="inlineStr">
        <is>
          <t>KALMAR LÄN</t>
        </is>
      </c>
      <c r="E109" t="inlineStr">
        <is>
          <t>BORGHOLM</t>
        </is>
      </c>
      <c r="F109" t="inlineStr">
        <is>
          <t>Sveaskog</t>
        </is>
      </c>
      <c r="G109" t="n">
        <v>4</v>
      </c>
      <c r="H109" t="n">
        <v>0</v>
      </c>
      <c r="I109" t="n">
        <v>0</v>
      </c>
      <c r="J109" t="n">
        <v>0</v>
      </c>
      <c r="K109" t="n">
        <v>0</v>
      </c>
      <c r="L109" t="n">
        <v>0</v>
      </c>
      <c r="M109" t="n">
        <v>0</v>
      </c>
      <c r="N109" t="n">
        <v>0</v>
      </c>
      <c r="O109" t="n">
        <v>0</v>
      </c>
      <c r="P109" t="n">
        <v>0</v>
      </c>
      <c r="Q109" t="n">
        <v>0</v>
      </c>
      <c r="R109" s="2" t="inlineStr"/>
    </row>
    <row r="110" ht="15" customHeight="1">
      <c r="A110" t="inlineStr">
        <is>
          <t>A 20878-2024</t>
        </is>
      </c>
      <c r="B110" s="1" t="n">
        <v>45439.44748842593</v>
      </c>
      <c r="C110" s="1" t="n">
        <v>46074</v>
      </c>
      <c r="D110" t="inlineStr">
        <is>
          <t>KALMAR LÄN</t>
        </is>
      </c>
      <c r="E110" t="inlineStr">
        <is>
          <t>BORGHOLM</t>
        </is>
      </c>
      <c r="G110" t="n">
        <v>1.9</v>
      </c>
      <c r="H110" t="n">
        <v>0</v>
      </c>
      <c r="I110" t="n">
        <v>0</v>
      </c>
      <c r="J110" t="n">
        <v>0</v>
      </c>
      <c r="K110" t="n">
        <v>0</v>
      </c>
      <c r="L110" t="n">
        <v>0</v>
      </c>
      <c r="M110" t="n">
        <v>0</v>
      </c>
      <c r="N110" t="n">
        <v>0</v>
      </c>
      <c r="O110" t="n">
        <v>0</v>
      </c>
      <c r="P110" t="n">
        <v>0</v>
      </c>
      <c r="Q110" t="n">
        <v>0</v>
      </c>
      <c r="R110" s="2" t="inlineStr"/>
    </row>
    <row r="111" ht="15" customHeight="1">
      <c r="A111" t="inlineStr">
        <is>
          <t>A 17699-2025</t>
        </is>
      </c>
      <c r="B111" s="1" t="n">
        <v>45758.41846064815</v>
      </c>
      <c r="C111" s="1" t="n">
        <v>46074</v>
      </c>
      <c r="D111" t="inlineStr">
        <is>
          <t>KALMAR LÄN</t>
        </is>
      </c>
      <c r="E111" t="inlineStr">
        <is>
          <t>BORGHOLM</t>
        </is>
      </c>
      <c r="G111" t="n">
        <v>0.7</v>
      </c>
      <c r="H111" t="n">
        <v>0</v>
      </c>
      <c r="I111" t="n">
        <v>0</v>
      </c>
      <c r="J111" t="n">
        <v>0</v>
      </c>
      <c r="K111" t="n">
        <v>0</v>
      </c>
      <c r="L111" t="n">
        <v>0</v>
      </c>
      <c r="M111" t="n">
        <v>0</v>
      </c>
      <c r="N111" t="n">
        <v>0</v>
      </c>
      <c r="O111" t="n">
        <v>0</v>
      </c>
      <c r="P111" t="n">
        <v>0</v>
      </c>
      <c r="Q111" t="n">
        <v>0</v>
      </c>
      <c r="R111" s="2" t="inlineStr"/>
    </row>
    <row r="112" ht="15" customHeight="1">
      <c r="A112" t="inlineStr">
        <is>
          <t>A 20287-2025</t>
        </is>
      </c>
      <c r="B112" s="1" t="n">
        <v>45774.60741898148</v>
      </c>
      <c r="C112" s="1" t="n">
        <v>46074</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26160-2024</t>
        </is>
      </c>
      <c r="B113" s="1" t="n">
        <v>45468</v>
      </c>
      <c r="C113" s="1" t="n">
        <v>46074</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c r="T113">
        <f>HYPERLINK("https://klasma.github.io/Logging_0885/kartor/A 26160-2024 karta.png", "A 26160-2024")</f>
        <v/>
      </c>
      <c r="V113">
        <f>HYPERLINK("https://klasma.github.io/Logging_0885/klagomål/A 26160-2024 FSC-klagomål.docx", "A 26160-2024")</f>
        <v/>
      </c>
      <c r="W113">
        <f>HYPERLINK("https://klasma.github.io/Logging_0885/klagomålsmail/A 26160-2024 FSC-klagomål mail.docx", "A 26160-2024")</f>
        <v/>
      </c>
      <c r="X113">
        <f>HYPERLINK("https://klasma.github.io/Logging_0885/tillsyn/A 26160-2024 tillsynsbegäran.docx", "A 26160-2024")</f>
        <v/>
      </c>
      <c r="Y113">
        <f>HYPERLINK("https://klasma.github.io/Logging_0885/tillsynsmail/A 26160-2024 tillsynsbegäran mail.docx", "A 26160-2024")</f>
        <v/>
      </c>
    </row>
    <row r="114" ht="15" customHeight="1">
      <c r="A114" t="inlineStr">
        <is>
          <t>A 63075-2023</t>
        </is>
      </c>
      <c r="B114" s="1" t="n">
        <v>45273</v>
      </c>
      <c r="C114" s="1" t="n">
        <v>46074</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17978-2021</t>
        </is>
      </c>
      <c r="B115" s="1" t="n">
        <v>44301</v>
      </c>
      <c r="C115" s="1" t="n">
        <v>46074</v>
      </c>
      <c r="D115" t="inlineStr">
        <is>
          <t>KALMAR LÄN</t>
        </is>
      </c>
      <c r="E115" t="inlineStr">
        <is>
          <t>BORGHOLM</t>
        </is>
      </c>
      <c r="G115" t="n">
        <v>6</v>
      </c>
      <c r="H115" t="n">
        <v>0</v>
      </c>
      <c r="I115" t="n">
        <v>0</v>
      </c>
      <c r="J115" t="n">
        <v>0</v>
      </c>
      <c r="K115" t="n">
        <v>0</v>
      </c>
      <c r="L115" t="n">
        <v>0</v>
      </c>
      <c r="M115" t="n">
        <v>0</v>
      </c>
      <c r="N115" t="n">
        <v>0</v>
      </c>
      <c r="O115" t="n">
        <v>0</v>
      </c>
      <c r="P115" t="n">
        <v>0</v>
      </c>
      <c r="Q115" t="n">
        <v>0</v>
      </c>
      <c r="R115" s="2" t="inlineStr"/>
    </row>
    <row r="116" ht="15" customHeight="1">
      <c r="A116" t="inlineStr">
        <is>
          <t>A 22785-2025</t>
        </is>
      </c>
      <c r="B116" s="1" t="n">
        <v>45789.64186342592</v>
      </c>
      <c r="C116" s="1" t="n">
        <v>46074</v>
      </c>
      <c r="D116" t="inlineStr">
        <is>
          <t>KALMAR LÄN</t>
        </is>
      </c>
      <c r="E116" t="inlineStr">
        <is>
          <t>BORGHOLM</t>
        </is>
      </c>
      <c r="G116" t="n">
        <v>0.6</v>
      </c>
      <c r="H116" t="n">
        <v>0</v>
      </c>
      <c r="I116" t="n">
        <v>0</v>
      </c>
      <c r="J116" t="n">
        <v>0</v>
      </c>
      <c r="K116" t="n">
        <v>0</v>
      </c>
      <c r="L116" t="n">
        <v>0</v>
      </c>
      <c r="M116" t="n">
        <v>0</v>
      </c>
      <c r="N116" t="n">
        <v>0</v>
      </c>
      <c r="O116" t="n">
        <v>0</v>
      </c>
      <c r="P116" t="n">
        <v>0</v>
      </c>
      <c r="Q116" t="n">
        <v>0</v>
      </c>
      <c r="R116" s="2" t="inlineStr"/>
    </row>
    <row r="117" ht="15" customHeight="1">
      <c r="A117" t="inlineStr">
        <is>
          <t>A 12534-2022</t>
        </is>
      </c>
      <c r="B117" s="1" t="n">
        <v>44638</v>
      </c>
      <c r="C117" s="1" t="n">
        <v>46074</v>
      </c>
      <c r="D117" t="inlineStr">
        <is>
          <t>KALMAR LÄN</t>
        </is>
      </c>
      <c r="E117" t="inlineStr">
        <is>
          <t>BORGHOLM</t>
        </is>
      </c>
      <c r="G117" t="n">
        <v>8.6</v>
      </c>
      <c r="H117" t="n">
        <v>0</v>
      </c>
      <c r="I117" t="n">
        <v>0</v>
      </c>
      <c r="J117" t="n">
        <v>0</v>
      </c>
      <c r="K117" t="n">
        <v>0</v>
      </c>
      <c r="L117" t="n">
        <v>0</v>
      </c>
      <c r="M117" t="n">
        <v>0</v>
      </c>
      <c r="N117" t="n">
        <v>0</v>
      </c>
      <c r="O117" t="n">
        <v>0</v>
      </c>
      <c r="P117" t="n">
        <v>0</v>
      </c>
      <c r="Q117" t="n">
        <v>0</v>
      </c>
      <c r="R117" s="2" t="inlineStr"/>
    </row>
    <row r="118" ht="15" customHeight="1">
      <c r="A118" t="inlineStr">
        <is>
          <t>A 40339-2023</t>
        </is>
      </c>
      <c r="B118" s="1" t="n">
        <v>45169.62733796296</v>
      </c>
      <c r="C118" s="1" t="n">
        <v>46074</v>
      </c>
      <c r="D118" t="inlineStr">
        <is>
          <t>KALMAR LÄN</t>
        </is>
      </c>
      <c r="E118" t="inlineStr">
        <is>
          <t>BORGHOLM</t>
        </is>
      </c>
      <c r="G118" t="n">
        <v>3.8</v>
      </c>
      <c r="H118" t="n">
        <v>0</v>
      </c>
      <c r="I118" t="n">
        <v>0</v>
      </c>
      <c r="J118" t="n">
        <v>0</v>
      </c>
      <c r="K118" t="n">
        <v>0</v>
      </c>
      <c r="L118" t="n">
        <v>0</v>
      </c>
      <c r="M118" t="n">
        <v>0</v>
      </c>
      <c r="N118" t="n">
        <v>0</v>
      </c>
      <c r="O118" t="n">
        <v>0</v>
      </c>
      <c r="P118" t="n">
        <v>0</v>
      </c>
      <c r="Q118" t="n">
        <v>0</v>
      </c>
      <c r="R118" s="2" t="inlineStr"/>
    </row>
    <row r="119" ht="15" customHeight="1">
      <c r="A119" t="inlineStr">
        <is>
          <t>A 24166-2022</t>
        </is>
      </c>
      <c r="B119" s="1" t="n">
        <v>44725</v>
      </c>
      <c r="C119" s="1" t="n">
        <v>46074</v>
      </c>
      <c r="D119" t="inlineStr">
        <is>
          <t>KALMAR LÄN</t>
        </is>
      </c>
      <c r="E119" t="inlineStr">
        <is>
          <t>BORGHOLM</t>
        </is>
      </c>
      <c r="G119" t="n">
        <v>10.7</v>
      </c>
      <c r="H119" t="n">
        <v>0</v>
      </c>
      <c r="I119" t="n">
        <v>0</v>
      </c>
      <c r="J119" t="n">
        <v>0</v>
      </c>
      <c r="K119" t="n">
        <v>0</v>
      </c>
      <c r="L119" t="n">
        <v>0</v>
      </c>
      <c r="M119" t="n">
        <v>0</v>
      </c>
      <c r="N119" t="n">
        <v>0</v>
      </c>
      <c r="O119" t="n">
        <v>0</v>
      </c>
      <c r="P119" t="n">
        <v>0</v>
      </c>
      <c r="Q119" t="n">
        <v>0</v>
      </c>
      <c r="R119" s="2" t="inlineStr"/>
    </row>
    <row r="120" ht="15" customHeight="1">
      <c r="A120" t="inlineStr">
        <is>
          <t>A 26190-2025</t>
        </is>
      </c>
      <c r="B120" s="1" t="n">
        <v>45805.48349537037</v>
      </c>
      <c r="C120" s="1" t="n">
        <v>46074</v>
      </c>
      <c r="D120" t="inlineStr">
        <is>
          <t>KALMAR LÄN</t>
        </is>
      </c>
      <c r="E120" t="inlineStr">
        <is>
          <t>BORGHOLM</t>
        </is>
      </c>
      <c r="G120" t="n">
        <v>3.2</v>
      </c>
      <c r="H120" t="n">
        <v>0</v>
      </c>
      <c r="I120" t="n">
        <v>0</v>
      </c>
      <c r="J120" t="n">
        <v>0</v>
      </c>
      <c r="K120" t="n">
        <v>0</v>
      </c>
      <c r="L120" t="n">
        <v>0</v>
      </c>
      <c r="M120" t="n">
        <v>0</v>
      </c>
      <c r="N120" t="n">
        <v>0</v>
      </c>
      <c r="O120" t="n">
        <v>0</v>
      </c>
      <c r="P120" t="n">
        <v>0</v>
      </c>
      <c r="Q120" t="n">
        <v>0</v>
      </c>
      <c r="R120" s="2" t="inlineStr"/>
    </row>
    <row r="121" ht="15" customHeight="1">
      <c r="A121" t="inlineStr">
        <is>
          <t>A 26160-2025</t>
        </is>
      </c>
      <c r="B121" s="1" t="n">
        <v>45805.4490162037</v>
      </c>
      <c r="C121" s="1" t="n">
        <v>46074</v>
      </c>
      <c r="D121" t="inlineStr">
        <is>
          <t>KALMAR LÄN</t>
        </is>
      </c>
      <c r="E121" t="inlineStr">
        <is>
          <t>BORGHOLM</t>
        </is>
      </c>
      <c r="G121" t="n">
        <v>3.7</v>
      </c>
      <c r="H121" t="n">
        <v>0</v>
      </c>
      <c r="I121" t="n">
        <v>0</v>
      </c>
      <c r="J121" t="n">
        <v>0</v>
      </c>
      <c r="K121" t="n">
        <v>0</v>
      </c>
      <c r="L121" t="n">
        <v>0</v>
      </c>
      <c r="M121" t="n">
        <v>0</v>
      </c>
      <c r="N121" t="n">
        <v>0</v>
      </c>
      <c r="O121" t="n">
        <v>0</v>
      </c>
      <c r="P121" t="n">
        <v>0</v>
      </c>
      <c r="Q121" t="n">
        <v>0</v>
      </c>
      <c r="R121" s="2" t="inlineStr"/>
    </row>
    <row r="122" ht="15" customHeight="1">
      <c r="A122" t="inlineStr">
        <is>
          <t>A 27357-2025</t>
        </is>
      </c>
      <c r="B122" s="1" t="n">
        <v>45812.63650462963</v>
      </c>
      <c r="C122" s="1" t="n">
        <v>46074</v>
      </c>
      <c r="D122" t="inlineStr">
        <is>
          <t>KALMAR LÄN</t>
        </is>
      </c>
      <c r="E122" t="inlineStr">
        <is>
          <t>BORGHOLM</t>
        </is>
      </c>
      <c r="F122" t="inlineStr">
        <is>
          <t>Sveaskog</t>
        </is>
      </c>
      <c r="G122" t="n">
        <v>4.5</v>
      </c>
      <c r="H122" t="n">
        <v>0</v>
      </c>
      <c r="I122" t="n">
        <v>0</v>
      </c>
      <c r="J122" t="n">
        <v>0</v>
      </c>
      <c r="K122" t="n">
        <v>0</v>
      </c>
      <c r="L122" t="n">
        <v>0</v>
      </c>
      <c r="M122" t="n">
        <v>0</v>
      </c>
      <c r="N122" t="n">
        <v>0</v>
      </c>
      <c r="O122" t="n">
        <v>0</v>
      </c>
      <c r="P122" t="n">
        <v>0</v>
      </c>
      <c r="Q122" t="n">
        <v>0</v>
      </c>
      <c r="R122" s="2" t="inlineStr"/>
    </row>
    <row r="123">
      <c r="A123" t="inlineStr">
        <is>
          <t>A 27366-2025</t>
        </is>
      </c>
      <c r="B123" s="1" t="n">
        <v>45812.64475694444</v>
      </c>
      <c r="C123" s="1" t="n">
        <v>46074</v>
      </c>
      <c r="D123" t="inlineStr">
        <is>
          <t>KALMAR LÄN</t>
        </is>
      </c>
      <c r="E123" t="inlineStr">
        <is>
          <t>BORGHOLM</t>
        </is>
      </c>
      <c r="F123" t="inlineStr">
        <is>
          <t>Sveaskog</t>
        </is>
      </c>
      <c r="G123" t="n">
        <v>2.5</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2026-02-21T11:05:32Z</dcterms:created>
  <dcterms:modified xmlns:dcterms="http://purl.org/dc/terms/" xmlns:xsi="http://www.w3.org/2001/XMLSchema-instance" xsi:type="dcterms:W3CDTF">2026-02-21T11:05:32Z</dcterms:modified>
</cp:coreProperties>
</file>