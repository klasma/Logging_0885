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46180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46180</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46180</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46180</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46180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46180</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46180</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46180</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46180</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46180</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46180</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46180</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46180</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46180</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46180</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46180</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46180</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28779-2025</t>
        </is>
      </c>
      <c r="B19" s="1" t="n">
        <v>45820.44920138889</v>
      </c>
      <c r="C19" s="1" t="n">
        <v>46180</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9253-2026</t>
        </is>
      </c>
      <c r="B20" s="1" t="n">
        <v>46070.51003472223</v>
      </c>
      <c r="C20" s="1" t="n">
        <v>46180</v>
      </c>
      <c r="D20" t="inlineStr">
        <is>
          <t>KALMAR LÄN</t>
        </is>
      </c>
      <c r="E20" t="inlineStr">
        <is>
          <t>BORGHOLM</t>
        </is>
      </c>
      <c r="G20" t="n">
        <v>1.1</v>
      </c>
      <c r="H20" t="n">
        <v>1</v>
      </c>
      <c r="I20" t="n">
        <v>1</v>
      </c>
      <c r="J20" t="n">
        <v>0</v>
      </c>
      <c r="K20" t="n">
        <v>0</v>
      </c>
      <c r="L20" t="n">
        <v>0</v>
      </c>
      <c r="M20" t="n">
        <v>0</v>
      </c>
      <c r="N20" t="n">
        <v>0</v>
      </c>
      <c r="O20" t="n">
        <v>0</v>
      </c>
      <c r="P20" t="n">
        <v>0</v>
      </c>
      <c r="Q20" t="n">
        <v>2</v>
      </c>
      <c r="R20" s="2" t="inlineStr">
        <is>
          <t>Murgröna
Gullviva</t>
        </is>
      </c>
      <c r="S20">
        <f>HYPERLINK("https://klasma.github.io/Logging_0885/artfynd/A 9253-2026 artfynd.xlsx", "A 9253-2026")</f>
        <v/>
      </c>
      <c r="T20">
        <f>HYPERLINK("https://klasma.github.io/Logging_0885/kartor/A 9253-2026 karta.png", "A 9253-2026")</f>
        <v/>
      </c>
      <c r="V20">
        <f>HYPERLINK("https://klasma.github.io/Logging_0885/klagomål/A 9253-2026 FSC-klagomål.docx", "A 9253-2026")</f>
        <v/>
      </c>
      <c r="W20">
        <f>HYPERLINK("https://klasma.github.io/Logging_0885/klagomålsmail/A 9253-2026 FSC-klagomål mail.docx", "A 9253-2026")</f>
        <v/>
      </c>
      <c r="X20">
        <f>HYPERLINK("https://klasma.github.io/Logging_0885/tillsyn/A 9253-2026 tillsynsbegäran.docx", "A 9253-2026")</f>
        <v/>
      </c>
      <c r="Y20">
        <f>HYPERLINK("https://klasma.github.io/Logging_0885/tillsynsmail/A 9253-2026 tillsynsbegäran mail.docx", "A 9253-2026")</f>
        <v/>
      </c>
    </row>
    <row r="21" ht="15" customHeight="1">
      <c r="A21" t="inlineStr">
        <is>
          <t>A 32174-2022</t>
        </is>
      </c>
      <c r="B21" s="1" t="n">
        <v>44781</v>
      </c>
      <c r="C21" s="1" t="n">
        <v>46180</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46180</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46180</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15285-2026</t>
        </is>
      </c>
      <c r="B24" s="1" t="n">
        <v>46105.6156712963</v>
      </c>
      <c r="C24" s="1" t="n">
        <v>46180</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34944-2022</t>
        </is>
      </c>
      <c r="B25" s="1" t="n">
        <v>44796</v>
      </c>
      <c r="C25" s="1" t="n">
        <v>46180</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46180</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46180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24322-2026</t>
        </is>
      </c>
      <c r="B28" s="1" t="n">
        <v>46169.48598379629</v>
      </c>
      <c r="C28" s="1" t="n">
        <v>46180</v>
      </c>
      <c r="D28" t="inlineStr">
        <is>
          <t>KALMAR LÄN</t>
        </is>
      </c>
      <c r="E28" t="inlineStr">
        <is>
          <t>BORGHOLM</t>
        </is>
      </c>
      <c r="F28" t="inlineStr">
        <is>
          <t>Sveaskog</t>
        </is>
      </c>
      <c r="G28" t="n">
        <v>5.5</v>
      </c>
      <c r="H28" t="n">
        <v>2</v>
      </c>
      <c r="I28" t="n">
        <v>2</v>
      </c>
      <c r="J28" t="n">
        <v>0</v>
      </c>
      <c r="K28" t="n">
        <v>0</v>
      </c>
      <c r="L28" t="n">
        <v>0</v>
      </c>
      <c r="M28" t="n">
        <v>0</v>
      </c>
      <c r="N28" t="n">
        <v>0</v>
      </c>
      <c r="O28" t="n">
        <v>0</v>
      </c>
      <c r="P28" t="n">
        <v>0</v>
      </c>
      <c r="Q28" t="n">
        <v>2</v>
      </c>
      <c r="R28" s="2" t="inlineStr">
        <is>
          <t>Purpurknipprot
Skogsknipprot</t>
        </is>
      </c>
      <c r="S28">
        <f>HYPERLINK("https://klasma.github.io/Logging_0885/artfynd/A 24322-2026 artfynd.xlsx", "A 24322-2026")</f>
        <v/>
      </c>
      <c r="T28">
        <f>HYPERLINK("https://klasma.github.io/Logging_0885/kartor/A 24322-2026 karta.png", "A 24322-2026")</f>
        <v/>
      </c>
      <c r="V28">
        <f>HYPERLINK("https://klasma.github.io/Logging_0885/klagomål/A 24322-2026 FSC-klagomål.docx", "A 24322-2026")</f>
        <v/>
      </c>
      <c r="W28">
        <f>HYPERLINK("https://klasma.github.io/Logging_0885/klagomålsmail/A 24322-2026 FSC-klagomål mail.docx", "A 24322-2026")</f>
        <v/>
      </c>
      <c r="X28">
        <f>HYPERLINK("https://klasma.github.io/Logging_0885/tillsyn/A 24322-2026 tillsynsbegäran.docx", "A 24322-2026")</f>
        <v/>
      </c>
      <c r="Y28">
        <f>HYPERLINK("https://klasma.github.io/Logging_0885/tillsynsmail/A 24322-2026 tillsynsbegäran mail.docx", "A 24322-2026")</f>
        <v/>
      </c>
    </row>
    <row r="29" ht="15" customHeight="1">
      <c r="A29" t="inlineStr">
        <is>
          <t>A 44008-2022</t>
        </is>
      </c>
      <c r="B29" s="1" t="n">
        <v>44838</v>
      </c>
      <c r="C29" s="1" t="n">
        <v>46180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46180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46180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46180</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46180</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46180</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3302-2026</t>
        </is>
      </c>
      <c r="B35" s="1" t="n">
        <v>46041</v>
      </c>
      <c r="C35" s="1" t="n">
        <v>46180</v>
      </c>
      <c r="D35" t="inlineStr">
        <is>
          <t>KALMAR LÄN</t>
        </is>
      </c>
      <c r="E35" t="inlineStr">
        <is>
          <t>BORGHOLM</t>
        </is>
      </c>
      <c r="G35" t="n">
        <v>3.9</v>
      </c>
      <c r="H35" t="n">
        <v>1</v>
      </c>
      <c r="I35" t="n">
        <v>0</v>
      </c>
      <c r="J35" t="n">
        <v>0</v>
      </c>
      <c r="K35" t="n">
        <v>0</v>
      </c>
      <c r="L35" t="n">
        <v>0</v>
      </c>
      <c r="M35" t="n">
        <v>0</v>
      </c>
      <c r="N35" t="n">
        <v>0</v>
      </c>
      <c r="O35" t="n">
        <v>0</v>
      </c>
      <c r="P35" t="n">
        <v>0</v>
      </c>
      <c r="Q35" t="n">
        <v>1</v>
      </c>
      <c r="R35" s="2" t="inlineStr">
        <is>
          <t>Blåsippa</t>
        </is>
      </c>
      <c r="S35">
        <f>HYPERLINK("https://klasma.github.io/Logging_0885/artfynd/A 3302-2026 artfynd.xlsx", "A 3302-2026")</f>
        <v/>
      </c>
      <c r="T35">
        <f>HYPERLINK("https://klasma.github.io/Logging_0885/kartor/A 3302-2026 karta.png", "A 3302-2026")</f>
        <v/>
      </c>
      <c r="V35">
        <f>HYPERLINK("https://klasma.github.io/Logging_0885/klagomål/A 3302-2026 FSC-klagomål.docx", "A 3302-2026")</f>
        <v/>
      </c>
      <c r="W35">
        <f>HYPERLINK("https://klasma.github.io/Logging_0885/klagomålsmail/A 3302-2026 FSC-klagomål mail.docx", "A 3302-2026")</f>
        <v/>
      </c>
      <c r="X35">
        <f>HYPERLINK("https://klasma.github.io/Logging_0885/tillsyn/A 3302-2026 tillsynsbegäran.docx", "A 3302-2026")</f>
        <v/>
      </c>
      <c r="Y35">
        <f>HYPERLINK("https://klasma.github.io/Logging_0885/tillsynsmail/A 3302-2026 tillsynsbegäran mail.docx", "A 3302-2026")</f>
        <v/>
      </c>
    </row>
    <row r="36" ht="15" customHeight="1">
      <c r="A36" t="inlineStr">
        <is>
          <t>A 28785-2025</t>
        </is>
      </c>
      <c r="B36" s="1" t="n">
        <v>45820.46159722222</v>
      </c>
      <c r="C36" s="1" t="n">
        <v>46180</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45693-2025</t>
        </is>
      </c>
      <c r="B37" s="1" t="n">
        <v>45923</v>
      </c>
      <c r="C37" s="1" t="n">
        <v>46180</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13558-2025</t>
        </is>
      </c>
      <c r="B38" s="1" t="n">
        <v>45736.54974537037</v>
      </c>
      <c r="C38" s="1" t="n">
        <v>46180</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46180</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43603-2024</t>
        </is>
      </c>
      <c r="B40" s="1" t="n">
        <v>45569.44700231482</v>
      </c>
      <c r="C40" s="1" t="n">
        <v>46180</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24704-2023</t>
        </is>
      </c>
      <c r="B41" s="1" t="n">
        <v>45084</v>
      </c>
      <c r="C41" s="1" t="n">
        <v>46180</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42761-2021</t>
        </is>
      </c>
      <c r="B42" s="1" t="n">
        <v>44428</v>
      </c>
      <c r="C42" s="1" t="n">
        <v>46180</v>
      </c>
      <c r="D42" t="inlineStr">
        <is>
          <t>KALMAR LÄN</t>
        </is>
      </c>
      <c r="E42" t="inlineStr">
        <is>
          <t>BORGHOLM</t>
        </is>
      </c>
      <c r="G42" t="n">
        <v>1.5</v>
      </c>
      <c r="H42" t="n">
        <v>0</v>
      </c>
      <c r="I42" t="n">
        <v>0</v>
      </c>
      <c r="J42" t="n">
        <v>0</v>
      </c>
      <c r="K42" t="n">
        <v>0</v>
      </c>
      <c r="L42" t="n">
        <v>0</v>
      </c>
      <c r="M42" t="n">
        <v>0</v>
      </c>
      <c r="N42" t="n">
        <v>0</v>
      </c>
      <c r="O42" t="n">
        <v>0</v>
      </c>
      <c r="P42" t="n">
        <v>0</v>
      </c>
      <c r="Q42" t="n">
        <v>0</v>
      </c>
      <c r="R42" s="2" t="inlineStr"/>
    </row>
    <row r="43" ht="15" customHeight="1">
      <c r="A43" t="inlineStr">
        <is>
          <t>A 32665-2022</t>
        </is>
      </c>
      <c r="B43" s="1" t="n">
        <v>44783</v>
      </c>
      <c r="C43" s="1" t="n">
        <v>46180</v>
      </c>
      <c r="D43" t="inlineStr">
        <is>
          <t>KALMAR LÄN</t>
        </is>
      </c>
      <c r="E43" t="inlineStr">
        <is>
          <t>BORGHOLM</t>
        </is>
      </c>
      <c r="F43" t="inlineStr">
        <is>
          <t>Sveaskog</t>
        </is>
      </c>
      <c r="G43" t="n">
        <v>4.2</v>
      </c>
      <c r="H43" t="n">
        <v>0</v>
      </c>
      <c r="I43" t="n">
        <v>0</v>
      </c>
      <c r="J43" t="n">
        <v>0</v>
      </c>
      <c r="K43" t="n">
        <v>0</v>
      </c>
      <c r="L43" t="n">
        <v>0</v>
      </c>
      <c r="M43" t="n">
        <v>0</v>
      </c>
      <c r="N43" t="n">
        <v>0</v>
      </c>
      <c r="O43" t="n">
        <v>0</v>
      </c>
      <c r="P43" t="n">
        <v>0</v>
      </c>
      <c r="Q43" t="n">
        <v>0</v>
      </c>
      <c r="R43" s="2" t="inlineStr"/>
    </row>
    <row r="44" ht="15" customHeight="1">
      <c r="A44" t="inlineStr">
        <is>
          <t>A 10348-2022</t>
        </is>
      </c>
      <c r="B44" s="1" t="n">
        <v>44623</v>
      </c>
      <c r="C44" s="1" t="n">
        <v>46180</v>
      </c>
      <c r="D44" t="inlineStr">
        <is>
          <t>KALMAR LÄN</t>
        </is>
      </c>
      <c r="E44" t="inlineStr">
        <is>
          <t>BORGHOLM</t>
        </is>
      </c>
      <c r="G44" t="n">
        <v>0.4</v>
      </c>
      <c r="H44" t="n">
        <v>0</v>
      </c>
      <c r="I44" t="n">
        <v>0</v>
      </c>
      <c r="J44" t="n">
        <v>0</v>
      </c>
      <c r="K44" t="n">
        <v>0</v>
      </c>
      <c r="L44" t="n">
        <v>0</v>
      </c>
      <c r="M44" t="n">
        <v>0</v>
      </c>
      <c r="N44" t="n">
        <v>0</v>
      </c>
      <c r="O44" t="n">
        <v>0</v>
      </c>
      <c r="P44" t="n">
        <v>0</v>
      </c>
      <c r="Q44" t="n">
        <v>0</v>
      </c>
      <c r="R44" s="2" t="inlineStr"/>
    </row>
    <row r="45" ht="15" customHeight="1">
      <c r="A45" t="inlineStr">
        <is>
          <t>A 28345-2022</t>
        </is>
      </c>
      <c r="B45" s="1" t="n">
        <v>44747</v>
      </c>
      <c r="C45" s="1" t="n">
        <v>46180</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44681-2022</t>
        </is>
      </c>
      <c r="B46" s="1" t="n">
        <v>44840</v>
      </c>
      <c r="C46" s="1" t="n">
        <v>46180</v>
      </c>
      <c r="D46" t="inlineStr">
        <is>
          <t>KALMAR LÄN</t>
        </is>
      </c>
      <c r="E46" t="inlineStr">
        <is>
          <t>BORGHOLM</t>
        </is>
      </c>
      <c r="G46" t="n">
        <v>0.5</v>
      </c>
      <c r="H46" t="n">
        <v>0</v>
      </c>
      <c r="I46" t="n">
        <v>0</v>
      </c>
      <c r="J46" t="n">
        <v>0</v>
      </c>
      <c r="K46" t="n">
        <v>0</v>
      </c>
      <c r="L46" t="n">
        <v>0</v>
      </c>
      <c r="M46" t="n">
        <v>0</v>
      </c>
      <c r="N46" t="n">
        <v>0</v>
      </c>
      <c r="O46" t="n">
        <v>0</v>
      </c>
      <c r="P46" t="n">
        <v>0</v>
      </c>
      <c r="Q46" t="n">
        <v>0</v>
      </c>
      <c r="R46" s="2" t="inlineStr"/>
    </row>
    <row r="47" ht="15" customHeight="1">
      <c r="A47" t="inlineStr">
        <is>
          <t>A 32608-2022</t>
        </is>
      </c>
      <c r="B47" s="1" t="n">
        <v>44783</v>
      </c>
      <c r="C47" s="1" t="n">
        <v>46180</v>
      </c>
      <c r="D47" t="inlineStr">
        <is>
          <t>KALMAR LÄN</t>
        </is>
      </c>
      <c r="E47" t="inlineStr">
        <is>
          <t>BORGHOLM</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61828-2021</t>
        </is>
      </c>
      <c r="B48" s="1" t="n">
        <v>44501</v>
      </c>
      <c r="C48" s="1" t="n">
        <v>46180</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56188-2021</t>
        </is>
      </c>
      <c r="B49" s="1" t="n">
        <v>44477.83525462963</v>
      </c>
      <c r="C49" s="1" t="n">
        <v>46180</v>
      </c>
      <c r="D49" t="inlineStr">
        <is>
          <t>KALMAR LÄN</t>
        </is>
      </c>
      <c r="E49" t="inlineStr">
        <is>
          <t>BORGHOLM</t>
        </is>
      </c>
      <c r="G49" t="n">
        <v>1.8</v>
      </c>
      <c r="H49" t="n">
        <v>0</v>
      </c>
      <c r="I49" t="n">
        <v>0</v>
      </c>
      <c r="J49" t="n">
        <v>0</v>
      </c>
      <c r="K49" t="n">
        <v>0</v>
      </c>
      <c r="L49" t="n">
        <v>0</v>
      </c>
      <c r="M49" t="n">
        <v>0</v>
      </c>
      <c r="N49" t="n">
        <v>0</v>
      </c>
      <c r="O49" t="n">
        <v>0</v>
      </c>
      <c r="P49" t="n">
        <v>0</v>
      </c>
      <c r="Q49" t="n">
        <v>0</v>
      </c>
      <c r="R49" s="2" t="inlineStr"/>
    </row>
    <row r="50" ht="15" customHeight="1">
      <c r="A50" t="inlineStr">
        <is>
          <t>A 56983-2021</t>
        </is>
      </c>
      <c r="B50" s="1" t="n">
        <v>44482</v>
      </c>
      <c r="C50" s="1" t="n">
        <v>46180</v>
      </c>
      <c r="D50" t="inlineStr">
        <is>
          <t>KALMAR LÄN</t>
        </is>
      </c>
      <c r="E50" t="inlineStr">
        <is>
          <t>BORGHOLM</t>
        </is>
      </c>
      <c r="G50" t="n">
        <v>1.2</v>
      </c>
      <c r="H50" t="n">
        <v>0</v>
      </c>
      <c r="I50" t="n">
        <v>0</v>
      </c>
      <c r="J50" t="n">
        <v>0</v>
      </c>
      <c r="K50" t="n">
        <v>0</v>
      </c>
      <c r="L50" t="n">
        <v>0</v>
      </c>
      <c r="M50" t="n">
        <v>0</v>
      </c>
      <c r="N50" t="n">
        <v>0</v>
      </c>
      <c r="O50" t="n">
        <v>0</v>
      </c>
      <c r="P50" t="n">
        <v>0</v>
      </c>
      <c r="Q50" t="n">
        <v>0</v>
      </c>
      <c r="R50" s="2" t="inlineStr"/>
    </row>
    <row r="51" ht="15" customHeight="1">
      <c r="A51" t="inlineStr">
        <is>
          <t>A 27437-2022</t>
        </is>
      </c>
      <c r="B51" s="1" t="n">
        <v>44742.55567129629</v>
      </c>
      <c r="C51" s="1" t="n">
        <v>46180</v>
      </c>
      <c r="D51" t="inlineStr">
        <is>
          <t>KALMAR LÄN</t>
        </is>
      </c>
      <c r="E51" t="inlineStr">
        <is>
          <t>BORGHOLM</t>
        </is>
      </c>
      <c r="G51" t="n">
        <v>0.6</v>
      </c>
      <c r="H51" t="n">
        <v>0</v>
      </c>
      <c r="I51" t="n">
        <v>0</v>
      </c>
      <c r="J51" t="n">
        <v>0</v>
      </c>
      <c r="K51" t="n">
        <v>0</v>
      </c>
      <c r="L51" t="n">
        <v>0</v>
      </c>
      <c r="M51" t="n">
        <v>0</v>
      </c>
      <c r="N51" t="n">
        <v>0</v>
      </c>
      <c r="O51" t="n">
        <v>0</v>
      </c>
      <c r="P51" t="n">
        <v>0</v>
      </c>
      <c r="Q51" t="n">
        <v>0</v>
      </c>
      <c r="R51" s="2" t="inlineStr"/>
    </row>
    <row r="52" ht="15" customHeight="1">
      <c r="A52" t="inlineStr">
        <is>
          <t>A 62631-2021</t>
        </is>
      </c>
      <c r="B52" s="1" t="n">
        <v>44503</v>
      </c>
      <c r="C52" s="1" t="n">
        <v>46180</v>
      </c>
      <c r="D52" t="inlineStr">
        <is>
          <t>KALMAR LÄN</t>
        </is>
      </c>
      <c r="E52" t="inlineStr">
        <is>
          <t>BORGHOLM</t>
        </is>
      </c>
      <c r="G52" t="n">
        <v>1</v>
      </c>
      <c r="H52" t="n">
        <v>0</v>
      </c>
      <c r="I52" t="n">
        <v>0</v>
      </c>
      <c r="J52" t="n">
        <v>0</v>
      </c>
      <c r="K52" t="n">
        <v>0</v>
      </c>
      <c r="L52" t="n">
        <v>0</v>
      </c>
      <c r="M52" t="n">
        <v>0</v>
      </c>
      <c r="N52" t="n">
        <v>0</v>
      </c>
      <c r="O52" t="n">
        <v>0</v>
      </c>
      <c r="P52" t="n">
        <v>0</v>
      </c>
      <c r="Q52" t="n">
        <v>0</v>
      </c>
      <c r="R52" s="2" t="inlineStr"/>
    </row>
    <row r="53" ht="15" customHeight="1">
      <c r="A53" t="inlineStr">
        <is>
          <t>A 32180-2022</t>
        </is>
      </c>
      <c r="B53" s="1" t="n">
        <v>44781</v>
      </c>
      <c r="C53" s="1" t="n">
        <v>46180</v>
      </c>
      <c r="D53" t="inlineStr">
        <is>
          <t>KALMAR LÄN</t>
        </is>
      </c>
      <c r="E53" t="inlineStr">
        <is>
          <t>BORGHOLM</t>
        </is>
      </c>
      <c r="F53" t="inlineStr">
        <is>
          <t>Sveaskog</t>
        </is>
      </c>
      <c r="G53" t="n">
        <v>0.9</v>
      </c>
      <c r="H53" t="n">
        <v>0</v>
      </c>
      <c r="I53" t="n">
        <v>0</v>
      </c>
      <c r="J53" t="n">
        <v>0</v>
      </c>
      <c r="K53" t="n">
        <v>0</v>
      </c>
      <c r="L53" t="n">
        <v>0</v>
      </c>
      <c r="M53" t="n">
        <v>0</v>
      </c>
      <c r="N53" t="n">
        <v>0</v>
      </c>
      <c r="O53" t="n">
        <v>0</v>
      </c>
      <c r="P53" t="n">
        <v>0</v>
      </c>
      <c r="Q53" t="n">
        <v>0</v>
      </c>
      <c r="R53" s="2" t="inlineStr"/>
    </row>
    <row r="54" ht="15" customHeight="1">
      <c r="A54" t="inlineStr">
        <is>
          <t>A 42785-2021</t>
        </is>
      </c>
      <c r="B54" s="1" t="n">
        <v>44428</v>
      </c>
      <c r="C54" s="1" t="n">
        <v>46180</v>
      </c>
      <c r="D54" t="inlineStr">
        <is>
          <t>KALMAR LÄN</t>
        </is>
      </c>
      <c r="E54" t="inlineStr">
        <is>
          <t>BORGHOLM</t>
        </is>
      </c>
      <c r="G54" t="n">
        <v>2.8</v>
      </c>
      <c r="H54" t="n">
        <v>0</v>
      </c>
      <c r="I54" t="n">
        <v>0</v>
      </c>
      <c r="J54" t="n">
        <v>0</v>
      </c>
      <c r="K54" t="n">
        <v>0</v>
      </c>
      <c r="L54" t="n">
        <v>0</v>
      </c>
      <c r="M54" t="n">
        <v>0</v>
      </c>
      <c r="N54" t="n">
        <v>0</v>
      </c>
      <c r="O54" t="n">
        <v>0</v>
      </c>
      <c r="P54" t="n">
        <v>0</v>
      </c>
      <c r="Q54" t="n">
        <v>0</v>
      </c>
      <c r="R54" s="2" t="inlineStr"/>
    </row>
    <row r="55" ht="15" customHeight="1">
      <c r="A55" t="inlineStr">
        <is>
          <t>A 31699-2022</t>
        </is>
      </c>
      <c r="B55" s="1" t="n">
        <v>44776</v>
      </c>
      <c r="C55" s="1" t="n">
        <v>46180</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26160-2024</t>
        </is>
      </c>
      <c r="B56" s="1" t="n">
        <v>45468</v>
      </c>
      <c r="C56" s="1" t="n">
        <v>46180</v>
      </c>
      <c r="D56" t="inlineStr">
        <is>
          <t>KALMAR LÄN</t>
        </is>
      </c>
      <c r="E56" t="inlineStr">
        <is>
          <t>BORGHOLM</t>
        </is>
      </c>
      <c r="G56" t="n">
        <v>0.4</v>
      </c>
      <c r="H56" t="n">
        <v>0</v>
      </c>
      <c r="I56" t="n">
        <v>0</v>
      </c>
      <c r="J56" t="n">
        <v>0</v>
      </c>
      <c r="K56" t="n">
        <v>0</v>
      </c>
      <c r="L56" t="n">
        <v>0</v>
      </c>
      <c r="M56" t="n">
        <v>0</v>
      </c>
      <c r="N56" t="n">
        <v>0</v>
      </c>
      <c r="O56" t="n">
        <v>0</v>
      </c>
      <c r="P56" t="n">
        <v>0</v>
      </c>
      <c r="Q56" t="n">
        <v>0</v>
      </c>
      <c r="R56" s="2" t="inlineStr"/>
      <c r="T56">
        <f>HYPERLINK("https://klasma.github.io/Logging_0885/kartor/A 26160-2024 karta.png", "A 26160-2024")</f>
        <v/>
      </c>
      <c r="V56">
        <f>HYPERLINK("https://klasma.github.io/Logging_0885/klagomål/A 26160-2024 FSC-klagomål.docx", "A 26160-2024")</f>
        <v/>
      </c>
      <c r="W56">
        <f>HYPERLINK("https://klasma.github.io/Logging_0885/klagomålsmail/A 26160-2024 FSC-klagomål mail.docx", "A 26160-2024")</f>
        <v/>
      </c>
      <c r="X56">
        <f>HYPERLINK("https://klasma.github.io/Logging_0885/tillsyn/A 26160-2024 tillsynsbegäran.docx", "A 26160-2024")</f>
        <v/>
      </c>
      <c r="Y56">
        <f>HYPERLINK("https://klasma.github.io/Logging_0885/tillsynsmail/A 26160-2024 tillsynsbegäran mail.docx", "A 26160-2024")</f>
        <v/>
      </c>
    </row>
    <row r="57" ht="15" customHeight="1">
      <c r="A57" t="inlineStr">
        <is>
          <t>A 20878-2024</t>
        </is>
      </c>
      <c r="B57" s="1" t="n">
        <v>45439.44748842593</v>
      </c>
      <c r="C57" s="1" t="n">
        <v>46180</v>
      </c>
      <c r="D57" t="inlineStr">
        <is>
          <t>KALMAR LÄN</t>
        </is>
      </c>
      <c r="E57" t="inlineStr">
        <is>
          <t>BORGHOLM</t>
        </is>
      </c>
      <c r="G57" t="n">
        <v>1.9</v>
      </c>
      <c r="H57" t="n">
        <v>0</v>
      </c>
      <c r="I57" t="n">
        <v>0</v>
      </c>
      <c r="J57" t="n">
        <v>0</v>
      </c>
      <c r="K57" t="n">
        <v>0</v>
      </c>
      <c r="L57" t="n">
        <v>0</v>
      </c>
      <c r="M57" t="n">
        <v>0</v>
      </c>
      <c r="N57" t="n">
        <v>0</v>
      </c>
      <c r="O57" t="n">
        <v>0</v>
      </c>
      <c r="P57" t="n">
        <v>0</v>
      </c>
      <c r="Q57" t="n">
        <v>0</v>
      </c>
      <c r="R57" s="2" t="inlineStr"/>
    </row>
    <row r="58" ht="15" customHeight="1">
      <c r="A58" t="inlineStr">
        <is>
          <t>A 40339-2023</t>
        </is>
      </c>
      <c r="B58" s="1" t="n">
        <v>45169.62733796296</v>
      </c>
      <c r="C58" s="1" t="n">
        <v>46180</v>
      </c>
      <c r="D58" t="inlineStr">
        <is>
          <t>KALMAR LÄN</t>
        </is>
      </c>
      <c r="E58" t="inlineStr">
        <is>
          <t>BORGHOLM</t>
        </is>
      </c>
      <c r="G58" t="n">
        <v>3.8</v>
      </c>
      <c r="H58" t="n">
        <v>0</v>
      </c>
      <c r="I58" t="n">
        <v>0</v>
      </c>
      <c r="J58" t="n">
        <v>0</v>
      </c>
      <c r="K58" t="n">
        <v>0</v>
      </c>
      <c r="L58" t="n">
        <v>0</v>
      </c>
      <c r="M58" t="n">
        <v>0</v>
      </c>
      <c r="N58" t="n">
        <v>0</v>
      </c>
      <c r="O58" t="n">
        <v>0</v>
      </c>
      <c r="P58" t="n">
        <v>0</v>
      </c>
      <c r="Q58" t="n">
        <v>0</v>
      </c>
      <c r="R58" s="2" t="inlineStr"/>
    </row>
    <row r="59" ht="15" customHeight="1">
      <c r="A59" t="inlineStr">
        <is>
          <t>A 24166-2022</t>
        </is>
      </c>
      <c r="B59" s="1" t="n">
        <v>44725</v>
      </c>
      <c r="C59" s="1" t="n">
        <v>46180</v>
      </c>
      <c r="D59" t="inlineStr">
        <is>
          <t>KALMAR LÄN</t>
        </is>
      </c>
      <c r="E59" t="inlineStr">
        <is>
          <t>BORGHOLM</t>
        </is>
      </c>
      <c r="G59" t="n">
        <v>10.7</v>
      </c>
      <c r="H59" t="n">
        <v>0</v>
      </c>
      <c r="I59" t="n">
        <v>0</v>
      </c>
      <c r="J59" t="n">
        <v>0</v>
      </c>
      <c r="K59" t="n">
        <v>0</v>
      </c>
      <c r="L59" t="n">
        <v>0</v>
      </c>
      <c r="M59" t="n">
        <v>0</v>
      </c>
      <c r="N59" t="n">
        <v>0</v>
      </c>
      <c r="O59" t="n">
        <v>0</v>
      </c>
      <c r="P59" t="n">
        <v>0</v>
      </c>
      <c r="Q59" t="n">
        <v>0</v>
      </c>
      <c r="R59" s="2" t="inlineStr"/>
    </row>
    <row r="60" ht="15" customHeight="1">
      <c r="A60" t="inlineStr">
        <is>
          <t>A 26160-2025</t>
        </is>
      </c>
      <c r="B60" s="1" t="n">
        <v>45805.4490162037</v>
      </c>
      <c r="C60" s="1" t="n">
        <v>46180</v>
      </c>
      <c r="D60" t="inlineStr">
        <is>
          <t>KALMAR LÄN</t>
        </is>
      </c>
      <c r="E60" t="inlineStr">
        <is>
          <t>BORGHOLM</t>
        </is>
      </c>
      <c r="G60" t="n">
        <v>3.7</v>
      </c>
      <c r="H60" t="n">
        <v>0</v>
      </c>
      <c r="I60" t="n">
        <v>0</v>
      </c>
      <c r="J60" t="n">
        <v>0</v>
      </c>
      <c r="K60" t="n">
        <v>0</v>
      </c>
      <c r="L60" t="n">
        <v>0</v>
      </c>
      <c r="M60" t="n">
        <v>0</v>
      </c>
      <c r="N60" t="n">
        <v>0</v>
      </c>
      <c r="O60" t="n">
        <v>0</v>
      </c>
      <c r="P60" t="n">
        <v>0</v>
      </c>
      <c r="Q60" t="n">
        <v>0</v>
      </c>
      <c r="R60" s="2" t="inlineStr"/>
    </row>
    <row r="61" ht="15" customHeight="1">
      <c r="A61" t="inlineStr">
        <is>
          <t>A 26190-2025</t>
        </is>
      </c>
      <c r="B61" s="1" t="n">
        <v>45805.48349537037</v>
      </c>
      <c r="C61" s="1" t="n">
        <v>46180</v>
      </c>
      <c r="D61" t="inlineStr">
        <is>
          <t>KALMAR LÄN</t>
        </is>
      </c>
      <c r="E61" t="inlineStr">
        <is>
          <t>BORGHOLM</t>
        </is>
      </c>
      <c r="G61" t="n">
        <v>3.2</v>
      </c>
      <c r="H61" t="n">
        <v>0</v>
      </c>
      <c r="I61" t="n">
        <v>0</v>
      </c>
      <c r="J61" t="n">
        <v>0</v>
      </c>
      <c r="K61" t="n">
        <v>0</v>
      </c>
      <c r="L61" t="n">
        <v>0</v>
      </c>
      <c r="M61" t="n">
        <v>0</v>
      </c>
      <c r="N61" t="n">
        <v>0</v>
      </c>
      <c r="O61" t="n">
        <v>0</v>
      </c>
      <c r="P61" t="n">
        <v>0</v>
      </c>
      <c r="Q61" t="n">
        <v>0</v>
      </c>
      <c r="R61" s="2" t="inlineStr"/>
    </row>
    <row r="62" ht="15" customHeight="1">
      <c r="A62" t="inlineStr">
        <is>
          <t>A 4159-2024</t>
        </is>
      </c>
      <c r="B62" s="1" t="n">
        <v>45323</v>
      </c>
      <c r="C62" s="1" t="n">
        <v>46180</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41831-2025</t>
        </is>
      </c>
      <c r="B63" s="1" t="n">
        <v>45902.67887731481</v>
      </c>
      <c r="C63" s="1" t="n">
        <v>46180</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42232-2025</t>
        </is>
      </c>
      <c r="B64" s="1" t="n">
        <v>45904.55591435185</v>
      </c>
      <c r="C64" s="1" t="n">
        <v>46180</v>
      </c>
      <c r="D64" t="inlineStr">
        <is>
          <t>KALMAR LÄN</t>
        </is>
      </c>
      <c r="E64" t="inlineStr">
        <is>
          <t>BORGHOLM</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41950-2025</t>
        </is>
      </c>
      <c r="B65" s="1" t="n">
        <v>45903.45767361111</v>
      </c>
      <c r="C65" s="1" t="n">
        <v>46180</v>
      </c>
      <c r="D65" t="inlineStr">
        <is>
          <t>KALMAR LÄN</t>
        </is>
      </c>
      <c r="E65" t="inlineStr">
        <is>
          <t>BORGHOLM</t>
        </is>
      </c>
      <c r="G65" t="n">
        <v>1.8</v>
      </c>
      <c r="H65" t="n">
        <v>0</v>
      </c>
      <c r="I65" t="n">
        <v>0</v>
      </c>
      <c r="J65" t="n">
        <v>0</v>
      </c>
      <c r="K65" t="n">
        <v>0</v>
      </c>
      <c r="L65" t="n">
        <v>0</v>
      </c>
      <c r="M65" t="n">
        <v>0</v>
      </c>
      <c r="N65" t="n">
        <v>0</v>
      </c>
      <c r="O65" t="n">
        <v>0</v>
      </c>
      <c r="P65" t="n">
        <v>0</v>
      </c>
      <c r="Q65" t="n">
        <v>0</v>
      </c>
      <c r="R65" s="2" t="inlineStr"/>
    </row>
    <row r="66" ht="15" customHeight="1">
      <c r="A66" t="inlineStr">
        <is>
          <t>A 27357-2025</t>
        </is>
      </c>
      <c r="B66" s="1" t="n">
        <v>45812.63650462963</v>
      </c>
      <c r="C66" s="1" t="n">
        <v>46180</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27366-2025</t>
        </is>
      </c>
      <c r="B67" s="1" t="n">
        <v>45812.64475694444</v>
      </c>
      <c r="C67" s="1" t="n">
        <v>46180</v>
      </c>
      <c r="D67" t="inlineStr">
        <is>
          <t>KALMAR LÄN</t>
        </is>
      </c>
      <c r="E67" t="inlineStr">
        <is>
          <t>BORGHOLM</t>
        </is>
      </c>
      <c r="F67" t="inlineStr">
        <is>
          <t>Sveaskog</t>
        </is>
      </c>
      <c r="G67" t="n">
        <v>2.5</v>
      </c>
      <c r="H67" t="n">
        <v>0</v>
      </c>
      <c r="I67" t="n">
        <v>0</v>
      </c>
      <c r="J67" t="n">
        <v>0</v>
      </c>
      <c r="K67" t="n">
        <v>0</v>
      </c>
      <c r="L67" t="n">
        <v>0</v>
      </c>
      <c r="M67" t="n">
        <v>0</v>
      </c>
      <c r="N67" t="n">
        <v>0</v>
      </c>
      <c r="O67" t="n">
        <v>0</v>
      </c>
      <c r="P67" t="n">
        <v>0</v>
      </c>
      <c r="Q67" t="n">
        <v>0</v>
      </c>
      <c r="R67" s="2" t="inlineStr"/>
    </row>
    <row r="68" ht="15" customHeight="1">
      <c r="A68" t="inlineStr">
        <is>
          <t>A 28782-2025</t>
        </is>
      </c>
      <c r="B68" s="1" t="n">
        <v>45820.45572916666</v>
      </c>
      <c r="C68" s="1" t="n">
        <v>46180</v>
      </c>
      <c r="D68" t="inlineStr">
        <is>
          <t>KALMAR LÄN</t>
        </is>
      </c>
      <c r="E68" t="inlineStr">
        <is>
          <t>BORGHOLM</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53050-2021</t>
        </is>
      </c>
      <c r="B69" s="1" t="n">
        <v>44467</v>
      </c>
      <c r="C69" s="1" t="n">
        <v>46180</v>
      </c>
      <c r="D69" t="inlineStr">
        <is>
          <t>KALMAR LÄN</t>
        </is>
      </c>
      <c r="E69" t="inlineStr">
        <is>
          <t>BORGHOLM</t>
        </is>
      </c>
      <c r="G69" t="n">
        <v>3.6</v>
      </c>
      <c r="H69" t="n">
        <v>0</v>
      </c>
      <c r="I69" t="n">
        <v>0</v>
      </c>
      <c r="J69" t="n">
        <v>0</v>
      </c>
      <c r="K69" t="n">
        <v>0</v>
      </c>
      <c r="L69" t="n">
        <v>0</v>
      </c>
      <c r="M69" t="n">
        <v>0</v>
      </c>
      <c r="N69" t="n">
        <v>0</v>
      </c>
      <c r="O69" t="n">
        <v>0</v>
      </c>
      <c r="P69" t="n">
        <v>0</v>
      </c>
      <c r="Q69" t="n">
        <v>0</v>
      </c>
      <c r="R69" s="2" t="inlineStr"/>
    </row>
    <row r="70" ht="15" customHeight="1">
      <c r="A70" t="inlineStr">
        <is>
          <t>A 43542-2025</t>
        </is>
      </c>
      <c r="B70" s="1" t="n">
        <v>45911.61123842592</v>
      </c>
      <c r="C70" s="1" t="n">
        <v>46180</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45734-2025</t>
        </is>
      </c>
      <c r="B71" s="1" t="n">
        <v>45923.46512731481</v>
      </c>
      <c r="C71" s="1" t="n">
        <v>46180</v>
      </c>
      <c r="D71" t="inlineStr">
        <is>
          <t>KALMAR LÄN</t>
        </is>
      </c>
      <c r="E71" t="inlineStr">
        <is>
          <t>BORGHOLM</t>
        </is>
      </c>
      <c r="G71" t="n">
        <v>5</v>
      </c>
      <c r="H71" t="n">
        <v>0</v>
      </c>
      <c r="I71" t="n">
        <v>0</v>
      </c>
      <c r="J71" t="n">
        <v>0</v>
      </c>
      <c r="K71" t="n">
        <v>0</v>
      </c>
      <c r="L71" t="n">
        <v>0</v>
      </c>
      <c r="M71" t="n">
        <v>0</v>
      </c>
      <c r="N71" t="n">
        <v>0</v>
      </c>
      <c r="O71" t="n">
        <v>0</v>
      </c>
      <c r="P71" t="n">
        <v>0</v>
      </c>
      <c r="Q71" t="n">
        <v>0</v>
      </c>
      <c r="R71" s="2" t="inlineStr"/>
    </row>
    <row r="72" ht="15" customHeight="1">
      <c r="A72" t="inlineStr">
        <is>
          <t>A 45869-2025</t>
        </is>
      </c>
      <c r="B72" s="1" t="n">
        <v>45923.65313657407</v>
      </c>
      <c r="C72" s="1" t="n">
        <v>46180</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31720-2022</t>
        </is>
      </c>
      <c r="B73" s="1" t="n">
        <v>44776</v>
      </c>
      <c r="C73" s="1" t="n">
        <v>46180</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29656-2023</t>
        </is>
      </c>
      <c r="B74" s="1" t="n">
        <v>45107</v>
      </c>
      <c r="C74" s="1" t="n">
        <v>46180</v>
      </c>
      <c r="D74" t="inlineStr">
        <is>
          <t>KALMAR LÄN</t>
        </is>
      </c>
      <c r="E74" t="inlineStr">
        <is>
          <t>BORGHOLM</t>
        </is>
      </c>
      <c r="G74" t="n">
        <v>4.1</v>
      </c>
      <c r="H74" t="n">
        <v>0</v>
      </c>
      <c r="I74" t="n">
        <v>0</v>
      </c>
      <c r="J74" t="n">
        <v>0</v>
      </c>
      <c r="K74" t="n">
        <v>0</v>
      </c>
      <c r="L74" t="n">
        <v>0</v>
      </c>
      <c r="M74" t="n">
        <v>0</v>
      </c>
      <c r="N74" t="n">
        <v>0</v>
      </c>
      <c r="O74" t="n">
        <v>0</v>
      </c>
      <c r="P74" t="n">
        <v>0</v>
      </c>
      <c r="Q74" t="n">
        <v>0</v>
      </c>
      <c r="R74" s="2" t="inlineStr"/>
    </row>
    <row r="75" ht="15" customHeight="1">
      <c r="A75" t="inlineStr">
        <is>
          <t>A 46845-2025</t>
        </is>
      </c>
      <c r="B75" s="1" t="n">
        <v>45928</v>
      </c>
      <c r="C75" s="1" t="n">
        <v>46180</v>
      </c>
      <c r="D75" t="inlineStr">
        <is>
          <t>KALMAR LÄN</t>
        </is>
      </c>
      <c r="E75" t="inlineStr">
        <is>
          <t>BORGHOLM</t>
        </is>
      </c>
      <c r="G75" t="n">
        <v>2.7</v>
      </c>
      <c r="H75" t="n">
        <v>0</v>
      </c>
      <c r="I75" t="n">
        <v>0</v>
      </c>
      <c r="J75" t="n">
        <v>0</v>
      </c>
      <c r="K75" t="n">
        <v>0</v>
      </c>
      <c r="L75" t="n">
        <v>0</v>
      </c>
      <c r="M75" t="n">
        <v>0</v>
      </c>
      <c r="N75" t="n">
        <v>0</v>
      </c>
      <c r="O75" t="n">
        <v>0</v>
      </c>
      <c r="P75" t="n">
        <v>0</v>
      </c>
      <c r="Q75" t="n">
        <v>0</v>
      </c>
      <c r="R75" s="2" t="inlineStr"/>
    </row>
    <row r="76" ht="15" customHeight="1">
      <c r="A76" t="inlineStr">
        <is>
          <t>A 4165-2023</t>
        </is>
      </c>
      <c r="B76" s="1" t="n">
        <v>44953</v>
      </c>
      <c r="C76" s="1" t="n">
        <v>46180</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7481-2026</t>
        </is>
      </c>
      <c r="B77" s="1" t="n">
        <v>46059.51359953704</v>
      </c>
      <c r="C77" s="1" t="n">
        <v>46180</v>
      </c>
      <c r="D77" t="inlineStr">
        <is>
          <t>KALMAR LÄN</t>
        </is>
      </c>
      <c r="E77" t="inlineStr">
        <is>
          <t>BORGHOLM</t>
        </is>
      </c>
      <c r="G77" t="n">
        <v>1.9</v>
      </c>
      <c r="H77" t="n">
        <v>0</v>
      </c>
      <c r="I77" t="n">
        <v>0</v>
      </c>
      <c r="J77" t="n">
        <v>0</v>
      </c>
      <c r="K77" t="n">
        <v>0</v>
      </c>
      <c r="L77" t="n">
        <v>0</v>
      </c>
      <c r="M77" t="n">
        <v>0</v>
      </c>
      <c r="N77" t="n">
        <v>0</v>
      </c>
      <c r="O77" t="n">
        <v>0</v>
      </c>
      <c r="P77" t="n">
        <v>0</v>
      </c>
      <c r="Q77" t="n">
        <v>0</v>
      </c>
      <c r="R77" s="2" t="inlineStr"/>
    </row>
    <row r="78" ht="15" customHeight="1">
      <c r="A78" t="inlineStr">
        <is>
          <t>A 36269-2025</t>
        </is>
      </c>
      <c r="B78" s="1" t="n">
        <v>45867.61736111111</v>
      </c>
      <c r="C78" s="1" t="n">
        <v>46180</v>
      </c>
      <c r="D78" t="inlineStr">
        <is>
          <t>KALMAR LÄN</t>
        </is>
      </c>
      <c r="E78" t="inlineStr">
        <is>
          <t>BORGHOLM</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9104-2026</t>
        </is>
      </c>
      <c r="B79" s="1" t="n">
        <v>46069</v>
      </c>
      <c r="C79" s="1" t="n">
        <v>46180</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9259-2026</t>
        </is>
      </c>
      <c r="B80" s="1" t="n">
        <v>46070.51917824074</v>
      </c>
      <c r="C80" s="1" t="n">
        <v>46180</v>
      </c>
      <c r="D80" t="inlineStr">
        <is>
          <t>KALMAR LÄN</t>
        </is>
      </c>
      <c r="E80" t="inlineStr">
        <is>
          <t>BORGHOLM</t>
        </is>
      </c>
      <c r="G80" t="n">
        <v>1.6</v>
      </c>
      <c r="H80" t="n">
        <v>0</v>
      </c>
      <c r="I80" t="n">
        <v>0</v>
      </c>
      <c r="J80" t="n">
        <v>0</v>
      </c>
      <c r="K80" t="n">
        <v>0</v>
      </c>
      <c r="L80" t="n">
        <v>0</v>
      </c>
      <c r="M80" t="n">
        <v>0</v>
      </c>
      <c r="N80" t="n">
        <v>0</v>
      </c>
      <c r="O80" t="n">
        <v>0</v>
      </c>
      <c r="P80" t="n">
        <v>0</v>
      </c>
      <c r="Q80" t="n">
        <v>0</v>
      </c>
      <c r="R80" s="2" t="inlineStr"/>
    </row>
    <row r="81" ht="15" customHeight="1">
      <c r="A81" t="inlineStr">
        <is>
          <t>A 13548-2025</t>
        </is>
      </c>
      <c r="B81" s="1" t="n">
        <v>45736.53827546296</v>
      </c>
      <c r="C81" s="1" t="n">
        <v>46180</v>
      </c>
      <c r="D81" t="inlineStr">
        <is>
          <t>KALMAR LÄN</t>
        </is>
      </c>
      <c r="E81" t="inlineStr">
        <is>
          <t>BORGHOLM</t>
        </is>
      </c>
      <c r="G81" t="n">
        <v>1</v>
      </c>
      <c r="H81" t="n">
        <v>0</v>
      </c>
      <c r="I81" t="n">
        <v>0</v>
      </c>
      <c r="J81" t="n">
        <v>0</v>
      </c>
      <c r="K81" t="n">
        <v>0</v>
      </c>
      <c r="L81" t="n">
        <v>0</v>
      </c>
      <c r="M81" t="n">
        <v>0</v>
      </c>
      <c r="N81" t="n">
        <v>0</v>
      </c>
      <c r="O81" t="n">
        <v>0</v>
      </c>
      <c r="P81" t="n">
        <v>0</v>
      </c>
      <c r="Q81" t="n">
        <v>0</v>
      </c>
      <c r="R81" s="2" t="inlineStr"/>
    </row>
    <row r="82" ht="15" customHeight="1">
      <c r="A82" t="inlineStr">
        <is>
          <t>A 9905-2026</t>
        </is>
      </c>
      <c r="B82" s="1" t="n">
        <v>46073.4108912037</v>
      </c>
      <c r="C82" s="1" t="n">
        <v>46180</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46180</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46180</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46180</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46180</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60141-2025</t>
        </is>
      </c>
      <c r="B87" s="1" t="n">
        <v>45994.36873842592</v>
      </c>
      <c r="C87" s="1" t="n">
        <v>46180</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44547-2021</t>
        </is>
      </c>
      <c r="B88" s="1" t="n">
        <v>44435</v>
      </c>
      <c r="C88" s="1" t="n">
        <v>46180</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46180</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63075-2023</t>
        </is>
      </c>
      <c r="B90" s="1" t="n">
        <v>45273</v>
      </c>
      <c r="C90" s="1" t="n">
        <v>46180</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50129-2021</t>
        </is>
      </c>
      <c r="B91" s="1" t="n">
        <v>44456</v>
      </c>
      <c r="C91" s="1" t="n">
        <v>46180</v>
      </c>
      <c r="D91" t="inlineStr">
        <is>
          <t>KALMAR LÄN</t>
        </is>
      </c>
      <c r="E91" t="inlineStr">
        <is>
          <t>BORGHOLM</t>
        </is>
      </c>
      <c r="G91" t="n">
        <v>1.6</v>
      </c>
      <c r="H91" t="n">
        <v>0</v>
      </c>
      <c r="I91" t="n">
        <v>0</v>
      </c>
      <c r="J91" t="n">
        <v>0</v>
      </c>
      <c r="K91" t="n">
        <v>0</v>
      </c>
      <c r="L91" t="n">
        <v>0</v>
      </c>
      <c r="M91" t="n">
        <v>0</v>
      </c>
      <c r="N91" t="n">
        <v>0</v>
      </c>
      <c r="O91" t="n">
        <v>0</v>
      </c>
      <c r="P91" t="n">
        <v>0</v>
      </c>
      <c r="Q91" t="n">
        <v>0</v>
      </c>
      <c r="R91" s="2" t="inlineStr"/>
    </row>
    <row r="92" ht="15" customHeight="1">
      <c r="A92" t="inlineStr">
        <is>
          <t>A 15272-2026</t>
        </is>
      </c>
      <c r="B92" s="1" t="n">
        <v>46105.60017361111</v>
      </c>
      <c r="C92" s="1" t="n">
        <v>46180</v>
      </c>
      <c r="D92" t="inlineStr">
        <is>
          <t>KALMAR LÄN</t>
        </is>
      </c>
      <c r="E92" t="inlineStr">
        <is>
          <t>BORGHOLM</t>
        </is>
      </c>
      <c r="F92" t="inlineStr">
        <is>
          <t>Sveaskog</t>
        </is>
      </c>
      <c r="G92" t="n">
        <v>2.9</v>
      </c>
      <c r="H92" t="n">
        <v>0</v>
      </c>
      <c r="I92" t="n">
        <v>0</v>
      </c>
      <c r="J92" t="n">
        <v>0</v>
      </c>
      <c r="K92" t="n">
        <v>0</v>
      </c>
      <c r="L92" t="n">
        <v>0</v>
      </c>
      <c r="M92" t="n">
        <v>0</v>
      </c>
      <c r="N92" t="n">
        <v>0</v>
      </c>
      <c r="O92" t="n">
        <v>0</v>
      </c>
      <c r="P92" t="n">
        <v>0</v>
      </c>
      <c r="Q92" t="n">
        <v>0</v>
      </c>
      <c r="R92" s="2" t="inlineStr"/>
    </row>
    <row r="93" ht="15" customHeight="1">
      <c r="A93" t="inlineStr">
        <is>
          <t>A 15279-2026</t>
        </is>
      </c>
      <c r="B93" s="1" t="n">
        <v>46105.61030092592</v>
      </c>
      <c r="C93" s="1" t="n">
        <v>46180</v>
      </c>
      <c r="D93" t="inlineStr">
        <is>
          <t>KALMAR LÄN</t>
        </is>
      </c>
      <c r="E93" t="inlineStr">
        <is>
          <t>BORGHOLM</t>
        </is>
      </c>
      <c r="F93" t="inlineStr">
        <is>
          <t>Sveaskog</t>
        </is>
      </c>
      <c r="G93" t="n">
        <v>4.6</v>
      </c>
      <c r="H93" t="n">
        <v>0</v>
      </c>
      <c r="I93" t="n">
        <v>0</v>
      </c>
      <c r="J93" t="n">
        <v>0</v>
      </c>
      <c r="K93" t="n">
        <v>0</v>
      </c>
      <c r="L93" t="n">
        <v>0</v>
      </c>
      <c r="M93" t="n">
        <v>0</v>
      </c>
      <c r="N93" t="n">
        <v>0</v>
      </c>
      <c r="O93" t="n">
        <v>0</v>
      </c>
      <c r="P93" t="n">
        <v>0</v>
      </c>
      <c r="Q93" t="n">
        <v>0</v>
      </c>
      <c r="R93" s="2" t="inlineStr"/>
    </row>
    <row r="94" ht="15" customHeight="1">
      <c r="A94" t="inlineStr">
        <is>
          <t>A 15264-2026</t>
        </is>
      </c>
      <c r="B94" s="1" t="n">
        <v>46105.59372685185</v>
      </c>
      <c r="C94" s="1" t="n">
        <v>46180</v>
      </c>
      <c r="D94" t="inlineStr">
        <is>
          <t>KALMAR LÄN</t>
        </is>
      </c>
      <c r="E94" t="inlineStr">
        <is>
          <t>BORGHOLM</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46180</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17699-2025</t>
        </is>
      </c>
      <c r="B96" s="1" t="n">
        <v>45758.41846064815</v>
      </c>
      <c r="C96" s="1" t="n">
        <v>46180</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46180</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34780-2022</t>
        </is>
      </c>
      <c r="B98" s="1" t="n">
        <v>44795</v>
      </c>
      <c r="C98" s="1" t="n">
        <v>46180</v>
      </c>
      <c r="D98" t="inlineStr">
        <is>
          <t>KALMAR LÄN</t>
        </is>
      </c>
      <c r="E98" t="inlineStr">
        <is>
          <t>BORGHOLM</t>
        </is>
      </c>
      <c r="F98" t="inlineStr">
        <is>
          <t>Sveaskog</t>
        </is>
      </c>
      <c r="G98" t="n">
        <v>6.7</v>
      </c>
      <c r="H98" t="n">
        <v>0</v>
      </c>
      <c r="I98" t="n">
        <v>0</v>
      </c>
      <c r="J98" t="n">
        <v>0</v>
      </c>
      <c r="K98" t="n">
        <v>0</v>
      </c>
      <c r="L98" t="n">
        <v>0</v>
      </c>
      <c r="M98" t="n">
        <v>0</v>
      </c>
      <c r="N98" t="n">
        <v>0</v>
      </c>
      <c r="O98" t="n">
        <v>0</v>
      </c>
      <c r="P98" t="n">
        <v>0</v>
      </c>
      <c r="Q98" t="n">
        <v>0</v>
      </c>
      <c r="R98" s="2" t="inlineStr"/>
    </row>
    <row r="99" ht="15" customHeight="1">
      <c r="A99" t="inlineStr">
        <is>
          <t>A 55367-2024</t>
        </is>
      </c>
      <c r="B99" s="1" t="n">
        <v>45621.87075231481</v>
      </c>
      <c r="C99" s="1" t="n">
        <v>46180</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20287-2025</t>
        </is>
      </c>
      <c r="B100" s="1" t="n">
        <v>45774.60741898148</v>
      </c>
      <c r="C100" s="1" t="n">
        <v>46180</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9076-2025</t>
        </is>
      </c>
      <c r="B101" s="1" t="n">
        <v>45713.6596875</v>
      </c>
      <c r="C101" s="1" t="n">
        <v>46180</v>
      </c>
      <c r="D101" t="inlineStr">
        <is>
          <t>KALMAR LÄN</t>
        </is>
      </c>
      <c r="E101" t="inlineStr">
        <is>
          <t>BORGHOLM</t>
        </is>
      </c>
      <c r="F101" t="inlineStr">
        <is>
          <t>Sveaskog</t>
        </is>
      </c>
      <c r="G101" t="n">
        <v>4.2</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46180</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46180</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46180</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46180</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3878-2023</t>
        </is>
      </c>
      <c r="B106" s="1" t="n">
        <v>44951</v>
      </c>
      <c r="C106" s="1" t="n">
        <v>46180</v>
      </c>
      <c r="D106" t="inlineStr">
        <is>
          <t>KALMAR LÄN</t>
        </is>
      </c>
      <c r="E106" t="inlineStr">
        <is>
          <t>BORGHOLM</t>
        </is>
      </c>
      <c r="G106" t="n">
        <v>1.7</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46180</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46180</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24323-2026</t>
        </is>
      </c>
      <c r="B109" s="1" t="n">
        <v>46169.49458333333</v>
      </c>
      <c r="C109" s="1" t="n">
        <v>46180</v>
      </c>
      <c r="D109" t="inlineStr">
        <is>
          <t>KALMAR LÄN</t>
        </is>
      </c>
      <c r="E109" t="inlineStr">
        <is>
          <t>BORGHOLM</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24338-2026</t>
        </is>
      </c>
      <c r="B110" s="1" t="n">
        <v>46169.54258101852</v>
      </c>
      <c r="C110" s="1" t="n">
        <v>46180</v>
      </c>
      <c r="D110" t="inlineStr">
        <is>
          <t>KALMAR LÄN</t>
        </is>
      </c>
      <c r="E110" t="inlineStr">
        <is>
          <t>BORGHOLM</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24345-2026</t>
        </is>
      </c>
      <c r="B111" s="1" t="n">
        <v>46169.55112268519</v>
      </c>
      <c r="C111" s="1" t="n">
        <v>46180</v>
      </c>
      <c r="D111" t="inlineStr">
        <is>
          <t>KALMAR LÄN</t>
        </is>
      </c>
      <c r="E111" t="inlineStr">
        <is>
          <t>BORGHOLM</t>
        </is>
      </c>
      <c r="F111" t="inlineStr">
        <is>
          <t>Sveaskog</t>
        </is>
      </c>
      <c r="G111" t="n">
        <v>7.3</v>
      </c>
      <c r="H111" t="n">
        <v>0</v>
      </c>
      <c r="I111" t="n">
        <v>0</v>
      </c>
      <c r="J111" t="n">
        <v>0</v>
      </c>
      <c r="K111" t="n">
        <v>0</v>
      </c>
      <c r="L111" t="n">
        <v>0</v>
      </c>
      <c r="M111" t="n">
        <v>0</v>
      </c>
      <c r="N111" t="n">
        <v>0</v>
      </c>
      <c r="O111" t="n">
        <v>0</v>
      </c>
      <c r="P111" t="n">
        <v>0</v>
      </c>
      <c r="Q111" t="n">
        <v>0</v>
      </c>
      <c r="R111" s="2" t="inlineStr"/>
    </row>
    <row r="112" ht="15" customHeight="1">
      <c r="A112" t="inlineStr">
        <is>
          <t>A 12937-2022</t>
        </is>
      </c>
      <c r="B112" s="1" t="n">
        <v>44642</v>
      </c>
      <c r="C112" s="1" t="n">
        <v>46180</v>
      </c>
      <c r="D112" t="inlineStr">
        <is>
          <t>KALMAR LÄN</t>
        </is>
      </c>
      <c r="E112" t="inlineStr">
        <is>
          <t>BORGHOLM</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7960-2023</t>
        </is>
      </c>
      <c r="B113" s="1" t="n">
        <v>44973</v>
      </c>
      <c r="C113" s="1" t="n">
        <v>46180</v>
      </c>
      <c r="D113" t="inlineStr">
        <is>
          <t>KALMAR LÄN</t>
        </is>
      </c>
      <c r="E113" t="inlineStr">
        <is>
          <t>BORGHOLM</t>
        </is>
      </c>
      <c r="G113" t="n">
        <v>2.1</v>
      </c>
      <c r="H113" t="n">
        <v>0</v>
      </c>
      <c r="I113" t="n">
        <v>0</v>
      </c>
      <c r="J113" t="n">
        <v>0</v>
      </c>
      <c r="K113" t="n">
        <v>0</v>
      </c>
      <c r="L113" t="n">
        <v>0</v>
      </c>
      <c r="M113" t="n">
        <v>0</v>
      </c>
      <c r="N113" t="n">
        <v>0</v>
      </c>
      <c r="O113" t="n">
        <v>0</v>
      </c>
      <c r="P113" t="n">
        <v>0</v>
      </c>
      <c r="Q113" t="n">
        <v>0</v>
      </c>
      <c r="R113" s="2" t="inlineStr"/>
    </row>
    <row r="114" ht="15" customHeight="1">
      <c r="A114" t="inlineStr">
        <is>
          <t>A 61438-2023</t>
        </is>
      </c>
      <c r="B114" s="1" t="n">
        <v>45264</v>
      </c>
      <c r="C114" s="1" t="n">
        <v>46180</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13041-2024</t>
        </is>
      </c>
      <c r="B115" s="1" t="n">
        <v>45385.60065972222</v>
      </c>
      <c r="C115" s="1" t="n">
        <v>46180</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1614-2025</t>
        </is>
      </c>
      <c r="B116" s="1" t="n">
        <v>45670.60094907408</v>
      </c>
      <c r="C116" s="1" t="n">
        <v>46180</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63276-2023</t>
        </is>
      </c>
      <c r="B117" s="1" t="n">
        <v>45273.82195601852</v>
      </c>
      <c r="C117" s="1" t="n">
        <v>46180</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9050-2025</t>
        </is>
      </c>
      <c r="B118" s="1" t="n">
        <v>45713.63512731482</v>
      </c>
      <c r="C118" s="1" t="n">
        <v>46180</v>
      </c>
      <c r="D118" t="inlineStr">
        <is>
          <t>KALMAR LÄN</t>
        </is>
      </c>
      <c r="E118" t="inlineStr">
        <is>
          <t>BORGHOLM</t>
        </is>
      </c>
      <c r="F118" t="inlineStr">
        <is>
          <t>Sveaskog</t>
        </is>
      </c>
      <c r="G118" t="n">
        <v>2.5</v>
      </c>
      <c r="H118" t="n">
        <v>0</v>
      </c>
      <c r="I118" t="n">
        <v>0</v>
      </c>
      <c r="J118" t="n">
        <v>0</v>
      </c>
      <c r="K118" t="n">
        <v>0</v>
      </c>
      <c r="L118" t="n">
        <v>0</v>
      </c>
      <c r="M118" t="n">
        <v>0</v>
      </c>
      <c r="N118" t="n">
        <v>0</v>
      </c>
      <c r="O118" t="n">
        <v>0</v>
      </c>
      <c r="P118" t="n">
        <v>0</v>
      </c>
      <c r="Q118" t="n">
        <v>0</v>
      </c>
      <c r="R118" s="2" t="inlineStr"/>
    </row>
    <row r="119" ht="15" customHeight="1">
      <c r="A119" t="inlineStr">
        <is>
          <t>A 13043-2024</t>
        </is>
      </c>
      <c r="B119" s="1" t="n">
        <v>45385.60111111111</v>
      </c>
      <c r="C119" s="1" t="n">
        <v>46180</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row>
    <row r="120" ht="15" customHeight="1">
      <c r="A120" t="inlineStr">
        <is>
          <t>A 22785-2025</t>
        </is>
      </c>
      <c r="B120" s="1" t="n">
        <v>45789.64186342592</v>
      </c>
      <c r="C120" s="1" t="n">
        <v>46180</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c r="A121" t="inlineStr">
        <is>
          <t>A 12534-2022</t>
        </is>
      </c>
      <c r="B121" s="1" t="n">
        <v>44638</v>
      </c>
      <c r="C121" s="1" t="n">
        <v>46180</v>
      </c>
      <c r="D121" t="inlineStr">
        <is>
          <t>KALMAR LÄN</t>
        </is>
      </c>
      <c r="E121" t="inlineStr">
        <is>
          <t>BORGHOLM</t>
        </is>
      </c>
      <c r="G121" t="n">
        <v>8.6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2026-06-07T10:34:36Z</dcterms:created>
  <dcterms:modified xmlns:dcterms="http://purl.org/dc/terms/" xmlns:xsi="http://www.w3.org/2001/XMLSchema-instance" xsi:type="dcterms:W3CDTF">2026-06-07T10:34:36Z</dcterms:modified>
</cp:coreProperties>
</file>