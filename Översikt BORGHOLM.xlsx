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46099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21797-2024</t>
        </is>
      </c>
      <c r="B17" s="1" t="n">
        <v>45442.6512037037</v>
      </c>
      <c r="C17" s="1" t="n">
        <v>46099</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16171-2023</t>
        </is>
      </c>
      <c r="B18" s="1" t="n">
        <v>45027</v>
      </c>
      <c r="C18" s="1" t="n">
        <v>46099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44008-2022</t>
        </is>
      </c>
      <c r="B19" s="1" t="n">
        <v>44838</v>
      </c>
      <c r="C19" s="1" t="n">
        <v>46099</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44008-2022 artfynd.xlsx", "A 44008-2022")</f>
        <v/>
      </c>
      <c r="T19">
        <f>HYPERLINK("https://klasma.github.io/Logging_0885/kartor/A 44008-2022 karta.png", "A 44008-2022")</f>
        <v/>
      </c>
      <c r="V19">
        <f>HYPERLINK("https://klasma.github.io/Logging_0885/klagomål/A 44008-2022 FSC-klagomål.docx", "A 44008-2022")</f>
        <v/>
      </c>
      <c r="W19">
        <f>HYPERLINK("https://klasma.github.io/Logging_0885/klagomålsmail/A 44008-2022 FSC-klagomål mail.docx", "A 44008-2022")</f>
        <v/>
      </c>
      <c r="X19">
        <f>HYPERLINK("https://klasma.github.io/Logging_0885/tillsyn/A 44008-2022 tillsynsbegäran.docx", "A 44008-2022")</f>
        <v/>
      </c>
      <c r="Y19">
        <f>HYPERLINK("https://klasma.github.io/Logging_0885/tillsynsmail/A 44008-2022 tillsynsbegäran mail.docx", "A 44008-2022")</f>
        <v/>
      </c>
      <c r="Z19">
        <f>HYPERLINK("https://klasma.github.io/Logging_0885/fåglar/A 44008-2022 prioriterade fågelarter.docx", "A 44008-2022")</f>
        <v/>
      </c>
    </row>
    <row r="20" ht="15" customHeight="1">
      <c r="A20" t="inlineStr">
        <is>
          <t>A 32174-2022</t>
        </is>
      </c>
      <c r="B20" s="1" t="n">
        <v>44781</v>
      </c>
      <c r="C20" s="1" t="n">
        <v>46099</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46099</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34944-2022</t>
        </is>
      </c>
      <c r="B22" s="1" t="n">
        <v>44796</v>
      </c>
      <c r="C22" s="1" t="n">
        <v>46099</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4164-2023</t>
        </is>
      </c>
      <c r="B23" s="1" t="n">
        <v>44953</v>
      </c>
      <c r="C23" s="1" t="n">
        <v>46099</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46099</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38860-2025</t>
        </is>
      </c>
      <c r="B25" s="1" t="n">
        <v>45887.5609375</v>
      </c>
      <c r="C25" s="1" t="n">
        <v>46099</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28779-2025</t>
        </is>
      </c>
      <c r="B26" s="1" t="n">
        <v>45820.44920138889</v>
      </c>
      <c r="C26" s="1" t="n">
        <v>46099</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60140-2025</t>
        </is>
      </c>
      <c r="B27" s="1" t="n">
        <v>45994.36274305556</v>
      </c>
      <c r="C27" s="1" t="n">
        <v>46099</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9253-2026</t>
        </is>
      </c>
      <c r="B28" s="1" t="n">
        <v>46070.51003472223</v>
      </c>
      <c r="C28" s="1" t="n">
        <v>46099</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31790-2021</t>
        </is>
      </c>
      <c r="B29" s="1" t="n">
        <v>44370</v>
      </c>
      <c r="C29" s="1" t="n">
        <v>46099</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46099</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24704-2023</t>
        </is>
      </c>
      <c r="B31" s="1" t="n">
        <v>45084</v>
      </c>
      <c r="C31" s="1" t="n">
        <v>46099</v>
      </c>
      <c r="D31" t="inlineStr">
        <is>
          <t>KALMAR LÄN</t>
        </is>
      </c>
      <c r="E31" t="inlineStr">
        <is>
          <t>BORGHOLM</t>
        </is>
      </c>
      <c r="G31" t="n">
        <v>3.5</v>
      </c>
      <c r="H31" t="n">
        <v>0</v>
      </c>
      <c r="I31" t="n">
        <v>0</v>
      </c>
      <c r="J31" t="n">
        <v>0</v>
      </c>
      <c r="K31" t="n">
        <v>0</v>
      </c>
      <c r="L31" t="n">
        <v>1</v>
      </c>
      <c r="M31" t="n">
        <v>0</v>
      </c>
      <c r="N31" t="n">
        <v>0</v>
      </c>
      <c r="O31" t="n">
        <v>1</v>
      </c>
      <c r="P31" t="n">
        <v>1</v>
      </c>
      <c r="Q31" t="n">
        <v>1</v>
      </c>
      <c r="R31" s="2" t="inlineStr">
        <is>
          <t>Ask</t>
        </is>
      </c>
      <c r="S31">
        <f>HYPERLINK("https://klasma.github.io/Logging_0885/artfynd/A 24704-2023 artfynd.xlsx", "A 24704-2023")</f>
        <v/>
      </c>
      <c r="T31">
        <f>HYPERLINK("https://klasma.github.io/Logging_0885/kartor/A 24704-2023 karta.png", "A 24704-2023")</f>
        <v/>
      </c>
      <c r="V31">
        <f>HYPERLINK("https://klasma.github.io/Logging_0885/klagomål/A 24704-2023 FSC-klagomål.docx", "A 24704-2023")</f>
        <v/>
      </c>
      <c r="W31">
        <f>HYPERLINK("https://klasma.github.io/Logging_0885/klagomålsmail/A 24704-2023 FSC-klagomål mail.docx", "A 24704-2023")</f>
        <v/>
      </c>
      <c r="X31">
        <f>HYPERLINK("https://klasma.github.io/Logging_0885/tillsyn/A 24704-2023 tillsynsbegäran.docx", "A 24704-2023")</f>
        <v/>
      </c>
      <c r="Y31">
        <f>HYPERLINK("https://klasma.github.io/Logging_0885/tillsynsmail/A 24704-2023 tillsynsbegäran mail.docx", "A 24704-2023")</f>
        <v/>
      </c>
    </row>
    <row r="32" ht="15" customHeight="1">
      <c r="A32" t="inlineStr">
        <is>
          <t>A 13558-2025</t>
        </is>
      </c>
      <c r="B32" s="1" t="n">
        <v>45736.54974537037</v>
      </c>
      <c r="C32" s="1" t="n">
        <v>46099</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14789-2021</t>
        </is>
      </c>
      <c r="B33" s="1" t="n">
        <v>44280</v>
      </c>
      <c r="C33" s="1" t="n">
        <v>46099</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24701-2023</t>
        </is>
      </c>
      <c r="B34" s="1" t="n">
        <v>45084</v>
      </c>
      <c r="C34" s="1" t="n">
        <v>46099</v>
      </c>
      <c r="D34" t="inlineStr">
        <is>
          <t>KALMAR LÄN</t>
        </is>
      </c>
      <c r="E34" t="inlineStr">
        <is>
          <t>BORGHOLM</t>
        </is>
      </c>
      <c r="G34" t="n">
        <v>3</v>
      </c>
      <c r="H34" t="n">
        <v>0</v>
      </c>
      <c r="I34" t="n">
        <v>0</v>
      </c>
      <c r="J34" t="n">
        <v>0</v>
      </c>
      <c r="K34" t="n">
        <v>0</v>
      </c>
      <c r="L34" t="n">
        <v>1</v>
      </c>
      <c r="M34" t="n">
        <v>0</v>
      </c>
      <c r="N34" t="n">
        <v>0</v>
      </c>
      <c r="O34" t="n">
        <v>1</v>
      </c>
      <c r="P34" t="n">
        <v>1</v>
      </c>
      <c r="Q34" t="n">
        <v>1</v>
      </c>
      <c r="R34" s="2" t="inlineStr">
        <is>
          <t>Ask</t>
        </is>
      </c>
      <c r="S34">
        <f>HYPERLINK("https://klasma.github.io/Logging_0885/artfynd/A 24701-2023 artfynd.xlsx", "A 24701-2023")</f>
        <v/>
      </c>
      <c r="T34">
        <f>HYPERLINK("https://klasma.github.io/Logging_0885/kartor/A 24701-2023 karta.png", "A 24701-2023")</f>
        <v/>
      </c>
      <c r="V34">
        <f>HYPERLINK("https://klasma.github.io/Logging_0885/klagomål/A 24701-2023 FSC-klagomål.docx", "A 24701-2023")</f>
        <v/>
      </c>
      <c r="W34">
        <f>HYPERLINK("https://klasma.github.io/Logging_0885/klagomålsmail/A 24701-2023 FSC-klagomål mail.docx", "A 24701-2023")</f>
        <v/>
      </c>
      <c r="X34">
        <f>HYPERLINK("https://klasma.github.io/Logging_0885/tillsyn/A 24701-2023 tillsynsbegäran.docx", "A 24701-2023")</f>
        <v/>
      </c>
      <c r="Y34">
        <f>HYPERLINK("https://klasma.github.io/Logging_0885/tillsynsmail/A 24701-2023 tillsynsbegäran mail.docx", "A 24701-2023")</f>
        <v/>
      </c>
    </row>
    <row r="35" ht="15" customHeight="1">
      <c r="A35" t="inlineStr">
        <is>
          <t>A 43603-2024</t>
        </is>
      </c>
      <c r="B35" s="1" t="n">
        <v>45569.44700231482</v>
      </c>
      <c r="C35" s="1" t="n">
        <v>46099</v>
      </c>
      <c r="D35" t="inlineStr">
        <is>
          <t>KALMAR LÄN</t>
        </is>
      </c>
      <c r="E35" t="inlineStr">
        <is>
          <t>BORGHOLM</t>
        </is>
      </c>
      <c r="G35" t="n">
        <v>3.8</v>
      </c>
      <c r="H35" t="n">
        <v>1</v>
      </c>
      <c r="I35" t="n">
        <v>0</v>
      </c>
      <c r="J35" t="n">
        <v>0</v>
      </c>
      <c r="K35" t="n">
        <v>1</v>
      </c>
      <c r="L35" t="n">
        <v>0</v>
      </c>
      <c r="M35" t="n">
        <v>0</v>
      </c>
      <c r="N35" t="n">
        <v>0</v>
      </c>
      <c r="O35" t="n">
        <v>1</v>
      </c>
      <c r="P35" t="n">
        <v>1</v>
      </c>
      <c r="Q35" t="n">
        <v>1</v>
      </c>
      <c r="R35" s="2" t="inlineStr">
        <is>
          <t>Väddnätfjäril</t>
        </is>
      </c>
      <c r="S35">
        <f>HYPERLINK("https://klasma.github.io/Logging_0885/artfynd/A 43603-2024 artfynd.xlsx", "A 43603-2024")</f>
        <v/>
      </c>
      <c r="T35">
        <f>HYPERLINK("https://klasma.github.io/Logging_0885/kartor/A 43603-2024 karta.png", "A 43603-2024")</f>
        <v/>
      </c>
      <c r="V35">
        <f>HYPERLINK("https://klasma.github.io/Logging_0885/klagomål/A 43603-2024 FSC-klagomål.docx", "A 43603-2024")</f>
        <v/>
      </c>
      <c r="W35">
        <f>HYPERLINK("https://klasma.github.io/Logging_0885/klagomålsmail/A 43603-2024 FSC-klagomål mail.docx", "A 43603-2024")</f>
        <v/>
      </c>
      <c r="X35">
        <f>HYPERLINK("https://klasma.github.io/Logging_0885/tillsyn/A 43603-2024 tillsynsbegäran.docx", "A 43603-2024")</f>
        <v/>
      </c>
      <c r="Y35">
        <f>HYPERLINK("https://klasma.github.io/Logging_0885/tillsynsmail/A 43603-2024 tillsynsbegäran mail.docx", "A 43603-2024")</f>
        <v/>
      </c>
    </row>
    <row r="36" ht="15" customHeight="1">
      <c r="A36" t="inlineStr">
        <is>
          <t>A 24048-2025</t>
        </is>
      </c>
      <c r="B36" s="1" t="n">
        <v>45796.4959375</v>
      </c>
      <c r="C36" s="1" t="n">
        <v>46099</v>
      </c>
      <c r="D36" t="inlineStr">
        <is>
          <t>KALMAR LÄN</t>
        </is>
      </c>
      <c r="E36" t="inlineStr">
        <is>
          <t>BORGHOLM</t>
        </is>
      </c>
      <c r="G36" t="n">
        <v>2</v>
      </c>
      <c r="H36" t="n">
        <v>0</v>
      </c>
      <c r="I36" t="n">
        <v>0</v>
      </c>
      <c r="J36" t="n">
        <v>1</v>
      </c>
      <c r="K36" t="n">
        <v>0</v>
      </c>
      <c r="L36" t="n">
        <v>0</v>
      </c>
      <c r="M36" t="n">
        <v>0</v>
      </c>
      <c r="N36" t="n">
        <v>0</v>
      </c>
      <c r="O36" t="n">
        <v>1</v>
      </c>
      <c r="P36" t="n">
        <v>0</v>
      </c>
      <c r="Q36" t="n">
        <v>1</v>
      </c>
      <c r="R36" s="2" t="inlineStr">
        <is>
          <t>Loppstarr</t>
        </is>
      </c>
      <c r="S36">
        <f>HYPERLINK("https://klasma.github.io/Logging_0885/artfynd/A 24048-2025 artfynd.xlsx", "A 24048-2025")</f>
        <v/>
      </c>
      <c r="T36">
        <f>HYPERLINK("https://klasma.github.io/Logging_0885/kartor/A 24048-2025 karta.png", "A 24048-2025")</f>
        <v/>
      </c>
      <c r="V36">
        <f>HYPERLINK("https://klasma.github.io/Logging_0885/klagomål/A 24048-2025 FSC-klagomål.docx", "A 24048-2025")</f>
        <v/>
      </c>
      <c r="W36">
        <f>HYPERLINK("https://klasma.github.io/Logging_0885/klagomålsmail/A 24048-2025 FSC-klagomål mail.docx", "A 24048-2025")</f>
        <v/>
      </c>
      <c r="X36">
        <f>HYPERLINK("https://klasma.github.io/Logging_0885/tillsyn/A 24048-2025 tillsynsbegäran.docx", "A 24048-2025")</f>
        <v/>
      </c>
      <c r="Y36">
        <f>HYPERLINK("https://klasma.github.io/Logging_0885/tillsynsmail/A 24048-2025 tillsynsbegäran mail.docx", "A 24048-2025")</f>
        <v/>
      </c>
    </row>
    <row r="37" ht="15" customHeight="1">
      <c r="A37" t="inlineStr">
        <is>
          <t>A 41640-2023</t>
        </is>
      </c>
      <c r="B37" s="1" t="n">
        <v>45175</v>
      </c>
      <c r="C37" s="1" t="n">
        <v>46099</v>
      </c>
      <c r="D37" t="inlineStr">
        <is>
          <t>KALMAR LÄN</t>
        </is>
      </c>
      <c r="E37" t="inlineStr">
        <is>
          <t>BORGHOLM</t>
        </is>
      </c>
      <c r="G37" t="n">
        <v>5</v>
      </c>
      <c r="H37" t="n">
        <v>1</v>
      </c>
      <c r="I37" t="n">
        <v>0</v>
      </c>
      <c r="J37" t="n">
        <v>0</v>
      </c>
      <c r="K37" t="n">
        <v>0</v>
      </c>
      <c r="L37" t="n">
        <v>0</v>
      </c>
      <c r="M37" t="n">
        <v>0</v>
      </c>
      <c r="N37" t="n">
        <v>0</v>
      </c>
      <c r="O37" t="n">
        <v>0</v>
      </c>
      <c r="P37" t="n">
        <v>0</v>
      </c>
      <c r="Q37" t="n">
        <v>1</v>
      </c>
      <c r="R37" s="2" t="inlineStr">
        <is>
          <t>Johannesnycklar</t>
        </is>
      </c>
      <c r="S37">
        <f>HYPERLINK("https://klasma.github.io/Logging_0885/artfynd/A 41640-2023 artfynd.xlsx", "A 41640-2023")</f>
        <v/>
      </c>
      <c r="T37">
        <f>HYPERLINK("https://klasma.github.io/Logging_0885/kartor/A 41640-2023 karta.png", "A 41640-2023")</f>
        <v/>
      </c>
      <c r="V37">
        <f>HYPERLINK("https://klasma.github.io/Logging_0885/klagomål/A 41640-2023 FSC-klagomål.docx", "A 41640-2023")</f>
        <v/>
      </c>
      <c r="W37">
        <f>HYPERLINK("https://klasma.github.io/Logging_0885/klagomålsmail/A 41640-2023 FSC-klagomål mail.docx", "A 41640-2023")</f>
        <v/>
      </c>
      <c r="X37">
        <f>HYPERLINK("https://klasma.github.io/Logging_0885/tillsyn/A 41640-2023 tillsynsbegäran.docx", "A 41640-2023")</f>
        <v/>
      </c>
      <c r="Y37">
        <f>HYPERLINK("https://klasma.github.io/Logging_0885/tillsynsmail/A 41640-2023 tillsynsbegäran mail.docx", "A 41640-2023")</f>
        <v/>
      </c>
    </row>
    <row r="38" ht="15" customHeight="1">
      <c r="A38" t="inlineStr">
        <is>
          <t>A 9745-2023</t>
        </is>
      </c>
      <c r="B38" s="1" t="n">
        <v>44984</v>
      </c>
      <c r="C38" s="1" t="n">
        <v>46099</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28785-2025</t>
        </is>
      </c>
      <c r="B39" s="1" t="n">
        <v>45820.46159722222</v>
      </c>
      <c r="C39" s="1" t="n">
        <v>46099</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46099</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45693-2025</t>
        </is>
      </c>
      <c r="B41" s="1" t="n">
        <v>45923</v>
      </c>
      <c r="C41" s="1" t="n">
        <v>46099</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34885-2025</t>
        </is>
      </c>
      <c r="B42" s="1" t="n">
        <v>45849.47128472223</v>
      </c>
      <c r="C42" s="1" t="n">
        <v>46099</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3302-2026</t>
        </is>
      </c>
      <c r="B43" s="1" t="n">
        <v>46041</v>
      </c>
      <c r="C43" s="1" t="n">
        <v>46099</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46099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13325-2021</t>
        </is>
      </c>
      <c r="B45" s="1" t="n">
        <v>44273</v>
      </c>
      <c r="C45" s="1" t="n">
        <v>46099</v>
      </c>
      <c r="D45" t="inlineStr">
        <is>
          <t>KALMAR LÄN</t>
        </is>
      </c>
      <c r="E45" t="inlineStr">
        <is>
          <t>BORGHOLM</t>
        </is>
      </c>
      <c r="G45" t="n">
        <v>0.7</v>
      </c>
      <c r="H45" t="n">
        <v>0</v>
      </c>
      <c r="I45" t="n">
        <v>0</v>
      </c>
      <c r="J45" t="n">
        <v>0</v>
      </c>
      <c r="K45" t="n">
        <v>0</v>
      </c>
      <c r="L45" t="n">
        <v>0</v>
      </c>
      <c r="M45" t="n">
        <v>0</v>
      </c>
      <c r="N45" t="n">
        <v>0</v>
      </c>
      <c r="O45" t="n">
        <v>0</v>
      </c>
      <c r="P45" t="n">
        <v>0</v>
      </c>
      <c r="Q45" t="n">
        <v>0</v>
      </c>
      <c r="R45" s="2" t="inlineStr"/>
    </row>
    <row r="46" ht="15" customHeight="1">
      <c r="A46" t="inlineStr">
        <is>
          <t>A 32665-2022</t>
        </is>
      </c>
      <c r="B46" s="1" t="n">
        <v>44783</v>
      </c>
      <c r="C46" s="1" t="n">
        <v>46099</v>
      </c>
      <c r="D46" t="inlineStr">
        <is>
          <t>KALMAR LÄN</t>
        </is>
      </c>
      <c r="E46" t="inlineStr">
        <is>
          <t>BORGHOLM</t>
        </is>
      </c>
      <c r="F46" t="inlineStr">
        <is>
          <t>Sveaskog</t>
        </is>
      </c>
      <c r="G46" t="n">
        <v>4.2</v>
      </c>
      <c r="H46" t="n">
        <v>0</v>
      </c>
      <c r="I46" t="n">
        <v>0</v>
      </c>
      <c r="J46" t="n">
        <v>0</v>
      </c>
      <c r="K46" t="n">
        <v>0</v>
      </c>
      <c r="L46" t="n">
        <v>0</v>
      </c>
      <c r="M46" t="n">
        <v>0</v>
      </c>
      <c r="N46" t="n">
        <v>0</v>
      </c>
      <c r="O46" t="n">
        <v>0</v>
      </c>
      <c r="P46" t="n">
        <v>0</v>
      </c>
      <c r="Q46" t="n">
        <v>0</v>
      </c>
      <c r="R46" s="2" t="inlineStr"/>
    </row>
    <row r="47" ht="15" customHeight="1">
      <c r="A47" t="inlineStr">
        <is>
          <t>A 10348-2022</t>
        </is>
      </c>
      <c r="B47" s="1" t="n">
        <v>44623</v>
      </c>
      <c r="C47" s="1" t="n">
        <v>46099</v>
      </c>
      <c r="D47" t="inlineStr">
        <is>
          <t>KALMAR LÄN</t>
        </is>
      </c>
      <c r="E47" t="inlineStr">
        <is>
          <t>BORGHOLM</t>
        </is>
      </c>
      <c r="G47" t="n">
        <v>0.4</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46099</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44681-2022</t>
        </is>
      </c>
      <c r="B49" s="1" t="n">
        <v>44840</v>
      </c>
      <c r="C49" s="1" t="n">
        <v>46099</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32608-2022</t>
        </is>
      </c>
      <c r="B50" s="1" t="n">
        <v>44783</v>
      </c>
      <c r="C50" s="1" t="n">
        <v>46099</v>
      </c>
      <c r="D50" t="inlineStr">
        <is>
          <t>KALMAR LÄN</t>
        </is>
      </c>
      <c r="E50" t="inlineStr">
        <is>
          <t>BORGHOLM</t>
        </is>
      </c>
      <c r="F50" t="inlineStr">
        <is>
          <t>Sveaskog</t>
        </is>
      </c>
      <c r="G50" t="n">
        <v>1.6</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46099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46099</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56983-2021</t>
        </is>
      </c>
      <c r="B53" s="1" t="n">
        <v>44482</v>
      </c>
      <c r="C53" s="1" t="n">
        <v>46099</v>
      </c>
      <c r="D53" t="inlineStr">
        <is>
          <t>KALMAR LÄN</t>
        </is>
      </c>
      <c r="E53" t="inlineStr">
        <is>
          <t>BORGHOLM</t>
        </is>
      </c>
      <c r="G53" t="n">
        <v>1.2</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46099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46099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46099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46099</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53050-2021</t>
        </is>
      </c>
      <c r="B58" s="1" t="n">
        <v>44467</v>
      </c>
      <c r="C58" s="1" t="n">
        <v>46099</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13383-2023</t>
        </is>
      </c>
      <c r="B59" s="1" t="n">
        <v>45005</v>
      </c>
      <c r="C59" s="1" t="n">
        <v>46099</v>
      </c>
      <c r="D59" t="inlineStr">
        <is>
          <t>KALMAR LÄN</t>
        </is>
      </c>
      <c r="E59" t="inlineStr">
        <is>
          <t>BORGHOLM</t>
        </is>
      </c>
      <c r="G59" t="n">
        <v>0.8</v>
      </c>
      <c r="H59" t="n">
        <v>0</v>
      </c>
      <c r="I59" t="n">
        <v>0</v>
      </c>
      <c r="J59" t="n">
        <v>0</v>
      </c>
      <c r="K59" t="n">
        <v>0</v>
      </c>
      <c r="L59" t="n">
        <v>0</v>
      </c>
      <c r="M59" t="n">
        <v>0</v>
      </c>
      <c r="N59" t="n">
        <v>0</v>
      </c>
      <c r="O59" t="n">
        <v>0</v>
      </c>
      <c r="P59" t="n">
        <v>0</v>
      </c>
      <c r="Q59" t="n">
        <v>0</v>
      </c>
      <c r="R59" s="2" t="inlineStr"/>
    </row>
    <row r="60" ht="15" customHeight="1">
      <c r="A60" t="inlineStr">
        <is>
          <t>A 1757-2025</t>
        </is>
      </c>
      <c r="B60" s="1" t="n">
        <v>45671.42195601852</v>
      </c>
      <c r="C60" s="1" t="n">
        <v>46099</v>
      </c>
      <c r="D60" t="inlineStr">
        <is>
          <t>KALMAR LÄN</t>
        </is>
      </c>
      <c r="E60" t="inlineStr">
        <is>
          <t>BORGHOLM</t>
        </is>
      </c>
      <c r="G60" t="n">
        <v>1.4</v>
      </c>
      <c r="H60" t="n">
        <v>0</v>
      </c>
      <c r="I60" t="n">
        <v>0</v>
      </c>
      <c r="J60" t="n">
        <v>0</v>
      </c>
      <c r="K60" t="n">
        <v>0</v>
      </c>
      <c r="L60" t="n">
        <v>0</v>
      </c>
      <c r="M60" t="n">
        <v>0</v>
      </c>
      <c r="N60" t="n">
        <v>0</v>
      </c>
      <c r="O60" t="n">
        <v>0</v>
      </c>
      <c r="P60" t="n">
        <v>0</v>
      </c>
      <c r="Q60" t="n">
        <v>0</v>
      </c>
      <c r="R60" s="2" t="inlineStr"/>
    </row>
    <row r="61" ht="15" customHeight="1">
      <c r="A61" t="inlineStr">
        <is>
          <t>A 31720-2022</t>
        </is>
      </c>
      <c r="B61" s="1" t="n">
        <v>44776</v>
      </c>
      <c r="C61" s="1" t="n">
        <v>46099</v>
      </c>
      <c r="D61" t="inlineStr">
        <is>
          <t>KALMAR LÄN</t>
        </is>
      </c>
      <c r="E61" t="inlineStr">
        <is>
          <t>BORGHOLM</t>
        </is>
      </c>
      <c r="F61" t="inlineStr">
        <is>
          <t>Sveaskog</t>
        </is>
      </c>
      <c r="G61" t="n">
        <v>4.5</v>
      </c>
      <c r="H61" t="n">
        <v>0</v>
      </c>
      <c r="I61" t="n">
        <v>0</v>
      </c>
      <c r="J61" t="n">
        <v>0</v>
      </c>
      <c r="K61" t="n">
        <v>0</v>
      </c>
      <c r="L61" t="n">
        <v>0</v>
      </c>
      <c r="M61" t="n">
        <v>0</v>
      </c>
      <c r="N61" t="n">
        <v>0</v>
      </c>
      <c r="O61" t="n">
        <v>0</v>
      </c>
      <c r="P61" t="n">
        <v>0</v>
      </c>
      <c r="Q61" t="n">
        <v>0</v>
      </c>
      <c r="R61" s="2" t="inlineStr"/>
    </row>
    <row r="62" ht="15" customHeight="1">
      <c r="A62" t="inlineStr">
        <is>
          <t>A 29656-2023</t>
        </is>
      </c>
      <c r="B62" s="1" t="n">
        <v>45107</v>
      </c>
      <c r="C62" s="1" t="n">
        <v>46099</v>
      </c>
      <c r="D62" t="inlineStr">
        <is>
          <t>KALMAR LÄN</t>
        </is>
      </c>
      <c r="E62" t="inlineStr">
        <is>
          <t>BORGHOLM</t>
        </is>
      </c>
      <c r="G62" t="n">
        <v>4.1</v>
      </c>
      <c r="H62" t="n">
        <v>0</v>
      </c>
      <c r="I62" t="n">
        <v>0</v>
      </c>
      <c r="J62" t="n">
        <v>0</v>
      </c>
      <c r="K62" t="n">
        <v>0</v>
      </c>
      <c r="L62" t="n">
        <v>0</v>
      </c>
      <c r="M62" t="n">
        <v>0</v>
      </c>
      <c r="N62" t="n">
        <v>0</v>
      </c>
      <c r="O62" t="n">
        <v>0</v>
      </c>
      <c r="P62" t="n">
        <v>0</v>
      </c>
      <c r="Q62" t="n">
        <v>0</v>
      </c>
      <c r="R62" s="2" t="inlineStr"/>
    </row>
    <row r="63" ht="15" customHeight="1">
      <c r="A63" t="inlineStr">
        <is>
          <t>A 17699-2025</t>
        </is>
      </c>
      <c r="B63" s="1" t="n">
        <v>45758.41846064815</v>
      </c>
      <c r="C63" s="1" t="n">
        <v>46099</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12937-2022</t>
        </is>
      </c>
      <c r="B64" s="1" t="n">
        <v>44642</v>
      </c>
      <c r="C64" s="1" t="n">
        <v>46099</v>
      </c>
      <c r="D64" t="inlineStr">
        <is>
          <t>KALMAR LÄN</t>
        </is>
      </c>
      <c r="E64" t="inlineStr">
        <is>
          <t>BORGHOLM</t>
        </is>
      </c>
      <c r="F64" t="inlineStr">
        <is>
          <t>Sveaskog</t>
        </is>
      </c>
      <c r="G64" t="n">
        <v>1.8</v>
      </c>
      <c r="H64" t="n">
        <v>0</v>
      </c>
      <c r="I64" t="n">
        <v>0</v>
      </c>
      <c r="J64" t="n">
        <v>0</v>
      </c>
      <c r="K64" t="n">
        <v>0</v>
      </c>
      <c r="L64" t="n">
        <v>0</v>
      </c>
      <c r="M64" t="n">
        <v>0</v>
      </c>
      <c r="N64" t="n">
        <v>0</v>
      </c>
      <c r="O64" t="n">
        <v>0</v>
      </c>
      <c r="P64" t="n">
        <v>0</v>
      </c>
      <c r="Q64" t="n">
        <v>0</v>
      </c>
      <c r="R64" s="2" t="inlineStr"/>
    </row>
    <row r="65" ht="15" customHeight="1">
      <c r="A65" t="inlineStr">
        <is>
          <t>A 7669-2024</t>
        </is>
      </c>
      <c r="B65" s="1" t="n">
        <v>45348.82498842593</v>
      </c>
      <c r="C65" s="1" t="n">
        <v>46099</v>
      </c>
      <c r="D65" t="inlineStr">
        <is>
          <t>KALMAR LÄN</t>
        </is>
      </c>
      <c r="E65" t="inlineStr">
        <is>
          <t>BORGHOLM</t>
        </is>
      </c>
      <c r="G65" t="n">
        <v>2.3</v>
      </c>
      <c r="H65" t="n">
        <v>0</v>
      </c>
      <c r="I65" t="n">
        <v>0</v>
      </c>
      <c r="J65" t="n">
        <v>0</v>
      </c>
      <c r="K65" t="n">
        <v>0</v>
      </c>
      <c r="L65" t="n">
        <v>0</v>
      </c>
      <c r="M65" t="n">
        <v>0</v>
      </c>
      <c r="N65" t="n">
        <v>0</v>
      </c>
      <c r="O65" t="n">
        <v>0</v>
      </c>
      <c r="P65" t="n">
        <v>0</v>
      </c>
      <c r="Q65" t="n">
        <v>0</v>
      </c>
      <c r="R65" s="2" t="inlineStr"/>
    </row>
    <row r="66" ht="15" customHeight="1">
      <c r="A66" t="inlineStr">
        <is>
          <t>A 34780-2022</t>
        </is>
      </c>
      <c r="B66" s="1" t="n">
        <v>44795</v>
      </c>
      <c r="C66" s="1" t="n">
        <v>46099</v>
      </c>
      <c r="D66" t="inlineStr">
        <is>
          <t>KALMAR LÄN</t>
        </is>
      </c>
      <c r="E66" t="inlineStr">
        <is>
          <t>BORGHOLM</t>
        </is>
      </c>
      <c r="F66" t="inlineStr">
        <is>
          <t>Sveaskog</t>
        </is>
      </c>
      <c r="G66" t="n">
        <v>6.7</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46099</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55367-2024</t>
        </is>
      </c>
      <c r="B68" s="1" t="n">
        <v>45621.87075231481</v>
      </c>
      <c r="C68" s="1" t="n">
        <v>46099</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20287-2025</t>
        </is>
      </c>
      <c r="B69" s="1" t="n">
        <v>45774.60741898148</v>
      </c>
      <c r="C69" s="1" t="n">
        <v>46099</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4165-2023</t>
        </is>
      </c>
      <c r="B70" s="1" t="n">
        <v>44953</v>
      </c>
      <c r="C70" s="1" t="n">
        <v>46099</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9076-2025</t>
        </is>
      </c>
      <c r="B71" s="1" t="n">
        <v>45713.6596875</v>
      </c>
      <c r="C71" s="1" t="n">
        <v>46099</v>
      </c>
      <c r="D71" t="inlineStr">
        <is>
          <t>KALMAR LÄN</t>
        </is>
      </c>
      <c r="E71" t="inlineStr">
        <is>
          <t>BORGHOLM</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7960-2023</t>
        </is>
      </c>
      <c r="B72" s="1" t="n">
        <v>44973</v>
      </c>
      <c r="C72" s="1" t="n">
        <v>46099</v>
      </c>
      <c r="D72" t="inlineStr">
        <is>
          <t>KALMAR LÄN</t>
        </is>
      </c>
      <c r="E72" t="inlineStr">
        <is>
          <t>BORGHOLM</t>
        </is>
      </c>
      <c r="G72" t="n">
        <v>2.1</v>
      </c>
      <c r="H72" t="n">
        <v>0</v>
      </c>
      <c r="I72" t="n">
        <v>0</v>
      </c>
      <c r="J72" t="n">
        <v>0</v>
      </c>
      <c r="K72" t="n">
        <v>0</v>
      </c>
      <c r="L72" t="n">
        <v>0</v>
      </c>
      <c r="M72" t="n">
        <v>0</v>
      </c>
      <c r="N72" t="n">
        <v>0</v>
      </c>
      <c r="O72" t="n">
        <v>0</v>
      </c>
      <c r="P72" t="n">
        <v>0</v>
      </c>
      <c r="Q72" t="n">
        <v>0</v>
      </c>
      <c r="R72" s="2" t="inlineStr"/>
    </row>
    <row r="73" ht="15" customHeight="1">
      <c r="A73" t="inlineStr">
        <is>
          <t>A 61438-2023</t>
        </is>
      </c>
      <c r="B73" s="1" t="n">
        <v>45264</v>
      </c>
      <c r="C73" s="1" t="n">
        <v>46099</v>
      </c>
      <c r="D73" t="inlineStr">
        <is>
          <t>KALMAR LÄN</t>
        </is>
      </c>
      <c r="E73" t="inlineStr">
        <is>
          <t>BORGHOLM</t>
        </is>
      </c>
      <c r="G73" t="n">
        <v>1.1</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46099</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13041-2024</t>
        </is>
      </c>
      <c r="B75" s="1" t="n">
        <v>45385.60065972222</v>
      </c>
      <c r="C75" s="1" t="n">
        <v>46099</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32919-2023</t>
        </is>
      </c>
      <c r="B76" s="1" t="n">
        <v>45125</v>
      </c>
      <c r="C76" s="1" t="n">
        <v>46099</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1614-2025</t>
        </is>
      </c>
      <c r="B77" s="1" t="n">
        <v>45670.60094907408</v>
      </c>
      <c r="C77" s="1" t="n">
        <v>46099</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13548-2025</t>
        </is>
      </c>
      <c r="B78" s="1" t="n">
        <v>45736.53827546296</v>
      </c>
      <c r="C78" s="1" t="n">
        <v>46099</v>
      </c>
      <c r="D78" t="inlineStr">
        <is>
          <t>KALMAR LÄN</t>
        </is>
      </c>
      <c r="E78" t="inlineStr">
        <is>
          <t>BORGHOLM</t>
        </is>
      </c>
      <c r="G78" t="n">
        <v>1</v>
      </c>
      <c r="H78" t="n">
        <v>0</v>
      </c>
      <c r="I78" t="n">
        <v>0</v>
      </c>
      <c r="J78" t="n">
        <v>0</v>
      </c>
      <c r="K78" t="n">
        <v>0</v>
      </c>
      <c r="L78" t="n">
        <v>0</v>
      </c>
      <c r="M78" t="n">
        <v>0</v>
      </c>
      <c r="N78" t="n">
        <v>0</v>
      </c>
      <c r="O78" t="n">
        <v>0</v>
      </c>
      <c r="P78" t="n">
        <v>0</v>
      </c>
      <c r="Q78" t="n">
        <v>0</v>
      </c>
      <c r="R78" s="2" t="inlineStr"/>
    </row>
    <row r="79" ht="15" customHeight="1">
      <c r="A79" t="inlineStr">
        <is>
          <t>A 32921-2023</t>
        </is>
      </c>
      <c r="B79" s="1" t="n">
        <v>45125</v>
      </c>
      <c r="C79" s="1" t="n">
        <v>46099</v>
      </c>
      <c r="D79" t="inlineStr">
        <is>
          <t>KALMAR LÄN</t>
        </is>
      </c>
      <c r="E79" t="inlineStr">
        <is>
          <t>BORGHOLM</t>
        </is>
      </c>
      <c r="G79" t="n">
        <v>2.9</v>
      </c>
      <c r="H79" t="n">
        <v>0</v>
      </c>
      <c r="I79" t="n">
        <v>0</v>
      </c>
      <c r="J79" t="n">
        <v>0</v>
      </c>
      <c r="K79" t="n">
        <v>0</v>
      </c>
      <c r="L79" t="n">
        <v>0</v>
      </c>
      <c r="M79" t="n">
        <v>0</v>
      </c>
      <c r="N79" t="n">
        <v>0</v>
      </c>
      <c r="O79" t="n">
        <v>0</v>
      </c>
      <c r="P79" t="n">
        <v>0</v>
      </c>
      <c r="Q79" t="n">
        <v>0</v>
      </c>
      <c r="R79" s="2" t="inlineStr"/>
    </row>
    <row r="80" ht="15" customHeight="1">
      <c r="A80" t="inlineStr">
        <is>
          <t>A 63276-2023</t>
        </is>
      </c>
      <c r="B80" s="1" t="n">
        <v>45273.82195601852</v>
      </c>
      <c r="C80" s="1" t="n">
        <v>46099</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31840-2021</t>
        </is>
      </c>
      <c r="B81" s="1" t="n">
        <v>44370</v>
      </c>
      <c r="C81" s="1" t="n">
        <v>46099</v>
      </c>
      <c r="D81" t="inlineStr">
        <is>
          <t>KALMAR LÄN</t>
        </is>
      </c>
      <c r="E81" t="inlineStr">
        <is>
          <t>BORGHOLM</t>
        </is>
      </c>
      <c r="F81" t="inlineStr">
        <is>
          <t>Sveaskog</t>
        </is>
      </c>
      <c r="G81" t="n">
        <v>2.8</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46099</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44678-2022</t>
        </is>
      </c>
      <c r="B83" s="1" t="n">
        <v>44840.65100694444</v>
      </c>
      <c r="C83" s="1" t="n">
        <v>46099</v>
      </c>
      <c r="D83" t="inlineStr">
        <is>
          <t>KALMAR LÄN</t>
        </is>
      </c>
      <c r="E83" t="inlineStr">
        <is>
          <t>BORGHOLM</t>
        </is>
      </c>
      <c r="G83" t="n">
        <v>2.4</v>
      </c>
      <c r="H83" t="n">
        <v>0</v>
      </c>
      <c r="I83" t="n">
        <v>0</v>
      </c>
      <c r="J83" t="n">
        <v>0</v>
      </c>
      <c r="K83" t="n">
        <v>0</v>
      </c>
      <c r="L83" t="n">
        <v>0</v>
      </c>
      <c r="M83" t="n">
        <v>0</v>
      </c>
      <c r="N83" t="n">
        <v>0</v>
      </c>
      <c r="O83" t="n">
        <v>0</v>
      </c>
      <c r="P83" t="n">
        <v>0</v>
      </c>
      <c r="Q83" t="n">
        <v>0</v>
      </c>
      <c r="R83" s="2" t="inlineStr"/>
    </row>
    <row r="84" ht="15" customHeight="1">
      <c r="A84" t="inlineStr">
        <is>
          <t>A 9050-2025</t>
        </is>
      </c>
      <c r="B84" s="1" t="n">
        <v>45713.63512731482</v>
      </c>
      <c r="C84" s="1" t="n">
        <v>46099</v>
      </c>
      <c r="D84" t="inlineStr">
        <is>
          <t>KALMAR LÄN</t>
        </is>
      </c>
      <c r="E84" t="inlineStr">
        <is>
          <t>BORGHOLM</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34951-2022</t>
        </is>
      </c>
      <c r="B85" s="1" t="n">
        <v>44796</v>
      </c>
      <c r="C85" s="1" t="n">
        <v>46099</v>
      </c>
      <c r="D85" t="inlineStr">
        <is>
          <t>KALMAR LÄN</t>
        </is>
      </c>
      <c r="E85" t="inlineStr">
        <is>
          <t>BORGHOLM</t>
        </is>
      </c>
      <c r="F85" t="inlineStr">
        <is>
          <t>Sveaskog</t>
        </is>
      </c>
      <c r="G85" t="n">
        <v>4.6</v>
      </c>
      <c r="H85" t="n">
        <v>0</v>
      </c>
      <c r="I85" t="n">
        <v>0</v>
      </c>
      <c r="J85" t="n">
        <v>0</v>
      </c>
      <c r="K85" t="n">
        <v>0</v>
      </c>
      <c r="L85" t="n">
        <v>0</v>
      </c>
      <c r="M85" t="n">
        <v>0</v>
      </c>
      <c r="N85" t="n">
        <v>0</v>
      </c>
      <c r="O85" t="n">
        <v>0</v>
      </c>
      <c r="P85" t="n">
        <v>0</v>
      </c>
      <c r="Q85" t="n">
        <v>0</v>
      </c>
      <c r="R85" s="2" t="inlineStr"/>
    </row>
    <row r="86" ht="15" customHeight="1">
      <c r="A86" t="inlineStr">
        <is>
          <t>A 9034-2025</t>
        </is>
      </c>
      <c r="B86" s="1" t="n">
        <v>45713</v>
      </c>
      <c r="C86" s="1" t="n">
        <v>46099</v>
      </c>
      <c r="D86" t="inlineStr">
        <is>
          <t>KALMAR LÄN</t>
        </is>
      </c>
      <c r="E86" t="inlineStr">
        <is>
          <t>BORGHOLM</t>
        </is>
      </c>
      <c r="F86" t="inlineStr">
        <is>
          <t>Sveaskog</t>
        </is>
      </c>
      <c r="G86" t="n">
        <v>6.8</v>
      </c>
      <c r="H86" t="n">
        <v>0</v>
      </c>
      <c r="I86" t="n">
        <v>0</v>
      </c>
      <c r="J86" t="n">
        <v>0</v>
      </c>
      <c r="K86" t="n">
        <v>0</v>
      </c>
      <c r="L86" t="n">
        <v>0</v>
      </c>
      <c r="M86" t="n">
        <v>0</v>
      </c>
      <c r="N86" t="n">
        <v>0</v>
      </c>
      <c r="O86" t="n">
        <v>0</v>
      </c>
      <c r="P86" t="n">
        <v>0</v>
      </c>
      <c r="Q86" t="n">
        <v>0</v>
      </c>
      <c r="R86" s="2" t="inlineStr"/>
    </row>
    <row r="87" ht="15" customHeight="1">
      <c r="A87" t="inlineStr">
        <is>
          <t>A 5175-2024</t>
        </is>
      </c>
      <c r="B87" s="1" t="n">
        <v>45330</v>
      </c>
      <c r="C87" s="1" t="n">
        <v>46099</v>
      </c>
      <c r="D87" t="inlineStr">
        <is>
          <t>KALMAR LÄN</t>
        </is>
      </c>
      <c r="E87" t="inlineStr">
        <is>
          <t>BORGHOLM</t>
        </is>
      </c>
      <c r="G87" t="n">
        <v>1.5</v>
      </c>
      <c r="H87" t="n">
        <v>0</v>
      </c>
      <c r="I87" t="n">
        <v>0</v>
      </c>
      <c r="J87" t="n">
        <v>0</v>
      </c>
      <c r="K87" t="n">
        <v>0</v>
      </c>
      <c r="L87" t="n">
        <v>0</v>
      </c>
      <c r="M87" t="n">
        <v>0</v>
      </c>
      <c r="N87" t="n">
        <v>0</v>
      </c>
      <c r="O87" t="n">
        <v>0</v>
      </c>
      <c r="P87" t="n">
        <v>0</v>
      </c>
      <c r="Q87" t="n">
        <v>0</v>
      </c>
      <c r="R87" s="2" t="inlineStr"/>
    </row>
    <row r="88" ht="15" customHeight="1">
      <c r="A88" t="inlineStr">
        <is>
          <t>A 13043-2024</t>
        </is>
      </c>
      <c r="B88" s="1" t="n">
        <v>45385.60111111111</v>
      </c>
      <c r="C88" s="1" t="n">
        <v>46099</v>
      </c>
      <c r="D88" t="inlineStr">
        <is>
          <t>KALMAR LÄN</t>
        </is>
      </c>
      <c r="E88" t="inlineStr">
        <is>
          <t>BORGHOLM</t>
        </is>
      </c>
      <c r="G88" t="n">
        <v>0.4</v>
      </c>
      <c r="H88" t="n">
        <v>0</v>
      </c>
      <c r="I88" t="n">
        <v>0</v>
      </c>
      <c r="J88" t="n">
        <v>0</v>
      </c>
      <c r="K88" t="n">
        <v>0</v>
      </c>
      <c r="L88" t="n">
        <v>0</v>
      </c>
      <c r="M88" t="n">
        <v>0</v>
      </c>
      <c r="N88" t="n">
        <v>0</v>
      </c>
      <c r="O88" t="n">
        <v>0</v>
      </c>
      <c r="P88" t="n">
        <v>0</v>
      </c>
      <c r="Q88" t="n">
        <v>0</v>
      </c>
      <c r="R88" s="2" t="inlineStr"/>
    </row>
    <row r="89" ht="15" customHeight="1">
      <c r="A89" t="inlineStr">
        <is>
          <t>A 64303-2023</t>
        </is>
      </c>
      <c r="B89" s="1" t="n">
        <v>45280</v>
      </c>
      <c r="C89" s="1" t="n">
        <v>46099</v>
      </c>
      <c r="D89" t="inlineStr">
        <is>
          <t>KALMAR LÄN</t>
        </is>
      </c>
      <c r="E89" t="inlineStr">
        <is>
          <t>BORGHOLM</t>
        </is>
      </c>
      <c r="G89" t="n">
        <v>1.2</v>
      </c>
      <c r="H89" t="n">
        <v>0</v>
      </c>
      <c r="I89" t="n">
        <v>0</v>
      </c>
      <c r="J89" t="n">
        <v>0</v>
      </c>
      <c r="K89" t="n">
        <v>0</v>
      </c>
      <c r="L89" t="n">
        <v>0</v>
      </c>
      <c r="M89" t="n">
        <v>0</v>
      </c>
      <c r="N89" t="n">
        <v>0</v>
      </c>
      <c r="O89" t="n">
        <v>0</v>
      </c>
      <c r="P89" t="n">
        <v>0</v>
      </c>
      <c r="Q89" t="n">
        <v>0</v>
      </c>
      <c r="R89" s="2" t="inlineStr"/>
    </row>
    <row r="90" ht="15" customHeight="1">
      <c r="A90" t="inlineStr">
        <is>
          <t>A 44547-2021</t>
        </is>
      </c>
      <c r="B90" s="1" t="n">
        <v>44435</v>
      </c>
      <c r="C90" s="1" t="n">
        <v>46099</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46099</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26160-2024</t>
        </is>
      </c>
      <c r="B92" s="1" t="n">
        <v>45468</v>
      </c>
      <c r="C92" s="1" t="n">
        <v>46099</v>
      </c>
      <c r="D92" t="inlineStr">
        <is>
          <t>KALMAR LÄN</t>
        </is>
      </c>
      <c r="E92" t="inlineStr">
        <is>
          <t>BORGHOLM</t>
        </is>
      </c>
      <c r="G92" t="n">
        <v>0.4</v>
      </c>
      <c r="H92" t="n">
        <v>0</v>
      </c>
      <c r="I92" t="n">
        <v>0</v>
      </c>
      <c r="J92" t="n">
        <v>0</v>
      </c>
      <c r="K92" t="n">
        <v>0</v>
      </c>
      <c r="L92" t="n">
        <v>0</v>
      </c>
      <c r="M92" t="n">
        <v>0</v>
      </c>
      <c r="N92" t="n">
        <v>0</v>
      </c>
      <c r="O92" t="n">
        <v>0</v>
      </c>
      <c r="P92" t="n">
        <v>0</v>
      </c>
      <c r="Q92" t="n">
        <v>0</v>
      </c>
      <c r="R92" s="2" t="inlineStr"/>
      <c r="T92">
        <f>HYPERLINK("https://klasma.github.io/Logging_0885/kartor/A 26160-2024 karta.png", "A 26160-2024")</f>
        <v/>
      </c>
      <c r="V92">
        <f>HYPERLINK("https://klasma.github.io/Logging_0885/klagomål/A 26160-2024 FSC-klagomål.docx", "A 26160-2024")</f>
        <v/>
      </c>
      <c r="W92">
        <f>HYPERLINK("https://klasma.github.io/Logging_0885/klagomålsmail/A 26160-2024 FSC-klagomål mail.docx", "A 26160-2024")</f>
        <v/>
      </c>
      <c r="X92">
        <f>HYPERLINK("https://klasma.github.io/Logging_0885/tillsyn/A 26160-2024 tillsynsbegäran.docx", "A 26160-2024")</f>
        <v/>
      </c>
      <c r="Y92">
        <f>HYPERLINK("https://klasma.github.io/Logging_0885/tillsynsmail/A 26160-2024 tillsynsbegäran mail.docx", "A 26160-2024")</f>
        <v/>
      </c>
    </row>
    <row r="93" ht="15" customHeight="1">
      <c r="A93" t="inlineStr">
        <is>
          <t>A 3878-2023</t>
        </is>
      </c>
      <c r="B93" s="1" t="n">
        <v>44951</v>
      </c>
      <c r="C93" s="1" t="n">
        <v>46099</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22785-2025</t>
        </is>
      </c>
      <c r="B94" s="1" t="n">
        <v>45789.64186342592</v>
      </c>
      <c r="C94" s="1" t="n">
        <v>46099</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46099</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46099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19867-2024</t>
        </is>
      </c>
      <c r="B97" s="1" t="n">
        <v>45433</v>
      </c>
      <c r="C97" s="1" t="n">
        <v>46099</v>
      </c>
      <c r="D97" t="inlineStr">
        <is>
          <t>KALMAR LÄN</t>
        </is>
      </c>
      <c r="E97" t="inlineStr">
        <is>
          <t>BORGHOLM</t>
        </is>
      </c>
      <c r="G97" t="n">
        <v>3.9</v>
      </c>
      <c r="H97" t="n">
        <v>0</v>
      </c>
      <c r="I97" t="n">
        <v>0</v>
      </c>
      <c r="J97" t="n">
        <v>0</v>
      </c>
      <c r="K97" t="n">
        <v>0</v>
      </c>
      <c r="L97" t="n">
        <v>0</v>
      </c>
      <c r="M97" t="n">
        <v>0</v>
      </c>
      <c r="N97" t="n">
        <v>0</v>
      </c>
      <c r="O97" t="n">
        <v>0</v>
      </c>
      <c r="P97" t="n">
        <v>0</v>
      </c>
      <c r="Q97" t="n">
        <v>0</v>
      </c>
      <c r="R97" s="2" t="inlineStr"/>
    </row>
    <row r="98" ht="15" customHeight="1">
      <c r="A98" t="inlineStr">
        <is>
          <t>A 12534-2022</t>
        </is>
      </c>
      <c r="B98" s="1" t="n">
        <v>44638</v>
      </c>
      <c r="C98" s="1" t="n">
        <v>46099</v>
      </c>
      <c r="D98" t="inlineStr">
        <is>
          <t>KALMAR LÄN</t>
        </is>
      </c>
      <c r="E98" t="inlineStr">
        <is>
          <t>BORGHOLM</t>
        </is>
      </c>
      <c r="G98" t="n">
        <v>8.6</v>
      </c>
      <c r="H98" t="n">
        <v>0</v>
      </c>
      <c r="I98" t="n">
        <v>0</v>
      </c>
      <c r="J98" t="n">
        <v>0</v>
      </c>
      <c r="K98" t="n">
        <v>0</v>
      </c>
      <c r="L98" t="n">
        <v>0</v>
      </c>
      <c r="M98" t="n">
        <v>0</v>
      </c>
      <c r="N98" t="n">
        <v>0</v>
      </c>
      <c r="O98" t="n">
        <v>0</v>
      </c>
      <c r="P98" t="n">
        <v>0</v>
      </c>
      <c r="Q98" t="n">
        <v>0</v>
      </c>
      <c r="R98" s="2" t="inlineStr"/>
    </row>
    <row r="99" ht="15" customHeight="1">
      <c r="A99" t="inlineStr">
        <is>
          <t>A 40339-2023</t>
        </is>
      </c>
      <c r="B99" s="1" t="n">
        <v>45169.62733796296</v>
      </c>
      <c r="C99" s="1" t="n">
        <v>46099</v>
      </c>
      <c r="D99" t="inlineStr">
        <is>
          <t>KALMAR LÄN</t>
        </is>
      </c>
      <c r="E99" t="inlineStr">
        <is>
          <t>BORGHOLM</t>
        </is>
      </c>
      <c r="G99" t="n">
        <v>3.8</v>
      </c>
      <c r="H99" t="n">
        <v>0</v>
      </c>
      <c r="I99" t="n">
        <v>0</v>
      </c>
      <c r="J99" t="n">
        <v>0</v>
      </c>
      <c r="K99" t="n">
        <v>0</v>
      </c>
      <c r="L99" t="n">
        <v>0</v>
      </c>
      <c r="M99" t="n">
        <v>0</v>
      </c>
      <c r="N99" t="n">
        <v>0</v>
      </c>
      <c r="O99" t="n">
        <v>0</v>
      </c>
      <c r="P99" t="n">
        <v>0</v>
      </c>
      <c r="Q99" t="n">
        <v>0</v>
      </c>
      <c r="R99" s="2" t="inlineStr"/>
    </row>
    <row r="100" ht="15" customHeight="1">
      <c r="A100" t="inlineStr">
        <is>
          <t>A 24166-2022</t>
        </is>
      </c>
      <c r="B100" s="1" t="n">
        <v>44725</v>
      </c>
      <c r="C100" s="1" t="n">
        <v>46099</v>
      </c>
      <c r="D100" t="inlineStr">
        <is>
          <t>KALMAR LÄN</t>
        </is>
      </c>
      <c r="E100" t="inlineStr">
        <is>
          <t>BORGHOLM</t>
        </is>
      </c>
      <c r="G100" t="n">
        <v>10.7</v>
      </c>
      <c r="H100" t="n">
        <v>0</v>
      </c>
      <c r="I100" t="n">
        <v>0</v>
      </c>
      <c r="J100" t="n">
        <v>0</v>
      </c>
      <c r="K100" t="n">
        <v>0</v>
      </c>
      <c r="L100" t="n">
        <v>0</v>
      </c>
      <c r="M100" t="n">
        <v>0</v>
      </c>
      <c r="N100" t="n">
        <v>0</v>
      </c>
      <c r="O100" t="n">
        <v>0</v>
      </c>
      <c r="P100" t="n">
        <v>0</v>
      </c>
      <c r="Q100" t="n">
        <v>0</v>
      </c>
      <c r="R100" s="2" t="inlineStr"/>
    </row>
    <row r="101" ht="15" customHeight="1">
      <c r="A101" t="inlineStr">
        <is>
          <t>A 26160-2025</t>
        </is>
      </c>
      <c r="B101" s="1" t="n">
        <v>45805.4490162037</v>
      </c>
      <c r="C101" s="1" t="n">
        <v>46099</v>
      </c>
      <c r="D101" t="inlineStr">
        <is>
          <t>KALMAR LÄN</t>
        </is>
      </c>
      <c r="E101" t="inlineStr">
        <is>
          <t>BORGHOLM</t>
        </is>
      </c>
      <c r="G101" t="n">
        <v>3.7</v>
      </c>
      <c r="H101" t="n">
        <v>0</v>
      </c>
      <c r="I101" t="n">
        <v>0</v>
      </c>
      <c r="J101" t="n">
        <v>0</v>
      </c>
      <c r="K101" t="n">
        <v>0</v>
      </c>
      <c r="L101" t="n">
        <v>0</v>
      </c>
      <c r="M101" t="n">
        <v>0</v>
      </c>
      <c r="N101" t="n">
        <v>0</v>
      </c>
      <c r="O101" t="n">
        <v>0</v>
      </c>
      <c r="P101" t="n">
        <v>0</v>
      </c>
      <c r="Q101" t="n">
        <v>0</v>
      </c>
      <c r="R101" s="2" t="inlineStr"/>
    </row>
    <row r="102" ht="15" customHeight="1">
      <c r="A102" t="inlineStr">
        <is>
          <t>A 26190-2025</t>
        </is>
      </c>
      <c r="B102" s="1" t="n">
        <v>45805.48349537037</v>
      </c>
      <c r="C102" s="1" t="n">
        <v>46099</v>
      </c>
      <c r="D102" t="inlineStr">
        <is>
          <t>KALMAR LÄN</t>
        </is>
      </c>
      <c r="E102" t="inlineStr">
        <is>
          <t>BORGHOLM</t>
        </is>
      </c>
      <c r="G102" t="n">
        <v>3.2</v>
      </c>
      <c r="H102" t="n">
        <v>0</v>
      </c>
      <c r="I102" t="n">
        <v>0</v>
      </c>
      <c r="J102" t="n">
        <v>0</v>
      </c>
      <c r="K102" t="n">
        <v>0</v>
      </c>
      <c r="L102" t="n">
        <v>0</v>
      </c>
      <c r="M102" t="n">
        <v>0</v>
      </c>
      <c r="N102" t="n">
        <v>0</v>
      </c>
      <c r="O102" t="n">
        <v>0</v>
      </c>
      <c r="P102" t="n">
        <v>0</v>
      </c>
      <c r="Q102" t="n">
        <v>0</v>
      </c>
      <c r="R102" s="2" t="inlineStr"/>
    </row>
    <row r="103" ht="15" customHeight="1">
      <c r="A103" t="inlineStr">
        <is>
          <t>A 20878-2024</t>
        </is>
      </c>
      <c r="B103" s="1" t="n">
        <v>45439.44748842593</v>
      </c>
      <c r="C103" s="1" t="n">
        <v>46099</v>
      </c>
      <c r="D103" t="inlineStr">
        <is>
          <t>KALMAR LÄN</t>
        </is>
      </c>
      <c r="E103" t="inlineStr">
        <is>
          <t>BORGHOLM</t>
        </is>
      </c>
      <c r="G103" t="n">
        <v>1.9</v>
      </c>
      <c r="H103" t="n">
        <v>0</v>
      </c>
      <c r="I103" t="n">
        <v>0</v>
      </c>
      <c r="J103" t="n">
        <v>0</v>
      </c>
      <c r="K103" t="n">
        <v>0</v>
      </c>
      <c r="L103" t="n">
        <v>0</v>
      </c>
      <c r="M103" t="n">
        <v>0</v>
      </c>
      <c r="N103" t="n">
        <v>0</v>
      </c>
      <c r="O103" t="n">
        <v>0</v>
      </c>
      <c r="P103" t="n">
        <v>0</v>
      </c>
      <c r="Q103" t="n">
        <v>0</v>
      </c>
      <c r="R103" s="2" t="inlineStr"/>
    </row>
    <row r="104" ht="15" customHeight="1">
      <c r="A104" t="inlineStr">
        <is>
          <t>A 27357-2025</t>
        </is>
      </c>
      <c r="B104" s="1" t="n">
        <v>45812.63650462963</v>
      </c>
      <c r="C104" s="1" t="n">
        <v>46099</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45734-2025</t>
        </is>
      </c>
      <c r="B105" s="1" t="n">
        <v>45923.46512731481</v>
      </c>
      <c r="C105" s="1" t="n">
        <v>46099</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45869-2025</t>
        </is>
      </c>
      <c r="B106" s="1" t="n">
        <v>45923.65313657407</v>
      </c>
      <c r="C106" s="1" t="n">
        <v>46099</v>
      </c>
      <c r="D106" t="inlineStr">
        <is>
          <t>KALMAR LÄN</t>
        </is>
      </c>
      <c r="E106" t="inlineStr">
        <is>
          <t>BORGHOLM</t>
        </is>
      </c>
      <c r="G106" t="n">
        <v>4.5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46099</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4159-2024</t>
        </is>
      </c>
      <c r="B108" s="1" t="n">
        <v>45323</v>
      </c>
      <c r="C108" s="1" t="n">
        <v>46099</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28782-2025</t>
        </is>
      </c>
      <c r="B109" s="1" t="n">
        <v>45820.45572916666</v>
      </c>
      <c r="C109" s="1" t="n">
        <v>46099</v>
      </c>
      <c r="D109" t="inlineStr">
        <is>
          <t>KALMAR LÄN</t>
        </is>
      </c>
      <c r="E109" t="inlineStr">
        <is>
          <t>BORGHOLM</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46845-2025</t>
        </is>
      </c>
      <c r="B110" s="1" t="n">
        <v>45928</v>
      </c>
      <c r="C110" s="1" t="n">
        <v>46099</v>
      </c>
      <c r="D110" t="inlineStr">
        <is>
          <t>KALMAR LÄN</t>
        </is>
      </c>
      <c r="E110" t="inlineStr">
        <is>
          <t>BORGHOLM</t>
        </is>
      </c>
      <c r="G110" t="n">
        <v>2.7</v>
      </c>
      <c r="H110" t="n">
        <v>0</v>
      </c>
      <c r="I110" t="n">
        <v>0</v>
      </c>
      <c r="J110" t="n">
        <v>0</v>
      </c>
      <c r="K110" t="n">
        <v>0</v>
      </c>
      <c r="L110" t="n">
        <v>0</v>
      </c>
      <c r="M110" t="n">
        <v>0</v>
      </c>
      <c r="N110" t="n">
        <v>0</v>
      </c>
      <c r="O110" t="n">
        <v>0</v>
      </c>
      <c r="P110" t="n">
        <v>0</v>
      </c>
      <c r="Q110" t="n">
        <v>0</v>
      </c>
      <c r="R110" s="2" t="inlineStr"/>
    </row>
    <row r="111" ht="15" customHeight="1">
      <c r="A111" t="inlineStr">
        <is>
          <t>A 41831-2025</t>
        </is>
      </c>
      <c r="B111" s="1" t="n">
        <v>45902.67887731481</v>
      </c>
      <c r="C111" s="1" t="n">
        <v>46099</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42232-2025</t>
        </is>
      </c>
      <c r="B112" s="1" t="n">
        <v>45904.55591435185</v>
      </c>
      <c r="C112" s="1" t="n">
        <v>46099</v>
      </c>
      <c r="D112" t="inlineStr">
        <is>
          <t>KALMAR LÄN</t>
        </is>
      </c>
      <c r="E112" t="inlineStr">
        <is>
          <t>BORGHOLM</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41950-2025</t>
        </is>
      </c>
      <c r="B113" s="1" t="n">
        <v>45903.45767361111</v>
      </c>
      <c r="C113" s="1" t="n">
        <v>46099</v>
      </c>
      <c r="D113" t="inlineStr">
        <is>
          <t>KALMAR LÄN</t>
        </is>
      </c>
      <c r="E113" t="inlineStr">
        <is>
          <t>BORGHOLM</t>
        </is>
      </c>
      <c r="G113" t="n">
        <v>1.8</v>
      </c>
      <c r="H113" t="n">
        <v>0</v>
      </c>
      <c r="I113" t="n">
        <v>0</v>
      </c>
      <c r="J113" t="n">
        <v>0</v>
      </c>
      <c r="K113" t="n">
        <v>0</v>
      </c>
      <c r="L113" t="n">
        <v>0</v>
      </c>
      <c r="M113" t="n">
        <v>0</v>
      </c>
      <c r="N113" t="n">
        <v>0</v>
      </c>
      <c r="O113" t="n">
        <v>0</v>
      </c>
      <c r="P113" t="n">
        <v>0</v>
      </c>
      <c r="Q113" t="n">
        <v>0</v>
      </c>
      <c r="R113" s="2" t="inlineStr"/>
    </row>
    <row r="114" ht="15" customHeight="1">
      <c r="A114" t="inlineStr">
        <is>
          <t>A 43542-2025</t>
        </is>
      </c>
      <c r="B114" s="1" t="n">
        <v>45911.61123842592</v>
      </c>
      <c r="C114" s="1" t="n">
        <v>46099</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36269-2025</t>
        </is>
      </c>
      <c r="B115" s="1" t="n">
        <v>45867.61736111111</v>
      </c>
      <c r="C115" s="1" t="n">
        <v>46099</v>
      </c>
      <c r="D115" t="inlineStr">
        <is>
          <t>KALMAR LÄN</t>
        </is>
      </c>
      <c r="E115" t="inlineStr">
        <is>
          <t>BORGHOLM</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60141-2025</t>
        </is>
      </c>
      <c r="B116" s="1" t="n">
        <v>45994.36873842592</v>
      </c>
      <c r="C116" s="1" t="n">
        <v>46099</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61723-2025</t>
        </is>
      </c>
      <c r="B117" s="1" t="n">
        <v>46002.58388888889</v>
      </c>
      <c r="C117" s="1" t="n">
        <v>46099</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7481-2026</t>
        </is>
      </c>
      <c r="B118" s="1" t="n">
        <v>46059.51359953704</v>
      </c>
      <c r="C118" s="1" t="n">
        <v>46099</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9259-2026</t>
        </is>
      </c>
      <c r="B119" s="1" t="n">
        <v>46070.51917824074</v>
      </c>
      <c r="C119" s="1" t="n">
        <v>46099</v>
      </c>
      <c r="D119" t="inlineStr">
        <is>
          <t>KALMAR LÄN</t>
        </is>
      </c>
      <c r="E119" t="inlineStr">
        <is>
          <t>BORGHOLM</t>
        </is>
      </c>
      <c r="G119" t="n">
        <v>1.6</v>
      </c>
      <c r="H119" t="n">
        <v>0</v>
      </c>
      <c r="I119" t="n">
        <v>0</v>
      </c>
      <c r="J119" t="n">
        <v>0</v>
      </c>
      <c r="K119" t="n">
        <v>0</v>
      </c>
      <c r="L119" t="n">
        <v>0</v>
      </c>
      <c r="M119" t="n">
        <v>0</v>
      </c>
      <c r="N119" t="n">
        <v>0</v>
      </c>
      <c r="O119" t="n">
        <v>0</v>
      </c>
      <c r="P119" t="n">
        <v>0</v>
      </c>
      <c r="Q119" t="n">
        <v>0</v>
      </c>
      <c r="R119" s="2" t="inlineStr"/>
    </row>
    <row r="120" ht="15" customHeight="1">
      <c r="A120" t="inlineStr">
        <is>
          <t>A 9104-2026</t>
        </is>
      </c>
      <c r="B120" s="1" t="n">
        <v>46069</v>
      </c>
      <c r="C120" s="1" t="n">
        <v>46099</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c r="A121" t="inlineStr">
        <is>
          <t>A 9905-2026</t>
        </is>
      </c>
      <c r="B121" s="1" t="n">
        <v>46073.4108912037</v>
      </c>
      <c r="C121" s="1" t="n">
        <v>46099</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2026-03-18T11:25:26Z</dcterms:created>
  <dcterms:modified xmlns:dcterms="http://purl.org/dc/terms/" xmlns:xsi="http://www.w3.org/2001/XMLSchema-instance" xsi:type="dcterms:W3CDTF">2026-03-18T11:25:26Z</dcterms:modified>
</cp:coreProperties>
</file>