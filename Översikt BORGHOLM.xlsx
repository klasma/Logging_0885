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46226</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46226</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46226</v>
      </c>
      <c r="F4" t="inlineStr">
        <is>
          <t>KALMAR LÄN</t>
        </is>
      </c>
      <c r="G4" t="inlineStr">
        <is>
          <t>BORGHOLM</t>
        </is>
      </c>
      <c r="I4" t="n">
        <v>13.5</v>
      </c>
      <c r="J4" t="n">
        <v>13</v>
      </c>
      <c r="K4" t="n">
        <v>6</v>
      </c>
      <c r="L4" t="n">
        <v>9</v>
      </c>
      <c r="M4" t="n">
        <v>1</v>
      </c>
      <c r="N4" t="n">
        <v>1</v>
      </c>
      <c r="O4" t="n">
        <v>0</v>
      </c>
      <c r="P4" t="n">
        <v>0</v>
      </c>
      <c r="Q4" t="n">
        <v>11</v>
      </c>
      <c r="R4" t="n">
        <v>2</v>
      </c>
      <c r="S4" t="n">
        <v>30</v>
      </c>
      <c r="T4" t="n">
        <v>46</v>
      </c>
      <c r="U4" t="n">
        <v>39</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46226</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46226</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46226</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46226</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46226</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46226</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46226</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46226</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46226</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46226</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46226</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46226</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46226</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46226</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46226</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46226</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46226</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46226</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46226</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46226</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46226</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46226</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46226</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46226</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46226</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46226</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46226</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46226</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46226</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46226</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46226</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46226</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46226</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46226</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46226</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46226</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46226</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46226</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46226</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46226</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46226</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46226</v>
      </c>
      <c r="F46" t="inlineStr">
        <is>
          <t>KALMAR LÄN</t>
        </is>
      </c>
      <c r="G46" t="inlineStr">
        <is>
          <t>BORGHOLM</t>
        </is>
      </c>
      <c r="I46" t="n">
        <v>1.4</v>
      </c>
      <c r="J46" t="n">
        <v>2</v>
      </c>
      <c r="K46" t="n">
        <v>2</v>
      </c>
      <c r="L46" t="n">
        <v>1</v>
      </c>
      <c r="M46" t="n">
        <v>0</v>
      </c>
      <c r="N46" t="n">
        <v>0</v>
      </c>
      <c r="O46" t="n">
        <v>0</v>
      </c>
      <c r="P46" t="n">
        <v>0</v>
      </c>
      <c r="Q46" t="n">
        <v>1</v>
      </c>
      <c r="R46" t="n">
        <v>0</v>
      </c>
      <c r="S46" t="n">
        <v>4</v>
      </c>
      <c r="T46" t="n">
        <v>9</v>
      </c>
      <c r="U46" t="n">
        <v>4</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2742-2022</t>
        </is>
      </c>
      <c r="B47" t="inlineStr">
        <is>
          <t>samrådsanmälan</t>
        </is>
      </c>
      <c r="C47" t="inlineStr">
        <is>
          <t>Annan skogsbruksåtgärd</t>
        </is>
      </c>
      <c r="D47" s="1" t="n">
        <v>44704</v>
      </c>
      <c r="E47" s="1" t="n">
        <v>46226</v>
      </c>
      <c r="F47" t="inlineStr">
        <is>
          <t>KALMAR LÄN</t>
        </is>
      </c>
      <c r="G47" t="inlineStr">
        <is>
          <t>BORGHOLM</t>
        </is>
      </c>
      <c r="I47" t="n">
        <v>3.1</v>
      </c>
      <c r="J47" t="n">
        <v>1</v>
      </c>
      <c r="K47" t="n">
        <v>1</v>
      </c>
      <c r="L47" t="n">
        <v>1</v>
      </c>
      <c r="M47" t="n">
        <v>0</v>
      </c>
      <c r="N47" t="n">
        <v>2</v>
      </c>
      <c r="O47" t="n">
        <v>0</v>
      </c>
      <c r="P47" t="n">
        <v>0</v>
      </c>
      <c r="Q47" t="n">
        <v>3</v>
      </c>
      <c r="R47" t="n">
        <v>2</v>
      </c>
      <c r="S47" t="n">
        <v>4</v>
      </c>
      <c r="T47" t="n">
        <v>14</v>
      </c>
      <c r="U47" t="n">
        <v>13</v>
      </c>
      <c r="V47" s="2" t="inlineStr">
        <is>
          <t>Ask
Skogsalm
Vårärt
Ekoxe</t>
        </is>
      </c>
      <c r="W47">
        <f>HYPERLINK("https://klasma.github.io/Logging_0885/artfynd/S 2742-2022 artfynd.xlsx", "S 2742-2022")</f>
        <v/>
      </c>
      <c r="X47">
        <f>HYPERLINK("https://klasma.github.io/Logging_0885/kartor/S 2742-2022 karta.png", "S 2742-2022")</f>
        <v/>
      </c>
      <c r="Y47">
        <f>HYPERLINK("https://klasma.github.io/Logging_0885/kartor_geotiff/S 2742-2022 georefererad karta.tif", "S 2742-2022")</f>
        <v/>
      </c>
      <c r="AA47">
        <f>HYPERLINK("https://klasma.github.io/Logging_0885/klagomål/S 2742-2022 FSC-klagomål.docx", "S 2742-2022")</f>
        <v/>
      </c>
      <c r="AB47">
        <f>HYPERLINK("https://klasma.github.io/Logging_0885/klagomålsmail/S 2742-2022 FSC-klagomål mail.docx", "S 2742-2022")</f>
        <v/>
      </c>
      <c r="AC47">
        <f>HYPERLINK("https://klasma.github.io/Logging_0885/tillsyn/S 2742-2022 tillsynsbegäran.docx", "S 2742-2022")</f>
        <v/>
      </c>
      <c r="AD47">
        <f>HYPERLINK("https://klasma.github.io/Logging_0885/tillsynsmail/S 2742-2022 tillsynsbegäran mail.docx", "S 2742-2022")</f>
        <v/>
      </c>
    </row>
    <row r="48" ht="15" customHeight="1">
      <c r="A48" t="inlineStr">
        <is>
          <t>A 32640-2022</t>
        </is>
      </c>
      <c r="B48" t="inlineStr">
        <is>
          <t>avverkningsanmälan</t>
        </is>
      </c>
      <c r="C48" t="inlineStr">
        <is>
          <t>Avverkning för att bevara och utveckla /försöksver</t>
        </is>
      </c>
      <c r="D48" s="1" t="n">
        <v>44783</v>
      </c>
      <c r="E48" s="1" t="n">
        <v>46226</v>
      </c>
      <c r="F48" t="inlineStr">
        <is>
          <t>KALMAR LÄN</t>
        </is>
      </c>
      <c r="G48" t="inlineStr">
        <is>
          <t>BORGHOLM</t>
        </is>
      </c>
      <c r="H48" t="inlineStr">
        <is>
          <t>Sveaskog</t>
        </is>
      </c>
      <c r="I48" t="n">
        <v>1.2</v>
      </c>
      <c r="J48" t="n">
        <v>0</v>
      </c>
      <c r="K48" t="n">
        <v>3</v>
      </c>
      <c r="L48" t="n">
        <v>0</v>
      </c>
      <c r="M48" t="n">
        <v>0</v>
      </c>
      <c r="N48" t="n">
        <v>0</v>
      </c>
      <c r="O48" t="n">
        <v>0</v>
      </c>
      <c r="P48" t="n">
        <v>0</v>
      </c>
      <c r="Q48" t="n">
        <v>0</v>
      </c>
      <c r="R48" t="n">
        <v>0</v>
      </c>
      <c r="S48" t="n">
        <v>3</v>
      </c>
      <c r="T48" t="n">
        <v>3</v>
      </c>
      <c r="U48" t="n">
        <v>3</v>
      </c>
      <c r="V48" s="2" t="inlineStr">
        <is>
          <t>Kornknutmossa
Murgröna
Svart trolldruva</t>
        </is>
      </c>
      <c r="W48">
        <f>HYPERLINK("https://klasma.github.io/Logging_0885/artfynd/A 32640-2022 artfynd.xlsx", "A 32640-2022")</f>
        <v/>
      </c>
      <c r="X48">
        <f>HYPERLINK("https://klasma.github.io/Logging_0885/kartor/A 32640-2022 karta.png", "A 32640-2022")</f>
        <v/>
      </c>
      <c r="Y48">
        <f>HYPERLINK("https://klasma.github.io/Logging_0885/kartor_geotiff/A 32640-2022 georefererad karta.tif", "A 32640-2022")</f>
        <v/>
      </c>
      <c r="AA48">
        <f>HYPERLINK("https://klasma.github.io/Logging_0885/klagomål/A 32640-2022 FSC-klagomål.docx", "A 32640-2022")</f>
        <v/>
      </c>
      <c r="AB48">
        <f>HYPERLINK("https://klasma.github.io/Logging_0885/klagomålsmail/A 32640-2022 FSC-klagomål mail.docx", "A 32640-2022")</f>
        <v/>
      </c>
      <c r="AC48">
        <f>HYPERLINK("https://klasma.github.io/Logging_0885/tillsyn/A 32640-2022 tillsynsbegäran.docx", "A 32640-2022")</f>
        <v/>
      </c>
      <c r="AD48">
        <f>HYPERLINK("https://klasma.github.io/Logging_0885/tillsynsmail/A 32640-2022 tillsynsbegäran mail.docx", "A 32640-2022")</f>
        <v/>
      </c>
    </row>
    <row r="49" ht="15" customHeight="1">
      <c r="A49" t="inlineStr">
        <is>
          <t>A 38860-2025</t>
        </is>
      </c>
      <c r="B49" t="inlineStr">
        <is>
          <t>avverkningsanmälan</t>
        </is>
      </c>
      <c r="C49" t="inlineStr">
        <is>
          <t>Föryngringsavverkning</t>
        </is>
      </c>
      <c r="D49" s="1" t="n">
        <v>45887</v>
      </c>
      <c r="E49" s="1" t="n">
        <v>46226</v>
      </c>
      <c r="F49" t="inlineStr">
        <is>
          <t>KALMAR LÄN</t>
        </is>
      </c>
      <c r="G49" t="inlineStr">
        <is>
          <t>BORGHOLM</t>
        </is>
      </c>
      <c r="I49" t="n">
        <v>5.6</v>
      </c>
      <c r="J49" t="n">
        <v>2</v>
      </c>
      <c r="K49" t="n">
        <v>1</v>
      </c>
      <c r="L49" t="n">
        <v>0</v>
      </c>
      <c r="M49" t="n">
        <v>0</v>
      </c>
      <c r="N49" t="n">
        <v>1</v>
      </c>
      <c r="O49" t="n">
        <v>0</v>
      </c>
      <c r="P49" t="n">
        <v>0</v>
      </c>
      <c r="Q49" t="n">
        <v>1</v>
      </c>
      <c r="R49" t="n">
        <v>1</v>
      </c>
      <c r="S49" t="n">
        <v>3</v>
      </c>
      <c r="T49" t="n">
        <v>3</v>
      </c>
      <c r="U49" t="n">
        <v>0</v>
      </c>
      <c r="V49" s="2" t="inlineStr">
        <is>
          <t>Ask
Skogsknipprot
Revlummer</t>
        </is>
      </c>
      <c r="W49">
        <f>HYPERLINK("https://klasma.github.io/Logging_0885/artfynd/A 38860-2025 artfynd.xlsx", "A 38860-2025")</f>
        <v/>
      </c>
      <c r="X49">
        <f>HYPERLINK("https://klasma.github.io/Logging_0885/kartor/A 38860-2025 karta.png", "A 38860-2025")</f>
        <v/>
      </c>
      <c r="Y49">
        <f>HYPERLINK("https://klasma.github.io/Logging_0885/kartor_geotiff/A 38860-2025 georefererad karta.tif", "A 38860-2025")</f>
        <v/>
      </c>
      <c r="AA49">
        <f>HYPERLINK("https://klasma.github.io/Logging_0885/klagomål/A 38860-2025 FSC-klagomål.docx", "A 38860-2025")</f>
        <v/>
      </c>
      <c r="AB49">
        <f>HYPERLINK("https://klasma.github.io/Logging_0885/klagomålsmail/A 38860-2025 FSC-klagomål mail.docx", "A 38860-2025")</f>
        <v/>
      </c>
      <c r="AC49">
        <f>HYPERLINK("https://klasma.github.io/Logging_0885/tillsyn/A 38860-2025 tillsynsbegäran.docx", "A 38860-2025")</f>
        <v/>
      </c>
      <c r="AD49">
        <f>HYPERLINK("https://klasma.github.io/Logging_0885/tillsynsmail/A 38860-2025 tillsynsbegäran mail.docx", "A 38860-2025")</f>
        <v/>
      </c>
    </row>
    <row r="50" ht="15" customHeight="1">
      <c r="A50" t="inlineStr">
        <is>
          <t>A 43542-2025</t>
        </is>
      </c>
      <c r="B50" t="inlineStr">
        <is>
          <t>avverkningsanmälan</t>
        </is>
      </c>
      <c r="C50" t="inlineStr">
        <is>
          <t>Föryngringsavverkning</t>
        </is>
      </c>
      <c r="D50" s="1" t="n">
        <v>45911</v>
      </c>
      <c r="E50" s="1" t="n">
        <v>46226</v>
      </c>
      <c r="F50" t="inlineStr">
        <is>
          <t>KALMAR LÄN</t>
        </is>
      </c>
      <c r="G50" t="inlineStr">
        <is>
          <t>BORGHOLM</t>
        </is>
      </c>
      <c r="I50" t="n">
        <v>2.4</v>
      </c>
      <c r="J50" t="n">
        <v>0</v>
      </c>
      <c r="K50" t="n">
        <v>1</v>
      </c>
      <c r="L50" t="n">
        <v>2</v>
      </c>
      <c r="M50" t="n">
        <v>0</v>
      </c>
      <c r="N50" t="n">
        <v>0</v>
      </c>
      <c r="O50" t="n">
        <v>0</v>
      </c>
      <c r="P50" t="n">
        <v>0</v>
      </c>
      <c r="Q50" t="n">
        <v>2</v>
      </c>
      <c r="R50" t="n">
        <v>0</v>
      </c>
      <c r="S50" t="n">
        <v>3</v>
      </c>
      <c r="T50" t="n">
        <v>3</v>
      </c>
      <c r="U50" t="n">
        <v>3</v>
      </c>
      <c r="V50" s="2" t="inlineStr">
        <is>
          <t>Vårärt
Ängsskära
Underviol</t>
        </is>
      </c>
      <c r="W50">
        <f>HYPERLINK("https://klasma.github.io/Logging_0885/artfynd/A 43542-2025 artfynd.xlsx", "A 43542-2025")</f>
        <v/>
      </c>
      <c r="X50">
        <f>HYPERLINK("https://klasma.github.io/Logging_0885/kartor/A 43542-2025 karta.png", "A 43542-2025")</f>
        <v/>
      </c>
      <c r="Y50">
        <f>HYPERLINK("https://klasma.github.io/Logging_0885/kartor_geotiff/A 43542-2025 georefererad karta.tif", "A 43542-2025")</f>
        <v/>
      </c>
      <c r="AA50">
        <f>HYPERLINK("https://klasma.github.io/Logging_0885/klagomål/A 43542-2025 FSC-klagomål.docx", "A 43542-2025")</f>
        <v/>
      </c>
      <c r="AB50">
        <f>HYPERLINK("https://klasma.github.io/Logging_0885/klagomålsmail/A 43542-2025 FSC-klagomål mail.docx", "A 43542-2025")</f>
        <v/>
      </c>
      <c r="AC50">
        <f>HYPERLINK("https://klasma.github.io/Logging_0885/tillsyn/A 43542-2025 tillsynsbegäran.docx", "A 43542-2025")</f>
        <v/>
      </c>
      <c r="AD50">
        <f>HYPERLINK("https://klasma.github.io/Logging_0885/tillsynsmail/A 43542-2025 tillsynsbegäran mail.docx", "A 43542-2025")</f>
        <v/>
      </c>
    </row>
    <row r="51" ht="15" customHeight="1">
      <c r="A51" t="inlineStr">
        <is>
          <t>A 15285-2026</t>
        </is>
      </c>
      <c r="B51" t="inlineStr">
        <is>
          <t>avverkningsanmälan</t>
        </is>
      </c>
      <c r="C51" t="inlineStr">
        <is>
          <t>Avverkning för att bevara och utveckla /försöksver</t>
        </is>
      </c>
      <c r="D51" s="1" t="n">
        <v>46105</v>
      </c>
      <c r="E51" s="1" t="n">
        <v>46226</v>
      </c>
      <c r="F51" t="inlineStr">
        <is>
          <t>KALMAR LÄN</t>
        </is>
      </c>
      <c r="G51" t="inlineStr">
        <is>
          <t>BORGHOLM</t>
        </is>
      </c>
      <c r="H51" t="inlineStr">
        <is>
          <t>Sveaskog</t>
        </is>
      </c>
      <c r="I51" t="n">
        <v>1.7</v>
      </c>
      <c r="J51" t="n">
        <v>3</v>
      </c>
      <c r="K51" t="n">
        <v>0</v>
      </c>
      <c r="L51" t="n">
        <v>1</v>
      </c>
      <c r="M51" t="n">
        <v>0</v>
      </c>
      <c r="N51" t="n">
        <v>0</v>
      </c>
      <c r="O51" t="n">
        <v>0</v>
      </c>
      <c r="P51" t="n">
        <v>0</v>
      </c>
      <c r="Q51" t="n">
        <v>1</v>
      </c>
      <c r="R51" t="n">
        <v>0</v>
      </c>
      <c r="S51" t="n">
        <v>3</v>
      </c>
      <c r="T51" t="n">
        <v>3</v>
      </c>
      <c r="U51" t="n">
        <v>0</v>
      </c>
      <c r="V51" s="2" t="inlineStr">
        <is>
          <t>Talltita
Havsörn
Kungsfågel</t>
        </is>
      </c>
      <c r="W51">
        <f>HYPERLINK("https://klasma.github.io/Logging_0885/artfynd/A 15285-2026 artfynd.xlsx", "A 15285-2026")</f>
        <v/>
      </c>
      <c r="X51">
        <f>HYPERLINK("https://klasma.github.io/Logging_0885/kartor/A 15285-2026 karta.png", "A 15285-2026")</f>
        <v/>
      </c>
      <c r="Y51">
        <f>HYPERLINK("https://klasma.github.io/Logging_0885/kartor_geotiff/A 15285-2026 georefererad karta.tif", "A 15285-2026")</f>
        <v/>
      </c>
      <c r="AA51">
        <f>HYPERLINK("https://klasma.github.io/Logging_0885/klagomål/A 15285-2026 FSC-klagomål.docx", "A 15285-2026")</f>
        <v/>
      </c>
      <c r="AB51">
        <f>HYPERLINK("https://klasma.github.io/Logging_0885/klagomålsmail/A 15285-2026 FSC-klagomål mail.docx", "A 15285-2026")</f>
        <v/>
      </c>
      <c r="AC51">
        <f>HYPERLINK("https://klasma.github.io/Logging_0885/tillsyn/A 15285-2026 tillsynsbegäran.docx", "A 15285-2026")</f>
        <v/>
      </c>
      <c r="AD51">
        <f>HYPERLINK("https://klasma.github.io/Logging_0885/tillsynsmail/A 15285-2026 tillsynsbegäran mail.docx", "A 15285-2026")</f>
        <v/>
      </c>
      <c r="AE51">
        <f>HYPERLINK("https://klasma.github.io/Logging_0885/fåglar/A 15285-2026 prioriterade fågelarter.docx", "A 15285-2026")</f>
        <v/>
      </c>
    </row>
    <row r="52" ht="15" customHeight="1">
      <c r="A52" t="inlineStr">
        <is>
          <t>A 26849-2026</t>
        </is>
      </c>
      <c r="B52" t="inlineStr">
        <is>
          <t>avverkningsanmälan</t>
        </is>
      </c>
      <c r="C52" t="inlineStr">
        <is>
          <t>Föryngringsavverkning</t>
        </is>
      </c>
      <c r="D52" s="1" t="n">
        <v>46185</v>
      </c>
      <c r="E52" s="1" t="n">
        <v>46226</v>
      </c>
      <c r="F52" t="inlineStr">
        <is>
          <t>KALMAR LÄN</t>
        </is>
      </c>
      <c r="G52" t="inlineStr">
        <is>
          <t>BORGHOLM</t>
        </is>
      </c>
      <c r="H52" t="inlineStr">
        <is>
          <t>Sveaskog</t>
        </is>
      </c>
      <c r="I52" t="n">
        <v>8.1</v>
      </c>
      <c r="J52" t="n">
        <v>2</v>
      </c>
      <c r="K52" t="n">
        <v>3</v>
      </c>
      <c r="L52" t="n">
        <v>0</v>
      </c>
      <c r="M52" t="n">
        <v>0</v>
      </c>
      <c r="N52" t="n">
        <v>0</v>
      </c>
      <c r="O52" t="n">
        <v>0</v>
      </c>
      <c r="P52" t="n">
        <v>0</v>
      </c>
      <c r="Q52" t="n">
        <v>0</v>
      </c>
      <c r="R52" t="n">
        <v>0</v>
      </c>
      <c r="S52" t="n">
        <v>3</v>
      </c>
      <c r="T52" t="n">
        <v>3</v>
      </c>
      <c r="U52" t="n">
        <v>0</v>
      </c>
      <c r="V52" s="2" t="inlineStr">
        <is>
          <t>Myskmadra
Purpurknipprot
Vit skogslilja</t>
        </is>
      </c>
      <c r="W52">
        <f>HYPERLINK("https://klasma.github.io/Logging_0885/artfynd/A 26849-2026 artfynd.xlsx", "A 26849-2026")</f>
        <v/>
      </c>
      <c r="X52">
        <f>HYPERLINK("https://klasma.github.io/Logging_0885/kartor/A 26849-2026 karta.png", "A 26849-2026")</f>
        <v/>
      </c>
      <c r="Y52">
        <f>HYPERLINK("https://klasma.github.io/Logging_0885/kartor_geotiff/A 26849-2026 georefererad karta.tif", "A 26849-2026")</f>
        <v/>
      </c>
      <c r="AA52">
        <f>HYPERLINK("https://klasma.github.io/Logging_0885/klagomål/A 26849-2026 FSC-klagomål.docx", "A 26849-2026")</f>
        <v/>
      </c>
      <c r="AB52">
        <f>HYPERLINK("https://klasma.github.io/Logging_0885/klagomålsmail/A 26849-2026 FSC-klagomål mail.docx", "A 26849-2026")</f>
        <v/>
      </c>
      <c r="AC52">
        <f>HYPERLINK("https://klasma.github.io/Logging_0885/tillsyn/A 26849-2026 tillsynsbegäran.docx", "A 26849-2026")</f>
        <v/>
      </c>
      <c r="AD52">
        <f>HYPERLINK("https://klasma.github.io/Logging_0885/tillsynsmail/A 26849-2026 tillsynsbegäran mail.docx", "A 26849-2026")</f>
        <v/>
      </c>
    </row>
    <row r="53" ht="15" customHeight="1">
      <c r="A53" t="inlineStr">
        <is>
          <t>A 27283-2026</t>
        </is>
      </c>
      <c r="B53" t="inlineStr">
        <is>
          <t>avverkningsanmälan</t>
        </is>
      </c>
      <c r="C53" t="inlineStr">
        <is>
          <t>Avverkning för att bevara och utveckla /försöksver</t>
        </is>
      </c>
      <c r="D53" s="1" t="n">
        <v>46188</v>
      </c>
      <c r="E53" s="1" t="n">
        <v>46226</v>
      </c>
      <c r="F53" t="inlineStr">
        <is>
          <t>KALMAR LÄN</t>
        </is>
      </c>
      <c r="G53" t="inlineStr">
        <is>
          <t>BORGHOLM</t>
        </is>
      </c>
      <c r="H53" t="inlineStr">
        <is>
          <t>Sveaskog</t>
        </is>
      </c>
      <c r="I53" t="n">
        <v>2</v>
      </c>
      <c r="J53" t="n">
        <v>1</v>
      </c>
      <c r="K53" t="n">
        <v>1</v>
      </c>
      <c r="L53" t="n">
        <v>1</v>
      </c>
      <c r="M53" t="n">
        <v>0</v>
      </c>
      <c r="N53" t="n">
        <v>1</v>
      </c>
      <c r="O53" t="n">
        <v>0</v>
      </c>
      <c r="P53" t="n">
        <v>0</v>
      </c>
      <c r="Q53" t="n">
        <v>2</v>
      </c>
      <c r="R53" t="n">
        <v>1</v>
      </c>
      <c r="S53" t="n">
        <v>3</v>
      </c>
      <c r="T53" t="n">
        <v>3</v>
      </c>
      <c r="U53" t="n">
        <v>0</v>
      </c>
      <c r="V53" s="2" t="inlineStr">
        <is>
          <t>Ask
Mindre poppelglasvinge
Skogsknipprot</t>
        </is>
      </c>
      <c r="W53">
        <f>HYPERLINK("https://klasma.github.io/Logging_0885/artfynd/A 27283-2026 artfynd.xlsx", "A 27283-2026")</f>
        <v/>
      </c>
      <c r="X53">
        <f>HYPERLINK("https://klasma.github.io/Logging_0885/kartor/A 27283-2026 karta.png", "A 27283-2026")</f>
        <v/>
      </c>
      <c r="Y53">
        <f>HYPERLINK("https://klasma.github.io/Logging_0885/kartor_geotiff/A 27283-2026 georefererad karta.tif", "A 27283-2026")</f>
        <v/>
      </c>
      <c r="AA53">
        <f>HYPERLINK("https://klasma.github.io/Logging_0885/klagomål/A 27283-2026 FSC-klagomål.docx", "A 27283-2026")</f>
        <v/>
      </c>
      <c r="AB53">
        <f>HYPERLINK("https://klasma.github.io/Logging_0885/klagomålsmail/A 27283-2026 FSC-klagomål mail.docx", "A 27283-2026")</f>
        <v/>
      </c>
      <c r="AC53">
        <f>HYPERLINK("https://klasma.github.io/Logging_0885/tillsyn/A 27283-2026 tillsynsbegäran.docx", "A 27283-2026")</f>
        <v/>
      </c>
      <c r="AD53">
        <f>HYPERLINK("https://klasma.github.io/Logging_0885/tillsynsmail/A 27283-2026 tillsynsbegäran mail.docx", "A 27283-2026")</f>
        <v/>
      </c>
    </row>
    <row r="54" ht="15" customHeight="1">
      <c r="A54" t="inlineStr">
        <is>
          <t>A 32174-2022</t>
        </is>
      </c>
      <c r="B54" t="inlineStr">
        <is>
          <t>avverkningsanmälan</t>
        </is>
      </c>
      <c r="C54" t="inlineStr">
        <is>
          <t>Avverkning för att bevara och utveckla /försöksver</t>
        </is>
      </c>
      <c r="D54" s="1" t="n">
        <v>44781</v>
      </c>
      <c r="E54" s="1" t="n">
        <v>46226</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46226</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31520-2026</t>
        </is>
      </c>
      <c r="B56" t="inlineStr">
        <is>
          <t>avverkningsanmälan</t>
        </is>
      </c>
      <c r="C56" t="inlineStr">
        <is>
          <t>Avverkning för att bevara och utveckla /försöksver</t>
        </is>
      </c>
      <c r="D56" s="1" t="n">
        <v>46223</v>
      </c>
      <c r="E56" s="1" t="n">
        <v>46226</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24048-2025</t>
        </is>
      </c>
      <c r="B57" t="inlineStr">
        <is>
          <t>avverkningsanmälan</t>
        </is>
      </c>
      <c r="C57" t="inlineStr">
        <is>
          <t>Föryngringsavverkning</t>
        </is>
      </c>
      <c r="D57" s="1" t="n">
        <v>45796</v>
      </c>
      <c r="E57" s="1" t="n">
        <v>46226</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S 2740-2022</t>
        </is>
      </c>
      <c r="B58" t="inlineStr">
        <is>
          <t>samrådsanmälan</t>
        </is>
      </c>
      <c r="C58" t="inlineStr">
        <is>
          <t>Annan skogsbruksåtgärd</t>
        </is>
      </c>
      <c r="D58" s="1" t="n">
        <v>44704</v>
      </c>
      <c r="E58" s="1" t="n">
        <v>46226</v>
      </c>
      <c r="F58" t="inlineStr">
        <is>
          <t>KALMAR LÄN</t>
        </is>
      </c>
      <c r="G58" t="inlineStr">
        <is>
          <t>BORGHOLM</t>
        </is>
      </c>
      <c r="I58" t="n">
        <v>4.4</v>
      </c>
      <c r="J58" t="n">
        <v>2</v>
      </c>
      <c r="K58" t="n">
        <v>1</v>
      </c>
      <c r="L58" t="n">
        <v>0</v>
      </c>
      <c r="M58" t="n">
        <v>0</v>
      </c>
      <c r="N58" t="n">
        <v>1</v>
      </c>
      <c r="O58" t="n">
        <v>0</v>
      </c>
      <c r="P58" t="n">
        <v>0</v>
      </c>
      <c r="Q58" t="n">
        <v>1</v>
      </c>
      <c r="R58" t="n">
        <v>1</v>
      </c>
      <c r="S58" t="n">
        <v>3</v>
      </c>
      <c r="T58" t="n">
        <v>16</v>
      </c>
      <c r="U58" t="n">
        <v>16</v>
      </c>
      <c r="V58" s="2" t="inlineStr">
        <is>
          <t>Ask
Ekoxe
Vanlig padda</t>
        </is>
      </c>
      <c r="W58">
        <f>HYPERLINK("https://klasma.github.io/Logging_0885/artfynd/S 2740-2022 artfynd.xlsx", "S 2740-2022")</f>
        <v/>
      </c>
      <c r="X58">
        <f>HYPERLINK("https://klasma.github.io/Logging_0885/kartor/S 2740-2022 karta.png", "S 2740-2022")</f>
        <v/>
      </c>
      <c r="Y58">
        <f>HYPERLINK("https://klasma.github.io/Logging_0885/kartor_geotiff/S 2740-2022 georefererad karta.tif", "S 2740-2022")</f>
        <v/>
      </c>
      <c r="AA58">
        <f>HYPERLINK("https://klasma.github.io/Logging_0885/klagomål/S 2740-2022 FSC-klagomål.docx", "S 2740-2022")</f>
        <v/>
      </c>
      <c r="AB58">
        <f>HYPERLINK("https://klasma.github.io/Logging_0885/klagomålsmail/S 2740-2022 FSC-klagomål mail.docx", "S 2740-2022")</f>
        <v/>
      </c>
      <c r="AC58">
        <f>HYPERLINK("https://klasma.github.io/Logging_0885/tillsyn/S 2740-2022 tillsynsbegäran.docx", "S 2740-2022")</f>
        <v/>
      </c>
      <c r="AD58">
        <f>HYPERLINK("https://klasma.github.io/Logging_0885/tillsynsmail/S 2740-2022 tillsynsbegäran mail.docx", "S 2740-2022")</f>
        <v/>
      </c>
    </row>
    <row r="59" ht="15" customHeight="1">
      <c r="A59" t="inlineStr">
        <is>
          <t>S 846-2026</t>
        </is>
      </c>
      <c r="B59" t="inlineStr">
        <is>
          <t>samrådsanmälan</t>
        </is>
      </c>
      <c r="C59" t="inlineStr">
        <is>
          <t>Annan skogsbruksåtgärd</t>
        </is>
      </c>
      <c r="D59" s="1" t="n">
        <v>46105</v>
      </c>
      <c r="E59" s="1" t="n">
        <v>46226</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46226</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46226</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46226</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46226</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9253-2026</t>
        </is>
      </c>
      <c r="B64" t="inlineStr">
        <is>
          <t>avverkningsanmälan</t>
        </is>
      </c>
      <c r="C64" t="inlineStr">
        <is>
          <t>Föryngringsavverkning</t>
        </is>
      </c>
      <c r="D64" s="1" t="n">
        <v>46070</v>
      </c>
      <c r="E64" s="1" t="n">
        <v>46226</v>
      </c>
      <c r="F64" t="inlineStr">
        <is>
          <t>KALMAR LÄN</t>
        </is>
      </c>
      <c r="G64" t="inlineStr">
        <is>
          <t>BORGHOLM</t>
        </is>
      </c>
      <c r="I64" t="n">
        <v>1.1</v>
      </c>
      <c r="J64" t="n">
        <v>1</v>
      </c>
      <c r="K64" t="n">
        <v>1</v>
      </c>
      <c r="L64" t="n">
        <v>0</v>
      </c>
      <c r="M64" t="n">
        <v>0</v>
      </c>
      <c r="N64" t="n">
        <v>0</v>
      </c>
      <c r="O64" t="n">
        <v>0</v>
      </c>
      <c r="P64" t="n">
        <v>0</v>
      </c>
      <c r="Q64" t="n">
        <v>0</v>
      </c>
      <c r="R64" t="n">
        <v>0</v>
      </c>
      <c r="S64" t="n">
        <v>2</v>
      </c>
      <c r="T64" t="n">
        <v>2</v>
      </c>
      <c r="U64" t="n">
        <v>0</v>
      </c>
      <c r="V64" s="2" t="inlineStr">
        <is>
          <t>Murgröna
Gullviva</t>
        </is>
      </c>
      <c r="W64">
        <f>HYPERLINK("https://klasma.github.io/Logging_0885/artfynd/A 9253-2026 artfynd.xlsx", "A 9253-2026")</f>
        <v/>
      </c>
      <c r="X64">
        <f>HYPERLINK("https://klasma.github.io/Logging_0885/kartor/A 9253-2026 karta.png", "A 9253-2026")</f>
        <v/>
      </c>
      <c r="Y64">
        <f>HYPERLINK("https://klasma.github.io/Logging_0885/kartor_geotiff/A 9253-2026 georefererad karta.tif", "A 9253-2026")</f>
        <v/>
      </c>
      <c r="AA64">
        <f>HYPERLINK("https://klasma.github.io/Logging_0885/klagomål/A 9253-2026 FSC-klagomål.docx", "A 9253-2026")</f>
        <v/>
      </c>
      <c r="AB64">
        <f>HYPERLINK("https://klasma.github.io/Logging_0885/klagomålsmail/A 9253-2026 FSC-klagomål mail.docx", "A 9253-2026")</f>
        <v/>
      </c>
      <c r="AC64">
        <f>HYPERLINK("https://klasma.github.io/Logging_0885/tillsyn/A 9253-2026 tillsynsbegäran.docx", "A 9253-2026")</f>
        <v/>
      </c>
      <c r="AD64">
        <f>HYPERLINK("https://klasma.github.io/Logging_0885/tillsynsmail/A 9253-2026 tillsynsbegäran mail.docx", "A 9253-2026")</f>
        <v/>
      </c>
    </row>
    <row r="65" ht="15" customHeight="1">
      <c r="A65" t="inlineStr">
        <is>
          <t>A 60141-2025</t>
        </is>
      </c>
      <c r="B65" t="inlineStr">
        <is>
          <t>avverkningsanmälan</t>
        </is>
      </c>
      <c r="C65" t="inlineStr">
        <is>
          <t>Föryngringsavverkning</t>
        </is>
      </c>
      <c r="D65" s="1" t="n">
        <v>45994</v>
      </c>
      <c r="E65" s="1" t="n">
        <v>46226</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46226</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29411-2026</t>
        </is>
      </c>
      <c r="B67" t="inlineStr">
        <is>
          <t>avverkningsanmälan</t>
        </is>
      </c>
      <c r="C67" t="inlineStr">
        <is>
          <t>Avverkning för att bevara och utveckla /försöksver</t>
        </is>
      </c>
      <c r="D67" s="1" t="n">
        <v>46203</v>
      </c>
      <c r="E67" s="1" t="n">
        <v>46226</v>
      </c>
      <c r="F67" t="inlineStr">
        <is>
          <t>KALMAR LÄN</t>
        </is>
      </c>
      <c r="G67" t="inlineStr">
        <is>
          <t>BORGHOLM</t>
        </is>
      </c>
      <c r="H67" t="inlineStr">
        <is>
          <t>Sveaskog</t>
        </is>
      </c>
      <c r="I67" t="n">
        <v>0.6</v>
      </c>
      <c r="J67" t="n">
        <v>1</v>
      </c>
      <c r="K67" t="n">
        <v>1</v>
      </c>
      <c r="L67" t="n">
        <v>0</v>
      </c>
      <c r="M67" t="n">
        <v>1</v>
      </c>
      <c r="N67" t="n">
        <v>0</v>
      </c>
      <c r="O67" t="n">
        <v>0</v>
      </c>
      <c r="P67" t="n">
        <v>0</v>
      </c>
      <c r="Q67" t="n">
        <v>1</v>
      </c>
      <c r="R67" t="n">
        <v>1</v>
      </c>
      <c r="S67" t="n">
        <v>2</v>
      </c>
      <c r="T67" t="n">
        <v>2</v>
      </c>
      <c r="U67" t="n">
        <v>1</v>
      </c>
      <c r="V67" s="2" t="inlineStr">
        <is>
          <t>Bredbrämad bastardsvärmare
Ekoxe</t>
        </is>
      </c>
      <c r="W67">
        <f>HYPERLINK("https://klasma.github.io/Logging_0885/artfynd/A 29411-2026 artfynd.xlsx", "A 29411-2026")</f>
        <v/>
      </c>
      <c r="X67">
        <f>HYPERLINK("https://klasma.github.io/Logging_0885/kartor/A 29411-2026 karta.png", "A 29411-2026")</f>
        <v/>
      </c>
      <c r="Y67">
        <f>HYPERLINK("https://klasma.github.io/Logging_0885/kartor_geotiff/A 29411-2026 georefererad karta.tif", "A 29411-2026")</f>
        <v/>
      </c>
      <c r="AA67">
        <f>HYPERLINK("https://klasma.github.io/Logging_0885/klagomål/A 29411-2026 FSC-klagomål.docx", "A 29411-2026")</f>
        <v/>
      </c>
      <c r="AB67">
        <f>HYPERLINK("https://klasma.github.io/Logging_0885/klagomålsmail/A 29411-2026 FSC-klagomål mail.docx", "A 29411-2026")</f>
        <v/>
      </c>
      <c r="AC67">
        <f>HYPERLINK("https://klasma.github.io/Logging_0885/tillsyn/A 29411-2026 tillsynsbegäran.docx", "A 29411-2026")</f>
        <v/>
      </c>
      <c r="AD67">
        <f>HYPERLINK("https://klasma.github.io/Logging_0885/tillsynsmail/A 29411-2026 tillsynsbegäran mail.docx", "A 29411-2026")</f>
        <v/>
      </c>
    </row>
    <row r="68" ht="15" customHeight="1">
      <c r="A68" t="inlineStr">
        <is>
          <t>A 24322-2026</t>
        </is>
      </c>
      <c r="B68" t="inlineStr">
        <is>
          <t>avverkningsanmälan</t>
        </is>
      </c>
      <c r="C68" t="inlineStr">
        <is>
          <t>Föryngringsavverkning</t>
        </is>
      </c>
      <c r="D68" s="1" t="n">
        <v>46169</v>
      </c>
      <c r="E68" s="1" t="n">
        <v>46226</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29434-2026</t>
        </is>
      </c>
      <c r="B69" t="inlineStr">
        <is>
          <t>avverkningsanmälan</t>
        </is>
      </c>
      <c r="C69" t="inlineStr">
        <is>
          <t>Avverkning för att bevara och utveckla /försöksver</t>
        </is>
      </c>
      <c r="D69" s="1" t="n">
        <v>46203</v>
      </c>
      <c r="E69" s="1" t="n">
        <v>46226</v>
      </c>
      <c r="F69" t="inlineStr">
        <is>
          <t>KALMAR LÄN</t>
        </is>
      </c>
      <c r="G69" t="inlineStr">
        <is>
          <t>BORGHOLM</t>
        </is>
      </c>
      <c r="H69" t="inlineStr">
        <is>
          <t>Sveaskog</t>
        </is>
      </c>
      <c r="I69" t="n">
        <v>2.1</v>
      </c>
      <c r="J69" t="n">
        <v>0</v>
      </c>
      <c r="K69" t="n">
        <v>0</v>
      </c>
      <c r="L69" t="n">
        <v>0</v>
      </c>
      <c r="M69" t="n">
        <v>2</v>
      </c>
      <c r="N69" t="n">
        <v>0</v>
      </c>
      <c r="O69" t="n">
        <v>0</v>
      </c>
      <c r="P69" t="n">
        <v>0</v>
      </c>
      <c r="Q69" t="n">
        <v>2</v>
      </c>
      <c r="R69" t="n">
        <v>2</v>
      </c>
      <c r="S69" t="n">
        <v>2</v>
      </c>
      <c r="T69" t="n">
        <v>2</v>
      </c>
      <c r="U69" t="n">
        <v>0</v>
      </c>
      <c r="V69" s="2" t="inlineStr">
        <is>
          <t>Bredbrämad bastardsvärmare
Purpurmusseron</t>
        </is>
      </c>
      <c r="W69">
        <f>HYPERLINK("https://klasma.github.io/Logging_0885/artfynd/A 29434-2026 artfynd.xlsx", "A 29434-2026")</f>
        <v/>
      </c>
      <c r="X69">
        <f>HYPERLINK("https://klasma.github.io/Logging_0885/kartor/A 29434-2026 karta.png", "A 29434-2026")</f>
        <v/>
      </c>
      <c r="Y69">
        <f>HYPERLINK("https://klasma.github.io/Logging_0885/kartor_geotiff/A 29434-2026 georefererad karta.tif", "A 29434-2026")</f>
        <v/>
      </c>
      <c r="AA69">
        <f>HYPERLINK("https://klasma.github.io/Logging_0885/klagomål/A 29434-2026 FSC-klagomål.docx", "A 29434-2026")</f>
        <v/>
      </c>
      <c r="AB69">
        <f>HYPERLINK("https://klasma.github.io/Logging_0885/klagomålsmail/A 29434-2026 FSC-klagomål mail.docx", "A 29434-2026")</f>
        <v/>
      </c>
      <c r="AC69">
        <f>HYPERLINK("https://klasma.github.io/Logging_0885/tillsyn/A 29434-2026 tillsynsbegäran.docx", "A 29434-2026")</f>
        <v/>
      </c>
      <c r="AD69">
        <f>HYPERLINK("https://klasma.github.io/Logging_0885/tillsynsmail/A 29434-2026 tillsynsbegäran mail.docx", "A 29434-2026")</f>
        <v/>
      </c>
    </row>
    <row r="70" ht="15" customHeight="1">
      <c r="A70" t="inlineStr">
        <is>
          <t>A 44678-2022</t>
        </is>
      </c>
      <c r="B70" t="inlineStr">
        <is>
          <t>avverkningsanmälan</t>
        </is>
      </c>
      <c r="C70" t="inlineStr">
        <is>
          <t>Föryngringsavverkning</t>
        </is>
      </c>
      <c r="D70" s="1" t="n">
        <v>44840</v>
      </c>
      <c r="E70" s="1" t="n">
        <v>46226</v>
      </c>
      <c r="F70" t="inlineStr">
        <is>
          <t>KALMAR LÄN</t>
        </is>
      </c>
      <c r="G70" t="inlineStr">
        <is>
          <t>BORGHOLM</t>
        </is>
      </c>
      <c r="I70" t="n">
        <v>2.4</v>
      </c>
      <c r="J70" t="n">
        <v>1</v>
      </c>
      <c r="K70" t="n">
        <v>1</v>
      </c>
      <c r="L70" t="n">
        <v>0</v>
      </c>
      <c r="M70" t="n">
        <v>0</v>
      </c>
      <c r="N70" t="n">
        <v>1</v>
      </c>
      <c r="O70" t="n">
        <v>0</v>
      </c>
      <c r="P70" t="n">
        <v>0</v>
      </c>
      <c r="Q70" t="n">
        <v>1</v>
      </c>
      <c r="R70" t="n">
        <v>1</v>
      </c>
      <c r="S70" t="n">
        <v>2</v>
      </c>
      <c r="T70" t="n">
        <v>2</v>
      </c>
      <c r="U70" t="n">
        <v>1</v>
      </c>
      <c r="V70" s="2" t="inlineStr">
        <is>
          <t>Ask
Skogsknipprot</t>
        </is>
      </c>
      <c r="W70">
        <f>HYPERLINK("https://klasma.github.io/Logging_0885/artfynd/A 44678-2022 artfynd.xlsx", "A 44678-2022")</f>
        <v/>
      </c>
      <c r="X70">
        <f>HYPERLINK("https://klasma.github.io/Logging_0885/kartor/A 44678-2022 karta.png", "A 44678-2022")</f>
        <v/>
      </c>
      <c r="Y70">
        <f>HYPERLINK("https://klasma.github.io/Logging_0885/kartor_geotiff/A 44678-2022 georefererad karta.tif", "A 44678-2022")</f>
        <v/>
      </c>
      <c r="AA70">
        <f>HYPERLINK("https://klasma.github.io/Logging_0885/klagomål/A 44678-2022 FSC-klagomål.docx", "A 44678-2022")</f>
        <v/>
      </c>
      <c r="AB70">
        <f>HYPERLINK("https://klasma.github.io/Logging_0885/klagomålsmail/A 44678-2022 FSC-klagomål mail.docx", "A 44678-2022")</f>
        <v/>
      </c>
      <c r="AC70">
        <f>HYPERLINK("https://klasma.github.io/Logging_0885/tillsyn/A 44678-2022 tillsynsbegäran.docx", "A 44678-2022")</f>
        <v/>
      </c>
      <c r="AD70">
        <f>HYPERLINK("https://klasma.github.io/Logging_0885/tillsynsmail/A 44678-2022 tillsynsbegäran mail.docx", "A 44678-2022")</f>
        <v/>
      </c>
    </row>
    <row r="71" ht="15" customHeight="1">
      <c r="A71" t="inlineStr">
        <is>
          <t>A 50129-2021</t>
        </is>
      </c>
      <c r="B71" t="inlineStr">
        <is>
          <t>avverkningsanmälan</t>
        </is>
      </c>
      <c r="C71" t="inlineStr">
        <is>
          <t>Avverkning för annat ändamål</t>
        </is>
      </c>
      <c r="D71" s="1" t="n">
        <v>44456</v>
      </c>
      <c r="E71" s="1" t="n">
        <v>46226</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17699-2025</t>
        </is>
      </c>
      <c r="B72" t="inlineStr">
        <is>
          <t>avverkningsanmälan</t>
        </is>
      </c>
      <c r="C72" t="inlineStr">
        <is>
          <t>Föryngringsavverkning</t>
        </is>
      </c>
      <c r="D72" s="1" t="n">
        <v>45758</v>
      </c>
      <c r="E72" s="1" t="n">
        <v>46226</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24166-2022</t>
        </is>
      </c>
      <c r="B73" t="inlineStr">
        <is>
          <t>avverkningsanmälan</t>
        </is>
      </c>
      <c r="C73" t="inlineStr">
        <is>
          <t>Avverkning för annat ändamål</t>
        </is>
      </c>
      <c r="D73" s="1" t="n">
        <v>44725</v>
      </c>
      <c r="E73" s="1" t="n">
        <v>46226</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6144-2022</t>
        </is>
      </c>
      <c r="B74" t="inlineStr">
        <is>
          <t>samrådsanmälan</t>
        </is>
      </c>
      <c r="C74" t="inlineStr">
        <is>
          <t>Annan skogsbruksåtgärd</t>
        </is>
      </c>
      <c r="D74" s="1" t="n">
        <v>44865</v>
      </c>
      <c r="E74" s="1" t="n">
        <v>46226</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46226</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46226</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46226</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46226</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46226</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46226</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24701-2023</t>
        </is>
      </c>
      <c r="B81" t="inlineStr">
        <is>
          <t>avverkningsanmälan</t>
        </is>
      </c>
      <c r="C81" t="inlineStr">
        <is>
          <t>Föryngringsavverkning</t>
        </is>
      </c>
      <c r="D81" s="1" t="n">
        <v>45084</v>
      </c>
      <c r="E81" s="1" t="n">
        <v>46226</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7481-2026</t>
        </is>
      </c>
      <c r="B82" t="inlineStr">
        <is>
          <t>avverkningsanmälan</t>
        </is>
      </c>
      <c r="C82" t="inlineStr">
        <is>
          <t>Föryngringsavverkning</t>
        </is>
      </c>
      <c r="D82" s="1" t="n">
        <v>46059</v>
      </c>
      <c r="E82" s="1" t="n">
        <v>46226</v>
      </c>
      <c r="F82" t="inlineStr">
        <is>
          <t>KALMAR LÄN</t>
        </is>
      </c>
      <c r="G82" t="inlineStr">
        <is>
          <t>BORGHOLM</t>
        </is>
      </c>
      <c r="I82" t="n">
        <v>1.9</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HYPERLINK("https://klasma.github.io/Logging_0885/artfynd/A 7481-2026 artfynd.xlsx", "A 7481-2026")</f>
        <v/>
      </c>
      <c r="X82">
        <f>HYPERLINK("https://klasma.github.io/Logging_0885/kartor/A 7481-2026 karta.png", "A 7481-2026")</f>
        <v/>
      </c>
      <c r="Y82">
        <f>HYPERLINK("https://klasma.github.io/Logging_0885/kartor_geotiff/A 7481-2026 georefererad karta.tif", "A 7481-2026")</f>
        <v/>
      </c>
      <c r="AA82">
        <f>HYPERLINK("https://klasma.github.io/Logging_0885/klagomål/A 7481-2026 FSC-klagomål.docx", "A 7481-2026")</f>
        <v/>
      </c>
      <c r="AB82">
        <f>HYPERLINK("https://klasma.github.io/Logging_0885/klagomålsmail/A 7481-2026 FSC-klagomål mail.docx", "A 7481-2026")</f>
        <v/>
      </c>
      <c r="AC82">
        <f>HYPERLINK("https://klasma.github.io/Logging_0885/tillsyn/A 7481-2026 tillsynsbegäran.docx", "A 7481-2026")</f>
        <v/>
      </c>
      <c r="AD82">
        <f>HYPERLINK("https://klasma.github.io/Logging_0885/tillsynsmail/A 7481-2026 tillsynsbegäran mail.docx", "A 7481-2026")</f>
        <v/>
      </c>
    </row>
    <row r="83" ht="15" customHeight="1">
      <c r="A83" t="inlineStr">
        <is>
          <t>A 9905-2026</t>
        </is>
      </c>
      <c r="B83" t="inlineStr">
        <is>
          <t>avverkningsanmälan</t>
        </is>
      </c>
      <c r="C83" t="inlineStr">
        <is>
          <t>Föryngringsavverkning</t>
        </is>
      </c>
      <c r="D83" s="1" t="n">
        <v>46073</v>
      </c>
      <c r="E83" s="1" t="n">
        <v>46226</v>
      </c>
      <c r="F83" t="inlineStr">
        <is>
          <t>KALMAR LÄN</t>
        </is>
      </c>
      <c r="G83" t="inlineStr">
        <is>
          <t>BORGHOLM</t>
        </is>
      </c>
      <c r="I83" t="n">
        <v>1.4</v>
      </c>
      <c r="J83" t="n">
        <v>0</v>
      </c>
      <c r="K83" t="n">
        <v>0</v>
      </c>
      <c r="L83" t="n">
        <v>0</v>
      </c>
      <c r="M83" t="n">
        <v>0</v>
      </c>
      <c r="N83" t="n">
        <v>1</v>
      </c>
      <c r="O83" t="n">
        <v>0</v>
      </c>
      <c r="P83" t="n">
        <v>0</v>
      </c>
      <c r="Q83" t="n">
        <v>1</v>
      </c>
      <c r="R83" t="n">
        <v>1</v>
      </c>
      <c r="S83" t="n">
        <v>1</v>
      </c>
      <c r="T83" t="n">
        <v>1</v>
      </c>
      <c r="U83" t="n">
        <v>0</v>
      </c>
      <c r="V83" s="2" t="inlineStr">
        <is>
          <t>Ask</t>
        </is>
      </c>
      <c r="W83">
        <f>HYPERLINK("https://klasma.github.io/Logging_0885/artfynd/A 9905-2026 artfynd.xlsx", "A 9905-2026")</f>
        <v/>
      </c>
      <c r="X83">
        <f>HYPERLINK("https://klasma.github.io/Logging_0885/kartor/A 9905-2026 karta.png", "A 9905-2026")</f>
        <v/>
      </c>
      <c r="Y83">
        <f>HYPERLINK("https://klasma.github.io/Logging_0885/kartor_geotiff/A 9905-2026 georefererad karta.tif", "A 9905-2026")</f>
        <v/>
      </c>
      <c r="AA83">
        <f>HYPERLINK("https://klasma.github.io/Logging_0885/klagomål/A 9905-2026 FSC-klagomål.docx", "A 9905-2026")</f>
        <v/>
      </c>
      <c r="AB83">
        <f>HYPERLINK("https://klasma.github.io/Logging_0885/klagomålsmail/A 9905-2026 FSC-klagomål mail.docx", "A 9905-2026")</f>
        <v/>
      </c>
      <c r="AC83">
        <f>HYPERLINK("https://klasma.github.io/Logging_0885/tillsyn/A 9905-2026 tillsynsbegäran.docx", "A 9905-2026")</f>
        <v/>
      </c>
      <c r="AD83">
        <f>HYPERLINK("https://klasma.github.io/Logging_0885/tillsynsmail/A 9905-2026 tillsynsbegäran mail.docx", "A 9905-2026")</f>
        <v/>
      </c>
    </row>
    <row r="84" ht="15" customHeight="1">
      <c r="A84" t="inlineStr">
        <is>
          <t>A 28785-2025</t>
        </is>
      </c>
      <c r="B84" t="inlineStr">
        <is>
          <t>avverkningsanmälan</t>
        </is>
      </c>
      <c r="C84" t="inlineStr">
        <is>
          <t>Avverkning för att bevara och utveckla /försöksver</t>
        </is>
      </c>
      <c r="D84" s="1" t="n">
        <v>45820</v>
      </c>
      <c r="E84" s="1" t="n">
        <v>46226</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28782-2025</t>
        </is>
      </c>
      <c r="B85" t="inlineStr">
        <is>
          <t>avverkningsanmälan</t>
        </is>
      </c>
      <c r="C85" t="inlineStr">
        <is>
          <t>Avverkning för att bevara och utveckla /försöksver</t>
        </is>
      </c>
      <c r="D85" s="1" t="n">
        <v>45820</v>
      </c>
      <c r="E85" s="1" t="n">
        <v>46226</v>
      </c>
      <c r="F85" t="inlineStr">
        <is>
          <t>KALMAR LÄN</t>
        </is>
      </c>
      <c r="G85" t="inlineStr">
        <is>
          <t>BORGHOLM</t>
        </is>
      </c>
      <c r="H85" t="inlineStr">
        <is>
          <t>Sveaskog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28782-2025 artfynd.xlsx", "A 28782-2025")</f>
        <v/>
      </c>
      <c r="X85">
        <f>HYPERLINK("https://klasma.github.io/Logging_0885/kartor/A 28782-2025 karta.png", "A 28782-2025")</f>
        <v/>
      </c>
      <c r="Y85">
        <f>HYPERLINK("https://klasma.github.io/Logging_0885/kartor_geotiff/A 28782-2025 georefererad karta.tif", "A 28782-2025")</f>
        <v/>
      </c>
      <c r="AA85">
        <f>HYPERLINK("https://klasma.github.io/Logging_0885/klagomål/A 28782-2025 FSC-klagomål.docx", "A 28782-2025")</f>
        <v/>
      </c>
      <c r="AB85">
        <f>HYPERLINK("https://klasma.github.io/Logging_0885/klagomålsmail/A 28782-2025 FSC-klagomål mail.docx", "A 28782-2025")</f>
        <v/>
      </c>
      <c r="AC85">
        <f>HYPERLINK("https://klasma.github.io/Logging_0885/tillsyn/A 28782-2025 tillsynsbegäran.docx", "A 28782-2025")</f>
        <v/>
      </c>
      <c r="AD85">
        <f>HYPERLINK("https://klasma.github.io/Logging_0885/tillsynsmail/A 28782-2025 tillsynsbegäran mail.docx", "A 28782-2025")</f>
        <v/>
      </c>
      <c r="AE85">
        <f>HYPERLINK("https://klasma.github.io/Logging_0885/fåglar/A 28782-2025 prioriterade fågelarter.docx", "A 28782-2025")</f>
        <v/>
      </c>
    </row>
    <row r="86" ht="15" customHeight="1">
      <c r="A86" t="inlineStr">
        <is>
          <t>A 41831-2025</t>
        </is>
      </c>
      <c r="B86" t="inlineStr">
        <is>
          <t>avverkningsanmälan</t>
        </is>
      </c>
      <c r="C86" t="inlineStr">
        <is>
          <t>Föryngringsavverkning</t>
        </is>
      </c>
      <c r="D86" s="1" t="n">
        <v>45902</v>
      </c>
      <c r="E86" s="1" t="n">
        <v>46226</v>
      </c>
      <c r="F86" t="inlineStr">
        <is>
          <t>KALMAR LÄN</t>
        </is>
      </c>
      <c r="G86" t="inlineStr">
        <is>
          <t>BORGHOLM</t>
        </is>
      </c>
      <c r="I86" t="n">
        <v>1.5</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HYPERLINK("https://klasma.github.io/Logging_0885/artfynd/A 41831-2025 artfynd.xlsx", "A 41831-2025")</f>
        <v/>
      </c>
      <c r="X86">
        <f>HYPERLINK("https://klasma.github.io/Logging_0885/kartor/A 41831-2025 karta.png", "A 41831-2025")</f>
        <v/>
      </c>
      <c r="Y86">
        <f>HYPERLINK("https://klasma.github.io/Logging_0885/kartor_geotiff/A 41831-2025 georefererad karta.tif", "A 41831-2025")</f>
        <v/>
      </c>
      <c r="AA86">
        <f>HYPERLINK("https://klasma.github.io/Logging_0885/klagomål/A 41831-2025 FSC-klagomål.docx", "A 41831-2025")</f>
        <v/>
      </c>
      <c r="AB86">
        <f>HYPERLINK("https://klasma.github.io/Logging_0885/klagomålsmail/A 41831-2025 FSC-klagomål mail.docx", "A 41831-2025")</f>
        <v/>
      </c>
      <c r="AC86">
        <f>HYPERLINK("https://klasma.github.io/Logging_0885/tillsyn/A 41831-2025 tillsynsbegäran.docx", "A 41831-2025")</f>
        <v/>
      </c>
      <c r="AD86">
        <f>HYPERLINK("https://klasma.github.io/Logging_0885/tillsynsmail/A 41831-2025 tillsynsbegäran mail.docx", "A 41831-2025")</f>
        <v/>
      </c>
    </row>
    <row r="87" ht="15" customHeight="1">
      <c r="A87" t="inlineStr">
        <is>
          <t>A 63276-2023</t>
        </is>
      </c>
      <c r="B87" t="inlineStr">
        <is>
          <t>avverkningsanmälan</t>
        </is>
      </c>
      <c r="C87" t="inlineStr">
        <is>
          <t>Föryngringsavverkning</t>
        </is>
      </c>
      <c r="D87" s="1" t="n">
        <v>45273</v>
      </c>
      <c r="E87" s="1" t="n">
        <v>46226</v>
      </c>
      <c r="F87" t="inlineStr">
        <is>
          <t>KALMAR LÄN</t>
        </is>
      </c>
      <c r="G87" t="inlineStr">
        <is>
          <t>BORGHOLM</t>
        </is>
      </c>
      <c r="I87" t="n">
        <v>5</v>
      </c>
      <c r="J87" t="n">
        <v>0</v>
      </c>
      <c r="K87" t="n">
        <v>0</v>
      </c>
      <c r="L87" t="n">
        <v>0</v>
      </c>
      <c r="M87" t="n">
        <v>1</v>
      </c>
      <c r="N87" t="n">
        <v>0</v>
      </c>
      <c r="O87" t="n">
        <v>0</v>
      </c>
      <c r="P87" t="n">
        <v>0</v>
      </c>
      <c r="Q87" t="n">
        <v>1</v>
      </c>
      <c r="R87" t="n">
        <v>1</v>
      </c>
      <c r="S87" t="n">
        <v>1</v>
      </c>
      <c r="T87" t="n">
        <v>1</v>
      </c>
      <c r="U87" t="n">
        <v>0</v>
      </c>
      <c r="V87" s="2" t="inlineStr">
        <is>
          <t>Elaphomyces barrioi</t>
        </is>
      </c>
      <c r="W87">
        <f>HYPERLINK("https://klasma.github.io/Logging_0885/artfynd/A 63276-2023 artfynd.xlsx", "A 63276-2023")</f>
        <v/>
      </c>
      <c r="X87">
        <f>HYPERLINK("https://klasma.github.io/Logging_0885/kartor/A 63276-2023 karta.png", "A 63276-2023")</f>
        <v/>
      </c>
      <c r="Y87">
        <f>HYPERLINK("https://klasma.github.io/Logging_0885/kartor_geotiff/A 63276-2023 georefererad karta.tif", "A 63276-2023")</f>
        <v/>
      </c>
      <c r="AA87">
        <f>HYPERLINK("https://klasma.github.io/Logging_0885/klagomål/A 63276-2023 FSC-klagomål.docx", "A 63276-2023")</f>
        <v/>
      </c>
      <c r="AB87">
        <f>HYPERLINK("https://klasma.github.io/Logging_0885/klagomålsmail/A 63276-2023 FSC-klagomål mail.docx", "A 63276-2023")</f>
        <v/>
      </c>
      <c r="AC87">
        <f>HYPERLINK("https://klasma.github.io/Logging_0885/tillsyn/A 63276-2023 tillsynsbegäran.docx", "A 63276-2023")</f>
        <v/>
      </c>
      <c r="AD87">
        <f>HYPERLINK("https://klasma.github.io/Logging_0885/tillsynsmail/A 63276-2023 tillsynsbegäran mail.docx", "A 63276-2023")</f>
        <v/>
      </c>
    </row>
    <row r="88" ht="15" customHeight="1">
      <c r="A88" t="inlineStr">
        <is>
          <t>A 24704-2023</t>
        </is>
      </c>
      <c r="B88" t="inlineStr">
        <is>
          <t>avverkningsanmälan</t>
        </is>
      </c>
      <c r="C88" t="inlineStr">
        <is>
          <t>Föryngringsavverkning</t>
        </is>
      </c>
      <c r="D88" s="1" t="n">
        <v>45084</v>
      </c>
      <c r="E88" s="1" t="n">
        <v>46226</v>
      </c>
      <c r="F88" t="inlineStr">
        <is>
          <t>KALMAR LÄN</t>
        </is>
      </c>
      <c r="G88" t="inlineStr">
        <is>
          <t>BORGHOLM</t>
        </is>
      </c>
      <c r="I88" t="n">
        <v>3.5</v>
      </c>
      <c r="J88" t="n">
        <v>0</v>
      </c>
      <c r="K88" t="n">
        <v>0</v>
      </c>
      <c r="L88" t="n">
        <v>0</v>
      </c>
      <c r="M88" t="n">
        <v>0</v>
      </c>
      <c r="N88" t="n">
        <v>1</v>
      </c>
      <c r="O88" t="n">
        <v>0</v>
      </c>
      <c r="P88" t="n">
        <v>0</v>
      </c>
      <c r="Q88" t="n">
        <v>1</v>
      </c>
      <c r="R88" t="n">
        <v>1</v>
      </c>
      <c r="S88" t="n">
        <v>1</v>
      </c>
      <c r="T88" t="n">
        <v>2</v>
      </c>
      <c r="U88" t="n">
        <v>0</v>
      </c>
      <c r="V88" s="2" t="inlineStr">
        <is>
          <t>Ask</t>
        </is>
      </c>
      <c r="W88">
        <f>HYPERLINK("https://klasma.github.io/Logging_0885/artfynd/A 24704-2023 artfynd.xlsx", "A 24704-2023")</f>
        <v/>
      </c>
      <c r="X88">
        <f>HYPERLINK("https://klasma.github.io/Logging_0885/kartor/A 24704-2023 karta.png", "A 24704-2023")</f>
        <v/>
      </c>
      <c r="Y88">
        <f>HYPERLINK("https://klasma.github.io/Logging_0885/kartor_geotiff/A 24704-2023 georefererad karta.tif", "A 24704-2023")</f>
        <v/>
      </c>
      <c r="AA88">
        <f>HYPERLINK("https://klasma.github.io/Logging_0885/klagomål/A 24704-2023 FSC-klagomål.docx", "A 24704-2023")</f>
        <v/>
      </c>
      <c r="AB88">
        <f>HYPERLINK("https://klasma.github.io/Logging_0885/klagomålsmail/A 24704-2023 FSC-klagomål mail.docx", "A 24704-2023")</f>
        <v/>
      </c>
      <c r="AC88">
        <f>HYPERLINK("https://klasma.github.io/Logging_0885/tillsyn/A 24704-2023 tillsynsbegäran.docx", "A 24704-2023")</f>
        <v/>
      </c>
      <c r="AD88">
        <f>HYPERLINK("https://klasma.github.io/Logging_0885/tillsynsmail/A 24704-2023 tillsynsbegäran mail.docx", "A 24704-2023")</f>
        <v/>
      </c>
    </row>
    <row r="89" ht="15" customHeight="1">
      <c r="A89" t="inlineStr">
        <is>
          <t>A 9745-2023</t>
        </is>
      </c>
      <c r="B89" t="inlineStr">
        <is>
          <t>avverkningsanmälan</t>
        </is>
      </c>
      <c r="C89" t="inlineStr">
        <is>
          <t>Föryngringsavverkning</t>
        </is>
      </c>
      <c r="D89" s="1" t="n">
        <v>44984</v>
      </c>
      <c r="E89" s="1" t="n">
        <v>46226</v>
      </c>
      <c r="F89" t="inlineStr">
        <is>
          <t>KALMAR LÄN</t>
        </is>
      </c>
      <c r="G89" t="inlineStr">
        <is>
          <t>BORGHOLM</t>
        </is>
      </c>
      <c r="I89" t="n">
        <v>1.2</v>
      </c>
      <c r="J89" t="n">
        <v>1</v>
      </c>
      <c r="K89" t="n">
        <v>1</v>
      </c>
      <c r="L89" t="n">
        <v>0</v>
      </c>
      <c r="M89" t="n">
        <v>0</v>
      </c>
      <c r="N89" t="n">
        <v>0</v>
      </c>
      <c r="O89" t="n">
        <v>0</v>
      </c>
      <c r="P89" t="n">
        <v>0</v>
      </c>
      <c r="Q89" t="n">
        <v>0</v>
      </c>
      <c r="R89" t="n">
        <v>0</v>
      </c>
      <c r="S89" t="n">
        <v>1</v>
      </c>
      <c r="T89" t="n">
        <v>2</v>
      </c>
      <c r="U89" t="n">
        <v>1</v>
      </c>
      <c r="V89" s="2" t="inlineStr">
        <is>
          <t>Skogsknipprot</t>
        </is>
      </c>
      <c r="W89">
        <f>HYPERLINK("https://klasma.github.io/Logging_0885/artfynd/A 9745-2023 artfynd.xlsx", "A 9745-2023")</f>
        <v/>
      </c>
      <c r="X89">
        <f>HYPERLINK("https://klasma.github.io/Logging_0885/kartor/A 9745-2023 karta.png", "A 9745-2023")</f>
        <v/>
      </c>
      <c r="Y89">
        <f>HYPERLINK("https://klasma.github.io/Logging_0885/kartor_geotiff/A 9745-2023 georefererad karta.tif", "A 9745-2023")</f>
        <v/>
      </c>
      <c r="AA89">
        <f>HYPERLINK("https://klasma.github.io/Logging_0885/klagomål/A 9745-2023 FSC-klagomål.docx", "A 9745-2023")</f>
        <v/>
      </c>
      <c r="AB89">
        <f>HYPERLINK("https://klasma.github.io/Logging_0885/klagomålsmail/A 9745-2023 FSC-klagomål mail.docx", "A 9745-2023")</f>
        <v/>
      </c>
      <c r="AC89">
        <f>HYPERLINK("https://klasma.github.io/Logging_0885/tillsyn/A 9745-2023 tillsynsbegäran.docx", "A 9745-2023")</f>
        <v/>
      </c>
      <c r="AD89">
        <f>HYPERLINK("https://klasma.github.io/Logging_0885/tillsynsmail/A 9745-2023 tillsynsbegäran mail.docx", "A 9745-2023")</f>
        <v/>
      </c>
    </row>
    <row r="90" ht="15" customHeight="1">
      <c r="A90" t="inlineStr">
        <is>
          <t>A 26840-2026</t>
        </is>
      </c>
      <c r="B90" t="inlineStr">
        <is>
          <t>avverkningsanmälan</t>
        </is>
      </c>
      <c r="C90" t="inlineStr">
        <is>
          <t>Avverkning för att bevara och utveckla /försöksver</t>
        </is>
      </c>
      <c r="D90" s="1" t="n">
        <v>46185</v>
      </c>
      <c r="E90" s="1" t="n">
        <v>46226</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3302-2026</t>
        </is>
      </c>
      <c r="B91" t="inlineStr">
        <is>
          <t>avverkningsanmälan</t>
        </is>
      </c>
      <c r="C91" t="inlineStr">
        <is>
          <t>Avverkning för annat ändamål</t>
        </is>
      </c>
      <c r="D91" s="1" t="n">
        <v>46041</v>
      </c>
      <c r="E91" s="1" t="n">
        <v>46226</v>
      </c>
      <c r="F91" t="inlineStr">
        <is>
          <t>KALMAR LÄN</t>
        </is>
      </c>
      <c r="G91" t="inlineStr">
        <is>
          <t>BORGHOLM</t>
        </is>
      </c>
      <c r="I91" t="n">
        <v>3.9</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HYPERLINK("https://klasma.github.io/Logging_0885/artfynd/A 3302-2026 artfynd.xlsx", "A 3302-2026")</f>
        <v/>
      </c>
      <c r="X91">
        <f>HYPERLINK("https://klasma.github.io/Logging_0885/kartor/A 3302-2026 karta.png", "A 3302-2026")</f>
        <v/>
      </c>
      <c r="Y91">
        <f>HYPERLINK("https://klasma.github.io/Logging_0885/kartor_geotiff/A 3302-2026 georefererad karta.tif", "A 3302-2026")</f>
        <v/>
      </c>
      <c r="AA91">
        <f>HYPERLINK("https://klasma.github.io/Logging_0885/klagomål/A 3302-2026 FSC-klagomål.docx", "A 3302-2026")</f>
        <v/>
      </c>
      <c r="AB91">
        <f>HYPERLINK("https://klasma.github.io/Logging_0885/klagomålsmail/A 3302-2026 FSC-klagomål mail.docx", "A 3302-2026")</f>
        <v/>
      </c>
      <c r="AC91">
        <f>HYPERLINK("https://klasma.github.io/Logging_0885/tillsyn/A 3302-2026 tillsynsbegäran.docx", "A 3302-2026")</f>
        <v/>
      </c>
      <c r="AD91">
        <f>HYPERLINK("https://klasma.github.io/Logging_0885/tillsynsmail/A 3302-2026 tillsynsbegäran mail.docx", "A 3302-2026")</f>
        <v/>
      </c>
    </row>
    <row r="92" ht="15" customHeight="1">
      <c r="A92" t="inlineStr">
        <is>
          <t>A 28430-2026</t>
        </is>
      </c>
      <c r="B92" t="inlineStr">
        <is>
          <t>avverkningsanmälan</t>
        </is>
      </c>
      <c r="C92" t="inlineStr">
        <is>
          <t>Avverkning för att bevara och utveckla /försöksver</t>
        </is>
      </c>
      <c r="D92" s="1" t="n">
        <v>46197</v>
      </c>
      <c r="E92" s="1" t="n">
        <v>46226</v>
      </c>
      <c r="F92" t="inlineStr">
        <is>
          <t>KALMAR LÄN</t>
        </is>
      </c>
      <c r="G92" t="inlineStr">
        <is>
          <t>BORGHOLM</t>
        </is>
      </c>
      <c r="H92" t="inlineStr">
        <is>
          <t>Sveaskog</t>
        </is>
      </c>
      <c r="I92" t="n">
        <v>1.8</v>
      </c>
      <c r="J92" t="n">
        <v>0</v>
      </c>
      <c r="K92" t="n">
        <v>0</v>
      </c>
      <c r="L92" t="n">
        <v>1</v>
      </c>
      <c r="M92" t="n">
        <v>0</v>
      </c>
      <c r="N92" t="n">
        <v>0</v>
      </c>
      <c r="O92" t="n">
        <v>0</v>
      </c>
      <c r="P92" t="n">
        <v>0</v>
      </c>
      <c r="Q92" t="n">
        <v>1</v>
      </c>
      <c r="R92" t="n">
        <v>0</v>
      </c>
      <c r="S92" t="n">
        <v>1</v>
      </c>
      <c r="T92" t="n">
        <v>2</v>
      </c>
      <c r="U92" t="n">
        <v>0</v>
      </c>
      <c r="V92" s="2" t="inlineStr">
        <is>
          <t>Oxtungssvamp</t>
        </is>
      </c>
      <c r="W92">
        <f>HYPERLINK("https://klasma.github.io/Logging_0885/artfynd/A 28430-2026 artfynd.xlsx", "A 28430-2026")</f>
        <v/>
      </c>
      <c r="X92">
        <f>HYPERLINK("https://klasma.github.io/Logging_0885/kartor/A 28430-2026 karta.png", "A 28430-2026")</f>
        <v/>
      </c>
      <c r="Y92">
        <f>HYPERLINK("https://klasma.github.io/Logging_0885/kartor_geotiff/A 28430-2026 georefererad karta.tif", "A 28430-2026")</f>
        <v/>
      </c>
      <c r="AA92">
        <f>HYPERLINK("https://klasma.github.io/Logging_0885/klagomål/A 28430-2026 FSC-klagomål.docx", "A 28430-2026")</f>
        <v/>
      </c>
      <c r="AB92">
        <f>HYPERLINK("https://klasma.github.io/Logging_0885/klagomålsmail/A 28430-2026 FSC-klagomål mail.docx", "A 28430-2026")</f>
        <v/>
      </c>
      <c r="AC92">
        <f>HYPERLINK("https://klasma.github.io/Logging_0885/tillsyn/A 28430-2026 tillsynsbegäran.docx", "A 28430-2026")</f>
        <v/>
      </c>
      <c r="AD92">
        <f>HYPERLINK("https://klasma.github.io/Logging_0885/tillsynsmail/A 28430-2026 tillsynsbegäran mail.docx", "A 28430-2026")</f>
        <v/>
      </c>
    </row>
    <row r="93" ht="15" customHeight="1">
      <c r="A93" t="inlineStr">
        <is>
          <t>A 28374-2026</t>
        </is>
      </c>
      <c r="B93" t="inlineStr">
        <is>
          <t>avverkningsanmälan</t>
        </is>
      </c>
      <c r="C93" t="inlineStr">
        <is>
          <t>Avverkning för att bevara och utveckla /försöksver</t>
        </is>
      </c>
      <c r="D93" s="1" t="n">
        <v>46196</v>
      </c>
      <c r="E93" s="1" t="n">
        <v>46226</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31720-2022</t>
        </is>
      </c>
      <c r="B94" t="inlineStr">
        <is>
          <t>avverkningsanmälan</t>
        </is>
      </c>
      <c r="C94" t="inlineStr">
        <is>
          <t>Föryngringsavverkning</t>
        </is>
      </c>
      <c r="D94" s="1" t="n">
        <v>44776</v>
      </c>
      <c r="E94" s="1" t="n">
        <v>46226</v>
      </c>
      <c r="F94" t="inlineStr">
        <is>
          <t>KALMAR LÄN</t>
        </is>
      </c>
      <c r="G94" t="inlineStr">
        <is>
          <t>BORGHOLM</t>
        </is>
      </c>
      <c r="H94" t="inlineStr">
        <is>
          <t>Sveaskog</t>
        </is>
      </c>
      <c r="I94" t="n">
        <v>4.5</v>
      </c>
      <c r="J94" t="n">
        <v>1</v>
      </c>
      <c r="K94" t="n">
        <v>1</v>
      </c>
      <c r="L94" t="n">
        <v>0</v>
      </c>
      <c r="M94" t="n">
        <v>0</v>
      </c>
      <c r="N94" t="n">
        <v>0</v>
      </c>
      <c r="O94" t="n">
        <v>0</v>
      </c>
      <c r="P94" t="n">
        <v>0</v>
      </c>
      <c r="Q94" t="n">
        <v>0</v>
      </c>
      <c r="R94" t="n">
        <v>0</v>
      </c>
      <c r="S94" t="n">
        <v>1</v>
      </c>
      <c r="T94" t="n">
        <v>1</v>
      </c>
      <c r="U94" t="n">
        <v>1</v>
      </c>
      <c r="V94" s="2" t="inlineStr">
        <is>
          <t>Tvåblad</t>
        </is>
      </c>
      <c r="W94">
        <f>HYPERLINK("https://klasma.github.io/Logging_0885/artfynd/A 31720-2022 artfynd.xlsx", "A 31720-2022")</f>
        <v/>
      </c>
      <c r="X94">
        <f>HYPERLINK("https://klasma.github.io/Logging_0885/kartor/A 31720-2022 karta.png", "A 31720-2022")</f>
        <v/>
      </c>
      <c r="Y94">
        <f>HYPERLINK("https://klasma.github.io/Logging_0885/kartor_geotiff/A 31720-2022 georefererad karta.tif", "A 31720-2022")</f>
        <v/>
      </c>
      <c r="AA94">
        <f>HYPERLINK("https://klasma.github.io/Logging_0885/klagomål/A 31720-2022 FSC-klagomål.docx", "A 31720-2022")</f>
        <v/>
      </c>
      <c r="AB94">
        <f>HYPERLINK("https://klasma.github.io/Logging_0885/klagomålsmail/A 31720-2022 FSC-klagomål mail.docx", "A 31720-2022")</f>
        <v/>
      </c>
      <c r="AC94">
        <f>HYPERLINK("https://klasma.github.io/Logging_0885/tillsyn/A 31720-2022 tillsynsbegäran.docx", "A 31720-2022")</f>
        <v/>
      </c>
      <c r="AD94">
        <f>HYPERLINK("https://klasma.github.io/Logging_0885/tillsynsmail/A 31720-2022 tillsynsbegäran mail.docx", "A 31720-2022")</f>
        <v/>
      </c>
    </row>
    <row r="95" ht="15" customHeight="1">
      <c r="A95" t="inlineStr">
        <is>
          <t>A 19867-2024</t>
        </is>
      </c>
      <c r="B95" t="inlineStr">
        <is>
          <t>avverkningsanmälan</t>
        </is>
      </c>
      <c r="C95" t="inlineStr">
        <is>
          <t>Föryngringsavverkning</t>
        </is>
      </c>
      <c r="D95" s="1" t="n">
        <v>45433</v>
      </c>
      <c r="E95" s="1" t="n">
        <v>46226</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13043-2024</t>
        </is>
      </c>
      <c r="B96" t="inlineStr">
        <is>
          <t>avverkningsanmälan</t>
        </is>
      </c>
      <c r="C96" t="inlineStr">
        <is>
          <t>Föryngringsavverkning</t>
        </is>
      </c>
      <c r="D96" s="1" t="n">
        <v>45385</v>
      </c>
      <c r="E96" s="1" t="n">
        <v>46226</v>
      </c>
      <c r="F96" t="inlineStr">
        <is>
          <t>KALMAR LÄN</t>
        </is>
      </c>
      <c r="G96" t="inlineStr">
        <is>
          <t>BORGHOLM</t>
        </is>
      </c>
      <c r="I96" t="n">
        <v>0.4</v>
      </c>
      <c r="J96" t="n">
        <v>1</v>
      </c>
      <c r="K96" t="n">
        <v>1</v>
      </c>
      <c r="L96" t="n">
        <v>0</v>
      </c>
      <c r="M96" t="n">
        <v>0</v>
      </c>
      <c r="N96" t="n">
        <v>0</v>
      </c>
      <c r="O96" t="n">
        <v>0</v>
      </c>
      <c r="P96" t="n">
        <v>0</v>
      </c>
      <c r="Q96" t="n">
        <v>0</v>
      </c>
      <c r="R96" t="n">
        <v>0</v>
      </c>
      <c r="S96" t="n">
        <v>1</v>
      </c>
      <c r="T96" t="n">
        <v>1</v>
      </c>
      <c r="U96" t="n">
        <v>0</v>
      </c>
      <c r="V96" s="2" t="inlineStr">
        <is>
          <t>Ekoxe</t>
        </is>
      </c>
      <c r="W96">
        <f>HYPERLINK("https://klasma.github.io/Logging_0885/artfynd/A 13043-2024 artfynd.xlsx", "A 13043-2024")</f>
        <v/>
      </c>
      <c r="X96">
        <f>HYPERLINK("https://klasma.github.io/Logging_0885/kartor/A 13043-2024 karta.png", "A 13043-2024")</f>
        <v/>
      </c>
      <c r="Y96">
        <f>HYPERLINK("https://klasma.github.io/Logging_0885/kartor_geotiff/A 13043-2024 georefererad karta.tif", "A 13043-2024")</f>
        <v/>
      </c>
      <c r="AA96">
        <f>HYPERLINK("https://klasma.github.io/Logging_0885/klagomål/A 13043-2024 FSC-klagomål.docx", "A 13043-2024")</f>
        <v/>
      </c>
      <c r="AB96">
        <f>HYPERLINK("https://klasma.github.io/Logging_0885/klagomålsmail/A 13043-2024 FSC-klagomål mail.docx", "A 13043-2024")</f>
        <v/>
      </c>
      <c r="AC96">
        <f>HYPERLINK("https://klasma.github.io/Logging_0885/tillsyn/A 13043-2024 tillsynsbegäran.docx", "A 13043-2024")</f>
        <v/>
      </c>
      <c r="AD96">
        <f>HYPERLINK("https://klasma.github.io/Logging_0885/tillsynsmail/A 13043-2024 tillsynsbegäran mail.docx", "A 13043-2024")</f>
        <v/>
      </c>
    </row>
    <row r="97" ht="15" customHeight="1">
      <c r="A97" t="inlineStr">
        <is>
          <t>A 20878-2024</t>
        </is>
      </c>
      <c r="B97" t="inlineStr">
        <is>
          <t>avverkningsanmälan</t>
        </is>
      </c>
      <c r="C97" t="inlineStr">
        <is>
          <t>Föryngringsavverkning</t>
        </is>
      </c>
      <c r="D97" s="1" t="n">
        <v>45439</v>
      </c>
      <c r="E97" s="1" t="n">
        <v>46226</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20878-2024 artfynd.xlsx", "A 20878-2024")</f>
        <v/>
      </c>
      <c r="X97">
        <f>HYPERLINK("https://klasma.github.io/Logging_0885/kartor/A 20878-2024 karta.png", "A 20878-2024")</f>
        <v/>
      </c>
      <c r="Y97">
        <f>HYPERLINK("https://klasma.github.io/Logging_0885/kartor_geotiff/A 20878-2024 georefererad karta.tif", "A 20878-2024")</f>
        <v/>
      </c>
      <c r="AA97">
        <f>HYPERLINK("https://klasma.github.io/Logging_0885/klagomål/A 20878-2024 FSC-klagomål.docx", "A 20878-2024")</f>
        <v/>
      </c>
      <c r="AB97">
        <f>HYPERLINK("https://klasma.github.io/Logging_0885/klagomålsmail/A 20878-2024 FSC-klagomål mail.docx", "A 20878-2024")</f>
        <v/>
      </c>
      <c r="AC97">
        <f>HYPERLINK("https://klasma.github.io/Logging_0885/tillsyn/A 20878-2024 tillsynsbegäran.docx", "A 20878-2024")</f>
        <v/>
      </c>
      <c r="AD97">
        <f>HYPERLINK("https://klasma.github.io/Logging_0885/tillsynsmail/A 20878-2024 tillsynsbegäran mail.docx", "A 20878-2024")</f>
        <v/>
      </c>
    </row>
    <row r="98" ht="15" customHeight="1">
      <c r="A98" t="inlineStr">
        <is>
          <t>S 2390-2023</t>
        </is>
      </c>
      <c r="B98" t="inlineStr">
        <is>
          <t>samrådsanmälan</t>
        </is>
      </c>
      <c r="C98" t="inlineStr">
        <is>
          <t>Annan skogsbruksåtgärd</t>
        </is>
      </c>
      <c r="D98" s="1" t="n">
        <v>45111</v>
      </c>
      <c r="E98" s="1" t="n">
        <v>46226</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46226</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1706-2026</t>
        </is>
      </c>
      <c r="B100" t="inlineStr">
        <is>
          <t>samrådsanmälan</t>
        </is>
      </c>
      <c r="C100" t="inlineStr">
        <is>
          <t>Annan skogsbruksåtgärd</t>
        </is>
      </c>
      <c r="D100" s="1" t="n">
        <v>46185</v>
      </c>
      <c r="E100" s="1" t="n">
        <v>46226</v>
      </c>
      <c r="F100" t="inlineStr">
        <is>
          <t>KALMAR LÄN</t>
        </is>
      </c>
      <c r="G100" t="inlineStr">
        <is>
          <t>BORGHOLM</t>
        </is>
      </c>
      <c r="H100" t="inlineStr">
        <is>
          <t>Sveaskog</t>
        </is>
      </c>
      <c r="I100" t="n">
        <v>1.4</v>
      </c>
      <c r="J100" t="n">
        <v>0</v>
      </c>
      <c r="K100" t="n">
        <v>0</v>
      </c>
      <c r="L100" t="n">
        <v>0</v>
      </c>
      <c r="M100" t="n">
        <v>0</v>
      </c>
      <c r="N100" t="n">
        <v>1</v>
      </c>
      <c r="O100" t="n">
        <v>0</v>
      </c>
      <c r="P100" t="n">
        <v>0</v>
      </c>
      <c r="Q100" t="n">
        <v>1</v>
      </c>
      <c r="R100" t="n">
        <v>1</v>
      </c>
      <c r="S100" t="n">
        <v>1</v>
      </c>
      <c r="T100" t="n">
        <v>3</v>
      </c>
      <c r="U100" t="n">
        <v>0</v>
      </c>
      <c r="V100" s="2" t="inlineStr">
        <is>
          <t>Ask</t>
        </is>
      </c>
      <c r="W100">
        <f>HYPERLINK("https://klasma.github.io/Logging_0885/artfynd/S 1706-2026 artfynd.xlsx", "S 1706-2026")</f>
        <v/>
      </c>
      <c r="X100">
        <f>HYPERLINK("https://klasma.github.io/Logging_0885/kartor/S 1706-2026 karta.png", "S 1706-2026")</f>
        <v/>
      </c>
      <c r="Y100">
        <f>HYPERLINK("https://klasma.github.io/Logging_0885/kartor_geotiff/S 1706-2026 georefererad karta.tif", "S 1706-2026")</f>
        <v/>
      </c>
      <c r="AA100">
        <f>HYPERLINK("https://klasma.github.io/Logging_0885/klagomål/S 1706-2026 FSC-klagomål.docx", "S 1706-2026")</f>
        <v/>
      </c>
      <c r="AB100">
        <f>HYPERLINK("https://klasma.github.io/Logging_0885/klagomålsmail/S 1706-2026 FSC-klagomål mail.docx", "S 1706-2026")</f>
        <v/>
      </c>
      <c r="AC100">
        <f>HYPERLINK("https://klasma.github.io/Logging_0885/tillsyn/S 1706-2026 tillsynsbegäran.docx", "S 1706-2026")</f>
        <v/>
      </c>
      <c r="AD100">
        <f>HYPERLINK("https://klasma.github.io/Logging_0885/tillsynsmail/S 1706-2026 tillsynsbegäran mail.docx", "S 1706-2026")</f>
        <v/>
      </c>
    </row>
    <row r="101" ht="15" customHeight="1">
      <c r="A101" t="inlineStr">
        <is>
          <t>S 1803-2026</t>
        </is>
      </c>
      <c r="B101" t="inlineStr">
        <is>
          <t>samrådsanmälan</t>
        </is>
      </c>
      <c r="C101" t="inlineStr">
        <is>
          <t>Annan skogsbruksåtgärd</t>
        </is>
      </c>
      <c r="D101" s="1" t="n">
        <v>46196</v>
      </c>
      <c r="E101" s="1" t="n">
        <v>46226</v>
      </c>
      <c r="F101" t="inlineStr">
        <is>
          <t>KALMAR LÄN</t>
        </is>
      </c>
      <c r="G101" t="inlineStr">
        <is>
          <t>BORGHOLM</t>
        </is>
      </c>
      <c r="H101" t="inlineStr">
        <is>
          <t>Sveaskog</t>
        </is>
      </c>
      <c r="I101" t="n">
        <v>2</v>
      </c>
      <c r="J101" t="n">
        <v>0</v>
      </c>
      <c r="K101" t="n">
        <v>0</v>
      </c>
      <c r="L101" t="n">
        <v>0</v>
      </c>
      <c r="M101" t="n">
        <v>1</v>
      </c>
      <c r="N101" t="n">
        <v>0</v>
      </c>
      <c r="O101" t="n">
        <v>0</v>
      </c>
      <c r="P101" t="n">
        <v>0</v>
      </c>
      <c r="Q101" t="n">
        <v>1</v>
      </c>
      <c r="R101" t="n">
        <v>1</v>
      </c>
      <c r="S101" t="n">
        <v>1</v>
      </c>
      <c r="T101" t="n">
        <v>1</v>
      </c>
      <c r="U101" t="n">
        <v>0</v>
      </c>
      <c r="V101" s="2" t="inlineStr">
        <is>
          <t>Purpurmusseron</t>
        </is>
      </c>
      <c r="W101">
        <f>HYPERLINK("https://klasma.github.io/Logging_0885/artfynd/S 1803-2026 artfynd.xlsx", "S 1803-2026")</f>
        <v/>
      </c>
      <c r="X101">
        <f>HYPERLINK("https://klasma.github.io/Logging_0885/kartor/S 1803-2026 karta.png", "S 1803-2026")</f>
        <v/>
      </c>
      <c r="Y101">
        <f>HYPERLINK("https://klasma.github.io/Logging_0885/kartor_geotiff/S 1803-2026 georefererad karta.tif", "S 1803-2026")</f>
        <v/>
      </c>
      <c r="AA101">
        <f>HYPERLINK("https://klasma.github.io/Logging_0885/klagomål/S 1803-2026 FSC-klagomål.docx", "S 1803-2026")</f>
        <v/>
      </c>
      <c r="AB101">
        <f>HYPERLINK("https://klasma.github.io/Logging_0885/klagomålsmail/S 1803-2026 FSC-klagomål mail.docx", "S 1803-2026")</f>
        <v/>
      </c>
      <c r="AC101">
        <f>HYPERLINK("https://klasma.github.io/Logging_0885/tillsyn/S 1803-2026 tillsynsbegäran.docx", "S 1803-2026")</f>
        <v/>
      </c>
      <c r="AD101">
        <f>HYPERLINK("https://klasma.github.io/Logging_0885/tillsynsmail/S 1803-2026 tillsynsbegäran mail.docx", "S 1803-2026")</f>
        <v/>
      </c>
    </row>
    <row r="102" ht="15" customHeight="1">
      <c r="A102" t="inlineStr">
        <is>
          <t>S 1813-2026</t>
        </is>
      </c>
      <c r="B102" t="inlineStr">
        <is>
          <t>samrådsanmälan</t>
        </is>
      </c>
      <c r="C102" t="inlineStr">
        <is>
          <t>Annan skogsbruksåtgärd</t>
        </is>
      </c>
      <c r="D102" s="1" t="n">
        <v>46197</v>
      </c>
      <c r="E102" s="1" t="n">
        <v>46226</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A 42761-2021</t>
        </is>
      </c>
      <c r="B103" t="inlineStr">
        <is>
          <t>avverkningsanmälan</t>
        </is>
      </c>
      <c r="C103" t="inlineStr">
        <is>
          <t>Avverkning för annat ändamål</t>
        </is>
      </c>
      <c r="D103" s="1" t="n">
        <v>44428</v>
      </c>
      <c r="E103" s="1" t="n">
        <v>46226</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46226</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46226</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46226</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46226</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46226</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46226</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46226</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46226</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12937-2022</t>
        </is>
      </c>
      <c r="B112" t="inlineStr">
        <is>
          <t>avverkningsanmälan</t>
        </is>
      </c>
      <c r="C112" t="inlineStr">
        <is>
          <t>Föryngringsavverkning</t>
        </is>
      </c>
      <c r="D112" s="1" t="n">
        <v>44642</v>
      </c>
      <c r="E112" s="1" t="n">
        <v>46226</v>
      </c>
      <c r="F112" t="inlineStr">
        <is>
          <t>KALMAR LÄN</t>
        </is>
      </c>
      <c r="G112" t="inlineStr">
        <is>
          <t>BORGHOLM</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46226</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55367-2024</t>
        </is>
      </c>
      <c r="B114" t="inlineStr">
        <is>
          <t>avverkningsanmälan</t>
        </is>
      </c>
      <c r="C114" t="inlineStr">
        <is>
          <t>Föryngringsavverkning</t>
        </is>
      </c>
      <c r="D114" s="1" t="n">
        <v>45621</v>
      </c>
      <c r="E114" s="1" t="n">
        <v>46226</v>
      </c>
      <c r="F114" t="inlineStr">
        <is>
          <t>KALMAR LÄN</t>
        </is>
      </c>
      <c r="G114" t="inlineStr">
        <is>
          <t>BORGHOLM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64303-2023</t>
        </is>
      </c>
      <c r="B115" t="inlineStr">
        <is>
          <t>avverkningsanmälan</t>
        </is>
      </c>
      <c r="C115" t="inlineStr">
        <is>
          <t>Avverkning för annat ändamål</t>
        </is>
      </c>
      <c r="D115" s="1" t="n">
        <v>45280</v>
      </c>
      <c r="E115" s="1" t="n">
        <v>46226</v>
      </c>
      <c r="F115" t="inlineStr">
        <is>
          <t>KALMAR LÄN</t>
        </is>
      </c>
      <c r="G115" t="inlineStr">
        <is>
          <t>BORGHOLM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9104-2026</t>
        </is>
      </c>
      <c r="B116" t="inlineStr">
        <is>
          <t>avverkningsanmälan</t>
        </is>
      </c>
      <c r="C116" t="inlineStr">
        <is>
          <t>Avverkning för annat ändamål</t>
        </is>
      </c>
      <c r="D116" s="1" t="n">
        <v>46069</v>
      </c>
      <c r="E116" s="1" t="n">
        <v>46226</v>
      </c>
      <c r="F116" t="inlineStr">
        <is>
          <t>KALMAR LÄN</t>
        </is>
      </c>
      <c r="G116" t="inlineStr">
        <is>
          <t>BORGHOLM</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9259-2026</t>
        </is>
      </c>
      <c r="B117" t="inlineStr">
        <is>
          <t>avverkningsanmälan</t>
        </is>
      </c>
      <c r="C117" t="inlineStr">
        <is>
          <t>Föryngringsavverkning</t>
        </is>
      </c>
      <c r="D117" s="1" t="n">
        <v>46070</v>
      </c>
      <c r="E117" s="1" t="n">
        <v>46226</v>
      </c>
      <c r="F117" t="inlineStr">
        <is>
          <t>KALMAR LÄN</t>
        </is>
      </c>
      <c r="G117" t="inlineStr">
        <is>
          <t>BORGHOLM</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4159-2024</t>
        </is>
      </c>
      <c r="B118" t="inlineStr">
        <is>
          <t>avverkningsanmälan</t>
        </is>
      </c>
      <c r="C118" t="inlineStr">
        <is>
          <t>Föryngringsavverkning</t>
        </is>
      </c>
      <c r="D118" s="1" t="n">
        <v>45323</v>
      </c>
      <c r="E118" s="1" t="n">
        <v>46226</v>
      </c>
      <c r="F118" t="inlineStr">
        <is>
          <t>KALMAR LÄN</t>
        </is>
      </c>
      <c r="G118" t="inlineStr">
        <is>
          <t>BORGHOLM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41950-2025</t>
        </is>
      </c>
      <c r="B119" t="inlineStr">
        <is>
          <t>avverkningsanmälan</t>
        </is>
      </c>
      <c r="C119" t="inlineStr">
        <is>
          <t>Föryngringsavverkning</t>
        </is>
      </c>
      <c r="D119" s="1" t="n">
        <v>45903</v>
      </c>
      <c r="E119" s="1" t="n">
        <v>46226</v>
      </c>
      <c r="F119" t="inlineStr">
        <is>
          <t>KALMAR LÄN</t>
        </is>
      </c>
      <c r="G119" t="inlineStr">
        <is>
          <t>BORGHOLM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32921-2023</t>
        </is>
      </c>
      <c r="B120" t="inlineStr">
        <is>
          <t>avverkningsanmälan</t>
        </is>
      </c>
      <c r="C120" t="inlineStr">
        <is>
          <t>Föryngringsavverkning</t>
        </is>
      </c>
      <c r="D120" s="1" t="n">
        <v>45125</v>
      </c>
      <c r="E120" s="1" t="n">
        <v>46226</v>
      </c>
      <c r="F120" t="inlineStr">
        <is>
          <t>KALMAR LÄN</t>
        </is>
      </c>
      <c r="G120" t="inlineStr">
        <is>
          <t>BORGHOLM</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31699-2022</t>
        </is>
      </c>
      <c r="B121" t="inlineStr">
        <is>
          <t>avverkningsanmälan</t>
        </is>
      </c>
      <c r="C121" t="inlineStr">
        <is>
          <t>Föryngringsavverkning</t>
        </is>
      </c>
      <c r="D121" s="1" t="n">
        <v>44776</v>
      </c>
      <c r="E121" s="1" t="n">
        <v>46226</v>
      </c>
      <c r="F121" t="inlineStr">
        <is>
          <t>KALMAR LÄN</t>
        </is>
      </c>
      <c r="G121" t="inlineStr">
        <is>
          <t>BORGHOLM</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46226</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15272-2026</t>
        </is>
      </c>
      <c r="B123" t="inlineStr">
        <is>
          <t>avverkningsanmälan</t>
        </is>
      </c>
      <c r="C123" t="inlineStr">
        <is>
          <t>Avverkning för att bevara och utveckla /försöksver</t>
        </is>
      </c>
      <c r="D123" s="1" t="n">
        <v>46105</v>
      </c>
      <c r="E123" s="1" t="n">
        <v>46226</v>
      </c>
      <c r="F123" t="inlineStr">
        <is>
          <t>KALMAR LÄN</t>
        </is>
      </c>
      <c r="G123" t="inlineStr">
        <is>
          <t>BORGHOLM</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15279-2026</t>
        </is>
      </c>
      <c r="B124" t="inlineStr">
        <is>
          <t>avverkningsanmälan</t>
        </is>
      </c>
      <c r="C124" t="inlineStr">
        <is>
          <t>Avverkning för att bevara och utveckla /försöksver</t>
        </is>
      </c>
      <c r="D124" s="1" t="n">
        <v>46105</v>
      </c>
      <c r="E124" s="1" t="n">
        <v>46226</v>
      </c>
      <c r="F124" t="inlineStr">
        <is>
          <t>KALMAR LÄN</t>
        </is>
      </c>
      <c r="G124" t="inlineStr">
        <is>
          <t>BORGHOLM</t>
        </is>
      </c>
      <c r="H124" t="inlineStr">
        <is>
          <t>Sveaskog</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15264-2026</t>
        </is>
      </c>
      <c r="B125" t="inlineStr">
        <is>
          <t>avverkningsanmälan</t>
        </is>
      </c>
      <c r="C125" t="inlineStr">
        <is>
          <t>Avverkning för att bevara och utveckla /försöksver</t>
        </is>
      </c>
      <c r="D125" s="1" t="n">
        <v>46105</v>
      </c>
      <c r="E125" s="1" t="n">
        <v>46226</v>
      </c>
      <c r="F125" t="inlineStr">
        <is>
          <t>KALMAR LÄN</t>
        </is>
      </c>
      <c r="G125" t="inlineStr">
        <is>
          <t>BORGHOLM</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46845-2025</t>
        </is>
      </c>
      <c r="B126" t="inlineStr">
        <is>
          <t>avverkningsanmälan</t>
        </is>
      </c>
      <c r="C126" t="inlineStr">
        <is>
          <t>Avverkning för annat ändamål</t>
        </is>
      </c>
      <c r="D126" s="1" t="n">
        <v>45928</v>
      </c>
      <c r="E126" s="1" t="n">
        <v>46226</v>
      </c>
      <c r="F126" t="inlineStr">
        <is>
          <t>KALMAR LÄN</t>
        </is>
      </c>
      <c r="G126" t="inlineStr">
        <is>
          <t>BORGHOLM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1614-2025</t>
        </is>
      </c>
      <c r="B127" t="inlineStr">
        <is>
          <t>avverkningsanmälan</t>
        </is>
      </c>
      <c r="C127" t="inlineStr">
        <is>
          <t>Föryngringsavverkning</t>
        </is>
      </c>
      <c r="D127" s="1" t="n">
        <v>45670</v>
      </c>
      <c r="E127" s="1" t="n">
        <v>46226</v>
      </c>
      <c r="F127" t="inlineStr">
        <is>
          <t>KALMAR LÄN</t>
        </is>
      </c>
      <c r="G127" t="inlineStr">
        <is>
          <t>BORGHOLM</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9076-2025</t>
        </is>
      </c>
      <c r="B128" t="inlineStr">
        <is>
          <t>avverkningsanmälan</t>
        </is>
      </c>
      <c r="C128" t="inlineStr">
        <is>
          <t>Föryngringsavverkning</t>
        </is>
      </c>
      <c r="D128" s="1" t="n">
        <v>45713</v>
      </c>
      <c r="E128" s="1" t="n">
        <v>46226</v>
      </c>
      <c r="F128" t="inlineStr">
        <is>
          <t>KALMAR LÄN</t>
        </is>
      </c>
      <c r="G128" t="inlineStr">
        <is>
          <t>BORGHOLM</t>
        </is>
      </c>
      <c r="H128" t="inlineStr">
        <is>
          <t>Sveaskog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1757-2025</t>
        </is>
      </c>
      <c r="B129" t="inlineStr">
        <is>
          <t>avverkningsanmälan</t>
        </is>
      </c>
      <c r="C129" t="inlineStr">
        <is>
          <t>Föryngringsavverkning</t>
        </is>
      </c>
      <c r="D129" s="1" t="n">
        <v>45671</v>
      </c>
      <c r="E129" s="1" t="n">
        <v>46226</v>
      </c>
      <c r="F129" t="inlineStr">
        <is>
          <t>KALMAR LÄN</t>
        </is>
      </c>
      <c r="G129" t="inlineStr">
        <is>
          <t>BORGHOLM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36269-2025</t>
        </is>
      </c>
      <c r="B130" t="inlineStr">
        <is>
          <t>avverkningsanmälan</t>
        </is>
      </c>
      <c r="C130" t="inlineStr">
        <is>
          <t>Föryngringsavverkning</t>
        </is>
      </c>
      <c r="D130" s="1" t="n">
        <v>45867</v>
      </c>
      <c r="E130" s="1" t="n">
        <v>46226</v>
      </c>
      <c r="F130" t="inlineStr">
        <is>
          <t>KALMAR LÄN</t>
        </is>
      </c>
      <c r="G130" t="inlineStr">
        <is>
          <t>BORGHOLM</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9050-2025</t>
        </is>
      </c>
      <c r="B131" t="inlineStr">
        <is>
          <t>avverkningsanmälan</t>
        </is>
      </c>
      <c r="C131" t="inlineStr">
        <is>
          <t>Avverkning för att bevara och utveckla /försöksver</t>
        </is>
      </c>
      <c r="D131" s="1" t="n">
        <v>45713</v>
      </c>
      <c r="E131" s="1" t="n">
        <v>46226</v>
      </c>
      <c r="F131" t="inlineStr">
        <is>
          <t>KALMAR LÄN</t>
        </is>
      </c>
      <c r="G131" t="inlineStr">
        <is>
          <t>BORGHOLM</t>
        </is>
      </c>
      <c r="H131" t="inlineStr">
        <is>
          <t>Sveaskog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28411-2026</t>
        </is>
      </c>
      <c r="B132" t="inlineStr">
        <is>
          <t>avverkningsanmälan</t>
        </is>
      </c>
      <c r="C132" t="inlineStr">
        <is>
          <t>Avverkning för att bevara och utveckla /försöksver</t>
        </is>
      </c>
      <c r="D132" s="1" t="n">
        <v>46197</v>
      </c>
      <c r="E132" s="1" t="n">
        <v>46226</v>
      </c>
      <c r="F132" t="inlineStr">
        <is>
          <t>KALMAR LÄN</t>
        </is>
      </c>
      <c r="G132" t="inlineStr">
        <is>
          <t>BORGHOLM</t>
        </is>
      </c>
      <c r="H132" t="inlineStr">
        <is>
          <t>Sveaskog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28381-2026</t>
        </is>
      </c>
      <c r="B133" t="inlineStr">
        <is>
          <t>avverkningsanmälan</t>
        </is>
      </c>
      <c r="C133" t="inlineStr">
        <is>
          <t>Avverkning för att bevara och utveckla /försöksver</t>
        </is>
      </c>
      <c r="D133" s="1" t="n">
        <v>46196</v>
      </c>
      <c r="E133" s="1" t="n">
        <v>46226</v>
      </c>
      <c r="F133" t="inlineStr">
        <is>
          <t>KALMAR LÄN</t>
        </is>
      </c>
      <c r="G133" t="inlineStr">
        <is>
          <t>BORGHOLM</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28380-2026</t>
        </is>
      </c>
      <c r="B134" t="inlineStr">
        <is>
          <t>avverkningsanmälan</t>
        </is>
      </c>
      <c r="C134" t="inlineStr">
        <is>
          <t>Avverkning för att bevara och utveckla /försöksver</t>
        </is>
      </c>
      <c r="D134" s="1" t="n">
        <v>46196</v>
      </c>
      <c r="E134" s="1" t="n">
        <v>46226</v>
      </c>
      <c r="F134" t="inlineStr">
        <is>
          <t>KALMAR LÄN</t>
        </is>
      </c>
      <c r="G134" t="inlineStr">
        <is>
          <t>BORGHOLM</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43603-2024</t>
        </is>
      </c>
      <c r="B135" t="inlineStr">
        <is>
          <t>avverkningsanmälan</t>
        </is>
      </c>
      <c r="C135" t="inlineStr">
        <is>
          <t>Föryngringsavverkning</t>
        </is>
      </c>
      <c r="D135" s="1" t="n">
        <v>45569</v>
      </c>
      <c r="E135" s="1" t="n">
        <v>46226</v>
      </c>
      <c r="F135" t="inlineStr">
        <is>
          <t>KALMAR LÄN</t>
        </is>
      </c>
      <c r="G135" t="inlineStr">
        <is>
          <t>BORGHOLM</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46226</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29431-2026</t>
        </is>
      </c>
      <c r="B137" t="inlineStr">
        <is>
          <t>avverkningsanmälan</t>
        </is>
      </c>
      <c r="C137" t="inlineStr">
        <is>
          <t>Avverkning för att bevara och utveckla /försöksver</t>
        </is>
      </c>
      <c r="D137" s="1" t="n">
        <v>46203</v>
      </c>
      <c r="E137" s="1" t="n">
        <v>46226</v>
      </c>
      <c r="F137" t="inlineStr">
        <is>
          <t>KALMAR LÄN</t>
        </is>
      </c>
      <c r="G137" t="inlineStr">
        <is>
          <t>BORGHOLM</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7669-2024</t>
        </is>
      </c>
      <c r="B138" t="inlineStr">
        <is>
          <t>avverkningsanmälan</t>
        </is>
      </c>
      <c r="C138" t="inlineStr">
        <is>
          <t>Föryngringsavverkning</t>
        </is>
      </c>
      <c r="D138" s="1" t="n">
        <v>45348</v>
      </c>
      <c r="E138" s="1" t="n">
        <v>46226</v>
      </c>
      <c r="F138" t="inlineStr">
        <is>
          <t>KALMAR LÄN</t>
        </is>
      </c>
      <c r="G138" t="inlineStr">
        <is>
          <t>BORGHOLM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29410-2026</t>
        </is>
      </c>
      <c r="B139" t="inlineStr">
        <is>
          <t>avverkningsanmälan</t>
        </is>
      </c>
      <c r="C139" t="inlineStr">
        <is>
          <t>Avverkning för att bevara och utveckla /försöksver</t>
        </is>
      </c>
      <c r="D139" s="1" t="n">
        <v>46203</v>
      </c>
      <c r="E139" s="1" t="n">
        <v>46226</v>
      </c>
      <c r="F139" t="inlineStr">
        <is>
          <t>KALMAR LÄN</t>
        </is>
      </c>
      <c r="G139" t="inlineStr">
        <is>
          <t>BORGHOLM</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29413-2026</t>
        </is>
      </c>
      <c r="B140" t="inlineStr">
        <is>
          <t>avverkningsanmälan</t>
        </is>
      </c>
      <c r="C140" t="inlineStr">
        <is>
          <t>Avverkning för att bevara och utveckla /försöksver</t>
        </is>
      </c>
      <c r="D140" s="1" t="n">
        <v>46203</v>
      </c>
      <c r="E140" s="1" t="n">
        <v>46226</v>
      </c>
      <c r="F140" t="inlineStr">
        <is>
          <t>KALMAR LÄN</t>
        </is>
      </c>
      <c r="G140" t="inlineStr">
        <is>
          <t>BORGHOLM</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29414-2026</t>
        </is>
      </c>
      <c r="B141" t="inlineStr">
        <is>
          <t>avverkningsanmälan</t>
        </is>
      </c>
      <c r="C141" t="inlineStr">
        <is>
          <t>Avverkning för att bevara och utveckla /försöksver</t>
        </is>
      </c>
      <c r="D141" s="1" t="n">
        <v>46203</v>
      </c>
      <c r="E141" s="1" t="n">
        <v>46226</v>
      </c>
      <c r="F141" t="inlineStr">
        <is>
          <t>KALMAR LÄN</t>
        </is>
      </c>
      <c r="G141" t="inlineStr">
        <is>
          <t>BORGHOLM</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24323-2026</t>
        </is>
      </c>
      <c r="B142" t="inlineStr">
        <is>
          <t>avverkningsanmälan</t>
        </is>
      </c>
      <c r="C142" t="inlineStr">
        <is>
          <t>Föryngringsavverkning</t>
        </is>
      </c>
      <c r="D142" s="1" t="n">
        <v>46169</v>
      </c>
      <c r="E142" s="1" t="n">
        <v>46226</v>
      </c>
      <c r="F142" t="inlineStr">
        <is>
          <t>KALMAR LÄN</t>
        </is>
      </c>
      <c r="G142" t="inlineStr">
        <is>
          <t>BORGHOLM</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24345-2026</t>
        </is>
      </c>
      <c r="B143" t="inlineStr">
        <is>
          <t>avverkningsanmälan</t>
        </is>
      </c>
      <c r="C143" t="inlineStr">
        <is>
          <t>Avverkning för att bevara och utveckla /försöksver</t>
        </is>
      </c>
      <c r="D143" s="1" t="n">
        <v>46169</v>
      </c>
      <c r="E143" s="1" t="n">
        <v>46226</v>
      </c>
      <c r="F143" t="inlineStr">
        <is>
          <t>KALMAR LÄN</t>
        </is>
      </c>
      <c r="G143" t="inlineStr">
        <is>
          <t>BORGHOLM</t>
        </is>
      </c>
      <c r="H143" t="inlineStr">
        <is>
          <t>Sveaskog</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24338-2026</t>
        </is>
      </c>
      <c r="B144" t="inlineStr">
        <is>
          <t>avverkningsanmälan</t>
        </is>
      </c>
      <c r="C144" t="inlineStr">
        <is>
          <t>Avverkning för att bevara och utveckla /försöksver</t>
        </is>
      </c>
      <c r="D144" s="1" t="n">
        <v>46169</v>
      </c>
      <c r="E144" s="1" t="n">
        <v>46226</v>
      </c>
      <c r="F144" t="inlineStr">
        <is>
          <t>KALMAR LÄN</t>
        </is>
      </c>
      <c r="G144" t="inlineStr">
        <is>
          <t>BORGHOLM</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32919-2023</t>
        </is>
      </c>
      <c r="B145" t="inlineStr">
        <is>
          <t>avverkningsanmälan</t>
        </is>
      </c>
      <c r="C145" t="inlineStr">
        <is>
          <t>Föryngringsavverkning</t>
        </is>
      </c>
      <c r="D145" s="1" t="n">
        <v>45125</v>
      </c>
      <c r="E145" s="1" t="n">
        <v>46226</v>
      </c>
      <c r="F145" t="inlineStr">
        <is>
          <t>KALMAR LÄN</t>
        </is>
      </c>
      <c r="G145" t="inlineStr">
        <is>
          <t>BORGHOLM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44547-2021</t>
        </is>
      </c>
      <c r="B146" t="inlineStr">
        <is>
          <t>avverkningsanmälan</t>
        </is>
      </c>
      <c r="C146" t="inlineStr">
        <is>
          <t>Avverkning för annat ändamål</t>
        </is>
      </c>
      <c r="D146" s="1" t="n">
        <v>44435</v>
      </c>
      <c r="E146" s="1" t="n">
        <v>46226</v>
      </c>
      <c r="F146" t="inlineStr">
        <is>
          <t>KALMAR LÄN</t>
        </is>
      </c>
      <c r="G146" t="inlineStr">
        <is>
          <t>BORGHOLM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5175-2024</t>
        </is>
      </c>
      <c r="B147" t="inlineStr">
        <is>
          <t>avverkningsanmälan</t>
        </is>
      </c>
      <c r="C147" t="inlineStr">
        <is>
          <t>Föryngringsavverkning</t>
        </is>
      </c>
      <c r="D147" s="1" t="n">
        <v>45330</v>
      </c>
      <c r="E147" s="1" t="n">
        <v>46226</v>
      </c>
      <c r="F147" t="inlineStr">
        <is>
          <t>KALMAR LÄN</t>
        </is>
      </c>
      <c r="G147" t="inlineStr">
        <is>
          <t>BORGHOLM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34951-2022</t>
        </is>
      </c>
      <c r="B148" t="inlineStr">
        <is>
          <t>avverkningsanmälan</t>
        </is>
      </c>
      <c r="C148" t="inlineStr">
        <is>
          <t>Avverkning för att bevara och utveckla /försöksver</t>
        </is>
      </c>
      <c r="D148" s="1" t="n">
        <v>44796</v>
      </c>
      <c r="E148" s="1" t="n">
        <v>46226</v>
      </c>
      <c r="F148" t="inlineStr">
        <is>
          <t>KALMAR LÄN</t>
        </is>
      </c>
      <c r="G148" t="inlineStr">
        <is>
          <t>BORGHOLM</t>
        </is>
      </c>
      <c r="H148" t="inlineStr">
        <is>
          <t>Sveaskog</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13383-2023</t>
        </is>
      </c>
      <c r="B149" t="inlineStr">
        <is>
          <t>avverkningsanmälan</t>
        </is>
      </c>
      <c r="C149" t="inlineStr">
        <is>
          <t>Föryngringsavverkning</t>
        </is>
      </c>
      <c r="D149" s="1" t="n">
        <v>45005</v>
      </c>
      <c r="E149" s="1" t="n">
        <v>46226</v>
      </c>
      <c r="F149" t="inlineStr">
        <is>
          <t>KALMAR LÄN</t>
        </is>
      </c>
      <c r="G149" t="inlineStr">
        <is>
          <t>BORGHOLM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61438-2023</t>
        </is>
      </c>
      <c r="B150" t="inlineStr">
        <is>
          <t>avverkningsanmälan</t>
        </is>
      </c>
      <c r="C150" t="inlineStr">
        <is>
          <t>Avverkning för annat ändamål</t>
        </is>
      </c>
      <c r="D150" s="1" t="n">
        <v>45264</v>
      </c>
      <c r="E150" s="1" t="n">
        <v>46226</v>
      </c>
      <c r="F150" t="inlineStr">
        <is>
          <t>KALMAR LÄN</t>
        </is>
      </c>
      <c r="G150" t="inlineStr">
        <is>
          <t>BORGHOLM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13041-2024</t>
        </is>
      </c>
      <c r="B151" t="inlineStr">
        <is>
          <t>avverkningsanmälan</t>
        </is>
      </c>
      <c r="C151" t="inlineStr">
        <is>
          <t>Föryngringsavverkning</t>
        </is>
      </c>
      <c r="D151" s="1" t="n">
        <v>45385</v>
      </c>
      <c r="E151" s="1" t="n">
        <v>46226</v>
      </c>
      <c r="F151" t="inlineStr">
        <is>
          <t>KALMAR LÄN</t>
        </is>
      </c>
      <c r="G151" t="inlineStr">
        <is>
          <t>BORGHOLM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53050-2021</t>
        </is>
      </c>
      <c r="B152" t="inlineStr">
        <is>
          <t>avverkningsanmälan</t>
        </is>
      </c>
      <c r="C152" t="inlineStr">
        <is>
          <t>Föryngringsavverkning</t>
        </is>
      </c>
      <c r="D152" s="1" t="n">
        <v>44467</v>
      </c>
      <c r="E152" s="1" t="n">
        <v>46226</v>
      </c>
      <c r="F152" t="inlineStr">
        <is>
          <t>KALMAR LÄN</t>
        </is>
      </c>
      <c r="G152" t="inlineStr">
        <is>
          <t>BORGHOLM</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4165-2023</t>
        </is>
      </c>
      <c r="B153" t="inlineStr">
        <is>
          <t>avverkningsanmälan</t>
        </is>
      </c>
      <c r="C153" t="inlineStr">
        <is>
          <t>Föryngringsavverkning</t>
        </is>
      </c>
      <c r="D153" s="1" t="n">
        <v>44953</v>
      </c>
      <c r="E153" s="1" t="n">
        <v>46226</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34780-2022</t>
        </is>
      </c>
      <c r="B154" t="inlineStr">
        <is>
          <t>avverkningsanmälan</t>
        </is>
      </c>
      <c r="C154" t="inlineStr">
        <is>
          <t>Föryngringsavverkning</t>
        </is>
      </c>
      <c r="D154" s="1" t="n">
        <v>44795</v>
      </c>
      <c r="E154" s="1" t="n">
        <v>46226</v>
      </c>
      <c r="F154" t="inlineStr">
        <is>
          <t>KALMAR LÄN</t>
        </is>
      </c>
      <c r="G154" t="inlineStr">
        <is>
          <t>BORGHOLM</t>
        </is>
      </c>
      <c r="H154" t="inlineStr">
        <is>
          <t>Sveaskog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20287-2025</t>
        </is>
      </c>
      <c r="B155" t="inlineStr">
        <is>
          <t>avverkningsanmälan</t>
        </is>
      </c>
      <c r="C155" t="inlineStr">
        <is>
          <t>Avverkning för att bevara och utveckla /försöksver</t>
        </is>
      </c>
      <c r="D155" s="1" t="n">
        <v>45774</v>
      </c>
      <c r="E155" s="1" t="n">
        <v>46226</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26160-2024</t>
        </is>
      </c>
      <c r="B156" t="inlineStr">
        <is>
          <t>avverkningsanmälan</t>
        </is>
      </c>
      <c r="C156" t="inlineStr">
        <is>
          <t>Avverkning för annat ändamål</t>
        </is>
      </c>
      <c r="D156" s="1" t="n">
        <v>45468</v>
      </c>
      <c r="E156" s="1" t="n">
        <v>46226</v>
      </c>
      <c r="F156" t="inlineStr">
        <is>
          <t>KALMAR LÄN</t>
        </is>
      </c>
      <c r="G156" t="inlineStr">
        <is>
          <t>BORGHOLM</t>
        </is>
      </c>
      <c r="I156" t="n">
        <v>0.4</v>
      </c>
      <c r="J156" t="n">
        <v>0</v>
      </c>
      <c r="K156" t="n">
        <v>0</v>
      </c>
      <c r="L156" t="n">
        <v>0</v>
      </c>
      <c r="M156" t="n">
        <v>0</v>
      </c>
      <c r="N156" t="n">
        <v>0</v>
      </c>
      <c r="O156" t="n">
        <v>0</v>
      </c>
      <c r="P156" t="n">
        <v>0</v>
      </c>
      <c r="Q156" t="n">
        <v>0</v>
      </c>
      <c r="R156" t="n">
        <v>0</v>
      </c>
      <c r="S156" t="n">
        <v>0</v>
      </c>
      <c r="T156" t="n">
        <v>0</v>
      </c>
      <c r="U156" t="n">
        <v>0</v>
      </c>
      <c r="V156" s="2" t="inlineStr"/>
      <c r="X156">
        <f>HYPERLINK("https://klasma.github.io/Logging_0885/kartor/A 26160-2024 karta.png", "A 26160-2024")</f>
        <v/>
      </c>
      <c r="Y156">
        <f>HYPERLINK("https://klasma.github.io/Logging_0885/kartor_geotiff/A 26160-2024 georefererad karta.tif", "A 26160-2024")</f>
        <v/>
      </c>
      <c r="AA156">
        <f>HYPERLINK("https://klasma.github.io/Logging_0885/klagomål/A 26160-2024 FSC-klagomål.docx", "A 26160-2024")</f>
        <v/>
      </c>
      <c r="AB156">
        <f>HYPERLINK("https://klasma.github.io/Logging_0885/klagomålsmail/A 26160-2024 FSC-klagomål mail.docx", "A 26160-2024")</f>
        <v/>
      </c>
      <c r="AC156">
        <f>HYPERLINK("https://klasma.github.io/Logging_0885/tillsyn/A 26160-2024 tillsynsbegäran.docx", "A 26160-2024")</f>
        <v/>
      </c>
      <c r="AD156">
        <f>HYPERLINK("https://klasma.github.io/Logging_0885/tillsynsmail/A 26160-2024 tillsynsbegäran mail.docx", "A 26160-2024")</f>
        <v/>
      </c>
    </row>
    <row r="157" ht="15" customHeight="1">
      <c r="A157" t="inlineStr">
        <is>
          <t>A 63075-2023</t>
        </is>
      </c>
      <c r="B157" t="inlineStr">
        <is>
          <t>avverkningsanmälan</t>
        </is>
      </c>
      <c r="C157" t="inlineStr">
        <is>
          <t>Avverkning för annat ändamål</t>
        </is>
      </c>
      <c r="D157" s="1" t="n">
        <v>45273</v>
      </c>
      <c r="E157" s="1" t="n">
        <v>46226</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22785-2025</t>
        </is>
      </c>
      <c r="B158" t="inlineStr">
        <is>
          <t>avverkningsanmälan</t>
        </is>
      </c>
      <c r="C158" t="inlineStr">
        <is>
          <t>Föryngringsavverkning</t>
        </is>
      </c>
      <c r="D158" s="1" t="n">
        <v>45789</v>
      </c>
      <c r="E158" s="1" t="n">
        <v>46226</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40339-2023</t>
        </is>
      </c>
      <c r="B159" t="inlineStr">
        <is>
          <t>avverkningsanmälan</t>
        </is>
      </c>
      <c r="C159" t="inlineStr">
        <is>
          <t>Föryngringsavverkning</t>
        </is>
      </c>
      <c r="D159" s="1" t="n">
        <v>45169</v>
      </c>
      <c r="E159" s="1" t="n">
        <v>46226</v>
      </c>
      <c r="F159" t="inlineStr">
        <is>
          <t>KALMAR LÄN</t>
        </is>
      </c>
      <c r="G159" t="inlineStr">
        <is>
          <t>BORGHOLM</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26190-2025</t>
        </is>
      </c>
      <c r="B160" t="inlineStr">
        <is>
          <t>avverkningsanmälan</t>
        </is>
      </c>
      <c r="C160" t="inlineStr">
        <is>
          <t>Föryngringsavverkning</t>
        </is>
      </c>
      <c r="D160" s="1" t="n">
        <v>45805</v>
      </c>
      <c r="E160" s="1" t="n">
        <v>46226</v>
      </c>
      <c r="F160" t="inlineStr">
        <is>
          <t>KALMAR LÄN</t>
        </is>
      </c>
      <c r="G160" t="inlineStr">
        <is>
          <t>BORGHOLM</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46226</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46226</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46226</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46226</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46226</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46226</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46226</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46226</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46226</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46226</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46226</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46226</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46226</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46226</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46226</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46226</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2026-07-23T01:42:14Z</dcterms:created>
  <dcterms:modified xmlns:dcterms="http://purl.org/dc/terms/" xmlns:xsi="http://www.w3.org/2001/XMLSchema-instance" xsi:type="dcterms:W3CDTF">2026-07-23T01:42:14Z</dcterms:modified>
</cp:coreProperties>
</file>