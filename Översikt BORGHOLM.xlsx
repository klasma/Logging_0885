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46025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46025</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46025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46025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46025</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46025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46025</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46025</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46025</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46025</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46025</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46025</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46025</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46025</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46025</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46025</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46025</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46025</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28779-2025</t>
        </is>
      </c>
      <c r="B20" s="1" t="n">
        <v>45820.44920138889</v>
      </c>
      <c r="C20" s="1" t="n">
        <v>46025</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38860-2025</t>
        </is>
      </c>
      <c r="B21" s="1" t="n">
        <v>45887.5609375</v>
      </c>
      <c r="C21" s="1" t="n">
        <v>46025</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32174-2022</t>
        </is>
      </c>
      <c r="B22" s="1" t="n">
        <v>44781</v>
      </c>
      <c r="C22" s="1" t="n">
        <v>46025</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46025</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46025</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46025</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46025</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46025</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46025</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46025</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46025</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46025</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14789-2021</t>
        </is>
      </c>
      <c r="B32" s="1" t="n">
        <v>44280</v>
      </c>
      <c r="C32" s="1" t="n">
        <v>46025</v>
      </c>
      <c r="D32" t="inlineStr">
        <is>
          <t>KALMAR LÄN</t>
        </is>
      </c>
      <c r="E32" t="inlineStr">
        <is>
          <t>BORGHOLM</t>
        </is>
      </c>
      <c r="G32" t="n">
        <v>1</v>
      </c>
      <c r="H32" t="n">
        <v>1</v>
      </c>
      <c r="I32" t="n">
        <v>1</v>
      </c>
      <c r="J32" t="n">
        <v>0</v>
      </c>
      <c r="K32" t="n">
        <v>0</v>
      </c>
      <c r="L32" t="n">
        <v>0</v>
      </c>
      <c r="M32" t="n">
        <v>0</v>
      </c>
      <c r="N32" t="n">
        <v>0</v>
      </c>
      <c r="O32" t="n">
        <v>0</v>
      </c>
      <c r="P32" t="n">
        <v>0</v>
      </c>
      <c r="Q32" t="n">
        <v>1</v>
      </c>
      <c r="R32" s="2" t="inlineStr">
        <is>
          <t>Skogsknipprot</t>
        </is>
      </c>
      <c r="S32">
        <f>HYPERLINK("https://klasma.github.io/Logging_0885/artfynd/A 14789-2021 artfynd.xlsx", "A 14789-2021")</f>
        <v/>
      </c>
      <c r="T32">
        <f>HYPERLINK("https://klasma.github.io/Logging_0885/kartor/A 14789-2021 karta.png", "A 14789-2021")</f>
        <v/>
      </c>
      <c r="V32">
        <f>HYPERLINK("https://klasma.github.io/Logging_0885/klagomål/A 14789-2021 FSC-klagomål.docx", "A 14789-2021")</f>
        <v/>
      </c>
      <c r="W32">
        <f>HYPERLINK("https://klasma.github.io/Logging_0885/klagomålsmail/A 14789-2021 FSC-klagomål mail.docx", "A 14789-2021")</f>
        <v/>
      </c>
      <c r="X32">
        <f>HYPERLINK("https://klasma.github.io/Logging_0885/tillsyn/A 14789-2021 tillsynsbegäran.docx", "A 14789-2021")</f>
        <v/>
      </c>
      <c r="Y32">
        <f>HYPERLINK("https://klasma.github.io/Logging_0885/tillsynsmail/A 14789-2021 tillsynsbegäran mail.docx", "A 14789-2021")</f>
        <v/>
      </c>
    </row>
    <row r="33" ht="15" customHeight="1">
      <c r="A33" t="inlineStr">
        <is>
          <t>A 9745-2023</t>
        </is>
      </c>
      <c r="B33" s="1" t="n">
        <v>44984</v>
      </c>
      <c r="C33" s="1" t="n">
        <v>46025</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28785-2025</t>
        </is>
      </c>
      <c r="B34" s="1" t="n">
        <v>45820.46159722222</v>
      </c>
      <c r="C34" s="1" t="n">
        <v>46025</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46025</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12785-2021</t>
        </is>
      </c>
      <c r="B36" s="1" t="n">
        <v>44270</v>
      </c>
      <c r="C36" s="1" t="n">
        <v>46025</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13558-2025</t>
        </is>
      </c>
      <c r="B37" s="1" t="n">
        <v>45736.54974537037</v>
      </c>
      <c r="C37" s="1" t="n">
        <v>46025</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34885-2025</t>
        </is>
      </c>
      <c r="B38" s="1" t="n">
        <v>45849.47128472223</v>
      </c>
      <c r="C38" s="1" t="n">
        <v>46025</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46025</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24701-2023</t>
        </is>
      </c>
      <c r="B40" s="1" t="n">
        <v>45084</v>
      </c>
      <c r="C40" s="1" t="n">
        <v>46025</v>
      </c>
      <c r="D40" t="inlineStr">
        <is>
          <t>KALMAR LÄN</t>
        </is>
      </c>
      <c r="E40" t="inlineStr">
        <is>
          <t>BORGHOLM</t>
        </is>
      </c>
      <c r="G40" t="n">
        <v>3</v>
      </c>
      <c r="H40" t="n">
        <v>0</v>
      </c>
      <c r="I40" t="n">
        <v>0</v>
      </c>
      <c r="J40" t="n">
        <v>0</v>
      </c>
      <c r="K40" t="n">
        <v>0</v>
      </c>
      <c r="L40" t="n">
        <v>1</v>
      </c>
      <c r="M40" t="n">
        <v>0</v>
      </c>
      <c r="N40" t="n">
        <v>0</v>
      </c>
      <c r="O40" t="n">
        <v>1</v>
      </c>
      <c r="P40" t="n">
        <v>1</v>
      </c>
      <c r="Q40" t="n">
        <v>1</v>
      </c>
      <c r="R40" s="2" t="inlineStr">
        <is>
          <t>Ask</t>
        </is>
      </c>
      <c r="S40">
        <f>HYPERLINK("https://klasma.github.io/Logging_0885/artfynd/A 24701-2023 artfynd.xlsx", "A 24701-2023")</f>
        <v/>
      </c>
      <c r="T40">
        <f>HYPERLINK("https://klasma.github.io/Logging_0885/kartor/A 24701-2023 karta.png", "A 24701-2023")</f>
        <v/>
      </c>
      <c r="V40">
        <f>HYPERLINK("https://klasma.github.io/Logging_0885/klagomål/A 24701-2023 FSC-klagomål.docx", "A 24701-2023")</f>
        <v/>
      </c>
      <c r="W40">
        <f>HYPERLINK("https://klasma.github.io/Logging_0885/klagomålsmail/A 24701-2023 FSC-klagomål mail.docx", "A 24701-2023")</f>
        <v/>
      </c>
      <c r="X40">
        <f>HYPERLINK("https://klasma.github.io/Logging_0885/tillsyn/A 24701-2023 tillsynsbegäran.docx", "A 24701-2023")</f>
        <v/>
      </c>
      <c r="Y40">
        <f>HYPERLINK("https://klasma.github.io/Logging_0885/tillsynsmail/A 24701-2023 tillsynsbegäran mail.docx", "A 24701-2023")</f>
        <v/>
      </c>
    </row>
    <row r="41" ht="15" customHeight="1">
      <c r="A41" t="inlineStr">
        <is>
          <t>A 43603-2024</t>
        </is>
      </c>
      <c r="B41" s="1" t="n">
        <v>45569.44700231482</v>
      </c>
      <c r="C41" s="1" t="n">
        <v>46025</v>
      </c>
      <c r="D41" t="inlineStr">
        <is>
          <t>KALMAR LÄN</t>
        </is>
      </c>
      <c r="E41" t="inlineStr">
        <is>
          <t>BORGHOLM</t>
        </is>
      </c>
      <c r="G41" t="n">
        <v>3.8</v>
      </c>
      <c r="H41" t="n">
        <v>1</v>
      </c>
      <c r="I41" t="n">
        <v>0</v>
      </c>
      <c r="J41" t="n">
        <v>0</v>
      </c>
      <c r="K41" t="n">
        <v>1</v>
      </c>
      <c r="L41" t="n">
        <v>0</v>
      </c>
      <c r="M41" t="n">
        <v>0</v>
      </c>
      <c r="N41" t="n">
        <v>0</v>
      </c>
      <c r="O41" t="n">
        <v>1</v>
      </c>
      <c r="P41" t="n">
        <v>1</v>
      </c>
      <c r="Q41" t="n">
        <v>1</v>
      </c>
      <c r="R41" s="2" t="inlineStr">
        <is>
          <t>Väddnätfjäril</t>
        </is>
      </c>
      <c r="S41">
        <f>HYPERLINK("https://klasma.github.io/Logging_0885/artfynd/A 43603-2024 artfynd.xlsx", "A 43603-2024")</f>
        <v/>
      </c>
      <c r="T41">
        <f>HYPERLINK("https://klasma.github.io/Logging_0885/kartor/A 43603-2024 karta.png", "A 43603-2024")</f>
        <v/>
      </c>
      <c r="V41">
        <f>HYPERLINK("https://klasma.github.io/Logging_0885/klagomål/A 43603-2024 FSC-klagomål.docx", "A 43603-2024")</f>
        <v/>
      </c>
      <c r="W41">
        <f>HYPERLINK("https://klasma.github.io/Logging_0885/klagomålsmail/A 43603-2024 FSC-klagomål mail.docx", "A 43603-2024")</f>
        <v/>
      </c>
      <c r="X41">
        <f>HYPERLINK("https://klasma.github.io/Logging_0885/tillsyn/A 43603-2024 tillsynsbegäran.docx", "A 43603-2024")</f>
        <v/>
      </c>
      <c r="Y41">
        <f>HYPERLINK("https://klasma.github.io/Logging_0885/tillsynsmail/A 43603-2024 tillsynsbegäran mail.docx", "A 43603-2024")</f>
        <v/>
      </c>
    </row>
    <row r="42" ht="15" customHeight="1">
      <c r="A42" t="inlineStr">
        <is>
          <t>A 24704-2023</t>
        </is>
      </c>
      <c r="B42" s="1" t="n">
        <v>45084</v>
      </c>
      <c r="C42" s="1" t="n">
        <v>46025</v>
      </c>
      <c r="D42" t="inlineStr">
        <is>
          <t>KALMAR LÄN</t>
        </is>
      </c>
      <c r="E42" t="inlineStr">
        <is>
          <t>BORGHOLM</t>
        </is>
      </c>
      <c r="G42" t="n">
        <v>3.5</v>
      </c>
      <c r="H42" t="n">
        <v>0</v>
      </c>
      <c r="I42" t="n">
        <v>0</v>
      </c>
      <c r="J42" t="n">
        <v>0</v>
      </c>
      <c r="K42" t="n">
        <v>0</v>
      </c>
      <c r="L42" t="n">
        <v>1</v>
      </c>
      <c r="M42" t="n">
        <v>0</v>
      </c>
      <c r="N42" t="n">
        <v>0</v>
      </c>
      <c r="O42" t="n">
        <v>1</v>
      </c>
      <c r="P42" t="n">
        <v>1</v>
      </c>
      <c r="Q42" t="n">
        <v>1</v>
      </c>
      <c r="R42" s="2" t="inlineStr">
        <is>
          <t>Ask</t>
        </is>
      </c>
      <c r="S42">
        <f>HYPERLINK("https://klasma.github.io/Logging_0885/artfynd/A 24704-2023 artfynd.xlsx", "A 24704-2023")</f>
        <v/>
      </c>
      <c r="T42">
        <f>HYPERLINK("https://klasma.github.io/Logging_0885/kartor/A 24704-2023 karta.png", "A 24704-2023")</f>
        <v/>
      </c>
      <c r="V42">
        <f>HYPERLINK("https://klasma.github.io/Logging_0885/klagomål/A 24704-2023 FSC-klagomål.docx", "A 24704-2023")</f>
        <v/>
      </c>
      <c r="W42">
        <f>HYPERLINK("https://klasma.github.io/Logging_0885/klagomålsmail/A 24704-2023 FSC-klagomål mail.docx", "A 24704-2023")</f>
        <v/>
      </c>
      <c r="X42">
        <f>HYPERLINK("https://klasma.github.io/Logging_0885/tillsyn/A 24704-2023 tillsynsbegäran.docx", "A 24704-2023")</f>
        <v/>
      </c>
      <c r="Y42">
        <f>HYPERLINK("https://klasma.github.io/Logging_0885/tillsynsmail/A 24704-2023 tillsynsbegäran mail.docx", "A 24704-2023")</f>
        <v/>
      </c>
    </row>
    <row r="43" ht="15" customHeight="1">
      <c r="A43" t="inlineStr">
        <is>
          <t>A 24048-2025</t>
        </is>
      </c>
      <c r="B43" s="1" t="n">
        <v>45796.4959375</v>
      </c>
      <c r="C43" s="1" t="n">
        <v>46025</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46025</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46025</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46025</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46025</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46025</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46025</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46025</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46025</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46025</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46025</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46025</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46025</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46025</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46025</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46025</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46025</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46025</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46025</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46025</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20878-2024</t>
        </is>
      </c>
      <c r="B63" s="1" t="n">
        <v>45439.44748842593</v>
      </c>
      <c r="C63" s="1" t="n">
        <v>46025</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46025</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28782-2025</t>
        </is>
      </c>
      <c r="B65" s="1" t="n">
        <v>45820.45572916666</v>
      </c>
      <c r="C65" s="1" t="n">
        <v>46025</v>
      </c>
      <c r="D65" t="inlineStr">
        <is>
          <t>KALMAR LÄN</t>
        </is>
      </c>
      <c r="E65" t="inlineStr">
        <is>
          <t>BORGHOLM</t>
        </is>
      </c>
      <c r="F65" t="inlineStr">
        <is>
          <t>Sveaskog</t>
        </is>
      </c>
      <c r="G65" t="n">
        <v>0.8</v>
      </c>
      <c r="H65" t="n">
        <v>0</v>
      </c>
      <c r="I65" t="n">
        <v>0</v>
      </c>
      <c r="J65" t="n">
        <v>0</v>
      </c>
      <c r="K65" t="n">
        <v>0</v>
      </c>
      <c r="L65" t="n">
        <v>0</v>
      </c>
      <c r="M65" t="n">
        <v>0</v>
      </c>
      <c r="N65" t="n">
        <v>0</v>
      </c>
      <c r="O65" t="n">
        <v>0</v>
      </c>
      <c r="P65" t="n">
        <v>0</v>
      </c>
      <c r="Q65" t="n">
        <v>0</v>
      </c>
      <c r="R65" s="2" t="inlineStr"/>
    </row>
    <row r="66" ht="15" customHeight="1">
      <c r="A66" t="inlineStr">
        <is>
          <t>A 53050-2021</t>
        </is>
      </c>
      <c r="B66" s="1" t="n">
        <v>44467</v>
      </c>
      <c r="C66" s="1" t="n">
        <v>46025</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31720-2022</t>
        </is>
      </c>
      <c r="B67" s="1" t="n">
        <v>44776</v>
      </c>
      <c r="C67" s="1" t="n">
        <v>46025</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29656-2023</t>
        </is>
      </c>
      <c r="B68" s="1" t="n">
        <v>45107</v>
      </c>
      <c r="C68" s="1" t="n">
        <v>46025</v>
      </c>
      <c r="D68" t="inlineStr">
        <is>
          <t>KALMAR LÄN</t>
        </is>
      </c>
      <c r="E68" t="inlineStr">
        <is>
          <t>BORGHOLM</t>
        </is>
      </c>
      <c r="G68" t="n">
        <v>4.1</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46025</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42232-2025</t>
        </is>
      </c>
      <c r="B70" s="1" t="n">
        <v>45904.55591435185</v>
      </c>
      <c r="C70" s="1" t="n">
        <v>46025</v>
      </c>
      <c r="D70" t="inlineStr">
        <is>
          <t>KALMAR LÄN</t>
        </is>
      </c>
      <c r="E70" t="inlineStr">
        <is>
          <t>BORGHOLM</t>
        </is>
      </c>
      <c r="F70" t="inlineStr">
        <is>
          <t>Sveaskog</t>
        </is>
      </c>
      <c r="G70" t="n">
        <v>1.7</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46025</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4165-2023</t>
        </is>
      </c>
      <c r="B72" s="1" t="n">
        <v>44953</v>
      </c>
      <c r="C72" s="1" t="n">
        <v>46025</v>
      </c>
      <c r="D72" t="inlineStr">
        <is>
          <t>KALMAR LÄN</t>
        </is>
      </c>
      <c r="E72" t="inlineStr">
        <is>
          <t>BORGHOLM</t>
        </is>
      </c>
      <c r="G72" t="n">
        <v>0.6</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46025</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44224-2025</t>
        </is>
      </c>
      <c r="B74" s="1" t="n">
        <v>45915</v>
      </c>
      <c r="C74" s="1" t="n">
        <v>46025</v>
      </c>
      <c r="D74" t="inlineStr">
        <is>
          <t>KALMAR LÄN</t>
        </is>
      </c>
      <c r="E74" t="inlineStr">
        <is>
          <t>BORGHOLM</t>
        </is>
      </c>
      <c r="G74" t="n">
        <v>1.3</v>
      </c>
      <c r="H74" t="n">
        <v>0</v>
      </c>
      <c r="I74" t="n">
        <v>0</v>
      </c>
      <c r="J74" t="n">
        <v>0</v>
      </c>
      <c r="K74" t="n">
        <v>0</v>
      </c>
      <c r="L74" t="n">
        <v>0</v>
      </c>
      <c r="M74" t="n">
        <v>0</v>
      </c>
      <c r="N74" t="n">
        <v>0</v>
      </c>
      <c r="O74" t="n">
        <v>0</v>
      </c>
      <c r="P74" t="n">
        <v>0</v>
      </c>
      <c r="Q74" t="n">
        <v>0</v>
      </c>
      <c r="R74" s="2" t="inlineStr"/>
    </row>
    <row r="75" ht="15" customHeight="1">
      <c r="A75" t="inlineStr">
        <is>
          <t>A 45734-2025</t>
        </is>
      </c>
      <c r="B75" s="1" t="n">
        <v>45923.46512731481</v>
      </c>
      <c r="C75" s="1" t="n">
        <v>46025</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45869-2025</t>
        </is>
      </c>
      <c r="B76" s="1" t="n">
        <v>45923.65313657407</v>
      </c>
      <c r="C76" s="1" t="n">
        <v>46025</v>
      </c>
      <c r="D76" t="inlineStr">
        <is>
          <t>KALMAR LÄN</t>
        </is>
      </c>
      <c r="E76" t="inlineStr">
        <is>
          <t>BORGHOLM</t>
        </is>
      </c>
      <c r="G76" t="n">
        <v>4.5</v>
      </c>
      <c r="H76" t="n">
        <v>0</v>
      </c>
      <c r="I76" t="n">
        <v>0</v>
      </c>
      <c r="J76" t="n">
        <v>0</v>
      </c>
      <c r="K76" t="n">
        <v>0</v>
      </c>
      <c r="L76" t="n">
        <v>0</v>
      </c>
      <c r="M76" t="n">
        <v>0</v>
      </c>
      <c r="N76" t="n">
        <v>0</v>
      </c>
      <c r="O76" t="n">
        <v>0</v>
      </c>
      <c r="P76" t="n">
        <v>0</v>
      </c>
      <c r="Q76" t="n">
        <v>0</v>
      </c>
      <c r="R76" s="2" t="inlineStr"/>
    </row>
    <row r="77" ht="15" customHeight="1">
      <c r="A77" t="inlineStr">
        <is>
          <t>A 13548-2025</t>
        </is>
      </c>
      <c r="B77" s="1" t="n">
        <v>45736.53827546296</v>
      </c>
      <c r="C77" s="1" t="n">
        <v>46025</v>
      </c>
      <c r="D77" t="inlineStr">
        <is>
          <t>KALMAR LÄN</t>
        </is>
      </c>
      <c r="E77" t="inlineStr">
        <is>
          <t>BORGHOLM</t>
        </is>
      </c>
      <c r="G77" t="n">
        <v>1</v>
      </c>
      <c r="H77" t="n">
        <v>0</v>
      </c>
      <c r="I77" t="n">
        <v>0</v>
      </c>
      <c r="J77" t="n">
        <v>0</v>
      </c>
      <c r="K77" t="n">
        <v>0</v>
      </c>
      <c r="L77" t="n">
        <v>0</v>
      </c>
      <c r="M77" t="n">
        <v>0</v>
      </c>
      <c r="N77" t="n">
        <v>0</v>
      </c>
      <c r="O77" t="n">
        <v>0</v>
      </c>
      <c r="P77" t="n">
        <v>0</v>
      </c>
      <c r="Q77" t="n">
        <v>0</v>
      </c>
      <c r="R77" s="2" t="inlineStr"/>
    </row>
    <row r="78" ht="15" customHeight="1">
      <c r="A78" t="inlineStr">
        <is>
          <t>A 32921-2023</t>
        </is>
      </c>
      <c r="B78" s="1" t="n">
        <v>45125</v>
      </c>
      <c r="C78" s="1" t="n">
        <v>46025</v>
      </c>
      <c r="D78" t="inlineStr">
        <is>
          <t>KALMAR LÄN</t>
        </is>
      </c>
      <c r="E78" t="inlineStr">
        <is>
          <t>BORGHOLM</t>
        </is>
      </c>
      <c r="G78" t="n">
        <v>2.9</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46025</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31840-2021</t>
        </is>
      </c>
      <c r="B80" s="1" t="n">
        <v>44370</v>
      </c>
      <c r="C80" s="1" t="n">
        <v>46025</v>
      </c>
      <c r="D80" t="inlineStr">
        <is>
          <t>KALMAR LÄN</t>
        </is>
      </c>
      <c r="E80" t="inlineStr">
        <is>
          <t>BORGHOLM</t>
        </is>
      </c>
      <c r="F80" t="inlineStr">
        <is>
          <t>Sveaskog</t>
        </is>
      </c>
      <c r="G80" t="n">
        <v>2.8</v>
      </c>
      <c r="H80" t="n">
        <v>0</v>
      </c>
      <c r="I80" t="n">
        <v>0</v>
      </c>
      <c r="J80" t="n">
        <v>0</v>
      </c>
      <c r="K80" t="n">
        <v>0</v>
      </c>
      <c r="L80" t="n">
        <v>0</v>
      </c>
      <c r="M80" t="n">
        <v>0</v>
      </c>
      <c r="N80" t="n">
        <v>0</v>
      </c>
      <c r="O80" t="n">
        <v>0</v>
      </c>
      <c r="P80" t="n">
        <v>0</v>
      </c>
      <c r="Q80" t="n">
        <v>0</v>
      </c>
      <c r="R80" s="2" t="inlineStr"/>
    </row>
    <row r="81" ht="15" customHeight="1">
      <c r="A81" t="inlineStr">
        <is>
          <t>A 44678-2022</t>
        </is>
      </c>
      <c r="B81" s="1" t="n">
        <v>44840.65100694444</v>
      </c>
      <c r="C81" s="1" t="n">
        <v>46025</v>
      </c>
      <c r="D81" t="inlineStr">
        <is>
          <t>KALMAR LÄN</t>
        </is>
      </c>
      <c r="E81" t="inlineStr">
        <is>
          <t>BORGHOLM</t>
        </is>
      </c>
      <c r="G81" t="n">
        <v>2.4</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46025</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64303-2023</t>
        </is>
      </c>
      <c r="B83" s="1" t="n">
        <v>45280</v>
      </c>
      <c r="C83" s="1" t="n">
        <v>46025</v>
      </c>
      <c r="D83" t="inlineStr">
        <is>
          <t>KALMAR LÄN</t>
        </is>
      </c>
      <c r="E83" t="inlineStr">
        <is>
          <t>BORGHOLM</t>
        </is>
      </c>
      <c r="G83" t="n">
        <v>1.2</v>
      </c>
      <c r="H83" t="n">
        <v>0</v>
      </c>
      <c r="I83" t="n">
        <v>0</v>
      </c>
      <c r="J83" t="n">
        <v>0</v>
      </c>
      <c r="K83" t="n">
        <v>0</v>
      </c>
      <c r="L83" t="n">
        <v>0</v>
      </c>
      <c r="M83" t="n">
        <v>0</v>
      </c>
      <c r="N83" t="n">
        <v>0</v>
      </c>
      <c r="O83" t="n">
        <v>0</v>
      </c>
      <c r="P83" t="n">
        <v>0</v>
      </c>
      <c r="Q83" t="n">
        <v>0</v>
      </c>
      <c r="R83" s="2" t="inlineStr"/>
    </row>
    <row r="84" ht="15" customHeight="1">
      <c r="A84" t="inlineStr">
        <is>
          <t>A 60141-2025</t>
        </is>
      </c>
      <c r="B84" s="1" t="n">
        <v>45994.36873842592</v>
      </c>
      <c r="C84" s="1" t="n">
        <v>46025</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44547-2021</t>
        </is>
      </c>
      <c r="B85" s="1" t="n">
        <v>44435</v>
      </c>
      <c r="C85" s="1" t="n">
        <v>46025</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63075-2023</t>
        </is>
      </c>
      <c r="B86" s="1" t="n">
        <v>45273</v>
      </c>
      <c r="C86" s="1" t="n">
        <v>46025</v>
      </c>
      <c r="D86" t="inlineStr">
        <is>
          <t>KALMAR LÄN</t>
        </is>
      </c>
      <c r="E86" t="inlineStr">
        <is>
          <t>BORGHOLM</t>
        </is>
      </c>
      <c r="G86" t="n">
        <v>1.1</v>
      </c>
      <c r="H86" t="n">
        <v>0</v>
      </c>
      <c r="I86" t="n">
        <v>0</v>
      </c>
      <c r="J86" t="n">
        <v>0</v>
      </c>
      <c r="K86" t="n">
        <v>0</v>
      </c>
      <c r="L86" t="n">
        <v>0</v>
      </c>
      <c r="M86" t="n">
        <v>0</v>
      </c>
      <c r="N86" t="n">
        <v>0</v>
      </c>
      <c r="O86" t="n">
        <v>0</v>
      </c>
      <c r="P86" t="n">
        <v>0</v>
      </c>
      <c r="Q86" t="n">
        <v>0</v>
      </c>
      <c r="R86" s="2" t="inlineStr"/>
    </row>
    <row r="87" ht="15" customHeight="1">
      <c r="A87" t="inlineStr">
        <is>
          <t>A 50129-2021</t>
        </is>
      </c>
      <c r="B87" s="1" t="n">
        <v>44456</v>
      </c>
      <c r="C87" s="1" t="n">
        <v>46025</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61723-2025</t>
        </is>
      </c>
      <c r="B88" s="1" t="n">
        <v>46002.58388888889</v>
      </c>
      <c r="C88" s="1" t="n">
        <v>46025</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1757-2025</t>
        </is>
      </c>
      <c r="B89" s="1" t="n">
        <v>45671.42195601852</v>
      </c>
      <c r="C89" s="1" t="n">
        <v>46025</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17699-2025</t>
        </is>
      </c>
      <c r="B90" s="1" t="n">
        <v>45758.41846064815</v>
      </c>
      <c r="C90" s="1" t="n">
        <v>46025</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7669-2024</t>
        </is>
      </c>
      <c r="B91" s="1" t="n">
        <v>45348.82498842593</v>
      </c>
      <c r="C91" s="1" t="n">
        <v>46025</v>
      </c>
      <c r="D91" t="inlineStr">
        <is>
          <t>KALMAR LÄN</t>
        </is>
      </c>
      <c r="E91" t="inlineStr">
        <is>
          <t>BORGHOLM</t>
        </is>
      </c>
      <c r="G91" t="n">
        <v>2.3</v>
      </c>
      <c r="H91" t="n">
        <v>0</v>
      </c>
      <c r="I91" t="n">
        <v>0</v>
      </c>
      <c r="J91" t="n">
        <v>0</v>
      </c>
      <c r="K91" t="n">
        <v>0</v>
      </c>
      <c r="L91" t="n">
        <v>0</v>
      </c>
      <c r="M91" t="n">
        <v>0</v>
      </c>
      <c r="N91" t="n">
        <v>0</v>
      </c>
      <c r="O91" t="n">
        <v>0</v>
      </c>
      <c r="P91" t="n">
        <v>0</v>
      </c>
      <c r="Q91" t="n">
        <v>0</v>
      </c>
      <c r="R91" s="2" t="inlineStr"/>
    </row>
    <row r="92" ht="15" customHeight="1">
      <c r="A92" t="inlineStr">
        <is>
          <t>A 34780-2022</t>
        </is>
      </c>
      <c r="B92" s="1" t="n">
        <v>44795</v>
      </c>
      <c r="C92" s="1" t="n">
        <v>46025</v>
      </c>
      <c r="D92" t="inlineStr">
        <is>
          <t>KALMAR LÄN</t>
        </is>
      </c>
      <c r="E92" t="inlineStr">
        <is>
          <t>BORGHOLM</t>
        </is>
      </c>
      <c r="F92" t="inlineStr">
        <is>
          <t>Sveaskog</t>
        </is>
      </c>
      <c r="G92" t="n">
        <v>6.7</v>
      </c>
      <c r="H92" t="n">
        <v>0</v>
      </c>
      <c r="I92" t="n">
        <v>0</v>
      </c>
      <c r="J92" t="n">
        <v>0</v>
      </c>
      <c r="K92" t="n">
        <v>0</v>
      </c>
      <c r="L92" t="n">
        <v>0</v>
      </c>
      <c r="M92" t="n">
        <v>0</v>
      </c>
      <c r="N92" t="n">
        <v>0</v>
      </c>
      <c r="O92" t="n">
        <v>0</v>
      </c>
      <c r="P92" t="n">
        <v>0</v>
      </c>
      <c r="Q92" t="n">
        <v>0</v>
      </c>
      <c r="R92" s="2" t="inlineStr"/>
    </row>
    <row r="93" ht="15" customHeight="1">
      <c r="A93" t="inlineStr">
        <is>
          <t>A 55367-2024</t>
        </is>
      </c>
      <c r="B93" s="1" t="n">
        <v>45621.87075231481</v>
      </c>
      <c r="C93" s="1" t="n">
        <v>46025</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20287-2025</t>
        </is>
      </c>
      <c r="B94" s="1" t="n">
        <v>45774.60741898148</v>
      </c>
      <c r="C94" s="1" t="n">
        <v>46025</v>
      </c>
      <c r="D94" t="inlineStr">
        <is>
          <t>KALMAR LÄN</t>
        </is>
      </c>
      <c r="E94" t="inlineStr">
        <is>
          <t>BORGHOLM</t>
        </is>
      </c>
      <c r="G94" t="n">
        <v>0.6</v>
      </c>
      <c r="H94" t="n">
        <v>0</v>
      </c>
      <c r="I94" t="n">
        <v>0</v>
      </c>
      <c r="J94" t="n">
        <v>0</v>
      </c>
      <c r="K94" t="n">
        <v>0</v>
      </c>
      <c r="L94" t="n">
        <v>0</v>
      </c>
      <c r="M94" t="n">
        <v>0</v>
      </c>
      <c r="N94" t="n">
        <v>0</v>
      </c>
      <c r="O94" t="n">
        <v>0</v>
      </c>
      <c r="P94" t="n">
        <v>0</v>
      </c>
      <c r="Q94" t="n">
        <v>0</v>
      </c>
      <c r="R94" s="2" t="inlineStr"/>
    </row>
    <row r="95" ht="15" customHeight="1">
      <c r="A95" t="inlineStr">
        <is>
          <t>A 9076-2025</t>
        </is>
      </c>
      <c r="B95" s="1" t="n">
        <v>45713.6596875</v>
      </c>
      <c r="C95" s="1" t="n">
        <v>46025</v>
      </c>
      <c r="D95" t="inlineStr">
        <is>
          <t>KALMAR LÄN</t>
        </is>
      </c>
      <c r="E95" t="inlineStr">
        <is>
          <t>BORGHOLM</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32919-2023</t>
        </is>
      </c>
      <c r="B96" s="1" t="n">
        <v>45125</v>
      </c>
      <c r="C96" s="1" t="n">
        <v>46025</v>
      </c>
      <c r="D96" t="inlineStr">
        <is>
          <t>KALMAR LÄN</t>
        </is>
      </c>
      <c r="E96" t="inlineStr">
        <is>
          <t>BORGHOLM</t>
        </is>
      </c>
      <c r="G96" t="n">
        <v>2.7</v>
      </c>
      <c r="H96" t="n">
        <v>0</v>
      </c>
      <c r="I96" t="n">
        <v>0</v>
      </c>
      <c r="J96" t="n">
        <v>0</v>
      </c>
      <c r="K96" t="n">
        <v>0</v>
      </c>
      <c r="L96" t="n">
        <v>0</v>
      </c>
      <c r="M96" t="n">
        <v>0</v>
      </c>
      <c r="N96" t="n">
        <v>0</v>
      </c>
      <c r="O96" t="n">
        <v>0</v>
      </c>
      <c r="P96" t="n">
        <v>0</v>
      </c>
      <c r="Q96" t="n">
        <v>0</v>
      </c>
      <c r="R96" s="2" t="inlineStr"/>
    </row>
    <row r="97" ht="15" customHeight="1">
      <c r="A97" t="inlineStr">
        <is>
          <t>A 21908-2022</t>
        </is>
      </c>
      <c r="B97" s="1" t="n">
        <v>44711</v>
      </c>
      <c r="C97" s="1" t="n">
        <v>46025</v>
      </c>
      <c r="D97" t="inlineStr">
        <is>
          <t>KALMAR LÄN</t>
        </is>
      </c>
      <c r="E97" t="inlineStr">
        <is>
          <t>BORGHOLM</t>
        </is>
      </c>
      <c r="G97" t="n">
        <v>4.7</v>
      </c>
      <c r="H97" t="n">
        <v>0</v>
      </c>
      <c r="I97" t="n">
        <v>0</v>
      </c>
      <c r="J97" t="n">
        <v>0</v>
      </c>
      <c r="K97" t="n">
        <v>0</v>
      </c>
      <c r="L97" t="n">
        <v>0</v>
      </c>
      <c r="M97" t="n">
        <v>0</v>
      </c>
      <c r="N97" t="n">
        <v>0</v>
      </c>
      <c r="O97" t="n">
        <v>0</v>
      </c>
      <c r="P97" t="n">
        <v>0</v>
      </c>
      <c r="Q97" t="n">
        <v>0</v>
      </c>
      <c r="R97" s="2" t="inlineStr"/>
    </row>
    <row r="98" ht="15" customHeight="1">
      <c r="A98" t="inlineStr">
        <is>
          <t>A 4878-2021</t>
        </is>
      </c>
      <c r="B98" s="1" t="n">
        <v>44225</v>
      </c>
      <c r="C98" s="1" t="n">
        <v>46025</v>
      </c>
      <c r="D98" t="inlineStr">
        <is>
          <t>KALMAR LÄN</t>
        </is>
      </c>
      <c r="E98" t="inlineStr">
        <is>
          <t>BORGHOLM</t>
        </is>
      </c>
      <c r="G98" t="n">
        <v>3</v>
      </c>
      <c r="H98" t="n">
        <v>0</v>
      </c>
      <c r="I98" t="n">
        <v>0</v>
      </c>
      <c r="J98" t="n">
        <v>0</v>
      </c>
      <c r="K98" t="n">
        <v>0</v>
      </c>
      <c r="L98" t="n">
        <v>0</v>
      </c>
      <c r="M98" t="n">
        <v>0</v>
      </c>
      <c r="N98" t="n">
        <v>0</v>
      </c>
      <c r="O98" t="n">
        <v>0</v>
      </c>
      <c r="P98" t="n">
        <v>0</v>
      </c>
      <c r="Q98" t="n">
        <v>0</v>
      </c>
      <c r="R98" s="2" t="inlineStr"/>
    </row>
    <row r="99" ht="15" customHeight="1">
      <c r="A99" t="inlineStr">
        <is>
          <t>A 34951-2022</t>
        </is>
      </c>
      <c r="B99" s="1" t="n">
        <v>44796</v>
      </c>
      <c r="C99" s="1" t="n">
        <v>46025</v>
      </c>
      <c r="D99" t="inlineStr">
        <is>
          <t>KALMAR LÄN</t>
        </is>
      </c>
      <c r="E99" t="inlineStr">
        <is>
          <t>BORGHOLM</t>
        </is>
      </c>
      <c r="F99" t="inlineStr">
        <is>
          <t>Sveaskog</t>
        </is>
      </c>
      <c r="G99" t="n">
        <v>4.6</v>
      </c>
      <c r="H99" t="n">
        <v>0</v>
      </c>
      <c r="I99" t="n">
        <v>0</v>
      </c>
      <c r="J99" t="n">
        <v>0</v>
      </c>
      <c r="K99" t="n">
        <v>0</v>
      </c>
      <c r="L99" t="n">
        <v>0</v>
      </c>
      <c r="M99" t="n">
        <v>0</v>
      </c>
      <c r="N99" t="n">
        <v>0</v>
      </c>
      <c r="O99" t="n">
        <v>0</v>
      </c>
      <c r="P99" t="n">
        <v>0</v>
      </c>
      <c r="Q99" t="n">
        <v>0</v>
      </c>
      <c r="R99" s="2" t="inlineStr"/>
    </row>
    <row r="100" ht="15" customHeight="1">
      <c r="A100" t="inlineStr">
        <is>
          <t>A 9034-2025</t>
        </is>
      </c>
      <c r="B100" s="1" t="n">
        <v>45713</v>
      </c>
      <c r="C100" s="1" t="n">
        <v>46025</v>
      </c>
      <c r="D100" t="inlineStr">
        <is>
          <t>KALMAR LÄN</t>
        </is>
      </c>
      <c r="E100" t="inlineStr">
        <is>
          <t>BORGHOLM</t>
        </is>
      </c>
      <c r="F100" t="inlineStr">
        <is>
          <t>Sveaskog</t>
        </is>
      </c>
      <c r="G100" t="n">
        <v>6.8</v>
      </c>
      <c r="H100" t="n">
        <v>0</v>
      </c>
      <c r="I100" t="n">
        <v>0</v>
      </c>
      <c r="J100" t="n">
        <v>0</v>
      </c>
      <c r="K100" t="n">
        <v>0</v>
      </c>
      <c r="L100" t="n">
        <v>0</v>
      </c>
      <c r="M100" t="n">
        <v>0</v>
      </c>
      <c r="N100" t="n">
        <v>0</v>
      </c>
      <c r="O100" t="n">
        <v>0</v>
      </c>
      <c r="P100" t="n">
        <v>0</v>
      </c>
      <c r="Q100" t="n">
        <v>0</v>
      </c>
      <c r="R100" s="2" t="inlineStr"/>
    </row>
    <row r="101" ht="15" customHeight="1">
      <c r="A101" t="inlineStr">
        <is>
          <t>A 5175-2024</t>
        </is>
      </c>
      <c r="B101" s="1" t="n">
        <v>45330</v>
      </c>
      <c r="C101" s="1" t="n">
        <v>46025</v>
      </c>
      <c r="D101" t="inlineStr">
        <is>
          <t>KALMAR LÄN</t>
        </is>
      </c>
      <c r="E101" t="inlineStr">
        <is>
          <t>BORGHOLM</t>
        </is>
      </c>
      <c r="G101" t="n">
        <v>1.5</v>
      </c>
      <c r="H101" t="n">
        <v>0</v>
      </c>
      <c r="I101" t="n">
        <v>0</v>
      </c>
      <c r="J101" t="n">
        <v>0</v>
      </c>
      <c r="K101" t="n">
        <v>0</v>
      </c>
      <c r="L101" t="n">
        <v>0</v>
      </c>
      <c r="M101" t="n">
        <v>0</v>
      </c>
      <c r="N101" t="n">
        <v>0</v>
      </c>
      <c r="O101" t="n">
        <v>0</v>
      </c>
      <c r="P101" t="n">
        <v>0</v>
      </c>
      <c r="Q101" t="n">
        <v>0</v>
      </c>
      <c r="R101" s="2" t="inlineStr"/>
    </row>
    <row r="102" ht="15" customHeight="1">
      <c r="A102" t="inlineStr">
        <is>
          <t>A 3878-2023</t>
        </is>
      </c>
      <c r="B102" s="1" t="n">
        <v>44951</v>
      </c>
      <c r="C102" s="1" t="n">
        <v>46025</v>
      </c>
      <c r="D102" t="inlineStr">
        <is>
          <t>KALMAR LÄN</t>
        </is>
      </c>
      <c r="E102" t="inlineStr">
        <is>
          <t>BORGHOLM</t>
        </is>
      </c>
      <c r="G102" t="n">
        <v>1.7</v>
      </c>
      <c r="H102" t="n">
        <v>0</v>
      </c>
      <c r="I102" t="n">
        <v>0</v>
      </c>
      <c r="J102" t="n">
        <v>0</v>
      </c>
      <c r="K102" t="n">
        <v>0</v>
      </c>
      <c r="L102" t="n">
        <v>0</v>
      </c>
      <c r="M102" t="n">
        <v>0</v>
      </c>
      <c r="N102" t="n">
        <v>0</v>
      </c>
      <c r="O102" t="n">
        <v>0</v>
      </c>
      <c r="P102" t="n">
        <v>0</v>
      </c>
      <c r="Q102" t="n">
        <v>0</v>
      </c>
      <c r="R102" s="2" t="inlineStr"/>
    </row>
    <row r="103" ht="15" customHeight="1">
      <c r="A103" t="inlineStr">
        <is>
          <t>A 19867-2024</t>
        </is>
      </c>
      <c r="B103" s="1" t="n">
        <v>45433</v>
      </c>
      <c r="C103" s="1" t="n">
        <v>46025</v>
      </c>
      <c r="D103" t="inlineStr">
        <is>
          <t>KALMAR LÄN</t>
        </is>
      </c>
      <c r="E103" t="inlineStr">
        <is>
          <t>BORGHOLM</t>
        </is>
      </c>
      <c r="G103" t="n">
        <v>3.9</v>
      </c>
      <c r="H103" t="n">
        <v>0</v>
      </c>
      <c r="I103" t="n">
        <v>0</v>
      </c>
      <c r="J103" t="n">
        <v>0</v>
      </c>
      <c r="K103" t="n">
        <v>0</v>
      </c>
      <c r="L103" t="n">
        <v>0</v>
      </c>
      <c r="M103" t="n">
        <v>0</v>
      </c>
      <c r="N103" t="n">
        <v>0</v>
      </c>
      <c r="O103" t="n">
        <v>0</v>
      </c>
      <c r="P103" t="n">
        <v>0</v>
      </c>
      <c r="Q103" t="n">
        <v>0</v>
      </c>
      <c r="R103" s="2" t="inlineStr"/>
    </row>
    <row r="104" ht="15" customHeight="1">
      <c r="A104" t="inlineStr">
        <is>
          <t>A 13383-2023</t>
        </is>
      </c>
      <c r="B104" s="1" t="n">
        <v>45005</v>
      </c>
      <c r="C104" s="1" t="n">
        <v>46025</v>
      </c>
      <c r="D104" t="inlineStr">
        <is>
          <t>KALMAR LÄN</t>
        </is>
      </c>
      <c r="E104" t="inlineStr">
        <is>
          <t>BORGHOLM</t>
        </is>
      </c>
      <c r="G104" t="n">
        <v>0.8</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46025</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7960-2023</t>
        </is>
      </c>
      <c r="B106" s="1" t="n">
        <v>44973</v>
      </c>
      <c r="C106" s="1" t="n">
        <v>46025</v>
      </c>
      <c r="D106" t="inlineStr">
        <is>
          <t>KALMAR LÄN</t>
        </is>
      </c>
      <c r="E106" t="inlineStr">
        <is>
          <t>BORGHOLM</t>
        </is>
      </c>
      <c r="G106" t="n">
        <v>2.1</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46025</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46025</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1614-2025</t>
        </is>
      </c>
      <c r="B109" s="1" t="n">
        <v>45670.60094907408</v>
      </c>
      <c r="C109" s="1" t="n">
        <v>46025</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63276-2023</t>
        </is>
      </c>
      <c r="B110" s="1" t="n">
        <v>45273.82195601852</v>
      </c>
      <c r="C110" s="1" t="n">
        <v>46025</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9050-2025</t>
        </is>
      </c>
      <c r="B111" s="1" t="n">
        <v>45713.63512731482</v>
      </c>
      <c r="C111" s="1" t="n">
        <v>46025</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46025</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17978-2021</t>
        </is>
      </c>
      <c r="B113" s="1" t="n">
        <v>44301</v>
      </c>
      <c r="C113" s="1" t="n">
        <v>46025</v>
      </c>
      <c r="D113" t="inlineStr">
        <is>
          <t>KALMAR LÄN</t>
        </is>
      </c>
      <c r="E113" t="inlineStr">
        <is>
          <t>BORGHOLM</t>
        </is>
      </c>
      <c r="G113" t="n">
        <v>6</v>
      </c>
      <c r="H113" t="n">
        <v>0</v>
      </c>
      <c r="I113" t="n">
        <v>0</v>
      </c>
      <c r="J113" t="n">
        <v>0</v>
      </c>
      <c r="K113" t="n">
        <v>0</v>
      </c>
      <c r="L113" t="n">
        <v>0</v>
      </c>
      <c r="M113" t="n">
        <v>0</v>
      </c>
      <c r="N113" t="n">
        <v>0</v>
      </c>
      <c r="O113" t="n">
        <v>0</v>
      </c>
      <c r="P113" t="n">
        <v>0</v>
      </c>
      <c r="Q113" t="n">
        <v>0</v>
      </c>
      <c r="R113" s="2" t="inlineStr"/>
    </row>
    <row r="114" ht="15" customHeight="1">
      <c r="A114" t="inlineStr">
        <is>
          <t>A 22785-2025</t>
        </is>
      </c>
      <c r="B114" s="1" t="n">
        <v>45789.64186342592</v>
      </c>
      <c r="C114" s="1" t="n">
        <v>46025</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12534-2022</t>
        </is>
      </c>
      <c r="B115" s="1" t="n">
        <v>44638</v>
      </c>
      <c r="C115" s="1" t="n">
        <v>46025</v>
      </c>
      <c r="D115" t="inlineStr">
        <is>
          <t>KALMAR LÄN</t>
        </is>
      </c>
      <c r="E115" t="inlineStr">
        <is>
          <t>BORGHOLM</t>
        </is>
      </c>
      <c r="G115" t="n">
        <v>8.6</v>
      </c>
      <c r="H115" t="n">
        <v>0</v>
      </c>
      <c r="I115" t="n">
        <v>0</v>
      </c>
      <c r="J115" t="n">
        <v>0</v>
      </c>
      <c r="K115" t="n">
        <v>0</v>
      </c>
      <c r="L115" t="n">
        <v>0</v>
      </c>
      <c r="M115" t="n">
        <v>0</v>
      </c>
      <c r="N115" t="n">
        <v>0</v>
      </c>
      <c r="O115" t="n">
        <v>0</v>
      </c>
      <c r="P115" t="n">
        <v>0</v>
      </c>
      <c r="Q115" t="n">
        <v>0</v>
      </c>
      <c r="R115" s="2" t="inlineStr"/>
    </row>
    <row r="116" ht="15" customHeight="1">
      <c r="A116" t="inlineStr">
        <is>
          <t>A 40339-2023</t>
        </is>
      </c>
      <c r="B116" s="1" t="n">
        <v>45169.62733796296</v>
      </c>
      <c r="C116" s="1" t="n">
        <v>46025</v>
      </c>
      <c r="D116" t="inlineStr">
        <is>
          <t>KALMAR LÄN</t>
        </is>
      </c>
      <c r="E116" t="inlineStr">
        <is>
          <t>BORGHOLM</t>
        </is>
      </c>
      <c r="G116" t="n">
        <v>3.8</v>
      </c>
      <c r="H116" t="n">
        <v>0</v>
      </c>
      <c r="I116" t="n">
        <v>0</v>
      </c>
      <c r="J116" t="n">
        <v>0</v>
      </c>
      <c r="K116" t="n">
        <v>0</v>
      </c>
      <c r="L116" t="n">
        <v>0</v>
      </c>
      <c r="M116" t="n">
        <v>0</v>
      </c>
      <c r="N116" t="n">
        <v>0</v>
      </c>
      <c r="O116" t="n">
        <v>0</v>
      </c>
      <c r="P116" t="n">
        <v>0</v>
      </c>
      <c r="Q116" t="n">
        <v>0</v>
      </c>
      <c r="R116" s="2" t="inlineStr"/>
    </row>
    <row r="117" ht="15" customHeight="1">
      <c r="A117" t="inlineStr">
        <is>
          <t>A 24166-2022</t>
        </is>
      </c>
      <c r="B117" s="1" t="n">
        <v>44725</v>
      </c>
      <c r="C117" s="1" t="n">
        <v>46025</v>
      </c>
      <c r="D117" t="inlineStr">
        <is>
          <t>KALMAR LÄN</t>
        </is>
      </c>
      <c r="E117" t="inlineStr">
        <is>
          <t>BORGHOLM</t>
        </is>
      </c>
      <c r="G117" t="n">
        <v>10.7</v>
      </c>
      <c r="H117" t="n">
        <v>0</v>
      </c>
      <c r="I117" t="n">
        <v>0</v>
      </c>
      <c r="J117" t="n">
        <v>0</v>
      </c>
      <c r="K117" t="n">
        <v>0</v>
      </c>
      <c r="L117" t="n">
        <v>0</v>
      </c>
      <c r="M117" t="n">
        <v>0</v>
      </c>
      <c r="N117" t="n">
        <v>0</v>
      </c>
      <c r="O117" t="n">
        <v>0</v>
      </c>
      <c r="P117" t="n">
        <v>0</v>
      </c>
      <c r="Q117" t="n">
        <v>0</v>
      </c>
      <c r="R117" s="2" t="inlineStr"/>
    </row>
    <row r="118" ht="15" customHeight="1">
      <c r="A118" t="inlineStr">
        <is>
          <t>A 26160-2025</t>
        </is>
      </c>
      <c r="B118" s="1" t="n">
        <v>45805.4490162037</v>
      </c>
      <c r="C118" s="1" t="n">
        <v>46025</v>
      </c>
      <c r="D118" t="inlineStr">
        <is>
          <t>KALMAR LÄN</t>
        </is>
      </c>
      <c r="E118" t="inlineStr">
        <is>
          <t>BORGHOLM</t>
        </is>
      </c>
      <c r="G118" t="n">
        <v>3.7</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45805.48349537037</v>
      </c>
      <c r="C119" s="1" t="n">
        <v>46025</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27357-2025</t>
        </is>
      </c>
      <c r="B120" s="1" t="n">
        <v>45812.63650462963</v>
      </c>
      <c r="C120" s="1" t="n">
        <v>46025</v>
      </c>
      <c r="D120" t="inlineStr">
        <is>
          <t>KALMAR LÄN</t>
        </is>
      </c>
      <c r="E120" t="inlineStr">
        <is>
          <t>BORGHOLM</t>
        </is>
      </c>
      <c r="F120" t="inlineStr">
        <is>
          <t>Sveaskog</t>
        </is>
      </c>
      <c r="G120" t="n">
        <v>4.5</v>
      </c>
      <c r="H120" t="n">
        <v>0</v>
      </c>
      <c r="I120" t="n">
        <v>0</v>
      </c>
      <c r="J120" t="n">
        <v>0</v>
      </c>
      <c r="K120" t="n">
        <v>0</v>
      </c>
      <c r="L120" t="n">
        <v>0</v>
      </c>
      <c r="M120" t="n">
        <v>0</v>
      </c>
      <c r="N120" t="n">
        <v>0</v>
      </c>
      <c r="O120" t="n">
        <v>0</v>
      </c>
      <c r="P120" t="n">
        <v>0</v>
      </c>
      <c r="Q120" t="n">
        <v>0</v>
      </c>
      <c r="R120" s="2" t="inlineStr"/>
    </row>
    <row r="121">
      <c r="A121" t="inlineStr">
        <is>
          <t>A 27366-2025</t>
        </is>
      </c>
      <c r="B121" s="1" t="n">
        <v>45812.64475694444</v>
      </c>
      <c r="C121" s="1" t="n">
        <v>46025</v>
      </c>
      <c r="D121" t="inlineStr">
        <is>
          <t>KALMAR LÄN</t>
        </is>
      </c>
      <c r="E121" t="inlineStr">
        <is>
          <t>BORGHOLM</t>
        </is>
      </c>
      <c r="F121" t="inlineStr">
        <is>
          <t>Sveaskog</t>
        </is>
      </c>
      <c r="G121" t="n">
        <v>2.5</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2026-01-03T10:37:50Z</dcterms:created>
  <dcterms:modified xmlns:dcterms="http://purl.org/dc/terms/" xmlns:xsi="http://www.w3.org/2001/XMLSchema-instance" xsi:type="dcterms:W3CDTF">2026-01-03T10:37:51Z</dcterms:modified>
</cp:coreProperties>
</file>