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45971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45971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45971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45971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45971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45971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45971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45971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45971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45971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45971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45971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45971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45971</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45971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45971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45971</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16171-2023</t>
        </is>
      </c>
      <c r="B19" s="1" t="n">
        <v>45027</v>
      </c>
      <c r="C19" s="1" t="n">
        <v>45971</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45971</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38860-2025</t>
        </is>
      </c>
      <c r="B21" s="1" t="n">
        <v>45887.5609375</v>
      </c>
      <c r="C21" s="1" t="n">
        <v>45971</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32174-2022</t>
        </is>
      </c>
      <c r="B22" s="1" t="n">
        <v>44781</v>
      </c>
      <c r="C22" s="1" t="n">
        <v>45971</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44008-2022</t>
        </is>
      </c>
      <c r="B23" s="1" t="n">
        <v>44838</v>
      </c>
      <c r="C23" s="1" t="n">
        <v>45971</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13556-2025</t>
        </is>
      </c>
      <c r="B24" s="1" t="n">
        <v>45736.54759259259</v>
      </c>
      <c r="C24" s="1" t="n">
        <v>45971</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45971</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34944-2022</t>
        </is>
      </c>
      <c r="B26" s="1" t="n">
        <v>44796</v>
      </c>
      <c r="C26" s="1" t="n">
        <v>45971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45971</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45971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3871-2021</t>
        </is>
      </c>
      <c r="B29" s="1" t="n">
        <v>44222</v>
      </c>
      <c r="C29" s="1" t="n">
        <v>45971</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45971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45971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45971</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14789-2021</t>
        </is>
      </c>
      <c r="B33" s="1" t="n">
        <v>44280</v>
      </c>
      <c r="C33" s="1" t="n">
        <v>45971</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13558-2025</t>
        </is>
      </c>
      <c r="B34" s="1" t="n">
        <v>45736.54974537037</v>
      </c>
      <c r="C34" s="1" t="n">
        <v>45971</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9745-2023</t>
        </is>
      </c>
      <c r="B35" s="1" t="n">
        <v>44984</v>
      </c>
      <c r="C35" s="1" t="n">
        <v>45971</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24701-2023</t>
        </is>
      </c>
      <c r="B36" s="1" t="n">
        <v>45084</v>
      </c>
      <c r="C36" s="1" t="n">
        <v>45971</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45971</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12785-2021</t>
        </is>
      </c>
      <c r="B38" s="1" t="n">
        <v>44270</v>
      </c>
      <c r="C38" s="1" t="n">
        <v>45971</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24704-2023</t>
        </is>
      </c>
      <c r="B39" s="1" t="n">
        <v>45084</v>
      </c>
      <c r="C39" s="1" t="n">
        <v>45971</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24048-2025</t>
        </is>
      </c>
      <c r="B40" s="1" t="n">
        <v>45796.4959375</v>
      </c>
      <c r="C40" s="1" t="n">
        <v>45971</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45971</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45971</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45971</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45971</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45693-2025</t>
        </is>
      </c>
      <c r="B45" s="1" t="n">
        <v>45923</v>
      </c>
      <c r="C45" s="1" t="n">
        <v>45971</v>
      </c>
      <c r="D45" t="inlineStr">
        <is>
          <t>KALMAR LÄN</t>
        </is>
      </c>
      <c r="E45" t="inlineStr">
        <is>
          <t>BORGHOLM</t>
        </is>
      </c>
      <c r="G45" t="n">
        <v>4.8</v>
      </c>
      <c r="H45" t="n">
        <v>0</v>
      </c>
      <c r="I45" t="n">
        <v>0</v>
      </c>
      <c r="J45" t="n">
        <v>1</v>
      </c>
      <c r="K45" t="n">
        <v>0</v>
      </c>
      <c r="L45" t="n">
        <v>0</v>
      </c>
      <c r="M45" t="n">
        <v>0</v>
      </c>
      <c r="N45" t="n">
        <v>0</v>
      </c>
      <c r="O45" t="n">
        <v>1</v>
      </c>
      <c r="P45" t="n">
        <v>0</v>
      </c>
      <c r="Q45" t="n">
        <v>1</v>
      </c>
      <c r="R45" s="2" t="inlineStr">
        <is>
          <t>Stjälkröksvamp</t>
        </is>
      </c>
      <c r="S45">
        <f>HYPERLINK("https://klasma.github.io/Logging_0885/artfynd/A 45693-2025 artfynd.xlsx", "A 45693-2025")</f>
        <v/>
      </c>
      <c r="T45">
        <f>HYPERLINK("https://klasma.github.io/Logging_0885/kartor/A 45693-2025 karta.png", "A 45693-2025")</f>
        <v/>
      </c>
      <c r="V45">
        <f>HYPERLINK("https://klasma.github.io/Logging_0885/klagomål/A 45693-2025 FSC-klagomål.docx", "A 45693-2025")</f>
        <v/>
      </c>
      <c r="W45">
        <f>HYPERLINK("https://klasma.github.io/Logging_0885/klagomålsmail/A 45693-2025 FSC-klagomål mail.docx", "A 45693-2025")</f>
        <v/>
      </c>
      <c r="X45">
        <f>HYPERLINK("https://klasma.github.io/Logging_0885/tillsyn/A 45693-2025 tillsynsbegäran.docx", "A 45693-2025")</f>
        <v/>
      </c>
      <c r="Y45">
        <f>HYPERLINK("https://klasma.github.io/Logging_0885/tillsynsmail/A 45693-2025 tillsynsbegäran mail.docx", "A 45693-2025")</f>
        <v/>
      </c>
    </row>
    <row r="46" ht="15" customHeight="1">
      <c r="A46" t="inlineStr">
        <is>
          <t>A 58113-2020</t>
        </is>
      </c>
      <c r="B46" s="1" t="n">
        <v>44144</v>
      </c>
      <c r="C46" s="1" t="n">
        <v>45971</v>
      </c>
      <c r="D46" t="inlineStr">
        <is>
          <t>KALMAR LÄN</t>
        </is>
      </c>
      <c r="E46" t="inlineStr">
        <is>
          <t>BORGHOLM</t>
        </is>
      </c>
      <c r="F46" t="inlineStr">
        <is>
          <t>Sveaskog</t>
        </is>
      </c>
      <c r="G46" t="n">
        <v>3</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45971</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45971</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45971</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45971</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10348-2022</t>
        </is>
      </c>
      <c r="B51" s="1" t="n">
        <v>44623</v>
      </c>
      <c r="C51" s="1" t="n">
        <v>45971</v>
      </c>
      <c r="D51" t="inlineStr">
        <is>
          <t>KALMAR LÄN</t>
        </is>
      </c>
      <c r="E51" t="inlineStr">
        <is>
          <t>BORGHOLM</t>
        </is>
      </c>
      <c r="G51" t="n">
        <v>0.4</v>
      </c>
      <c r="H51" t="n">
        <v>0</v>
      </c>
      <c r="I51" t="n">
        <v>0</v>
      </c>
      <c r="J51" t="n">
        <v>0</v>
      </c>
      <c r="K51" t="n">
        <v>0</v>
      </c>
      <c r="L51" t="n">
        <v>0</v>
      </c>
      <c r="M51" t="n">
        <v>0</v>
      </c>
      <c r="N51" t="n">
        <v>0</v>
      </c>
      <c r="O51" t="n">
        <v>0</v>
      </c>
      <c r="P51" t="n">
        <v>0</v>
      </c>
      <c r="Q51" t="n">
        <v>0</v>
      </c>
      <c r="R51" s="2" t="inlineStr"/>
    </row>
    <row r="52" ht="15" customHeight="1">
      <c r="A52" t="inlineStr">
        <is>
          <t>A 28345-2022</t>
        </is>
      </c>
      <c r="B52" s="1" t="n">
        <v>44747</v>
      </c>
      <c r="C52" s="1" t="n">
        <v>45971</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44681-2022</t>
        </is>
      </c>
      <c r="B53" s="1" t="n">
        <v>44840</v>
      </c>
      <c r="C53" s="1" t="n">
        <v>45971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32608-2022</t>
        </is>
      </c>
      <c r="B54" s="1" t="n">
        <v>44783</v>
      </c>
      <c r="C54" s="1" t="n">
        <v>45971</v>
      </c>
      <c r="D54" t="inlineStr">
        <is>
          <t>KALMAR LÄN</t>
        </is>
      </c>
      <c r="E54" t="inlineStr">
        <is>
          <t>BORGHOLM</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61828-2021</t>
        </is>
      </c>
      <c r="B55" s="1" t="n">
        <v>44501</v>
      </c>
      <c r="C55" s="1" t="n">
        <v>45971</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60735-2020</t>
        </is>
      </c>
      <c r="B56" s="1" t="n">
        <v>44153</v>
      </c>
      <c r="C56" s="1" t="n">
        <v>45971</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45971</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45971</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58394-2020</t>
        </is>
      </c>
      <c r="B59" s="1" t="n">
        <v>44145</v>
      </c>
      <c r="C59" s="1" t="n">
        <v>45971</v>
      </c>
      <c r="D59" t="inlineStr">
        <is>
          <t>KALMAR LÄN</t>
        </is>
      </c>
      <c r="E59" t="inlineStr">
        <is>
          <t>BORGHOLM</t>
        </is>
      </c>
      <c r="F59" t="inlineStr">
        <is>
          <t>Sveaskog</t>
        </is>
      </c>
      <c r="G59" t="n">
        <v>1.1</v>
      </c>
      <c r="H59" t="n">
        <v>0</v>
      </c>
      <c r="I59" t="n">
        <v>0</v>
      </c>
      <c r="J59" t="n">
        <v>0</v>
      </c>
      <c r="K59" t="n">
        <v>0</v>
      </c>
      <c r="L59" t="n">
        <v>0</v>
      </c>
      <c r="M59" t="n">
        <v>0</v>
      </c>
      <c r="N59" t="n">
        <v>0</v>
      </c>
      <c r="O59" t="n">
        <v>0</v>
      </c>
      <c r="P59" t="n">
        <v>0</v>
      </c>
      <c r="Q59" t="n">
        <v>0</v>
      </c>
      <c r="R59" s="2" t="inlineStr"/>
    </row>
    <row r="60" ht="15" customHeight="1">
      <c r="A60" t="inlineStr">
        <is>
          <t>A 58253-2020</t>
        </is>
      </c>
      <c r="B60" s="1" t="n">
        <v>44144</v>
      </c>
      <c r="C60" s="1" t="n">
        <v>45971</v>
      </c>
      <c r="D60" t="inlineStr">
        <is>
          <t>KALMAR LÄN</t>
        </is>
      </c>
      <c r="E60" t="inlineStr">
        <is>
          <t>BORGHOLM</t>
        </is>
      </c>
      <c r="F60" t="inlineStr">
        <is>
          <t>Sveaskog</t>
        </is>
      </c>
      <c r="G60" t="n">
        <v>1.2</v>
      </c>
      <c r="H60" t="n">
        <v>0</v>
      </c>
      <c r="I60" t="n">
        <v>0</v>
      </c>
      <c r="J60" t="n">
        <v>0</v>
      </c>
      <c r="K60" t="n">
        <v>0</v>
      </c>
      <c r="L60" t="n">
        <v>0</v>
      </c>
      <c r="M60" t="n">
        <v>0</v>
      </c>
      <c r="N60" t="n">
        <v>0</v>
      </c>
      <c r="O60" t="n">
        <v>0</v>
      </c>
      <c r="P60" t="n">
        <v>0</v>
      </c>
      <c r="Q60" t="n">
        <v>0</v>
      </c>
      <c r="R60" s="2" t="inlineStr"/>
    </row>
    <row r="61" ht="15" customHeight="1">
      <c r="A61" t="inlineStr">
        <is>
          <t>A 32180-2022</t>
        </is>
      </c>
      <c r="B61" s="1" t="n">
        <v>44781</v>
      </c>
      <c r="C61" s="1" t="n">
        <v>45971</v>
      </c>
      <c r="D61" t="inlineStr">
        <is>
          <t>KALMAR LÄN</t>
        </is>
      </c>
      <c r="E61" t="inlineStr">
        <is>
          <t>BORGHOLM</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27437-2022</t>
        </is>
      </c>
      <c r="B62" s="1" t="n">
        <v>44742.55567129629</v>
      </c>
      <c r="C62" s="1" t="n">
        <v>45971</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62631-2021</t>
        </is>
      </c>
      <c r="B63" s="1" t="n">
        <v>44503</v>
      </c>
      <c r="C63" s="1" t="n">
        <v>45971</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4165-2023</t>
        </is>
      </c>
      <c r="B64" s="1" t="n">
        <v>44953</v>
      </c>
      <c r="C64" s="1" t="n">
        <v>45971</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31699-2022</t>
        </is>
      </c>
      <c r="B65" s="1" t="n">
        <v>44776</v>
      </c>
      <c r="C65" s="1" t="n">
        <v>45971</v>
      </c>
      <c r="D65" t="inlineStr">
        <is>
          <t>KALMAR LÄN</t>
        </is>
      </c>
      <c r="E65" t="inlineStr">
        <is>
          <t>BORGHOLM</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45971</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13383-2023</t>
        </is>
      </c>
      <c r="B67" s="1" t="n">
        <v>45005</v>
      </c>
      <c r="C67" s="1" t="n">
        <v>45971</v>
      </c>
      <c r="D67" t="inlineStr">
        <is>
          <t>KALMAR LÄN</t>
        </is>
      </c>
      <c r="E67" t="inlineStr">
        <is>
          <t>BORGHOLM</t>
        </is>
      </c>
      <c r="G67" t="n">
        <v>0.8</v>
      </c>
      <c r="H67" t="n">
        <v>0</v>
      </c>
      <c r="I67" t="n">
        <v>0</v>
      </c>
      <c r="J67" t="n">
        <v>0</v>
      </c>
      <c r="K67" t="n">
        <v>0</v>
      </c>
      <c r="L67" t="n">
        <v>0</v>
      </c>
      <c r="M67" t="n">
        <v>0</v>
      </c>
      <c r="N67" t="n">
        <v>0</v>
      </c>
      <c r="O67" t="n">
        <v>0</v>
      </c>
      <c r="P67" t="n">
        <v>0</v>
      </c>
      <c r="Q67" t="n">
        <v>0</v>
      </c>
      <c r="R67" s="2" t="inlineStr"/>
    </row>
    <row r="68" ht="15" customHeight="1">
      <c r="A68" t="inlineStr">
        <is>
          <t>A 42785-2021</t>
        </is>
      </c>
      <c r="B68" s="1" t="n">
        <v>44428</v>
      </c>
      <c r="C68" s="1" t="n">
        <v>45971</v>
      </c>
      <c r="D68" t="inlineStr">
        <is>
          <t>KALMAR LÄN</t>
        </is>
      </c>
      <c r="E68" t="inlineStr">
        <is>
          <t>BORGHOLM</t>
        </is>
      </c>
      <c r="G68" t="n">
        <v>2.8</v>
      </c>
      <c r="H68" t="n">
        <v>0</v>
      </c>
      <c r="I68" t="n">
        <v>0</v>
      </c>
      <c r="J68" t="n">
        <v>0</v>
      </c>
      <c r="K68" t="n">
        <v>0</v>
      </c>
      <c r="L68" t="n">
        <v>0</v>
      </c>
      <c r="M68" t="n">
        <v>0</v>
      </c>
      <c r="N68" t="n">
        <v>0</v>
      </c>
      <c r="O68" t="n">
        <v>0</v>
      </c>
      <c r="P68" t="n">
        <v>0</v>
      </c>
      <c r="Q68" t="n">
        <v>0</v>
      </c>
      <c r="R68" s="2" t="inlineStr"/>
    </row>
    <row r="69" ht="15" customHeight="1">
      <c r="A69" t="inlineStr">
        <is>
          <t>A 13548-2025</t>
        </is>
      </c>
      <c r="B69" s="1" t="n">
        <v>45736.53827546296</v>
      </c>
      <c r="C69" s="1" t="n">
        <v>45971</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45971</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12937-2022</t>
        </is>
      </c>
      <c r="B71" s="1" t="n">
        <v>44642</v>
      </c>
      <c r="C71" s="1" t="n">
        <v>45971</v>
      </c>
      <c r="D71" t="inlineStr">
        <is>
          <t>KALMAR LÄN</t>
        </is>
      </c>
      <c r="E71" t="inlineStr">
        <is>
          <t>BORGHOLM</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26160-2024</t>
        </is>
      </c>
      <c r="B72" s="1" t="n">
        <v>45468</v>
      </c>
      <c r="C72" s="1" t="n">
        <v>45971</v>
      </c>
      <c r="D72" t="inlineStr">
        <is>
          <t>KALMAR LÄN</t>
        </is>
      </c>
      <c r="E72" t="inlineStr">
        <is>
          <t>BORGHOLM</t>
        </is>
      </c>
      <c r="G72" t="n">
        <v>0.4</v>
      </c>
      <c r="H72" t="n">
        <v>0</v>
      </c>
      <c r="I72" t="n">
        <v>0</v>
      </c>
      <c r="J72" t="n">
        <v>0</v>
      </c>
      <c r="K72" t="n">
        <v>0</v>
      </c>
      <c r="L72" t="n">
        <v>0</v>
      </c>
      <c r="M72" t="n">
        <v>0</v>
      </c>
      <c r="N72" t="n">
        <v>0</v>
      </c>
      <c r="O72" t="n">
        <v>0</v>
      </c>
      <c r="P72" t="n">
        <v>0</v>
      </c>
      <c r="Q72" t="n">
        <v>0</v>
      </c>
      <c r="R72" s="2" t="inlineStr"/>
      <c r="T72">
        <f>HYPERLINK("https://klasma.github.io/Logging_0885/kartor/A 26160-2024 karta.png", "A 26160-2024")</f>
        <v/>
      </c>
      <c r="V72">
        <f>HYPERLINK("https://klasma.github.io/Logging_0885/klagomål/A 26160-2024 FSC-klagomål.docx", "A 26160-2024")</f>
        <v/>
      </c>
      <c r="W72">
        <f>HYPERLINK("https://klasma.github.io/Logging_0885/klagomålsmail/A 26160-2024 FSC-klagomål mail.docx", "A 26160-2024")</f>
        <v/>
      </c>
      <c r="X72">
        <f>HYPERLINK("https://klasma.github.io/Logging_0885/tillsyn/A 26160-2024 tillsynsbegäran.docx", "A 26160-2024")</f>
        <v/>
      </c>
      <c r="Y72">
        <f>HYPERLINK("https://klasma.github.io/Logging_0885/tillsynsmail/A 26160-2024 tillsynsbegäran mail.docx", "A 26160-2024")</f>
        <v/>
      </c>
    </row>
    <row r="73" ht="15" customHeight="1">
      <c r="A73" t="inlineStr">
        <is>
          <t>A 31840-2021</t>
        </is>
      </c>
      <c r="B73" s="1" t="n">
        <v>44370</v>
      </c>
      <c r="C73" s="1" t="n">
        <v>45971</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7960-2023</t>
        </is>
      </c>
      <c r="B74" s="1" t="n">
        <v>44973</v>
      </c>
      <c r="C74" s="1" t="n">
        <v>45971</v>
      </c>
      <c r="D74" t="inlineStr">
        <is>
          <t>KALMAR LÄN</t>
        </is>
      </c>
      <c r="E74" t="inlineStr">
        <is>
          <t>BORGHOLM</t>
        </is>
      </c>
      <c r="G74" t="n">
        <v>2.1</v>
      </c>
      <c r="H74" t="n">
        <v>0</v>
      </c>
      <c r="I74" t="n">
        <v>0</v>
      </c>
      <c r="J74" t="n">
        <v>0</v>
      </c>
      <c r="K74" t="n">
        <v>0</v>
      </c>
      <c r="L74" t="n">
        <v>0</v>
      </c>
      <c r="M74" t="n">
        <v>0</v>
      </c>
      <c r="N74" t="n">
        <v>0</v>
      </c>
      <c r="O74" t="n">
        <v>0</v>
      </c>
      <c r="P74" t="n">
        <v>0</v>
      </c>
      <c r="Q74" t="n">
        <v>0</v>
      </c>
      <c r="R74" s="2" t="inlineStr"/>
    </row>
    <row r="75" ht="15" customHeight="1">
      <c r="A75" t="inlineStr">
        <is>
          <t>A 44678-2022</t>
        </is>
      </c>
      <c r="B75" s="1" t="n">
        <v>44840.65100694444</v>
      </c>
      <c r="C75" s="1" t="n">
        <v>45971</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61438-2023</t>
        </is>
      </c>
      <c r="B76" s="1" t="n">
        <v>45264</v>
      </c>
      <c r="C76" s="1" t="n">
        <v>45971</v>
      </c>
      <c r="D76" t="inlineStr">
        <is>
          <t>KALMAR LÄN</t>
        </is>
      </c>
      <c r="E76" t="inlineStr">
        <is>
          <t>BORGHOLM</t>
        </is>
      </c>
      <c r="G76" t="n">
        <v>1.1</v>
      </c>
      <c r="H76" t="n">
        <v>0</v>
      </c>
      <c r="I76" t="n">
        <v>0</v>
      </c>
      <c r="J76" t="n">
        <v>0</v>
      </c>
      <c r="K76" t="n">
        <v>0</v>
      </c>
      <c r="L76" t="n">
        <v>0</v>
      </c>
      <c r="M76" t="n">
        <v>0</v>
      </c>
      <c r="N76" t="n">
        <v>0</v>
      </c>
      <c r="O76" t="n">
        <v>0</v>
      </c>
      <c r="P76" t="n">
        <v>0</v>
      </c>
      <c r="Q76" t="n">
        <v>0</v>
      </c>
      <c r="R76" s="2" t="inlineStr"/>
    </row>
    <row r="77" ht="15" customHeight="1">
      <c r="A77" t="inlineStr">
        <is>
          <t>A 20878-2024</t>
        </is>
      </c>
      <c r="B77" s="1" t="n">
        <v>45439.44748842593</v>
      </c>
      <c r="C77" s="1" t="n">
        <v>45971</v>
      </c>
      <c r="D77" t="inlineStr">
        <is>
          <t>KALMAR LÄN</t>
        </is>
      </c>
      <c r="E77" t="inlineStr">
        <is>
          <t>BORGHOLM</t>
        </is>
      </c>
      <c r="G77" t="n">
        <v>1.9</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45971</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1614-2025</t>
        </is>
      </c>
      <c r="B79" s="1" t="n">
        <v>45670.60094907408</v>
      </c>
      <c r="C79" s="1" t="n">
        <v>45971</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64303-2023</t>
        </is>
      </c>
      <c r="B80" s="1" t="n">
        <v>45280</v>
      </c>
      <c r="C80" s="1" t="n">
        <v>45971</v>
      </c>
      <c r="D80" t="inlineStr">
        <is>
          <t>KALMAR LÄN</t>
        </is>
      </c>
      <c r="E80" t="inlineStr">
        <is>
          <t>BORGHOLM</t>
        </is>
      </c>
      <c r="G80" t="n">
        <v>1.2</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45971</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45971</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44547-2021</t>
        </is>
      </c>
      <c r="B83" s="1" t="n">
        <v>44435</v>
      </c>
      <c r="C83" s="1" t="n">
        <v>45971</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45971</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45971</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45971</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45971</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50129-2021</t>
        </is>
      </c>
      <c r="B88" s="1" t="n">
        <v>44456</v>
      </c>
      <c r="C88" s="1" t="n">
        <v>45971</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31720-2022</t>
        </is>
      </c>
      <c r="B89" s="1" t="n">
        <v>44776</v>
      </c>
      <c r="C89" s="1" t="n">
        <v>45971</v>
      </c>
      <c r="D89" t="inlineStr">
        <is>
          <t>KALMAR LÄN</t>
        </is>
      </c>
      <c r="E89" t="inlineStr">
        <is>
          <t>BORGHOLM</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45971</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13043-2024</t>
        </is>
      </c>
      <c r="B91" s="1" t="n">
        <v>45385.60111111111</v>
      </c>
      <c r="C91" s="1" t="n">
        <v>45971</v>
      </c>
      <c r="D91" t="inlineStr">
        <is>
          <t>KALMAR LÄN</t>
        </is>
      </c>
      <c r="E91" t="inlineStr">
        <is>
          <t>BORGHOLM</t>
        </is>
      </c>
      <c r="G91" t="n">
        <v>0.4</v>
      </c>
      <c r="H91" t="n">
        <v>0</v>
      </c>
      <c r="I91" t="n">
        <v>0</v>
      </c>
      <c r="J91" t="n">
        <v>0</v>
      </c>
      <c r="K91" t="n">
        <v>0</v>
      </c>
      <c r="L91" t="n">
        <v>0</v>
      </c>
      <c r="M91" t="n">
        <v>0</v>
      </c>
      <c r="N91" t="n">
        <v>0</v>
      </c>
      <c r="O91" t="n">
        <v>0</v>
      </c>
      <c r="P91" t="n">
        <v>0</v>
      </c>
      <c r="Q91" t="n">
        <v>0</v>
      </c>
      <c r="R91" s="2" t="inlineStr"/>
    </row>
    <row r="92" ht="15" customHeight="1">
      <c r="A92" t="inlineStr">
        <is>
          <t>A 17978-2021</t>
        </is>
      </c>
      <c r="B92" s="1" t="n">
        <v>44301</v>
      </c>
      <c r="C92" s="1" t="n">
        <v>45971</v>
      </c>
      <c r="D92" t="inlineStr">
        <is>
          <t>KALMAR LÄN</t>
        </is>
      </c>
      <c r="E92" t="inlineStr">
        <is>
          <t>BORGHOLM</t>
        </is>
      </c>
      <c r="G92" t="n">
        <v>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45971</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22785-2025</t>
        </is>
      </c>
      <c r="B94" s="1" t="n">
        <v>45789.64186342592</v>
      </c>
      <c r="C94" s="1" t="n">
        <v>45971</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17699-2025</t>
        </is>
      </c>
      <c r="B95" s="1" t="n">
        <v>45758.41846064815</v>
      </c>
      <c r="C95" s="1" t="n">
        <v>45971</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46845-2025</t>
        </is>
      </c>
      <c r="B96" s="1" t="n">
        <v>45928</v>
      </c>
      <c r="C96" s="1" t="n">
        <v>45971</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45971</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45971</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45971</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45971</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45971</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41831-2025</t>
        </is>
      </c>
      <c r="B102" s="1" t="n">
        <v>45902.67887731481</v>
      </c>
      <c r="C102" s="1" t="n">
        <v>45971</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45971</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45971</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42232-2025</t>
        </is>
      </c>
      <c r="B105" s="1" t="n">
        <v>45904.55591435185</v>
      </c>
      <c r="C105" s="1" t="n">
        <v>45971</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45971</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41950-2025</t>
        </is>
      </c>
      <c r="B107" s="1" t="n">
        <v>45903.45767361111</v>
      </c>
      <c r="C107" s="1" t="n">
        <v>45971</v>
      </c>
      <c r="D107" t="inlineStr">
        <is>
          <t>KALMAR LÄN</t>
        </is>
      </c>
      <c r="E107" t="inlineStr">
        <is>
          <t>BORGHOLM</t>
        </is>
      </c>
      <c r="G107" t="n">
        <v>1.8</v>
      </c>
      <c r="H107" t="n">
        <v>0</v>
      </c>
      <c r="I107" t="n">
        <v>0</v>
      </c>
      <c r="J107" t="n">
        <v>0</v>
      </c>
      <c r="K107" t="n">
        <v>0</v>
      </c>
      <c r="L107" t="n">
        <v>0</v>
      </c>
      <c r="M107" t="n">
        <v>0</v>
      </c>
      <c r="N107" t="n">
        <v>0</v>
      </c>
      <c r="O107" t="n">
        <v>0</v>
      </c>
      <c r="P107" t="n">
        <v>0</v>
      </c>
      <c r="Q107" t="n">
        <v>0</v>
      </c>
      <c r="R107" s="2" t="inlineStr"/>
    </row>
    <row r="108" ht="15" customHeight="1">
      <c r="A108" t="inlineStr">
        <is>
          <t>A 26160-2025</t>
        </is>
      </c>
      <c r="B108" s="1" t="n">
        <v>45805.4490162037</v>
      </c>
      <c r="C108" s="1" t="n">
        <v>45971</v>
      </c>
      <c r="D108" t="inlineStr">
        <is>
          <t>KALMAR LÄN</t>
        </is>
      </c>
      <c r="E108" t="inlineStr">
        <is>
          <t>BORGHOLM</t>
        </is>
      </c>
      <c r="G108" t="n">
        <v>3.7</v>
      </c>
      <c r="H108" t="n">
        <v>0</v>
      </c>
      <c r="I108" t="n">
        <v>0</v>
      </c>
      <c r="J108" t="n">
        <v>0</v>
      </c>
      <c r="K108" t="n">
        <v>0</v>
      </c>
      <c r="L108" t="n">
        <v>0</v>
      </c>
      <c r="M108" t="n">
        <v>0</v>
      </c>
      <c r="N108" t="n">
        <v>0</v>
      </c>
      <c r="O108" t="n">
        <v>0</v>
      </c>
      <c r="P108" t="n">
        <v>0</v>
      </c>
      <c r="Q108" t="n">
        <v>0</v>
      </c>
      <c r="R108" s="2" t="inlineStr"/>
    </row>
    <row r="109" ht="15" customHeight="1">
      <c r="A109" t="inlineStr">
        <is>
          <t>A 26190-2025</t>
        </is>
      </c>
      <c r="B109" s="1" t="n">
        <v>45805.48349537037</v>
      </c>
      <c r="C109" s="1" t="n">
        <v>45971</v>
      </c>
      <c r="D109" t="inlineStr">
        <is>
          <t>KALMAR LÄN</t>
        </is>
      </c>
      <c r="E109" t="inlineStr">
        <is>
          <t>BORGHOLM</t>
        </is>
      </c>
      <c r="G109" t="n">
        <v>3.2</v>
      </c>
      <c r="H109" t="n">
        <v>0</v>
      </c>
      <c r="I109" t="n">
        <v>0</v>
      </c>
      <c r="J109" t="n">
        <v>0</v>
      </c>
      <c r="K109" t="n">
        <v>0</v>
      </c>
      <c r="L109" t="n">
        <v>0</v>
      </c>
      <c r="M109" t="n">
        <v>0</v>
      </c>
      <c r="N109" t="n">
        <v>0</v>
      </c>
      <c r="O109" t="n">
        <v>0</v>
      </c>
      <c r="P109" t="n">
        <v>0</v>
      </c>
      <c r="Q109" t="n">
        <v>0</v>
      </c>
      <c r="R109" s="2" t="inlineStr"/>
    </row>
    <row r="110" ht="15" customHeight="1">
      <c r="A110" t="inlineStr">
        <is>
          <t>A 27357-2025</t>
        </is>
      </c>
      <c r="B110" s="1" t="n">
        <v>45812.63650462963</v>
      </c>
      <c r="C110" s="1" t="n">
        <v>45971</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27366-2025</t>
        </is>
      </c>
      <c r="B111" s="1" t="n">
        <v>45812.64475694444</v>
      </c>
      <c r="C111" s="1" t="n">
        <v>45971</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32919-2023</t>
        </is>
      </c>
      <c r="B112" s="1" t="n">
        <v>45125</v>
      </c>
      <c r="C112" s="1" t="n">
        <v>45971</v>
      </c>
      <c r="D112" t="inlineStr">
        <is>
          <t>KALMAR LÄN</t>
        </is>
      </c>
      <c r="E112" t="inlineStr">
        <is>
          <t>BORGHOLM</t>
        </is>
      </c>
      <c r="G112" t="n">
        <v>2.7</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45971</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43542-2025</t>
        </is>
      </c>
      <c r="B114" s="1" t="n">
        <v>45911.61123842592</v>
      </c>
      <c r="C114" s="1" t="n">
        <v>45971</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45971</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4878-2021</t>
        </is>
      </c>
      <c r="B116" s="1" t="n">
        <v>44225</v>
      </c>
      <c r="C116" s="1" t="n">
        <v>45971</v>
      </c>
      <c r="D116" t="inlineStr">
        <is>
          <t>KALMAR LÄN</t>
        </is>
      </c>
      <c r="E116" t="inlineStr">
        <is>
          <t>BORGHOLM</t>
        </is>
      </c>
      <c r="G116" t="n">
        <v>3</v>
      </c>
      <c r="H116" t="n">
        <v>0</v>
      </c>
      <c r="I116" t="n">
        <v>0</v>
      </c>
      <c r="J116" t="n">
        <v>0</v>
      </c>
      <c r="K116" t="n">
        <v>0</v>
      </c>
      <c r="L116" t="n">
        <v>0</v>
      </c>
      <c r="M116" t="n">
        <v>0</v>
      </c>
      <c r="N116" t="n">
        <v>0</v>
      </c>
      <c r="O116" t="n">
        <v>0</v>
      </c>
      <c r="P116" t="n">
        <v>0</v>
      </c>
      <c r="Q116" t="n">
        <v>0</v>
      </c>
      <c r="R116" s="2" t="inlineStr"/>
    </row>
    <row r="117" ht="15" customHeight="1">
      <c r="A117" t="inlineStr">
        <is>
          <t>A 44224-2025</t>
        </is>
      </c>
      <c r="B117" s="1" t="n">
        <v>45915</v>
      </c>
      <c r="C117" s="1" t="n">
        <v>45971</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34951-2022</t>
        </is>
      </c>
      <c r="B118" s="1" t="n">
        <v>44796</v>
      </c>
      <c r="C118" s="1" t="n">
        <v>45971</v>
      </c>
      <c r="D118" t="inlineStr">
        <is>
          <t>KALMAR LÄN</t>
        </is>
      </c>
      <c r="E118" t="inlineStr">
        <is>
          <t>BORGHOLM</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9034-2025</t>
        </is>
      </c>
      <c r="B119" s="1" t="n">
        <v>45713</v>
      </c>
      <c r="C119" s="1" t="n">
        <v>45971</v>
      </c>
      <c r="D119" t="inlineStr">
        <is>
          <t>KALMAR LÄN</t>
        </is>
      </c>
      <c r="E119" t="inlineStr">
        <is>
          <t>BORGHOLM</t>
        </is>
      </c>
      <c r="F119" t="inlineStr">
        <is>
          <t>Sveaskog</t>
        </is>
      </c>
      <c r="G119" t="n">
        <v>6.8</v>
      </c>
      <c r="H119" t="n">
        <v>0</v>
      </c>
      <c r="I119" t="n">
        <v>0</v>
      </c>
      <c r="J119" t="n">
        <v>0</v>
      </c>
      <c r="K119" t="n">
        <v>0</v>
      </c>
      <c r="L119" t="n">
        <v>0</v>
      </c>
      <c r="M119" t="n">
        <v>0</v>
      </c>
      <c r="N119" t="n">
        <v>0</v>
      </c>
      <c r="O119" t="n">
        <v>0</v>
      </c>
      <c r="P119" t="n">
        <v>0</v>
      </c>
      <c r="Q119" t="n">
        <v>0</v>
      </c>
      <c r="R119" s="2" t="inlineStr"/>
    </row>
    <row r="120" ht="15" customHeight="1">
      <c r="A120" t="inlineStr">
        <is>
          <t>A 5175-2024</t>
        </is>
      </c>
      <c r="B120" s="1" t="n">
        <v>45330</v>
      </c>
      <c r="C120" s="1" t="n">
        <v>45971</v>
      </c>
      <c r="D120" t="inlineStr">
        <is>
          <t>KALMAR LÄN</t>
        </is>
      </c>
      <c r="E120" t="inlineStr">
        <is>
          <t>BORGHOLM</t>
        </is>
      </c>
      <c r="G120" t="n">
        <v>1.5</v>
      </c>
      <c r="H120" t="n">
        <v>0</v>
      </c>
      <c r="I120" t="n">
        <v>0</v>
      </c>
      <c r="J120" t="n">
        <v>0</v>
      </c>
      <c r="K120" t="n">
        <v>0</v>
      </c>
      <c r="L120" t="n">
        <v>0</v>
      </c>
      <c r="M120" t="n">
        <v>0</v>
      </c>
      <c r="N120" t="n">
        <v>0</v>
      </c>
      <c r="O120" t="n">
        <v>0</v>
      </c>
      <c r="P120" t="n">
        <v>0</v>
      </c>
      <c r="Q120" t="n">
        <v>0</v>
      </c>
      <c r="R120" s="2" t="inlineStr"/>
    </row>
    <row r="121" ht="15" customHeight="1">
      <c r="A121" t="inlineStr">
        <is>
          <t>A 36269-2025</t>
        </is>
      </c>
      <c r="B121" s="1" t="n">
        <v>45867.61736111111</v>
      </c>
      <c r="C121" s="1" t="n">
        <v>45971</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45971</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45734-2025</t>
        </is>
      </c>
      <c r="B123" s="1" t="n">
        <v>45923.46512731481</v>
      </c>
      <c r="C123" s="1" t="n">
        <v>45971</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45869-2025</t>
        </is>
      </c>
      <c r="B124" s="1" t="n">
        <v>45923.65313657407</v>
      </c>
      <c r="C124" s="1" t="n">
        <v>45971</v>
      </c>
      <c r="D124" t="inlineStr">
        <is>
          <t>KALMAR LÄN</t>
        </is>
      </c>
      <c r="E124" t="inlineStr">
        <is>
          <t>BORGHOLM</t>
        </is>
      </c>
      <c r="G124" t="n">
        <v>4.5</v>
      </c>
      <c r="H124" t="n">
        <v>0</v>
      </c>
      <c r="I124" t="n">
        <v>0</v>
      </c>
      <c r="J124" t="n">
        <v>0</v>
      </c>
      <c r="K124" t="n">
        <v>0</v>
      </c>
      <c r="L124" t="n">
        <v>0</v>
      </c>
      <c r="M124" t="n">
        <v>0</v>
      </c>
      <c r="N124" t="n">
        <v>0</v>
      </c>
      <c r="O124" t="n">
        <v>0</v>
      </c>
      <c r="P124" t="n">
        <v>0</v>
      </c>
      <c r="Q124" t="n">
        <v>0</v>
      </c>
      <c r="R124" s="2" t="inlineStr"/>
    </row>
    <row r="125">
      <c r="A125" t="inlineStr">
        <is>
          <t>A 19867-2024</t>
        </is>
      </c>
      <c r="B125" s="1" t="n">
        <v>45433</v>
      </c>
      <c r="C125" s="1" t="n">
        <v>45971</v>
      </c>
      <c r="D125" t="inlineStr">
        <is>
          <t>KALMAR LÄN</t>
        </is>
      </c>
      <c r="E125" t="inlineStr">
        <is>
          <t>BORGHOLM</t>
        </is>
      </c>
      <c r="G125" t="n">
        <v>3.9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2025-11-10T10:14:46Z</dcterms:created>
  <dcterms:modified xmlns:dcterms="http://purl.org/dc/terms/" xmlns:xsi="http://www.w3.org/2001/XMLSchema-instance" xsi:type="dcterms:W3CDTF">2025-11-10T10:14:47Z</dcterms:modified>
</cp:coreProperties>
</file>