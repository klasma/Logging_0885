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46121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46121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46121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46121</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46121</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46121</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46121</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46121</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46121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46121</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44008-2022</t>
        </is>
      </c>
      <c r="B23" s="1" t="n">
        <v>44838</v>
      </c>
      <c r="C23" s="1" t="n">
        <v>46121</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46121</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46121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46121</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15285-2026</t>
        </is>
      </c>
      <c r="B27" s="1" t="n">
        <v>46105.6156712963</v>
      </c>
      <c r="C27" s="1" t="n">
        <v>46121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9253-2026</t>
        </is>
      </c>
      <c r="B28" s="1" t="n">
        <v>46070.51003472223</v>
      </c>
      <c r="C28" s="1" t="n">
        <v>46121</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4164-2023</t>
        </is>
      </c>
      <c r="B29" s="1" t="n">
        <v>44953</v>
      </c>
      <c r="C29" s="1" t="n">
        <v>46121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31790-2021</t>
        </is>
      </c>
      <c r="B30" s="1" t="n">
        <v>44370</v>
      </c>
      <c r="C30" s="1" t="n">
        <v>46121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46121</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46121</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46121</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46121</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46121</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46121</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46121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46121</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46121</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46121</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3302-2026</t>
        </is>
      </c>
      <c r="B42" s="1" t="n">
        <v>46041</v>
      </c>
      <c r="C42" s="1" t="n">
        <v>46121</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43603-2024</t>
        </is>
      </c>
      <c r="B43" s="1" t="n">
        <v>45569.44700231482</v>
      </c>
      <c r="C43" s="1" t="n">
        <v>46121</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42761-2021</t>
        </is>
      </c>
      <c r="B44" s="1" t="n">
        <v>44428</v>
      </c>
      <c r="C44" s="1" t="n">
        <v>46121</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46121</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46121</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46121</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46121</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46121</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46121</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46121</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46121</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27437-2022</t>
        </is>
      </c>
      <c r="B54" s="1" t="n">
        <v>44742.55567129629</v>
      </c>
      <c r="C54" s="1" t="n">
        <v>46121</v>
      </c>
      <c r="D54" t="inlineStr">
        <is>
          <t>KALMAR LÄN</t>
        </is>
      </c>
      <c r="E54" t="inlineStr">
        <is>
          <t>BORGHOLM</t>
        </is>
      </c>
      <c r="G54" t="n">
        <v>0.6</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46121</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46121</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46121</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46121</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46121</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46121</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46121</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46121</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46121</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46121</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24166-2022</t>
        </is>
      </c>
      <c r="B65" s="1" t="n">
        <v>44725</v>
      </c>
      <c r="C65" s="1" t="n">
        <v>46121</v>
      </c>
      <c r="D65" t="inlineStr">
        <is>
          <t>KALMAR LÄN</t>
        </is>
      </c>
      <c r="E65" t="inlineStr">
        <is>
          <t>BORGHOLM</t>
        </is>
      </c>
      <c r="G65" t="n">
        <v>10.7</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46121</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46121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26190-2025</t>
        </is>
      </c>
      <c r="B68" s="1" t="n">
        <v>45805.48349537037</v>
      </c>
      <c r="C68" s="1" t="n">
        <v>46121</v>
      </c>
      <c r="D68" t="inlineStr">
        <is>
          <t>KALMAR LÄN</t>
        </is>
      </c>
      <c r="E68" t="inlineStr">
        <is>
          <t>BORGHOLM</t>
        </is>
      </c>
      <c r="G68" t="n">
        <v>3.2</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46121</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46121</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46121</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21908-2022</t>
        </is>
      </c>
      <c r="B72" s="1" t="n">
        <v>44711</v>
      </c>
      <c r="C72" s="1" t="n">
        <v>46121</v>
      </c>
      <c r="D72" t="inlineStr">
        <is>
          <t>KALMAR LÄN</t>
        </is>
      </c>
      <c r="E72" t="inlineStr">
        <is>
          <t>BORGHOLM</t>
        </is>
      </c>
      <c r="G72" t="n">
        <v>4.7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46121</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46121</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46121</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55367-2024</t>
        </is>
      </c>
      <c r="B76" s="1" t="n">
        <v>45621.87075231481</v>
      </c>
      <c r="C76" s="1" t="n">
        <v>46121</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46121</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46121</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46121</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46121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46121</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46121</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46121</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46121</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60141-2025</t>
        </is>
      </c>
      <c r="B85" s="1" t="n">
        <v>45994.36873842592</v>
      </c>
      <c r="C85" s="1" t="n">
        <v>46121</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36269-2025</t>
        </is>
      </c>
      <c r="B86" s="1" t="n">
        <v>45867.61736111111</v>
      </c>
      <c r="C86" s="1" t="n">
        <v>46121</v>
      </c>
      <c r="D86" t="inlineStr">
        <is>
          <t>KALMAR LÄN</t>
        </is>
      </c>
      <c r="E86" t="inlineStr">
        <is>
          <t>BORGHOLM</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1614-2025</t>
        </is>
      </c>
      <c r="B87" s="1" t="n">
        <v>45670.60094907408</v>
      </c>
      <c r="C87" s="1" t="n">
        <v>46121</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46121</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9076-2025</t>
        </is>
      </c>
      <c r="B89" s="1" t="n">
        <v>45713.6596875</v>
      </c>
      <c r="C89" s="1" t="n">
        <v>46121</v>
      </c>
      <c r="D89" t="inlineStr">
        <is>
          <t>KALMAR LÄN</t>
        </is>
      </c>
      <c r="E89" t="inlineStr">
        <is>
          <t>BORGHOLM</t>
        </is>
      </c>
      <c r="F89" t="inlineStr">
        <is>
          <t>Sveaskog</t>
        </is>
      </c>
      <c r="G89" t="n">
        <v>4.2</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46121</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7960-2023</t>
        </is>
      </c>
      <c r="B91" s="1" t="n">
        <v>44973</v>
      </c>
      <c r="C91" s="1" t="n">
        <v>46121</v>
      </c>
      <c r="D91" t="inlineStr">
        <is>
          <t>KALMAR LÄN</t>
        </is>
      </c>
      <c r="E91" t="inlineStr">
        <is>
          <t>BORGHOLM</t>
        </is>
      </c>
      <c r="G91" t="n">
        <v>2.1</v>
      </c>
      <c r="H91" t="n">
        <v>0</v>
      </c>
      <c r="I91" t="n">
        <v>0</v>
      </c>
      <c r="J91" t="n">
        <v>0</v>
      </c>
      <c r="K91" t="n">
        <v>0</v>
      </c>
      <c r="L91" t="n">
        <v>0</v>
      </c>
      <c r="M91" t="n">
        <v>0</v>
      </c>
      <c r="N91" t="n">
        <v>0</v>
      </c>
      <c r="O91" t="n">
        <v>0</v>
      </c>
      <c r="P91" t="n">
        <v>0</v>
      </c>
      <c r="Q91" t="n">
        <v>0</v>
      </c>
      <c r="R91" s="2" t="inlineStr"/>
    </row>
    <row r="92" ht="15" customHeight="1">
      <c r="A92" t="inlineStr">
        <is>
          <t>A 29656-2023</t>
        </is>
      </c>
      <c r="B92" s="1" t="n">
        <v>45107</v>
      </c>
      <c r="C92" s="1" t="n">
        <v>46121</v>
      </c>
      <c r="D92" t="inlineStr">
        <is>
          <t>KALMAR LÄN</t>
        </is>
      </c>
      <c r="E92" t="inlineStr">
        <is>
          <t>BORGHOLM</t>
        </is>
      </c>
      <c r="G92" t="n">
        <v>4.1</v>
      </c>
      <c r="H92" t="n">
        <v>0</v>
      </c>
      <c r="I92" t="n">
        <v>0</v>
      </c>
      <c r="J92" t="n">
        <v>0</v>
      </c>
      <c r="K92" t="n">
        <v>0</v>
      </c>
      <c r="L92" t="n">
        <v>0</v>
      </c>
      <c r="M92" t="n">
        <v>0</v>
      </c>
      <c r="N92" t="n">
        <v>0</v>
      </c>
      <c r="O92" t="n">
        <v>0</v>
      </c>
      <c r="P92" t="n">
        <v>0</v>
      </c>
      <c r="Q92" t="n">
        <v>0</v>
      </c>
      <c r="R92" s="2" t="inlineStr"/>
    </row>
    <row r="93" ht="15" customHeight="1">
      <c r="A93" t="inlineStr">
        <is>
          <t>A 9050-2025</t>
        </is>
      </c>
      <c r="B93" s="1" t="n">
        <v>45713.63512731482</v>
      </c>
      <c r="C93" s="1" t="n">
        <v>46121</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7669-2024</t>
        </is>
      </c>
      <c r="B94" s="1" t="n">
        <v>45348.82498842593</v>
      </c>
      <c r="C94" s="1" t="n">
        <v>46121</v>
      </c>
      <c r="D94" t="inlineStr">
        <is>
          <t>KALMAR LÄN</t>
        </is>
      </c>
      <c r="E94" t="inlineStr">
        <is>
          <t>BORGHOLM</t>
        </is>
      </c>
      <c r="G94" t="n">
        <v>2.3</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46121</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7481-2026</t>
        </is>
      </c>
      <c r="B96" s="1" t="n">
        <v>46059.51359953704</v>
      </c>
      <c r="C96" s="1" t="n">
        <v>46121</v>
      </c>
      <c r="D96" t="inlineStr">
        <is>
          <t>KALMAR LÄN</t>
        </is>
      </c>
      <c r="E96" t="inlineStr">
        <is>
          <t>BORGHOLM</t>
        </is>
      </c>
      <c r="G96" t="n">
        <v>1.9</v>
      </c>
      <c r="H96" t="n">
        <v>0</v>
      </c>
      <c r="I96" t="n">
        <v>0</v>
      </c>
      <c r="J96" t="n">
        <v>0</v>
      </c>
      <c r="K96" t="n">
        <v>0</v>
      </c>
      <c r="L96" t="n">
        <v>0</v>
      </c>
      <c r="M96" t="n">
        <v>0</v>
      </c>
      <c r="N96" t="n">
        <v>0</v>
      </c>
      <c r="O96" t="n">
        <v>0</v>
      </c>
      <c r="P96" t="n">
        <v>0</v>
      </c>
      <c r="Q96" t="n">
        <v>0</v>
      </c>
      <c r="R96" s="2" t="inlineStr"/>
    </row>
    <row r="97" ht="15" customHeight="1">
      <c r="A97" t="inlineStr">
        <is>
          <t>A 15272-2026</t>
        </is>
      </c>
      <c r="B97" s="1" t="n">
        <v>46105.60017361111</v>
      </c>
      <c r="C97" s="1" t="n">
        <v>46121</v>
      </c>
      <c r="D97" t="inlineStr">
        <is>
          <t>KALMAR LÄN</t>
        </is>
      </c>
      <c r="E97" t="inlineStr">
        <is>
          <t>BORGHOLM</t>
        </is>
      </c>
      <c r="F97" t="inlineStr">
        <is>
          <t>Sveaskog</t>
        </is>
      </c>
      <c r="G97" t="n">
        <v>2.9</v>
      </c>
      <c r="H97" t="n">
        <v>0</v>
      </c>
      <c r="I97" t="n">
        <v>0</v>
      </c>
      <c r="J97" t="n">
        <v>0</v>
      </c>
      <c r="K97" t="n">
        <v>0</v>
      </c>
      <c r="L97" t="n">
        <v>0</v>
      </c>
      <c r="M97" t="n">
        <v>0</v>
      </c>
      <c r="N97" t="n">
        <v>0</v>
      </c>
      <c r="O97" t="n">
        <v>0</v>
      </c>
      <c r="P97" t="n">
        <v>0</v>
      </c>
      <c r="Q97" t="n">
        <v>0</v>
      </c>
      <c r="R97" s="2" t="inlineStr"/>
    </row>
    <row r="98" ht="15" customHeight="1">
      <c r="A98" t="inlineStr">
        <is>
          <t>A 15264-2026</t>
        </is>
      </c>
      <c r="B98" s="1" t="n">
        <v>46105.59372685185</v>
      </c>
      <c r="C98" s="1" t="n">
        <v>46121</v>
      </c>
      <c r="D98" t="inlineStr">
        <is>
          <t>KALMAR LÄN</t>
        </is>
      </c>
      <c r="E98" t="inlineStr">
        <is>
          <t>BORGHOLM</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15279-2026</t>
        </is>
      </c>
      <c r="B99" s="1" t="n">
        <v>46105.61030092592</v>
      </c>
      <c r="C99" s="1" t="n">
        <v>46121</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9104-2026</t>
        </is>
      </c>
      <c r="B100" s="1" t="n">
        <v>46069</v>
      </c>
      <c r="C100" s="1" t="n">
        <v>46121</v>
      </c>
      <c r="D100" t="inlineStr">
        <is>
          <t>KALMAR LÄN</t>
        </is>
      </c>
      <c r="E100" t="inlineStr">
        <is>
          <t>BORGHOLM</t>
        </is>
      </c>
      <c r="G100" t="n">
        <v>1.3</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46121</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46121</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9259-2026</t>
        </is>
      </c>
      <c r="B103" s="1" t="n">
        <v>46070.51917824074</v>
      </c>
      <c r="C103" s="1" t="n">
        <v>46121</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31720-2022</t>
        </is>
      </c>
      <c r="B104" s="1" t="n">
        <v>44776</v>
      </c>
      <c r="C104" s="1" t="n">
        <v>46121</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46121</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5175-2024</t>
        </is>
      </c>
      <c r="B106" s="1" t="n">
        <v>45330</v>
      </c>
      <c r="C106" s="1" t="n">
        <v>46121</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46121</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19867-2024</t>
        </is>
      </c>
      <c r="B108" s="1" t="n">
        <v>45433</v>
      </c>
      <c r="C108" s="1" t="n">
        <v>46121</v>
      </c>
      <c r="D108" t="inlineStr">
        <is>
          <t>KALMAR LÄN</t>
        </is>
      </c>
      <c r="E108" t="inlineStr">
        <is>
          <t>BORGHOLM</t>
        </is>
      </c>
      <c r="G108" t="n">
        <v>3.9</v>
      </c>
      <c r="H108" t="n">
        <v>0</v>
      </c>
      <c r="I108" t="n">
        <v>0</v>
      </c>
      <c r="J108" t="n">
        <v>0</v>
      </c>
      <c r="K108" t="n">
        <v>0</v>
      </c>
      <c r="L108" t="n">
        <v>0</v>
      </c>
      <c r="M108" t="n">
        <v>0</v>
      </c>
      <c r="N108" t="n">
        <v>0</v>
      </c>
      <c r="O108" t="n">
        <v>0</v>
      </c>
      <c r="P108" t="n">
        <v>0</v>
      </c>
      <c r="Q108" t="n">
        <v>0</v>
      </c>
      <c r="R108" s="2" t="inlineStr"/>
    </row>
    <row r="109" ht="15" customHeight="1">
      <c r="A109" t="inlineStr">
        <is>
          <t>A 9905-2026</t>
        </is>
      </c>
      <c r="B109" s="1" t="n">
        <v>46073.4108912037</v>
      </c>
      <c r="C109" s="1" t="n">
        <v>46121</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46121</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61438-2023</t>
        </is>
      </c>
      <c r="B111" s="1" t="n">
        <v>45264</v>
      </c>
      <c r="C111" s="1" t="n">
        <v>46121</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13041-2024</t>
        </is>
      </c>
      <c r="B112" s="1" t="n">
        <v>45385.60065972222</v>
      </c>
      <c r="C112" s="1" t="n">
        <v>46121</v>
      </c>
      <c r="D112" t="inlineStr">
        <is>
          <t>KALMAR LÄN</t>
        </is>
      </c>
      <c r="E112" t="inlineStr">
        <is>
          <t>BORGHOLM</t>
        </is>
      </c>
      <c r="G112" t="n">
        <v>0.5</v>
      </c>
      <c r="H112" t="n">
        <v>0</v>
      </c>
      <c r="I112" t="n">
        <v>0</v>
      </c>
      <c r="J112" t="n">
        <v>0</v>
      </c>
      <c r="K112" t="n">
        <v>0</v>
      </c>
      <c r="L112" t="n">
        <v>0</v>
      </c>
      <c r="M112" t="n">
        <v>0</v>
      </c>
      <c r="N112" t="n">
        <v>0</v>
      </c>
      <c r="O112" t="n">
        <v>0</v>
      </c>
      <c r="P112" t="n">
        <v>0</v>
      </c>
      <c r="Q112" t="n">
        <v>0</v>
      </c>
      <c r="R112" s="2" t="inlineStr"/>
    </row>
    <row r="113" ht="15" customHeight="1">
      <c r="A113" t="inlineStr">
        <is>
          <t>A 53050-2021</t>
        </is>
      </c>
      <c r="B113" s="1" t="n">
        <v>44467</v>
      </c>
      <c r="C113" s="1" t="n">
        <v>46121</v>
      </c>
      <c r="D113" t="inlineStr">
        <is>
          <t>KALMAR LÄN</t>
        </is>
      </c>
      <c r="E113" t="inlineStr">
        <is>
          <t>BORGHOLM</t>
        </is>
      </c>
      <c r="G113" t="n">
        <v>3.6</v>
      </c>
      <c r="H113" t="n">
        <v>0</v>
      </c>
      <c r="I113" t="n">
        <v>0</v>
      </c>
      <c r="J113" t="n">
        <v>0</v>
      </c>
      <c r="K113" t="n">
        <v>0</v>
      </c>
      <c r="L113" t="n">
        <v>0</v>
      </c>
      <c r="M113" t="n">
        <v>0</v>
      </c>
      <c r="N113" t="n">
        <v>0</v>
      </c>
      <c r="O113" t="n">
        <v>0</v>
      </c>
      <c r="P113" t="n">
        <v>0</v>
      </c>
      <c r="Q113" t="n">
        <v>0</v>
      </c>
      <c r="R113" s="2" t="inlineStr"/>
    </row>
    <row r="114" ht="15" customHeight="1">
      <c r="A114" t="inlineStr">
        <is>
          <t>A 4165-2023</t>
        </is>
      </c>
      <c r="B114" s="1" t="n">
        <v>44953</v>
      </c>
      <c r="C114" s="1" t="n">
        <v>46121</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50129-2021</t>
        </is>
      </c>
      <c r="B115" s="1" t="n">
        <v>44456</v>
      </c>
      <c r="C115" s="1" t="n">
        <v>46121</v>
      </c>
      <c r="D115" t="inlineStr">
        <is>
          <t>KALMAR LÄN</t>
        </is>
      </c>
      <c r="E115" t="inlineStr">
        <is>
          <t>BORGHOLM</t>
        </is>
      </c>
      <c r="G115" t="n">
        <v>1.6</v>
      </c>
      <c r="H115" t="n">
        <v>0</v>
      </c>
      <c r="I115" t="n">
        <v>0</v>
      </c>
      <c r="J115" t="n">
        <v>0</v>
      </c>
      <c r="K115" t="n">
        <v>0</v>
      </c>
      <c r="L115" t="n">
        <v>0</v>
      </c>
      <c r="M115" t="n">
        <v>0</v>
      </c>
      <c r="N115" t="n">
        <v>0</v>
      </c>
      <c r="O115" t="n">
        <v>0</v>
      </c>
      <c r="P115" t="n">
        <v>0</v>
      </c>
      <c r="Q115" t="n">
        <v>0</v>
      </c>
      <c r="R115" s="2" t="inlineStr"/>
    </row>
    <row r="116" ht="15" customHeight="1">
      <c r="A116" t="inlineStr">
        <is>
          <t>A 13043-2024</t>
        </is>
      </c>
      <c r="B116" s="1" t="n">
        <v>45385.60111111111</v>
      </c>
      <c r="C116" s="1" t="n">
        <v>46121</v>
      </c>
      <c r="D116" t="inlineStr">
        <is>
          <t>KALMAR LÄN</t>
        </is>
      </c>
      <c r="E116" t="inlineStr">
        <is>
          <t>BORGHOLM</t>
        </is>
      </c>
      <c r="G116" t="n">
        <v>0.4</v>
      </c>
      <c r="H116" t="n">
        <v>0</v>
      </c>
      <c r="I116" t="n">
        <v>0</v>
      </c>
      <c r="J116" t="n">
        <v>0</v>
      </c>
      <c r="K116" t="n">
        <v>0</v>
      </c>
      <c r="L116" t="n">
        <v>0</v>
      </c>
      <c r="M116" t="n">
        <v>0</v>
      </c>
      <c r="N116" t="n">
        <v>0</v>
      </c>
      <c r="O116" t="n">
        <v>0</v>
      </c>
      <c r="P116" t="n">
        <v>0</v>
      </c>
      <c r="Q116" t="n">
        <v>0</v>
      </c>
      <c r="R116" s="2" t="inlineStr"/>
    </row>
    <row r="117" ht="15" customHeight="1">
      <c r="A117" t="inlineStr">
        <is>
          <t>A 34780-2022</t>
        </is>
      </c>
      <c r="B117" s="1" t="n">
        <v>44795</v>
      </c>
      <c r="C117" s="1" t="n">
        <v>46121</v>
      </c>
      <c r="D117" t="inlineStr">
        <is>
          <t>KALMAR LÄN</t>
        </is>
      </c>
      <c r="E117" t="inlineStr">
        <is>
          <t>BORGHOLM</t>
        </is>
      </c>
      <c r="F117" t="inlineStr">
        <is>
          <t>Sveaskog</t>
        </is>
      </c>
      <c r="G117" t="n">
        <v>6.7</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46121</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20878-2024</t>
        </is>
      </c>
      <c r="B119" s="1" t="n">
        <v>45439.44748842593</v>
      </c>
      <c r="C119" s="1" t="n">
        <v>46121</v>
      </c>
      <c r="D119" t="inlineStr">
        <is>
          <t>KALMAR LÄN</t>
        </is>
      </c>
      <c r="E119" t="inlineStr">
        <is>
          <t>BORGHOLM</t>
        </is>
      </c>
      <c r="G119" t="n">
        <v>1.9</v>
      </c>
      <c r="H119" t="n">
        <v>0</v>
      </c>
      <c r="I119" t="n">
        <v>0</v>
      </c>
      <c r="J119" t="n">
        <v>0</v>
      </c>
      <c r="K119" t="n">
        <v>0</v>
      </c>
      <c r="L119" t="n">
        <v>0</v>
      </c>
      <c r="M119" t="n">
        <v>0</v>
      </c>
      <c r="N119" t="n">
        <v>0</v>
      </c>
      <c r="O119" t="n">
        <v>0</v>
      </c>
      <c r="P119" t="n">
        <v>0</v>
      </c>
      <c r="Q119" t="n">
        <v>0</v>
      </c>
      <c r="R119" s="2" t="inlineStr"/>
    </row>
    <row r="120" ht="15" customHeight="1">
      <c r="A120" t="inlineStr">
        <is>
          <t>A 17699-2025</t>
        </is>
      </c>
      <c r="B120" s="1" t="n">
        <v>45758.41846064815</v>
      </c>
      <c r="C120" s="1" t="n">
        <v>46121</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46121</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26160-2024</t>
        </is>
      </c>
      <c r="B122" s="1" t="n">
        <v>45468</v>
      </c>
      <c r="C122" s="1" t="n">
        <v>46121</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c r="T122">
        <f>HYPERLINK("https://klasma.github.io/Logging_0885/kartor/A 26160-2024 karta.png", "A 26160-2024")</f>
        <v/>
      </c>
      <c r="V122">
        <f>HYPERLINK("https://klasma.github.io/Logging_0885/klagomål/A 26160-2024 FSC-klagomål.docx", "A 26160-2024")</f>
        <v/>
      </c>
      <c r="W122">
        <f>HYPERLINK("https://klasma.github.io/Logging_0885/klagomålsmail/A 26160-2024 FSC-klagomål mail.docx", "A 26160-2024")</f>
        <v/>
      </c>
      <c r="X122">
        <f>HYPERLINK("https://klasma.github.io/Logging_0885/tillsyn/A 26160-2024 tillsynsbegäran.docx", "A 26160-2024")</f>
        <v/>
      </c>
      <c r="Y122">
        <f>HYPERLINK("https://klasma.github.io/Logging_0885/tillsynsmail/A 26160-2024 tillsynsbegäran mail.docx", "A 26160-2024")</f>
        <v/>
      </c>
    </row>
    <row r="123">
      <c r="A123" t="inlineStr">
        <is>
          <t>A 63075-2023</t>
        </is>
      </c>
      <c r="B123" s="1" t="n">
        <v>45273</v>
      </c>
      <c r="C123" s="1" t="n">
        <v>46121</v>
      </c>
      <c r="D123" t="inlineStr">
        <is>
          <t>KALMAR LÄN</t>
        </is>
      </c>
      <c r="E123" t="inlineStr">
        <is>
          <t>BORGHOLM</t>
        </is>
      </c>
      <c r="G123" t="n">
        <v>1.1</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2026-04-09T10:53:20Z</dcterms:created>
  <dcterms:modified xmlns:dcterms="http://purl.org/dc/terms/" xmlns:xsi="http://www.w3.org/2001/XMLSchema-instance" xsi:type="dcterms:W3CDTF">2026-04-09T10:53:20Z</dcterms:modified>
</cp:coreProperties>
</file>