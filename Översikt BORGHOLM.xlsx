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46065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46065</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46065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46065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46065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46065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21797-2024</t>
        </is>
      </c>
      <c r="B17" s="1" t="n">
        <v>45442.6512037037</v>
      </c>
      <c r="C17" s="1" t="n">
        <v>46065</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16171-2023</t>
        </is>
      </c>
      <c r="B18" s="1" t="n">
        <v>45027</v>
      </c>
      <c r="C18" s="1" t="n">
        <v>46065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28779-2025</t>
        </is>
      </c>
      <c r="B19" s="1" t="n">
        <v>45820.44920138889</v>
      </c>
      <c r="C19" s="1" t="n">
        <v>46065</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44008-2022</t>
        </is>
      </c>
      <c r="B20" s="1" t="n">
        <v>44838</v>
      </c>
      <c r="C20" s="1" t="n">
        <v>46065</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32174-2022</t>
        </is>
      </c>
      <c r="B21" s="1" t="n">
        <v>44781</v>
      </c>
      <c r="C21" s="1" t="n">
        <v>46065</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34944-2022</t>
        </is>
      </c>
      <c r="B22" s="1" t="n">
        <v>44796</v>
      </c>
      <c r="C22" s="1" t="n">
        <v>46065</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13556-2025</t>
        </is>
      </c>
      <c r="B23" s="1" t="n">
        <v>45736.54759259259</v>
      </c>
      <c r="C23" s="1" t="n">
        <v>46065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38860-2025</t>
        </is>
      </c>
      <c r="B24" s="1" t="n">
        <v>45887.5609375</v>
      </c>
      <c r="C24" s="1" t="n">
        <v>46065</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4164-2023</t>
        </is>
      </c>
      <c r="B25" s="1" t="n">
        <v>44953</v>
      </c>
      <c r="C25" s="1" t="n">
        <v>46065</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46065</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60140-2025</t>
        </is>
      </c>
      <c r="B27" s="1" t="n">
        <v>45994.36274305556</v>
      </c>
      <c r="C27" s="1" t="n">
        <v>46065</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31790-2021</t>
        </is>
      </c>
      <c r="B28" s="1" t="n">
        <v>44370</v>
      </c>
      <c r="C28" s="1" t="n">
        <v>46065</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46065</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9745-2023</t>
        </is>
      </c>
      <c r="B30" s="1" t="n">
        <v>44984</v>
      </c>
      <c r="C30" s="1" t="n">
        <v>46065</v>
      </c>
      <c r="D30" t="inlineStr">
        <is>
          <t>KALMAR LÄN</t>
        </is>
      </c>
      <c r="E30" t="inlineStr">
        <is>
          <t>BORGHOLM</t>
        </is>
      </c>
      <c r="G30" t="n">
        <v>1.2</v>
      </c>
      <c r="H30" t="n">
        <v>1</v>
      </c>
      <c r="I30" t="n">
        <v>1</v>
      </c>
      <c r="J30" t="n">
        <v>0</v>
      </c>
      <c r="K30" t="n">
        <v>0</v>
      </c>
      <c r="L30" t="n">
        <v>0</v>
      </c>
      <c r="M30" t="n">
        <v>0</v>
      </c>
      <c r="N30" t="n">
        <v>0</v>
      </c>
      <c r="O30" t="n">
        <v>0</v>
      </c>
      <c r="P30" t="n">
        <v>0</v>
      </c>
      <c r="Q30" t="n">
        <v>1</v>
      </c>
      <c r="R30" s="2" t="inlineStr">
        <is>
          <t>Skogsknipprot</t>
        </is>
      </c>
      <c r="S30">
        <f>HYPERLINK("https://klasma.github.io/Logging_0885/artfynd/A 9745-2023 artfynd.xlsx", "A 9745-2023")</f>
        <v/>
      </c>
      <c r="T30">
        <f>HYPERLINK("https://klasma.github.io/Logging_0885/kartor/A 9745-2023 karta.png", "A 9745-2023")</f>
        <v/>
      </c>
      <c r="V30">
        <f>HYPERLINK("https://klasma.github.io/Logging_0885/klagomål/A 9745-2023 FSC-klagomål.docx", "A 9745-2023")</f>
        <v/>
      </c>
      <c r="W30">
        <f>HYPERLINK("https://klasma.github.io/Logging_0885/klagomålsmail/A 9745-2023 FSC-klagomål mail.docx", "A 9745-2023")</f>
        <v/>
      </c>
      <c r="X30">
        <f>HYPERLINK("https://klasma.github.io/Logging_0885/tillsyn/A 9745-2023 tillsynsbegäran.docx", "A 9745-2023")</f>
        <v/>
      </c>
      <c r="Y30">
        <f>HYPERLINK("https://klasma.github.io/Logging_0885/tillsynsmail/A 9745-2023 tillsynsbegäran mail.docx", "A 9745-2023")</f>
        <v/>
      </c>
    </row>
    <row r="31" ht="15" customHeight="1">
      <c r="A31" t="inlineStr">
        <is>
          <t>A 43603-2024</t>
        </is>
      </c>
      <c r="B31" s="1" t="n">
        <v>45569.44700231482</v>
      </c>
      <c r="C31" s="1" t="n">
        <v>46065</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46065</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24704-2023</t>
        </is>
      </c>
      <c r="B33" s="1" t="n">
        <v>45084</v>
      </c>
      <c r="C33" s="1" t="n">
        <v>46065</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28785-2025</t>
        </is>
      </c>
      <c r="B34" s="1" t="n">
        <v>45820.46159722222</v>
      </c>
      <c r="C34" s="1" t="n">
        <v>46065</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46065</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12785-2021</t>
        </is>
      </c>
      <c r="B36" s="1" t="n">
        <v>44270</v>
      </c>
      <c r="C36" s="1" t="n">
        <v>46065</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34885-2025</t>
        </is>
      </c>
      <c r="B37" s="1" t="n">
        <v>45849.47128472223</v>
      </c>
      <c r="C37" s="1" t="n">
        <v>46065</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13558-2025</t>
        </is>
      </c>
      <c r="B38" s="1" t="n">
        <v>45736.54974537037</v>
      </c>
      <c r="C38" s="1" t="n">
        <v>46065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46065</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45693-2025</t>
        </is>
      </c>
      <c r="B40" s="1" t="n">
        <v>45923</v>
      </c>
      <c r="C40" s="1" t="n">
        <v>46065</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24048-2025</t>
        </is>
      </c>
      <c r="B41" s="1" t="n">
        <v>45796.4959375</v>
      </c>
      <c r="C41" s="1" t="n">
        <v>46065</v>
      </c>
      <c r="D41" t="inlineStr">
        <is>
          <t>KALMAR LÄN</t>
        </is>
      </c>
      <c r="E41" t="inlineStr">
        <is>
          <t>BORGHOLM</t>
        </is>
      </c>
      <c r="G41" t="n">
        <v>2</v>
      </c>
      <c r="H41" t="n">
        <v>0</v>
      </c>
      <c r="I41" t="n">
        <v>0</v>
      </c>
      <c r="J41" t="n">
        <v>1</v>
      </c>
      <c r="K41" t="n">
        <v>0</v>
      </c>
      <c r="L41" t="n">
        <v>0</v>
      </c>
      <c r="M41" t="n">
        <v>0</v>
      </c>
      <c r="N41" t="n">
        <v>0</v>
      </c>
      <c r="O41" t="n">
        <v>1</v>
      </c>
      <c r="P41" t="n">
        <v>0</v>
      </c>
      <c r="Q41" t="n">
        <v>1</v>
      </c>
      <c r="R41" s="2" t="inlineStr">
        <is>
          <t>Loppstarr</t>
        </is>
      </c>
      <c r="S41">
        <f>HYPERLINK("https://klasma.github.io/Logging_0885/artfynd/A 24048-2025 artfynd.xlsx", "A 24048-2025")</f>
        <v/>
      </c>
      <c r="T41">
        <f>HYPERLINK("https://klasma.github.io/Logging_0885/kartor/A 24048-2025 karta.png", "A 24048-2025")</f>
        <v/>
      </c>
      <c r="V41">
        <f>HYPERLINK("https://klasma.github.io/Logging_0885/klagomål/A 24048-2025 FSC-klagomål.docx", "A 24048-2025")</f>
        <v/>
      </c>
      <c r="W41">
        <f>HYPERLINK("https://klasma.github.io/Logging_0885/klagomålsmail/A 24048-2025 FSC-klagomål mail.docx", "A 24048-2025")</f>
        <v/>
      </c>
      <c r="X41">
        <f>HYPERLINK("https://klasma.github.io/Logging_0885/tillsyn/A 24048-2025 tillsynsbegäran.docx", "A 24048-2025")</f>
        <v/>
      </c>
      <c r="Y41">
        <f>HYPERLINK("https://klasma.github.io/Logging_0885/tillsynsmail/A 24048-2025 tillsynsbegäran mail.docx", "A 24048-2025")</f>
        <v/>
      </c>
    </row>
    <row r="42" ht="15" customHeight="1">
      <c r="A42" t="inlineStr">
        <is>
          <t>A 41640-2023</t>
        </is>
      </c>
      <c r="B42" s="1" t="n">
        <v>45175</v>
      </c>
      <c r="C42" s="1" t="n">
        <v>46065</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3302-2026</t>
        </is>
      </c>
      <c r="B43" s="1" t="n">
        <v>46041</v>
      </c>
      <c r="C43" s="1" t="n">
        <v>46065</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12711-2021</t>
        </is>
      </c>
      <c r="B44" s="1" t="n">
        <v>44270</v>
      </c>
      <c r="C44" s="1" t="n">
        <v>46065</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46065</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46065</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46065</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46065</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46065</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46065</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46065</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46065</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46065</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46065</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46065</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46065</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46065</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46065</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64303-2023</t>
        </is>
      </c>
      <c r="B59" s="1" t="n">
        <v>45280</v>
      </c>
      <c r="C59" s="1" t="n">
        <v>46065</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44547-2021</t>
        </is>
      </c>
      <c r="B60" s="1" t="n">
        <v>44435</v>
      </c>
      <c r="C60" s="1" t="n">
        <v>46065</v>
      </c>
      <c r="D60" t="inlineStr">
        <is>
          <t>KALMAR LÄN</t>
        </is>
      </c>
      <c r="E60" t="inlineStr">
        <is>
          <t>BORGHOLM</t>
        </is>
      </c>
      <c r="G60" t="n">
        <v>1.4</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46065</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9044-2025</t>
        </is>
      </c>
      <c r="B62" s="1" t="n">
        <v>45713.6275</v>
      </c>
      <c r="C62" s="1" t="n">
        <v>46065</v>
      </c>
      <c r="D62" t="inlineStr">
        <is>
          <t>KALMAR LÄN</t>
        </is>
      </c>
      <c r="E62" t="inlineStr">
        <is>
          <t>BORGHOLM</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20878-2024</t>
        </is>
      </c>
      <c r="B63" s="1" t="n">
        <v>45439.44748842593</v>
      </c>
      <c r="C63" s="1" t="n">
        <v>46065</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63075-2023</t>
        </is>
      </c>
      <c r="B64" s="1" t="n">
        <v>45273</v>
      </c>
      <c r="C64" s="1" t="n">
        <v>46065</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50129-2021</t>
        </is>
      </c>
      <c r="B65" s="1" t="n">
        <v>44456</v>
      </c>
      <c r="C65" s="1" t="n">
        <v>46065</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4159-2024</t>
        </is>
      </c>
      <c r="B66" s="1" t="n">
        <v>45323</v>
      </c>
      <c r="C66" s="1" t="n">
        <v>46065</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26160-2024</t>
        </is>
      </c>
      <c r="B67" s="1" t="n">
        <v>45468</v>
      </c>
      <c r="C67" s="1" t="n">
        <v>46065</v>
      </c>
      <c r="D67" t="inlineStr">
        <is>
          <t>KALMAR LÄN</t>
        </is>
      </c>
      <c r="E67" t="inlineStr">
        <is>
          <t>BORGHOLM</t>
        </is>
      </c>
      <c r="G67" t="n">
        <v>0.4</v>
      </c>
      <c r="H67" t="n">
        <v>0</v>
      </c>
      <c r="I67" t="n">
        <v>0</v>
      </c>
      <c r="J67" t="n">
        <v>0</v>
      </c>
      <c r="K67" t="n">
        <v>0</v>
      </c>
      <c r="L67" t="n">
        <v>0</v>
      </c>
      <c r="M67" t="n">
        <v>0</v>
      </c>
      <c r="N67" t="n">
        <v>0</v>
      </c>
      <c r="O67" t="n">
        <v>0</v>
      </c>
      <c r="P67" t="n">
        <v>0</v>
      </c>
      <c r="Q67" t="n">
        <v>0</v>
      </c>
      <c r="R67" s="2" t="inlineStr"/>
      <c r="T67">
        <f>HYPERLINK("https://klasma.github.io/Logging_0885/kartor/A 26160-2024 karta.png", "A 26160-2024")</f>
        <v/>
      </c>
      <c r="V67">
        <f>HYPERLINK("https://klasma.github.io/Logging_0885/klagomål/A 26160-2024 FSC-klagomål.docx", "A 26160-2024")</f>
        <v/>
      </c>
      <c r="W67">
        <f>HYPERLINK("https://klasma.github.io/Logging_0885/klagomålsmail/A 26160-2024 FSC-klagomål mail.docx", "A 26160-2024")</f>
        <v/>
      </c>
      <c r="X67">
        <f>HYPERLINK("https://klasma.github.io/Logging_0885/tillsyn/A 26160-2024 tillsynsbegäran.docx", "A 26160-2024")</f>
        <v/>
      </c>
      <c r="Y67">
        <f>HYPERLINK("https://klasma.github.io/Logging_0885/tillsynsmail/A 26160-2024 tillsynsbegäran mail.docx", "A 26160-2024")</f>
        <v/>
      </c>
    </row>
    <row r="68" ht="15" customHeight="1">
      <c r="A68" t="inlineStr">
        <is>
          <t>A 26160-2025</t>
        </is>
      </c>
      <c r="B68" s="1" t="n">
        <v>45805.4490162037</v>
      </c>
      <c r="C68" s="1" t="n">
        <v>46065</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46065</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13383-2023</t>
        </is>
      </c>
      <c r="B70" s="1" t="n">
        <v>45005</v>
      </c>
      <c r="C70" s="1" t="n">
        <v>46065</v>
      </c>
      <c r="D70" t="inlineStr">
        <is>
          <t>KALMAR LÄN</t>
        </is>
      </c>
      <c r="E70" t="inlineStr">
        <is>
          <t>BORGHOLM</t>
        </is>
      </c>
      <c r="G70" t="n">
        <v>0.8</v>
      </c>
      <c r="H70" t="n">
        <v>0</v>
      </c>
      <c r="I70" t="n">
        <v>0</v>
      </c>
      <c r="J70" t="n">
        <v>0</v>
      </c>
      <c r="K70" t="n">
        <v>0</v>
      </c>
      <c r="L70" t="n">
        <v>0</v>
      </c>
      <c r="M70" t="n">
        <v>0</v>
      </c>
      <c r="N70" t="n">
        <v>0</v>
      </c>
      <c r="O70" t="n">
        <v>0</v>
      </c>
      <c r="P70" t="n">
        <v>0</v>
      </c>
      <c r="Q70" t="n">
        <v>0</v>
      </c>
      <c r="R70" s="2" t="inlineStr"/>
    </row>
    <row r="71" ht="15" customHeight="1">
      <c r="A71" t="inlineStr">
        <is>
          <t>A 53050-2021</t>
        </is>
      </c>
      <c r="B71" s="1" t="n">
        <v>44467</v>
      </c>
      <c r="C71" s="1" t="n">
        <v>46065</v>
      </c>
      <c r="D71" t="inlineStr">
        <is>
          <t>KALMAR LÄN</t>
        </is>
      </c>
      <c r="E71" t="inlineStr">
        <is>
          <t>BORGHOLM</t>
        </is>
      </c>
      <c r="G71" t="n">
        <v>3.6</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46065</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1757-2025</t>
        </is>
      </c>
      <c r="B73" s="1" t="n">
        <v>45671.42195601852</v>
      </c>
      <c r="C73" s="1" t="n">
        <v>46065</v>
      </c>
      <c r="D73" t="inlineStr">
        <is>
          <t>KALMAR LÄN</t>
        </is>
      </c>
      <c r="E73" t="inlineStr">
        <is>
          <t>BORGHOLM</t>
        </is>
      </c>
      <c r="G73" t="n">
        <v>1.4</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46065</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17699-2025</t>
        </is>
      </c>
      <c r="B75" s="1" t="n">
        <v>45758.41846064815</v>
      </c>
      <c r="C75" s="1" t="n">
        <v>46065</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7669-2024</t>
        </is>
      </c>
      <c r="B76" s="1" t="n">
        <v>45348.82498842593</v>
      </c>
      <c r="C76" s="1" t="n">
        <v>46065</v>
      </c>
      <c r="D76" t="inlineStr">
        <is>
          <t>KALMAR LÄN</t>
        </is>
      </c>
      <c r="E76" t="inlineStr">
        <is>
          <t>BORGHOLM</t>
        </is>
      </c>
      <c r="G76" t="n">
        <v>2.3</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46065</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31720-2022</t>
        </is>
      </c>
      <c r="B78" s="1" t="n">
        <v>44776</v>
      </c>
      <c r="C78" s="1" t="n">
        <v>46065</v>
      </c>
      <c r="D78" t="inlineStr">
        <is>
          <t>KALMAR LÄN</t>
        </is>
      </c>
      <c r="E78" t="inlineStr">
        <is>
          <t>BORGHOLM</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34780-2022</t>
        </is>
      </c>
      <c r="B79" s="1" t="n">
        <v>44795</v>
      </c>
      <c r="C79" s="1" t="n">
        <v>46065</v>
      </c>
      <c r="D79" t="inlineStr">
        <is>
          <t>KALMAR LÄN</t>
        </is>
      </c>
      <c r="E79" t="inlineStr">
        <is>
          <t>BORGHOLM</t>
        </is>
      </c>
      <c r="F79" t="inlineStr">
        <is>
          <t>Sveaskog</t>
        </is>
      </c>
      <c r="G79" t="n">
        <v>6.7</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46065</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55367-2024</t>
        </is>
      </c>
      <c r="B81" s="1" t="n">
        <v>45621.87075231481</v>
      </c>
      <c r="C81" s="1" t="n">
        <v>46065</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20287-2025</t>
        </is>
      </c>
      <c r="B82" s="1" t="n">
        <v>45774.60741898148</v>
      </c>
      <c r="C82" s="1" t="n">
        <v>46065</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4165-2023</t>
        </is>
      </c>
      <c r="B83" s="1" t="n">
        <v>44953</v>
      </c>
      <c r="C83" s="1" t="n">
        <v>46065</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9076-2025</t>
        </is>
      </c>
      <c r="B84" s="1" t="n">
        <v>45713.6596875</v>
      </c>
      <c r="C84" s="1" t="n">
        <v>46065</v>
      </c>
      <c r="D84" t="inlineStr">
        <is>
          <t>KALMAR LÄN</t>
        </is>
      </c>
      <c r="E84" t="inlineStr">
        <is>
          <t>BORGHOLM</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12937-2022</t>
        </is>
      </c>
      <c r="B85" s="1" t="n">
        <v>44642</v>
      </c>
      <c r="C85" s="1" t="n">
        <v>46065</v>
      </c>
      <c r="D85" t="inlineStr">
        <is>
          <t>KALMAR LÄN</t>
        </is>
      </c>
      <c r="E85" t="inlineStr">
        <is>
          <t>BORGHOLM</t>
        </is>
      </c>
      <c r="F85" t="inlineStr">
        <is>
          <t>Sveaskog</t>
        </is>
      </c>
      <c r="G85" t="n">
        <v>1.8</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46065</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13548-2025</t>
        </is>
      </c>
      <c r="B87" s="1" t="n">
        <v>45736.53827546296</v>
      </c>
      <c r="C87" s="1" t="n">
        <v>46065</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21908-2022</t>
        </is>
      </c>
      <c r="B88" s="1" t="n">
        <v>44711</v>
      </c>
      <c r="C88" s="1" t="n">
        <v>46065</v>
      </c>
      <c r="D88" t="inlineStr">
        <is>
          <t>KALMAR LÄN</t>
        </is>
      </c>
      <c r="E88" t="inlineStr">
        <is>
          <t>BORGHOLM</t>
        </is>
      </c>
      <c r="G88" t="n">
        <v>4.7</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46065</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46065</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46065</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46065</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34951-2022</t>
        </is>
      </c>
      <c r="B93" s="1" t="n">
        <v>44796</v>
      </c>
      <c r="C93" s="1" t="n">
        <v>46065</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9034-2025</t>
        </is>
      </c>
      <c r="B94" s="1" t="n">
        <v>45713</v>
      </c>
      <c r="C94" s="1" t="n">
        <v>46065</v>
      </c>
      <c r="D94" t="inlineStr">
        <is>
          <t>KALMAR LÄN</t>
        </is>
      </c>
      <c r="E94" t="inlineStr">
        <is>
          <t>BORGHOLM</t>
        </is>
      </c>
      <c r="F94" t="inlineStr">
        <is>
          <t>Sveaskog</t>
        </is>
      </c>
      <c r="G94" t="n">
        <v>6.8</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46065</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46065</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61438-2023</t>
        </is>
      </c>
      <c r="B97" s="1" t="n">
        <v>45264</v>
      </c>
      <c r="C97" s="1" t="n">
        <v>46065</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13041-2024</t>
        </is>
      </c>
      <c r="B98" s="1" t="n">
        <v>45385.60065972222</v>
      </c>
      <c r="C98" s="1" t="n">
        <v>46065</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3878-2023</t>
        </is>
      </c>
      <c r="B99" s="1" t="n">
        <v>44951</v>
      </c>
      <c r="C99" s="1" t="n">
        <v>46065</v>
      </c>
      <c r="D99" t="inlineStr">
        <is>
          <t>KALMAR LÄN</t>
        </is>
      </c>
      <c r="E99" t="inlineStr">
        <is>
          <t>BORGHOLM</t>
        </is>
      </c>
      <c r="G99" t="n">
        <v>1.7</v>
      </c>
      <c r="H99" t="n">
        <v>0</v>
      </c>
      <c r="I99" t="n">
        <v>0</v>
      </c>
      <c r="J99" t="n">
        <v>0</v>
      </c>
      <c r="K99" t="n">
        <v>0</v>
      </c>
      <c r="L99" t="n">
        <v>0</v>
      </c>
      <c r="M99" t="n">
        <v>0</v>
      </c>
      <c r="N99" t="n">
        <v>0</v>
      </c>
      <c r="O99" t="n">
        <v>0</v>
      </c>
      <c r="P99" t="n">
        <v>0</v>
      </c>
      <c r="Q99" t="n">
        <v>0</v>
      </c>
      <c r="R99" s="2" t="inlineStr"/>
    </row>
    <row r="100" ht="15" customHeight="1">
      <c r="A100" t="inlineStr">
        <is>
          <t>A 1614-2025</t>
        </is>
      </c>
      <c r="B100" s="1" t="n">
        <v>45670.60094907408</v>
      </c>
      <c r="C100" s="1" t="n">
        <v>46065</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46065</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63276-2023</t>
        </is>
      </c>
      <c r="B102" s="1" t="n">
        <v>45273.82195601852</v>
      </c>
      <c r="C102" s="1" t="n">
        <v>46065</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41831-2025</t>
        </is>
      </c>
      <c r="B103" s="1" t="n">
        <v>45902.67887731481</v>
      </c>
      <c r="C103" s="1" t="n">
        <v>46065</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42232-2025</t>
        </is>
      </c>
      <c r="B104" s="1" t="n">
        <v>45904.55591435185</v>
      </c>
      <c r="C104" s="1" t="n">
        <v>46065</v>
      </c>
      <c r="D104" t="inlineStr">
        <is>
          <t>KALMAR LÄN</t>
        </is>
      </c>
      <c r="E104" t="inlineStr">
        <is>
          <t>BORGHOLM</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41950-2025</t>
        </is>
      </c>
      <c r="B105" s="1" t="n">
        <v>45903.45767361111</v>
      </c>
      <c r="C105" s="1" t="n">
        <v>46065</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9050-2025</t>
        </is>
      </c>
      <c r="B106" s="1" t="n">
        <v>45713.63512731482</v>
      </c>
      <c r="C106" s="1" t="n">
        <v>46065</v>
      </c>
      <c r="D106" t="inlineStr">
        <is>
          <t>KALMAR LÄN</t>
        </is>
      </c>
      <c r="E106" t="inlineStr">
        <is>
          <t>BORGHOLM</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43542-2025</t>
        </is>
      </c>
      <c r="B107" s="1" t="n">
        <v>45911.61123842592</v>
      </c>
      <c r="C107" s="1" t="n">
        <v>46065</v>
      </c>
      <c r="D107" t="inlineStr">
        <is>
          <t>KALMAR LÄN</t>
        </is>
      </c>
      <c r="E107" t="inlineStr">
        <is>
          <t>BORGHOLM</t>
        </is>
      </c>
      <c r="G107" t="n">
        <v>2.4</v>
      </c>
      <c r="H107" t="n">
        <v>0</v>
      </c>
      <c r="I107" t="n">
        <v>0</v>
      </c>
      <c r="J107" t="n">
        <v>0</v>
      </c>
      <c r="K107" t="n">
        <v>0</v>
      </c>
      <c r="L107" t="n">
        <v>0</v>
      </c>
      <c r="M107" t="n">
        <v>0</v>
      </c>
      <c r="N107" t="n">
        <v>0</v>
      </c>
      <c r="O107" t="n">
        <v>0</v>
      </c>
      <c r="P107" t="n">
        <v>0</v>
      </c>
      <c r="Q107" t="n">
        <v>0</v>
      </c>
      <c r="R107" s="2" t="inlineStr"/>
    </row>
    <row r="108" ht="15" customHeight="1">
      <c r="A108" t="inlineStr">
        <is>
          <t>A 13043-2024</t>
        </is>
      </c>
      <c r="B108" s="1" t="n">
        <v>45385.60111111111</v>
      </c>
      <c r="C108" s="1" t="n">
        <v>46065</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45734-2025</t>
        </is>
      </c>
      <c r="B109" s="1" t="n">
        <v>45923.46512731481</v>
      </c>
      <c r="C109" s="1" t="n">
        <v>46065</v>
      </c>
      <c r="D109" t="inlineStr">
        <is>
          <t>KALMAR LÄN</t>
        </is>
      </c>
      <c r="E109" t="inlineStr">
        <is>
          <t>BORGHOLM</t>
        </is>
      </c>
      <c r="G109" t="n">
        <v>5</v>
      </c>
      <c r="H109" t="n">
        <v>0</v>
      </c>
      <c r="I109" t="n">
        <v>0</v>
      </c>
      <c r="J109" t="n">
        <v>0</v>
      </c>
      <c r="K109" t="n">
        <v>0</v>
      </c>
      <c r="L109" t="n">
        <v>0</v>
      </c>
      <c r="M109" t="n">
        <v>0</v>
      </c>
      <c r="N109" t="n">
        <v>0</v>
      </c>
      <c r="O109" t="n">
        <v>0</v>
      </c>
      <c r="P109" t="n">
        <v>0</v>
      </c>
      <c r="Q109" t="n">
        <v>0</v>
      </c>
      <c r="R109" s="2" t="inlineStr"/>
    </row>
    <row r="110" ht="15" customHeight="1">
      <c r="A110" t="inlineStr">
        <is>
          <t>A 45869-2025</t>
        </is>
      </c>
      <c r="B110" s="1" t="n">
        <v>45923.65313657407</v>
      </c>
      <c r="C110" s="1" t="n">
        <v>46065</v>
      </c>
      <c r="D110" t="inlineStr">
        <is>
          <t>KALMAR LÄN</t>
        </is>
      </c>
      <c r="E110" t="inlineStr">
        <is>
          <t>BORGHOLM</t>
        </is>
      </c>
      <c r="G110" t="n">
        <v>4.5</v>
      </c>
      <c r="H110" t="n">
        <v>0</v>
      </c>
      <c r="I110" t="n">
        <v>0</v>
      </c>
      <c r="J110" t="n">
        <v>0</v>
      </c>
      <c r="K110" t="n">
        <v>0</v>
      </c>
      <c r="L110" t="n">
        <v>0</v>
      </c>
      <c r="M110" t="n">
        <v>0</v>
      </c>
      <c r="N110" t="n">
        <v>0</v>
      </c>
      <c r="O110" t="n">
        <v>0</v>
      </c>
      <c r="P110" t="n">
        <v>0</v>
      </c>
      <c r="Q110" t="n">
        <v>0</v>
      </c>
      <c r="R110" s="2" t="inlineStr"/>
    </row>
    <row r="111" ht="15" customHeight="1">
      <c r="A111" t="inlineStr">
        <is>
          <t>A 46845-2025</t>
        </is>
      </c>
      <c r="B111" s="1" t="n">
        <v>45928</v>
      </c>
      <c r="C111" s="1" t="n">
        <v>46065</v>
      </c>
      <c r="D111" t="inlineStr">
        <is>
          <t>KALMAR LÄN</t>
        </is>
      </c>
      <c r="E111" t="inlineStr">
        <is>
          <t>BORGHOLM</t>
        </is>
      </c>
      <c r="G111" t="n">
        <v>2.7</v>
      </c>
      <c r="H111" t="n">
        <v>0</v>
      </c>
      <c r="I111" t="n">
        <v>0</v>
      </c>
      <c r="J111" t="n">
        <v>0</v>
      </c>
      <c r="K111" t="n">
        <v>0</v>
      </c>
      <c r="L111" t="n">
        <v>0</v>
      </c>
      <c r="M111" t="n">
        <v>0</v>
      </c>
      <c r="N111" t="n">
        <v>0</v>
      </c>
      <c r="O111" t="n">
        <v>0</v>
      </c>
      <c r="P111" t="n">
        <v>0</v>
      </c>
      <c r="Q111" t="n">
        <v>0</v>
      </c>
      <c r="R111" s="2" t="inlineStr"/>
    </row>
    <row r="112" ht="15" customHeight="1">
      <c r="A112" t="inlineStr">
        <is>
          <t>A 17978-2021</t>
        </is>
      </c>
      <c r="B112" s="1" t="n">
        <v>44301</v>
      </c>
      <c r="C112" s="1" t="n">
        <v>46065</v>
      </c>
      <c r="D112" t="inlineStr">
        <is>
          <t>KALMAR LÄN</t>
        </is>
      </c>
      <c r="E112" t="inlineStr">
        <is>
          <t>BORGHOLM</t>
        </is>
      </c>
      <c r="G112" t="n">
        <v>6</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46065</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46065</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46065</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46065</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60141-2025</t>
        </is>
      </c>
      <c r="B117" s="1" t="n">
        <v>45994.36873842592</v>
      </c>
      <c r="C117" s="1" t="n">
        <v>46065</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61723-2025</t>
        </is>
      </c>
      <c r="B118" s="1" t="n">
        <v>46002.58388888889</v>
      </c>
      <c r="C118" s="1" t="n">
        <v>46065</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c r="A119" t="inlineStr">
        <is>
          <t>A 7481-2026</t>
        </is>
      </c>
      <c r="B119" s="1" t="n">
        <v>46059.51359953704</v>
      </c>
      <c r="C119" s="1" t="n">
        <v>46065</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2026-02-12T11:07:23Z</dcterms:created>
  <dcterms:modified xmlns:dcterms="http://purl.org/dc/terms/" xmlns:xsi="http://www.w3.org/2001/XMLSchema-instance" xsi:type="dcterms:W3CDTF">2026-02-12T11:07:23Z</dcterms:modified>
</cp:coreProperties>
</file>