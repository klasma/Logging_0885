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45922</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31837-2021</t>
        </is>
      </c>
      <c r="B8" s="1" t="n">
        <v>44370</v>
      </c>
      <c r="C8" s="1" t="n">
        <v>45922</v>
      </c>
      <c r="D8" t="inlineStr">
        <is>
          <t>KALMAR LÄN</t>
        </is>
      </c>
      <c r="E8" t="inlineStr">
        <is>
          <t>BORGHOLM</t>
        </is>
      </c>
      <c r="F8" t="inlineStr">
        <is>
          <t>Sveaskog</t>
        </is>
      </c>
      <c r="G8" t="n">
        <v>1.7</v>
      </c>
      <c r="H8" t="n">
        <v>3</v>
      </c>
      <c r="I8" t="n">
        <v>5</v>
      </c>
      <c r="J8" t="n">
        <v>0</v>
      </c>
      <c r="K8" t="n">
        <v>0</v>
      </c>
      <c r="L8" t="n">
        <v>0</v>
      </c>
      <c r="M8" t="n">
        <v>0</v>
      </c>
      <c r="N8" t="n">
        <v>0</v>
      </c>
      <c r="O8" t="n">
        <v>0</v>
      </c>
      <c r="P8" t="n">
        <v>0</v>
      </c>
      <c r="Q8" t="n">
        <v>6</v>
      </c>
      <c r="R8" s="2" t="inlineStr">
        <is>
          <t>Kragjordstjärna
Nästrot
Skogsknipprot
Strävlosta
Sårläka
Blåsippa</t>
        </is>
      </c>
      <c r="S8">
        <f>HYPERLINK("https://klasma.github.io/Logging_0885/artfynd/A 31837-2021 artfynd.xlsx", "A 31837-2021")</f>
        <v/>
      </c>
      <c r="T8">
        <f>HYPERLINK("https://klasma.github.io/Logging_0885/kartor/A 31837-2021 karta.png", "A 31837-2021")</f>
        <v/>
      </c>
      <c r="V8">
        <f>HYPERLINK("https://klasma.github.io/Logging_0885/klagomål/A 31837-2021 FSC-klagomål.docx", "A 31837-2021")</f>
        <v/>
      </c>
      <c r="W8">
        <f>HYPERLINK("https://klasma.github.io/Logging_0885/klagomålsmail/A 31837-2021 FSC-klagomål mail.docx", "A 31837-2021")</f>
        <v/>
      </c>
      <c r="X8">
        <f>HYPERLINK("https://klasma.github.io/Logging_0885/tillsyn/A 31837-2021 tillsynsbegäran.docx", "A 31837-2021")</f>
        <v/>
      </c>
      <c r="Y8">
        <f>HYPERLINK("https://klasma.github.io/Logging_0885/tillsynsmail/A 31837-2021 tillsynsbegäran mail.docx", "A 31837-2021")</f>
        <v/>
      </c>
    </row>
    <row r="9" ht="15" customHeight="1">
      <c r="A9" t="inlineStr">
        <is>
          <t>A 32178-2022</t>
        </is>
      </c>
      <c r="B9" s="1" t="n">
        <v>44781</v>
      </c>
      <c r="C9" s="1" t="n">
        <v>45922</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57656-2020</t>
        </is>
      </c>
      <c r="B10" s="1" t="n">
        <v>44140</v>
      </c>
      <c r="C10" s="1" t="n">
        <v>45922</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4881-2021</t>
        </is>
      </c>
      <c r="B11" s="1" t="n">
        <v>44225</v>
      </c>
      <c r="C11" s="1" t="n">
        <v>45922</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34948-2022</t>
        </is>
      </c>
      <c r="B12" s="1" t="n">
        <v>44796</v>
      </c>
      <c r="C12" s="1" t="n">
        <v>45922</v>
      </c>
      <c r="D12" t="inlineStr">
        <is>
          <t>KALMAR LÄN</t>
        </is>
      </c>
      <c r="E12" t="inlineStr">
        <is>
          <t>BORGHOLM</t>
        </is>
      </c>
      <c r="F12" t="inlineStr">
        <is>
          <t>Sveaskog</t>
        </is>
      </c>
      <c r="G12" t="n">
        <v>2.8</v>
      </c>
      <c r="H12" t="n">
        <v>1</v>
      </c>
      <c r="I12" t="n">
        <v>1</v>
      </c>
      <c r="J12" t="n">
        <v>2</v>
      </c>
      <c r="K12" t="n">
        <v>0</v>
      </c>
      <c r="L12" t="n">
        <v>1</v>
      </c>
      <c r="M12" t="n">
        <v>0</v>
      </c>
      <c r="N12" t="n">
        <v>0</v>
      </c>
      <c r="O12" t="n">
        <v>3</v>
      </c>
      <c r="P12" t="n">
        <v>1</v>
      </c>
      <c r="Q12" t="n">
        <v>5</v>
      </c>
      <c r="R12" s="2" t="inlineStr">
        <is>
          <t>Brödmusseron
Juvelspindling
Persiljespindling
Fransig jordstjärna
Blåsippa</t>
        </is>
      </c>
      <c r="S12">
        <f>HYPERLINK("https://klasma.github.io/Logging_0885/artfynd/A 34948-2022 artfynd.xlsx", "A 34948-2022")</f>
        <v/>
      </c>
      <c r="T12">
        <f>HYPERLINK("https://klasma.github.io/Logging_0885/kartor/A 34948-2022 karta.png", "A 34948-2022")</f>
        <v/>
      </c>
      <c r="V12">
        <f>HYPERLINK("https://klasma.github.io/Logging_0885/klagomål/A 34948-2022 FSC-klagomål.docx", "A 34948-2022")</f>
        <v/>
      </c>
      <c r="W12">
        <f>HYPERLINK("https://klasma.github.io/Logging_0885/klagomålsmail/A 34948-2022 FSC-klagomål mail.docx", "A 34948-2022")</f>
        <v/>
      </c>
      <c r="X12">
        <f>HYPERLINK("https://klasma.github.io/Logging_0885/tillsyn/A 34948-2022 tillsynsbegäran.docx", "A 34948-2022")</f>
        <v/>
      </c>
      <c r="Y12">
        <f>HYPERLINK("https://klasma.github.io/Logging_0885/tillsynsmail/A 34948-2022 tillsynsbegäran mail.docx", "A 34948-2022")</f>
        <v/>
      </c>
    </row>
    <row r="13" ht="15" customHeight="1">
      <c r="A13" t="inlineStr">
        <is>
          <t>A 55210-2020</t>
        </is>
      </c>
      <c r="B13" s="1" t="n">
        <v>44130</v>
      </c>
      <c r="C13" s="1" t="n">
        <v>45922</v>
      </c>
      <c r="D13" t="inlineStr">
        <is>
          <t>KALMAR LÄN</t>
        </is>
      </c>
      <c r="E13" t="inlineStr">
        <is>
          <t>BORGHOLM</t>
        </is>
      </c>
      <c r="G13" t="n">
        <v>2.2</v>
      </c>
      <c r="H13" t="n">
        <v>1</v>
      </c>
      <c r="I13" t="n">
        <v>3</v>
      </c>
      <c r="J13" t="n">
        <v>1</v>
      </c>
      <c r="K13" t="n">
        <v>0</v>
      </c>
      <c r="L13" t="n">
        <v>0</v>
      </c>
      <c r="M13" t="n">
        <v>0</v>
      </c>
      <c r="N13" t="n">
        <v>0</v>
      </c>
      <c r="O13" t="n">
        <v>1</v>
      </c>
      <c r="P13" t="n">
        <v>0</v>
      </c>
      <c r="Q13" t="n">
        <v>4</v>
      </c>
      <c r="R13" s="2" t="inlineStr">
        <is>
          <t>Loppstarr
Murgröna
Nästrot
Sårläka</t>
        </is>
      </c>
      <c r="S13">
        <f>HYPERLINK("https://klasma.github.io/Logging_0885/artfynd/A 55210-2020 artfynd.xlsx", "A 55210-2020")</f>
        <v/>
      </c>
      <c r="T13">
        <f>HYPERLINK("https://klasma.github.io/Logging_0885/kartor/A 55210-2020 karta.png", "A 55210-2020")</f>
        <v/>
      </c>
      <c r="V13">
        <f>HYPERLINK("https://klasma.github.io/Logging_0885/klagomål/A 55210-2020 FSC-klagomål.docx", "A 55210-2020")</f>
        <v/>
      </c>
      <c r="W13">
        <f>HYPERLINK("https://klasma.github.io/Logging_0885/klagomålsmail/A 55210-2020 FSC-klagomål mail.docx", "A 55210-2020")</f>
        <v/>
      </c>
      <c r="X13">
        <f>HYPERLINK("https://klasma.github.io/Logging_0885/tillsyn/A 55210-2020 tillsynsbegäran.docx", "A 55210-2020")</f>
        <v/>
      </c>
      <c r="Y13">
        <f>HYPERLINK("https://klasma.github.io/Logging_0885/tillsynsmail/A 55210-2020 tillsynsbegäran mail.docx", "A 55210-2020")</f>
        <v/>
      </c>
    </row>
    <row r="14" ht="15" customHeight="1">
      <c r="A14" t="inlineStr">
        <is>
          <t>A 50720-2021</t>
        </is>
      </c>
      <c r="B14" s="1" t="n">
        <v>44459</v>
      </c>
      <c r="C14" s="1" t="n">
        <v>45922</v>
      </c>
      <c r="D14" t="inlineStr">
        <is>
          <t>KALMAR LÄN</t>
        </is>
      </c>
      <c r="E14" t="inlineStr">
        <is>
          <t>BORGHOLM</t>
        </is>
      </c>
      <c r="G14" t="n">
        <v>1.7</v>
      </c>
      <c r="H14" t="n">
        <v>0</v>
      </c>
      <c r="I14" t="n">
        <v>1</v>
      </c>
      <c r="J14" t="n">
        <v>3</v>
      </c>
      <c r="K14" t="n">
        <v>0</v>
      </c>
      <c r="L14" t="n">
        <v>0</v>
      </c>
      <c r="M14" t="n">
        <v>0</v>
      </c>
      <c r="N14" t="n">
        <v>0</v>
      </c>
      <c r="O14" t="n">
        <v>3</v>
      </c>
      <c r="P14" t="n">
        <v>0</v>
      </c>
      <c r="Q14" t="n">
        <v>4</v>
      </c>
      <c r="R14" s="2" t="inlineStr">
        <is>
          <t>Flentimotej
Grådådra
Sminkrot
Geastrum</t>
        </is>
      </c>
      <c r="S14">
        <f>HYPERLINK("https://klasma.github.io/Logging_0885/artfynd/A 50720-2021 artfynd.xlsx", "A 50720-2021")</f>
        <v/>
      </c>
      <c r="T14">
        <f>HYPERLINK("https://klasma.github.io/Logging_0885/kartor/A 50720-2021 karta.png", "A 50720-2021")</f>
        <v/>
      </c>
      <c r="V14">
        <f>HYPERLINK("https://klasma.github.io/Logging_0885/klagomål/A 50720-2021 FSC-klagomål.docx", "A 50720-2021")</f>
        <v/>
      </c>
      <c r="W14">
        <f>HYPERLINK("https://klasma.github.io/Logging_0885/klagomålsmail/A 50720-2021 FSC-klagomål mail.docx", "A 50720-2021")</f>
        <v/>
      </c>
      <c r="X14">
        <f>HYPERLINK("https://klasma.github.io/Logging_0885/tillsyn/A 50720-2021 tillsynsbegäran.docx", "A 50720-2021")</f>
        <v/>
      </c>
      <c r="Y14">
        <f>HYPERLINK("https://klasma.github.io/Logging_0885/tillsynsmail/A 50720-2021 tillsynsbegäran mail.docx", "A 50720-2021")</f>
        <v/>
      </c>
    </row>
    <row r="15" ht="15" customHeight="1">
      <c r="A15" t="inlineStr">
        <is>
          <t>A 32640-2022</t>
        </is>
      </c>
      <c r="B15" s="1" t="n">
        <v>44783</v>
      </c>
      <c r="C15" s="1" t="n">
        <v>45922</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58231-2020</t>
        </is>
      </c>
      <c r="B16" s="1" t="n">
        <v>44144</v>
      </c>
      <c r="C16" s="1" t="n">
        <v>45922</v>
      </c>
      <c r="D16" t="inlineStr">
        <is>
          <t>KALMAR LÄN</t>
        </is>
      </c>
      <c r="E16" t="inlineStr">
        <is>
          <t>BORGHOLM</t>
        </is>
      </c>
      <c r="F16" t="inlineStr">
        <is>
          <t>Sveaskog</t>
        </is>
      </c>
      <c r="G16" t="n">
        <v>8.5</v>
      </c>
      <c r="H16" t="n">
        <v>1</v>
      </c>
      <c r="I16" t="n">
        <v>2</v>
      </c>
      <c r="J16" t="n">
        <v>1</v>
      </c>
      <c r="K16" t="n">
        <v>0</v>
      </c>
      <c r="L16" t="n">
        <v>0</v>
      </c>
      <c r="M16" t="n">
        <v>0</v>
      </c>
      <c r="N16" t="n">
        <v>0</v>
      </c>
      <c r="O16" t="n">
        <v>1</v>
      </c>
      <c r="P16" t="n">
        <v>0</v>
      </c>
      <c r="Q16" t="n">
        <v>3</v>
      </c>
      <c r="R16" s="2" t="inlineStr">
        <is>
          <t>Skugglosta
Skogsknipprot
Strävlosta</t>
        </is>
      </c>
      <c r="S16">
        <f>HYPERLINK("https://klasma.github.io/Logging_0885/artfynd/A 58231-2020 artfynd.xlsx", "A 58231-2020")</f>
        <v/>
      </c>
      <c r="T16">
        <f>HYPERLINK("https://klasma.github.io/Logging_0885/kartor/A 58231-2020 karta.png", "A 58231-2020")</f>
        <v/>
      </c>
      <c r="V16">
        <f>HYPERLINK("https://klasma.github.io/Logging_0885/klagomål/A 58231-2020 FSC-klagomål.docx", "A 58231-2020")</f>
        <v/>
      </c>
      <c r="W16">
        <f>HYPERLINK("https://klasma.github.io/Logging_0885/klagomålsmail/A 58231-2020 FSC-klagomål mail.docx", "A 58231-2020")</f>
        <v/>
      </c>
      <c r="X16">
        <f>HYPERLINK("https://klasma.github.io/Logging_0885/tillsyn/A 58231-2020 tillsynsbegäran.docx", "A 58231-2020")</f>
        <v/>
      </c>
      <c r="Y16">
        <f>HYPERLINK("https://klasma.github.io/Logging_0885/tillsynsmail/A 58231-2020 tillsynsbegäran mail.docx", "A 58231-2020")</f>
        <v/>
      </c>
    </row>
    <row r="17" ht="15" customHeight="1">
      <c r="A17" t="inlineStr">
        <is>
          <t>A 16171-2023</t>
        </is>
      </c>
      <c r="B17" s="1" t="n">
        <v>45027</v>
      </c>
      <c r="C17" s="1" t="n">
        <v>45922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45922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44008-2022</t>
        </is>
      </c>
      <c r="B19" s="1" t="n">
        <v>44838</v>
      </c>
      <c r="C19" s="1" t="n">
        <v>45922</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44008-2022 artfynd.xlsx", "A 44008-2022")</f>
        <v/>
      </c>
      <c r="T19">
        <f>HYPERLINK("https://klasma.github.io/Logging_0885/kartor/A 44008-2022 karta.png", "A 44008-2022")</f>
        <v/>
      </c>
      <c r="V19">
        <f>HYPERLINK("https://klasma.github.io/Logging_0885/klagomål/A 44008-2022 FSC-klagomål.docx", "A 44008-2022")</f>
        <v/>
      </c>
      <c r="W19">
        <f>HYPERLINK("https://klasma.github.io/Logging_0885/klagomålsmail/A 44008-2022 FSC-klagomål mail.docx", "A 44008-2022")</f>
        <v/>
      </c>
      <c r="X19">
        <f>HYPERLINK("https://klasma.github.io/Logging_0885/tillsyn/A 44008-2022 tillsynsbegäran.docx", "A 44008-2022")</f>
        <v/>
      </c>
      <c r="Y19">
        <f>HYPERLINK("https://klasma.github.io/Logging_0885/tillsynsmail/A 44008-2022 tillsynsbegäran mail.docx", "A 44008-2022")</f>
        <v/>
      </c>
      <c r="Z19">
        <f>HYPERLINK("https://klasma.github.io/Logging_0885/fåglar/A 44008-2022 prioriterade fågelarter.docx", "A 44008-2022")</f>
        <v/>
      </c>
    </row>
    <row r="20" ht="15" customHeight="1">
      <c r="A20" t="inlineStr">
        <is>
          <t>A 28779-2025</t>
        </is>
      </c>
      <c r="B20" s="1" t="n">
        <v>45820.44920138889</v>
      </c>
      <c r="C20" s="1" t="n">
        <v>45922</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13556-2025</t>
        </is>
      </c>
      <c r="B21" s="1" t="n">
        <v>45736.54759259259</v>
      </c>
      <c r="C21" s="1" t="n">
        <v>45922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34944-2022</t>
        </is>
      </c>
      <c r="B22" s="1" t="n">
        <v>44796</v>
      </c>
      <c r="C22" s="1" t="n">
        <v>45922</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38860-2025</t>
        </is>
      </c>
      <c r="B23" s="1" t="n">
        <v>45887.5609375</v>
      </c>
      <c r="C23" s="1" t="n">
        <v>45922</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4164-2023</t>
        </is>
      </c>
      <c r="B24" s="1" t="n">
        <v>44953</v>
      </c>
      <c r="C24" s="1" t="n">
        <v>45922</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32174-2022</t>
        </is>
      </c>
      <c r="B25" s="1" t="n">
        <v>44781</v>
      </c>
      <c r="C25" s="1" t="n">
        <v>45922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45922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3871-2021</t>
        </is>
      </c>
      <c r="B27" s="1" t="n">
        <v>44222</v>
      </c>
      <c r="C27" s="1" t="n">
        <v>45922</v>
      </c>
      <c r="D27" t="inlineStr">
        <is>
          <t>KALMAR LÄN</t>
        </is>
      </c>
      <c r="E27" t="inlineStr">
        <is>
          <t>BORGHOLM</t>
        </is>
      </c>
      <c r="G27" t="n">
        <v>1.7</v>
      </c>
      <c r="H27" t="n">
        <v>0</v>
      </c>
      <c r="I27" t="n">
        <v>1</v>
      </c>
      <c r="J27" t="n">
        <v>0</v>
      </c>
      <c r="K27" t="n">
        <v>0</v>
      </c>
      <c r="L27" t="n">
        <v>0</v>
      </c>
      <c r="M27" t="n">
        <v>0</v>
      </c>
      <c r="N27" t="n">
        <v>0</v>
      </c>
      <c r="O27" t="n">
        <v>0</v>
      </c>
      <c r="P27" t="n">
        <v>0</v>
      </c>
      <c r="Q27" t="n">
        <v>1</v>
      </c>
      <c r="R27" s="2" t="inlineStr">
        <is>
          <t>Scharlakansskål</t>
        </is>
      </c>
      <c r="S27">
        <f>HYPERLINK("https://klasma.github.io/Logging_0885/artfynd/A 3871-2021 artfynd.xlsx", "A 3871-2021")</f>
        <v/>
      </c>
      <c r="T27">
        <f>HYPERLINK("https://klasma.github.io/Logging_0885/kartor/A 3871-2021 karta.png", "A 3871-2021")</f>
        <v/>
      </c>
      <c r="V27">
        <f>HYPERLINK("https://klasma.github.io/Logging_0885/klagomål/A 3871-2021 FSC-klagomål.docx", "A 3871-2021")</f>
        <v/>
      </c>
      <c r="W27">
        <f>HYPERLINK("https://klasma.github.io/Logging_0885/klagomålsmail/A 3871-2021 FSC-klagomål mail.docx", "A 3871-2021")</f>
        <v/>
      </c>
      <c r="X27">
        <f>HYPERLINK("https://klasma.github.io/Logging_0885/tillsyn/A 3871-2021 tillsynsbegäran.docx", "A 3871-2021")</f>
        <v/>
      </c>
      <c r="Y27">
        <f>HYPERLINK("https://klasma.github.io/Logging_0885/tillsynsmail/A 3871-2021 tillsynsbegäran mail.docx", "A 3871-2021")</f>
        <v/>
      </c>
    </row>
    <row r="28" ht="15" customHeight="1">
      <c r="A28" t="inlineStr">
        <is>
          <t>A 31295-2022</t>
        </is>
      </c>
      <c r="B28" s="1" t="n">
        <v>44772</v>
      </c>
      <c r="C28" s="1" t="n">
        <v>45922</v>
      </c>
      <c r="D28" t="inlineStr">
        <is>
          <t>KALMAR LÄN</t>
        </is>
      </c>
      <c r="E28" t="inlineStr">
        <is>
          <t>BORGHOLM</t>
        </is>
      </c>
      <c r="F28" t="inlineStr">
        <is>
          <t>Sveaskog</t>
        </is>
      </c>
      <c r="G28" t="n">
        <v>6.1</v>
      </c>
      <c r="H28" t="n">
        <v>0</v>
      </c>
      <c r="I28" t="n">
        <v>0</v>
      </c>
      <c r="J28" t="n">
        <v>0</v>
      </c>
      <c r="K28" t="n">
        <v>0</v>
      </c>
      <c r="L28" t="n">
        <v>1</v>
      </c>
      <c r="M28" t="n">
        <v>0</v>
      </c>
      <c r="N28" t="n">
        <v>0</v>
      </c>
      <c r="O28" t="n">
        <v>1</v>
      </c>
      <c r="P28" t="n">
        <v>1</v>
      </c>
      <c r="Q28" t="n">
        <v>1</v>
      </c>
      <c r="R28" s="2" t="inlineStr">
        <is>
          <t>Skärrande gräshoppa</t>
        </is>
      </c>
      <c r="S28">
        <f>HYPERLINK("https://klasma.github.io/Logging_0885/artfynd/A 31295-2022 artfynd.xlsx", "A 31295-2022")</f>
        <v/>
      </c>
      <c r="T28">
        <f>HYPERLINK("https://klasma.github.io/Logging_0885/kartor/A 31295-2022 karta.png", "A 31295-2022")</f>
        <v/>
      </c>
      <c r="V28">
        <f>HYPERLINK("https://klasma.github.io/Logging_0885/klagomål/A 31295-2022 FSC-klagomål.docx", "A 31295-2022")</f>
        <v/>
      </c>
      <c r="W28">
        <f>HYPERLINK("https://klasma.github.io/Logging_0885/klagomålsmail/A 31295-2022 FSC-klagomål mail.docx", "A 31295-2022")</f>
        <v/>
      </c>
      <c r="X28">
        <f>HYPERLINK("https://klasma.github.io/Logging_0885/tillsyn/A 31295-2022 tillsynsbegäran.docx", "A 31295-2022")</f>
        <v/>
      </c>
      <c r="Y28">
        <f>HYPERLINK("https://klasma.github.io/Logging_0885/tillsynsmail/A 31295-2022 tillsynsbegäran mail.docx", "A 31295-2022")</f>
        <v/>
      </c>
    </row>
    <row r="29" ht="15" customHeight="1">
      <c r="A29" t="inlineStr">
        <is>
          <t>A 66329-2020</t>
        </is>
      </c>
      <c r="B29" s="1" t="n">
        <v>44176</v>
      </c>
      <c r="C29" s="1" t="n">
        <v>45922</v>
      </c>
      <c r="D29" t="inlineStr">
        <is>
          <t>KALMAR LÄN</t>
        </is>
      </c>
      <c r="E29" t="inlineStr">
        <is>
          <t>BORGHOLM</t>
        </is>
      </c>
      <c r="G29" t="n">
        <v>7.4</v>
      </c>
      <c r="H29" t="n">
        <v>0</v>
      </c>
      <c r="I29" t="n">
        <v>0</v>
      </c>
      <c r="J29" t="n">
        <v>1</v>
      </c>
      <c r="K29" t="n">
        <v>0</v>
      </c>
      <c r="L29" t="n">
        <v>0</v>
      </c>
      <c r="M29" t="n">
        <v>0</v>
      </c>
      <c r="N29" t="n">
        <v>0</v>
      </c>
      <c r="O29" t="n">
        <v>1</v>
      </c>
      <c r="P29" t="n">
        <v>0</v>
      </c>
      <c r="Q29" t="n">
        <v>1</v>
      </c>
      <c r="R29" s="2" t="inlineStr">
        <is>
          <t>Säfferot</t>
        </is>
      </c>
      <c r="S29">
        <f>HYPERLINK("https://klasma.github.io/Logging_0885/artfynd/A 66329-2020 artfynd.xlsx", "A 66329-2020")</f>
        <v/>
      </c>
      <c r="T29">
        <f>HYPERLINK("https://klasma.github.io/Logging_0885/kartor/A 66329-2020 karta.png", "A 66329-2020")</f>
        <v/>
      </c>
      <c r="V29">
        <f>HYPERLINK("https://klasma.github.io/Logging_0885/klagomål/A 66329-2020 FSC-klagomål.docx", "A 66329-2020")</f>
        <v/>
      </c>
      <c r="W29">
        <f>HYPERLINK("https://klasma.github.io/Logging_0885/klagomålsmail/A 66329-2020 FSC-klagomål mail.docx", "A 66329-2020")</f>
        <v/>
      </c>
      <c r="X29">
        <f>HYPERLINK("https://klasma.github.io/Logging_0885/tillsyn/A 66329-2020 tillsynsbegäran.docx", "A 66329-2020")</f>
        <v/>
      </c>
      <c r="Y29">
        <f>HYPERLINK("https://klasma.github.io/Logging_0885/tillsynsmail/A 66329-2020 tillsynsbegäran mail.docx", "A 66329-2020")</f>
        <v/>
      </c>
    </row>
    <row r="30" ht="15" customHeight="1">
      <c r="A30" t="inlineStr">
        <is>
          <t>A 41640-2023</t>
        </is>
      </c>
      <c r="B30" s="1" t="n">
        <v>45175</v>
      </c>
      <c r="C30" s="1" t="n">
        <v>45922</v>
      </c>
      <c r="D30" t="inlineStr">
        <is>
          <t>KALMAR LÄN</t>
        </is>
      </c>
      <c r="E30" t="inlineStr">
        <is>
          <t>BORGHOLM</t>
        </is>
      </c>
      <c r="G30" t="n">
        <v>5</v>
      </c>
      <c r="H30" t="n">
        <v>1</v>
      </c>
      <c r="I30" t="n">
        <v>0</v>
      </c>
      <c r="J30" t="n">
        <v>0</v>
      </c>
      <c r="K30" t="n">
        <v>0</v>
      </c>
      <c r="L30" t="n">
        <v>0</v>
      </c>
      <c r="M30" t="n">
        <v>0</v>
      </c>
      <c r="N30" t="n">
        <v>0</v>
      </c>
      <c r="O30" t="n">
        <v>0</v>
      </c>
      <c r="P30" t="n">
        <v>0</v>
      </c>
      <c r="Q30" t="n">
        <v>1</v>
      </c>
      <c r="R30" s="2" t="inlineStr">
        <is>
          <t>Johannesnycklar</t>
        </is>
      </c>
      <c r="S30">
        <f>HYPERLINK("https://klasma.github.io/Logging_0885/artfynd/A 41640-2023 artfynd.xlsx", "A 41640-2023")</f>
        <v/>
      </c>
      <c r="T30">
        <f>HYPERLINK("https://klasma.github.io/Logging_0885/kartor/A 41640-2023 karta.png", "A 41640-2023")</f>
        <v/>
      </c>
      <c r="V30">
        <f>HYPERLINK("https://klasma.github.io/Logging_0885/klagomål/A 41640-2023 FSC-klagomål.docx", "A 41640-2023")</f>
        <v/>
      </c>
      <c r="W30">
        <f>HYPERLINK("https://klasma.github.io/Logging_0885/klagomålsmail/A 41640-2023 FSC-klagomål mail.docx", "A 41640-2023")</f>
        <v/>
      </c>
      <c r="X30">
        <f>HYPERLINK("https://klasma.github.io/Logging_0885/tillsyn/A 41640-2023 tillsynsbegäran.docx", "A 41640-2023")</f>
        <v/>
      </c>
      <c r="Y30">
        <f>HYPERLINK("https://klasma.github.io/Logging_0885/tillsynsmail/A 41640-2023 tillsynsbegäran mail.docx", "A 41640-2023")</f>
        <v/>
      </c>
    </row>
    <row r="31" ht="15" customHeight="1">
      <c r="A31" t="inlineStr">
        <is>
          <t>A 24701-2023</t>
        </is>
      </c>
      <c r="B31" s="1" t="n">
        <v>45084</v>
      </c>
      <c r="C31" s="1" t="n">
        <v>45922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45922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24704-2023</t>
        </is>
      </c>
      <c r="B33" s="1" t="n">
        <v>45084</v>
      </c>
      <c r="C33" s="1" t="n">
        <v>45922</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28785-2025</t>
        </is>
      </c>
      <c r="B34" s="1" t="n">
        <v>45820.46159722222</v>
      </c>
      <c r="C34" s="1" t="n">
        <v>45922</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9745-2023</t>
        </is>
      </c>
      <c r="B35" s="1" t="n">
        <v>44984</v>
      </c>
      <c r="C35" s="1" t="n">
        <v>45922</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29962-2025</t>
        </is>
      </c>
      <c r="B36" s="1" t="n">
        <v>45826.48184027777</v>
      </c>
      <c r="C36" s="1" t="n">
        <v>45922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43603-2024</t>
        </is>
      </c>
      <c r="B37" s="1" t="n">
        <v>45569.44700231482</v>
      </c>
      <c r="C37" s="1" t="n">
        <v>45922</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34885-2025</t>
        </is>
      </c>
      <c r="B38" s="1" t="n">
        <v>45849.47128472223</v>
      </c>
      <c r="C38" s="1" t="n">
        <v>45922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45922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45922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24048-2025</t>
        </is>
      </c>
      <c r="B41" s="1" t="n">
        <v>45796.4959375</v>
      </c>
      <c r="C41" s="1" t="n">
        <v>45922</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56434-2020</t>
        </is>
      </c>
      <c r="B42" s="1" t="n">
        <v>44137</v>
      </c>
      <c r="C42" s="1" t="n">
        <v>45922</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45922</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58113-2020</t>
        </is>
      </c>
      <c r="B44" s="1" t="n">
        <v>44144</v>
      </c>
      <c r="C44" s="1" t="n">
        <v>45922</v>
      </c>
      <c r="D44" t="inlineStr">
        <is>
          <t>KALMAR LÄN</t>
        </is>
      </c>
      <c r="E44" t="inlineStr">
        <is>
          <t>BORGHOLM</t>
        </is>
      </c>
      <c r="F44" t="inlineStr">
        <is>
          <t>Sveaskog</t>
        </is>
      </c>
      <c r="G44" t="n">
        <v>3</v>
      </c>
      <c r="H44" t="n">
        <v>0</v>
      </c>
      <c r="I44" t="n">
        <v>0</v>
      </c>
      <c r="J44" t="n">
        <v>0</v>
      </c>
      <c r="K44" t="n">
        <v>0</v>
      </c>
      <c r="L44" t="n">
        <v>0</v>
      </c>
      <c r="M44" t="n">
        <v>0</v>
      </c>
      <c r="N44" t="n">
        <v>0</v>
      </c>
      <c r="O44" t="n">
        <v>0</v>
      </c>
      <c r="P44" t="n">
        <v>0</v>
      </c>
      <c r="Q44" t="n">
        <v>0</v>
      </c>
      <c r="R44" s="2" t="inlineStr"/>
    </row>
    <row r="45" ht="15" customHeight="1">
      <c r="A45" t="inlineStr">
        <is>
          <t>A 12711-2021</t>
        </is>
      </c>
      <c r="B45" s="1" t="n">
        <v>44270</v>
      </c>
      <c r="C45" s="1" t="n">
        <v>45922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56475-2020</t>
        </is>
      </c>
      <c r="B46" s="1" t="n">
        <v>44137</v>
      </c>
      <c r="C46" s="1" t="n">
        <v>45922</v>
      </c>
      <c r="D46" t="inlineStr">
        <is>
          <t>KALMAR LÄN</t>
        </is>
      </c>
      <c r="E46" t="inlineStr">
        <is>
          <t>BORGHOLM</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56488-2020</t>
        </is>
      </c>
      <c r="B47" s="1" t="n">
        <v>44137</v>
      </c>
      <c r="C47" s="1" t="n">
        <v>45922</v>
      </c>
      <c r="D47" t="inlineStr">
        <is>
          <t>KALMAR LÄN</t>
        </is>
      </c>
      <c r="E47" t="inlineStr">
        <is>
          <t>BORGHOLM</t>
        </is>
      </c>
      <c r="F47" t="inlineStr">
        <is>
          <t>Sveaskog</t>
        </is>
      </c>
      <c r="G47" t="n">
        <v>1.4</v>
      </c>
      <c r="H47" t="n">
        <v>0</v>
      </c>
      <c r="I47" t="n">
        <v>0</v>
      </c>
      <c r="J47" t="n">
        <v>0</v>
      </c>
      <c r="K47" t="n">
        <v>0</v>
      </c>
      <c r="L47" t="n">
        <v>0</v>
      </c>
      <c r="M47" t="n">
        <v>0</v>
      </c>
      <c r="N47" t="n">
        <v>0</v>
      </c>
      <c r="O47" t="n">
        <v>0</v>
      </c>
      <c r="P47" t="n">
        <v>0</v>
      </c>
      <c r="Q47" t="n">
        <v>0</v>
      </c>
      <c r="R47" s="2" t="inlineStr"/>
    </row>
    <row r="48" ht="15" customHeight="1">
      <c r="A48" t="inlineStr">
        <is>
          <t>A 56506-2020</t>
        </is>
      </c>
      <c r="B48" s="1" t="n">
        <v>44137</v>
      </c>
      <c r="C48" s="1" t="n">
        <v>45922</v>
      </c>
      <c r="D48" t="inlineStr">
        <is>
          <t>KALMAR LÄN</t>
        </is>
      </c>
      <c r="E48" t="inlineStr">
        <is>
          <t>BORGHOLM</t>
        </is>
      </c>
      <c r="F48" t="inlineStr">
        <is>
          <t>Sveaskog</t>
        </is>
      </c>
      <c r="G48" t="n">
        <v>1.7</v>
      </c>
      <c r="H48" t="n">
        <v>0</v>
      </c>
      <c r="I48" t="n">
        <v>0</v>
      </c>
      <c r="J48" t="n">
        <v>0</v>
      </c>
      <c r="K48" t="n">
        <v>0</v>
      </c>
      <c r="L48" t="n">
        <v>0</v>
      </c>
      <c r="M48" t="n">
        <v>0</v>
      </c>
      <c r="N48" t="n">
        <v>0</v>
      </c>
      <c r="O48" t="n">
        <v>0</v>
      </c>
      <c r="P48" t="n">
        <v>0</v>
      </c>
      <c r="Q48" t="n">
        <v>0</v>
      </c>
      <c r="R48" s="2" t="inlineStr"/>
    </row>
    <row r="49" ht="15" customHeight="1">
      <c r="A49" t="inlineStr">
        <is>
          <t>A 42761-2021</t>
        </is>
      </c>
      <c r="B49" s="1" t="n">
        <v>44428</v>
      </c>
      <c r="C49" s="1" t="n">
        <v>45922</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13325-2021</t>
        </is>
      </c>
      <c r="B50" s="1" t="n">
        <v>44273</v>
      </c>
      <c r="C50" s="1" t="n">
        <v>45922</v>
      </c>
      <c r="D50" t="inlineStr">
        <is>
          <t>KALMAR LÄN</t>
        </is>
      </c>
      <c r="E50" t="inlineStr">
        <is>
          <t>BORGHOLM</t>
        </is>
      </c>
      <c r="G50" t="n">
        <v>0.7</v>
      </c>
      <c r="H50" t="n">
        <v>0</v>
      </c>
      <c r="I50" t="n">
        <v>0</v>
      </c>
      <c r="J50" t="n">
        <v>0</v>
      </c>
      <c r="K50" t="n">
        <v>0</v>
      </c>
      <c r="L50" t="n">
        <v>0</v>
      </c>
      <c r="M50" t="n">
        <v>0</v>
      </c>
      <c r="N50" t="n">
        <v>0</v>
      </c>
      <c r="O50" t="n">
        <v>0</v>
      </c>
      <c r="P50" t="n">
        <v>0</v>
      </c>
      <c r="Q50" t="n">
        <v>0</v>
      </c>
      <c r="R50" s="2" t="inlineStr"/>
    </row>
    <row r="51" ht="15" customHeight="1">
      <c r="A51" t="inlineStr">
        <is>
          <t>A 56421-2020</t>
        </is>
      </c>
      <c r="B51" s="1" t="n">
        <v>44137</v>
      </c>
      <c r="C51" s="1" t="n">
        <v>45922</v>
      </c>
      <c r="D51" t="inlineStr">
        <is>
          <t>KALMAR LÄN</t>
        </is>
      </c>
      <c r="E51" t="inlineStr">
        <is>
          <t>BORGHOLM</t>
        </is>
      </c>
      <c r="F51" t="inlineStr">
        <is>
          <t>Sveaskog</t>
        </is>
      </c>
      <c r="G51" t="n">
        <v>3.9</v>
      </c>
      <c r="H51" t="n">
        <v>0</v>
      </c>
      <c r="I51" t="n">
        <v>0</v>
      </c>
      <c r="J51" t="n">
        <v>0</v>
      </c>
      <c r="K51" t="n">
        <v>0</v>
      </c>
      <c r="L51" t="n">
        <v>0</v>
      </c>
      <c r="M51" t="n">
        <v>0</v>
      </c>
      <c r="N51" t="n">
        <v>0</v>
      </c>
      <c r="O51" t="n">
        <v>0</v>
      </c>
      <c r="P51" t="n">
        <v>0</v>
      </c>
      <c r="Q51" t="n">
        <v>0</v>
      </c>
      <c r="R51" s="2" t="inlineStr"/>
    </row>
    <row r="52" ht="15" customHeight="1">
      <c r="A52" t="inlineStr">
        <is>
          <t>A 32665-2022</t>
        </is>
      </c>
      <c r="B52" s="1" t="n">
        <v>44783</v>
      </c>
      <c r="C52" s="1" t="n">
        <v>45922</v>
      </c>
      <c r="D52" t="inlineStr">
        <is>
          <t>KALMAR LÄN</t>
        </is>
      </c>
      <c r="E52" t="inlineStr">
        <is>
          <t>BORGHOLM</t>
        </is>
      </c>
      <c r="F52" t="inlineStr">
        <is>
          <t>Sveaskog</t>
        </is>
      </c>
      <c r="G52" t="n">
        <v>4.2</v>
      </c>
      <c r="H52" t="n">
        <v>0</v>
      </c>
      <c r="I52" t="n">
        <v>0</v>
      </c>
      <c r="J52" t="n">
        <v>0</v>
      </c>
      <c r="K52" t="n">
        <v>0</v>
      </c>
      <c r="L52" t="n">
        <v>0</v>
      </c>
      <c r="M52" t="n">
        <v>0</v>
      </c>
      <c r="N52" t="n">
        <v>0</v>
      </c>
      <c r="O52" t="n">
        <v>0</v>
      </c>
      <c r="P52" t="n">
        <v>0</v>
      </c>
      <c r="Q52" t="n">
        <v>0</v>
      </c>
      <c r="R52" s="2" t="inlineStr"/>
    </row>
    <row r="53" ht="15" customHeight="1">
      <c r="A53" t="inlineStr">
        <is>
          <t>A 31790-2021</t>
        </is>
      </c>
      <c r="B53" s="1" t="n">
        <v>44370</v>
      </c>
      <c r="C53" s="1" t="n">
        <v>45922</v>
      </c>
      <c r="D53" t="inlineStr">
        <is>
          <t>KALMAR LÄN</t>
        </is>
      </c>
      <c r="E53" t="inlineStr">
        <is>
          <t>BORGHOLM</t>
        </is>
      </c>
      <c r="F53" t="inlineStr">
        <is>
          <t>Sveaskog</t>
        </is>
      </c>
      <c r="G53" t="n">
        <v>3.3</v>
      </c>
      <c r="H53" t="n">
        <v>0</v>
      </c>
      <c r="I53" t="n">
        <v>0</v>
      </c>
      <c r="J53" t="n">
        <v>0</v>
      </c>
      <c r="K53" t="n">
        <v>0</v>
      </c>
      <c r="L53" t="n">
        <v>0</v>
      </c>
      <c r="M53" t="n">
        <v>0</v>
      </c>
      <c r="N53" t="n">
        <v>0</v>
      </c>
      <c r="O53" t="n">
        <v>0</v>
      </c>
      <c r="P53" t="n">
        <v>0</v>
      </c>
      <c r="Q53" t="n">
        <v>0</v>
      </c>
      <c r="R53" s="2" t="inlineStr"/>
    </row>
    <row r="54" ht="15" customHeight="1">
      <c r="A54" t="inlineStr">
        <is>
          <t>A 10348-2022</t>
        </is>
      </c>
      <c r="B54" s="1" t="n">
        <v>44623</v>
      </c>
      <c r="C54" s="1" t="n">
        <v>45922</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28345-2022</t>
        </is>
      </c>
      <c r="B55" s="1" t="n">
        <v>44747</v>
      </c>
      <c r="C55" s="1" t="n">
        <v>45922</v>
      </c>
      <c r="D55" t="inlineStr">
        <is>
          <t>KALMAR LÄN</t>
        </is>
      </c>
      <c r="E55" t="inlineStr">
        <is>
          <t>BORGHOLM</t>
        </is>
      </c>
      <c r="G55" t="n">
        <v>1.5</v>
      </c>
      <c r="H55" t="n">
        <v>0</v>
      </c>
      <c r="I55" t="n">
        <v>0</v>
      </c>
      <c r="J55" t="n">
        <v>0</v>
      </c>
      <c r="K55" t="n">
        <v>0</v>
      </c>
      <c r="L55" t="n">
        <v>0</v>
      </c>
      <c r="M55" t="n">
        <v>0</v>
      </c>
      <c r="N55" t="n">
        <v>0</v>
      </c>
      <c r="O55" t="n">
        <v>0</v>
      </c>
      <c r="P55" t="n">
        <v>0</v>
      </c>
      <c r="Q55" t="n">
        <v>0</v>
      </c>
      <c r="R55" s="2" t="inlineStr"/>
    </row>
    <row r="56" ht="15" customHeight="1">
      <c r="A56" t="inlineStr">
        <is>
          <t>A 44681-2022</t>
        </is>
      </c>
      <c r="B56" s="1" t="n">
        <v>44840</v>
      </c>
      <c r="C56" s="1" t="n">
        <v>45922</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32608-2022</t>
        </is>
      </c>
      <c r="B57" s="1" t="n">
        <v>44783</v>
      </c>
      <c r="C57" s="1" t="n">
        <v>45922</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61828-2021</t>
        </is>
      </c>
      <c r="B58" s="1" t="n">
        <v>44501</v>
      </c>
      <c r="C58" s="1" t="n">
        <v>45922</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60735-2020</t>
        </is>
      </c>
      <c r="B59" s="1" t="n">
        <v>44153</v>
      </c>
      <c r="C59" s="1" t="n">
        <v>45922</v>
      </c>
      <c r="D59" t="inlineStr">
        <is>
          <t>KALMAR LÄN</t>
        </is>
      </c>
      <c r="E59" t="inlineStr">
        <is>
          <t>BORGHOLM</t>
        </is>
      </c>
      <c r="G59" t="n">
        <v>0.5</v>
      </c>
      <c r="H59" t="n">
        <v>0</v>
      </c>
      <c r="I59" t="n">
        <v>0</v>
      </c>
      <c r="J59" t="n">
        <v>0</v>
      </c>
      <c r="K59" t="n">
        <v>0</v>
      </c>
      <c r="L59" t="n">
        <v>0</v>
      </c>
      <c r="M59" t="n">
        <v>0</v>
      </c>
      <c r="N59" t="n">
        <v>0</v>
      </c>
      <c r="O59" t="n">
        <v>0</v>
      </c>
      <c r="P59" t="n">
        <v>0</v>
      </c>
      <c r="Q59" t="n">
        <v>0</v>
      </c>
      <c r="R59" s="2" t="inlineStr"/>
    </row>
    <row r="60" ht="15" customHeight="1">
      <c r="A60" t="inlineStr">
        <is>
          <t>A 56188-2021</t>
        </is>
      </c>
      <c r="B60" s="1" t="n">
        <v>44477.83525462963</v>
      </c>
      <c r="C60" s="1" t="n">
        <v>45922</v>
      </c>
      <c r="D60" t="inlineStr">
        <is>
          <t>KALMAR LÄN</t>
        </is>
      </c>
      <c r="E60" t="inlineStr">
        <is>
          <t>BORGHOLM</t>
        </is>
      </c>
      <c r="G60" t="n">
        <v>1.8</v>
      </c>
      <c r="H60" t="n">
        <v>0</v>
      </c>
      <c r="I60" t="n">
        <v>0</v>
      </c>
      <c r="J60" t="n">
        <v>0</v>
      </c>
      <c r="K60" t="n">
        <v>0</v>
      </c>
      <c r="L60" t="n">
        <v>0</v>
      </c>
      <c r="M60" t="n">
        <v>0</v>
      </c>
      <c r="N60" t="n">
        <v>0</v>
      </c>
      <c r="O60" t="n">
        <v>0</v>
      </c>
      <c r="P60" t="n">
        <v>0</v>
      </c>
      <c r="Q60" t="n">
        <v>0</v>
      </c>
      <c r="R60" s="2" t="inlineStr"/>
    </row>
    <row r="61" ht="15" customHeight="1">
      <c r="A61" t="inlineStr">
        <is>
          <t>A 56983-2021</t>
        </is>
      </c>
      <c r="B61" s="1" t="n">
        <v>44482</v>
      </c>
      <c r="C61" s="1" t="n">
        <v>45922</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58394-2020</t>
        </is>
      </c>
      <c r="B62" s="1" t="n">
        <v>44145</v>
      </c>
      <c r="C62" s="1" t="n">
        <v>45922</v>
      </c>
      <c r="D62" t="inlineStr">
        <is>
          <t>KALMAR LÄN</t>
        </is>
      </c>
      <c r="E62" t="inlineStr">
        <is>
          <t>BORGHOLM</t>
        </is>
      </c>
      <c r="F62" t="inlineStr">
        <is>
          <t>Sveaskog</t>
        </is>
      </c>
      <c r="G62" t="n">
        <v>1.1</v>
      </c>
      <c r="H62" t="n">
        <v>0</v>
      </c>
      <c r="I62" t="n">
        <v>0</v>
      </c>
      <c r="J62" t="n">
        <v>0</v>
      </c>
      <c r="K62" t="n">
        <v>0</v>
      </c>
      <c r="L62" t="n">
        <v>0</v>
      </c>
      <c r="M62" t="n">
        <v>0</v>
      </c>
      <c r="N62" t="n">
        <v>0</v>
      </c>
      <c r="O62" t="n">
        <v>0</v>
      </c>
      <c r="P62" t="n">
        <v>0</v>
      </c>
      <c r="Q62" t="n">
        <v>0</v>
      </c>
      <c r="R62" s="2" t="inlineStr"/>
    </row>
    <row r="63" ht="15" customHeight="1">
      <c r="A63" t="inlineStr">
        <is>
          <t>A 56492-2020</t>
        </is>
      </c>
      <c r="B63" s="1" t="n">
        <v>44137</v>
      </c>
      <c r="C63" s="1" t="n">
        <v>45922</v>
      </c>
      <c r="D63" t="inlineStr">
        <is>
          <t>KALMAR LÄN</t>
        </is>
      </c>
      <c r="E63" t="inlineStr">
        <is>
          <t>BORGHOLM</t>
        </is>
      </c>
      <c r="F63" t="inlineStr">
        <is>
          <t>Sveaskog</t>
        </is>
      </c>
      <c r="G63" t="n">
        <v>10.9</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45922</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45922</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58253-2020</t>
        </is>
      </c>
      <c r="B66" s="1" t="n">
        <v>44144</v>
      </c>
      <c r="C66" s="1" t="n">
        <v>45922</v>
      </c>
      <c r="D66" t="inlineStr">
        <is>
          <t>KALMAR LÄN</t>
        </is>
      </c>
      <c r="E66" t="inlineStr">
        <is>
          <t>BORGHOLM</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45922</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32180-2022</t>
        </is>
      </c>
      <c r="B68" s="1" t="n">
        <v>44781</v>
      </c>
      <c r="C68" s="1" t="n">
        <v>45922</v>
      </c>
      <c r="D68" t="inlineStr">
        <is>
          <t>KALMAR LÄN</t>
        </is>
      </c>
      <c r="E68" t="inlineStr">
        <is>
          <t>BORGHOLM</t>
        </is>
      </c>
      <c r="F68" t="inlineStr">
        <is>
          <t>Sveaskog</t>
        </is>
      </c>
      <c r="G68" t="n">
        <v>0.9</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45922</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45922</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34951-2022</t>
        </is>
      </c>
      <c r="B71" s="1" t="n">
        <v>44796</v>
      </c>
      <c r="C71" s="1" t="n">
        <v>45922</v>
      </c>
      <c r="D71" t="inlineStr">
        <is>
          <t>KALMAR LÄN</t>
        </is>
      </c>
      <c r="E71" t="inlineStr">
        <is>
          <t>BORGHOLM</t>
        </is>
      </c>
      <c r="F71" t="inlineStr">
        <is>
          <t>Sveaskog</t>
        </is>
      </c>
      <c r="G71" t="n">
        <v>4.6</v>
      </c>
      <c r="H71" t="n">
        <v>0</v>
      </c>
      <c r="I71" t="n">
        <v>0</v>
      </c>
      <c r="J71" t="n">
        <v>0</v>
      </c>
      <c r="K71" t="n">
        <v>0</v>
      </c>
      <c r="L71" t="n">
        <v>0</v>
      </c>
      <c r="M71" t="n">
        <v>0</v>
      </c>
      <c r="N71" t="n">
        <v>0</v>
      </c>
      <c r="O71" t="n">
        <v>0</v>
      </c>
      <c r="P71" t="n">
        <v>0</v>
      </c>
      <c r="Q71" t="n">
        <v>0</v>
      </c>
      <c r="R71" s="2" t="inlineStr"/>
    </row>
    <row r="72" ht="15" customHeight="1">
      <c r="A72" t="inlineStr">
        <is>
          <t>A 19867-2024</t>
        </is>
      </c>
      <c r="B72" s="1" t="n">
        <v>45433</v>
      </c>
      <c r="C72" s="1" t="n">
        <v>45922</v>
      </c>
      <c r="D72" t="inlineStr">
        <is>
          <t>KALMAR LÄN</t>
        </is>
      </c>
      <c r="E72" t="inlineStr">
        <is>
          <t>BORGHOLM</t>
        </is>
      </c>
      <c r="G72" t="n">
        <v>3.9</v>
      </c>
      <c r="H72" t="n">
        <v>0</v>
      </c>
      <c r="I72" t="n">
        <v>0</v>
      </c>
      <c r="J72" t="n">
        <v>0</v>
      </c>
      <c r="K72" t="n">
        <v>0</v>
      </c>
      <c r="L72" t="n">
        <v>0</v>
      </c>
      <c r="M72" t="n">
        <v>0</v>
      </c>
      <c r="N72" t="n">
        <v>0</v>
      </c>
      <c r="O72" t="n">
        <v>0</v>
      </c>
      <c r="P72" t="n">
        <v>0</v>
      </c>
      <c r="Q72" t="n">
        <v>0</v>
      </c>
      <c r="R72" s="2" t="inlineStr"/>
    </row>
    <row r="73" ht="15" customHeight="1">
      <c r="A73" t="inlineStr">
        <is>
          <t>A 21908-2022</t>
        </is>
      </c>
      <c r="B73" s="1" t="n">
        <v>44711</v>
      </c>
      <c r="C73" s="1" t="n">
        <v>45922</v>
      </c>
      <c r="D73" t="inlineStr">
        <is>
          <t>KALMAR LÄN</t>
        </is>
      </c>
      <c r="E73" t="inlineStr">
        <is>
          <t>BORGHOLM</t>
        </is>
      </c>
      <c r="G73" t="n">
        <v>4.7</v>
      </c>
      <c r="H73" t="n">
        <v>0</v>
      </c>
      <c r="I73" t="n">
        <v>0</v>
      </c>
      <c r="J73" t="n">
        <v>0</v>
      </c>
      <c r="K73" t="n">
        <v>0</v>
      </c>
      <c r="L73" t="n">
        <v>0</v>
      </c>
      <c r="M73" t="n">
        <v>0</v>
      </c>
      <c r="N73" t="n">
        <v>0</v>
      </c>
      <c r="O73" t="n">
        <v>0</v>
      </c>
      <c r="P73" t="n">
        <v>0</v>
      </c>
      <c r="Q73" t="n">
        <v>0</v>
      </c>
      <c r="R73" s="2" t="inlineStr"/>
    </row>
    <row r="74" ht="15" customHeight="1">
      <c r="A74" t="inlineStr">
        <is>
          <t>A 24166-2022</t>
        </is>
      </c>
      <c r="B74" s="1" t="n">
        <v>44725</v>
      </c>
      <c r="C74" s="1" t="n">
        <v>45922</v>
      </c>
      <c r="D74" t="inlineStr">
        <is>
          <t>KALMAR LÄN</t>
        </is>
      </c>
      <c r="E74" t="inlineStr">
        <is>
          <t>BORGHOLM</t>
        </is>
      </c>
      <c r="G74" t="n">
        <v>10.7</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45922</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45922</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26190-2025</t>
        </is>
      </c>
      <c r="B77" s="1" t="n">
        <v>45805.48349537037</v>
      </c>
      <c r="C77" s="1" t="n">
        <v>45922</v>
      </c>
      <c r="D77" t="inlineStr">
        <is>
          <t>KALMAR LÄN</t>
        </is>
      </c>
      <c r="E77" t="inlineStr">
        <is>
          <t>BORGHOLM</t>
        </is>
      </c>
      <c r="G77" t="n">
        <v>3.2</v>
      </c>
      <c r="H77" t="n">
        <v>0</v>
      </c>
      <c r="I77" t="n">
        <v>0</v>
      </c>
      <c r="J77" t="n">
        <v>0</v>
      </c>
      <c r="K77" t="n">
        <v>0</v>
      </c>
      <c r="L77" t="n">
        <v>0</v>
      </c>
      <c r="M77" t="n">
        <v>0</v>
      </c>
      <c r="N77" t="n">
        <v>0</v>
      </c>
      <c r="O77" t="n">
        <v>0</v>
      </c>
      <c r="P77" t="n">
        <v>0</v>
      </c>
      <c r="Q77" t="n">
        <v>0</v>
      </c>
      <c r="R77" s="2" t="inlineStr"/>
    </row>
    <row r="78" ht="15" customHeight="1">
      <c r="A78" t="inlineStr">
        <is>
          <t>A 12937-2022</t>
        </is>
      </c>
      <c r="B78" s="1" t="n">
        <v>44642</v>
      </c>
      <c r="C78" s="1" t="n">
        <v>45922</v>
      </c>
      <c r="D78" t="inlineStr">
        <is>
          <t>KALMAR LÄN</t>
        </is>
      </c>
      <c r="E78" t="inlineStr">
        <is>
          <t>BORGHOLM</t>
        </is>
      </c>
      <c r="F78" t="inlineStr">
        <is>
          <t>Sveaskog</t>
        </is>
      </c>
      <c r="G78" t="n">
        <v>1.8</v>
      </c>
      <c r="H78" t="n">
        <v>0</v>
      </c>
      <c r="I78" t="n">
        <v>0</v>
      </c>
      <c r="J78" t="n">
        <v>0</v>
      </c>
      <c r="K78" t="n">
        <v>0</v>
      </c>
      <c r="L78" t="n">
        <v>0</v>
      </c>
      <c r="M78" t="n">
        <v>0</v>
      </c>
      <c r="N78" t="n">
        <v>0</v>
      </c>
      <c r="O78" t="n">
        <v>0</v>
      </c>
      <c r="P78" t="n">
        <v>0</v>
      </c>
      <c r="Q78" t="n">
        <v>0</v>
      </c>
      <c r="R78" s="2" t="inlineStr"/>
    </row>
    <row r="79" ht="15" customHeight="1">
      <c r="A79" t="inlineStr">
        <is>
          <t>A 26160-2025</t>
        </is>
      </c>
      <c r="B79" s="1" t="n">
        <v>45805.4490162037</v>
      </c>
      <c r="C79" s="1" t="n">
        <v>45922</v>
      </c>
      <c r="D79" t="inlineStr">
        <is>
          <t>KALMAR LÄN</t>
        </is>
      </c>
      <c r="E79" t="inlineStr">
        <is>
          <t>BORGHOLM</t>
        </is>
      </c>
      <c r="G79" t="n">
        <v>3.7</v>
      </c>
      <c r="H79" t="n">
        <v>0</v>
      </c>
      <c r="I79" t="n">
        <v>0</v>
      </c>
      <c r="J79" t="n">
        <v>0</v>
      </c>
      <c r="K79" t="n">
        <v>0</v>
      </c>
      <c r="L79" t="n">
        <v>0</v>
      </c>
      <c r="M79" t="n">
        <v>0</v>
      </c>
      <c r="N79" t="n">
        <v>0</v>
      </c>
      <c r="O79" t="n">
        <v>0</v>
      </c>
      <c r="P79" t="n">
        <v>0</v>
      </c>
      <c r="Q79" t="n">
        <v>0</v>
      </c>
      <c r="R79" s="2" t="inlineStr"/>
    </row>
    <row r="80" ht="15" customHeight="1">
      <c r="A80" t="inlineStr">
        <is>
          <t>A 13383-2023</t>
        </is>
      </c>
      <c r="B80" s="1" t="n">
        <v>45005</v>
      </c>
      <c r="C80" s="1" t="n">
        <v>45922</v>
      </c>
      <c r="D80" t="inlineStr">
        <is>
          <t>KALMAR LÄN</t>
        </is>
      </c>
      <c r="E80" t="inlineStr">
        <is>
          <t>BORGHOLM</t>
        </is>
      </c>
      <c r="G80" t="n">
        <v>0.8</v>
      </c>
      <c r="H80" t="n">
        <v>0</v>
      </c>
      <c r="I80" t="n">
        <v>0</v>
      </c>
      <c r="J80" t="n">
        <v>0</v>
      </c>
      <c r="K80" t="n">
        <v>0</v>
      </c>
      <c r="L80" t="n">
        <v>0</v>
      </c>
      <c r="M80" t="n">
        <v>0</v>
      </c>
      <c r="N80" t="n">
        <v>0</v>
      </c>
      <c r="O80" t="n">
        <v>0</v>
      </c>
      <c r="P80" t="n">
        <v>0</v>
      </c>
      <c r="Q80" t="n">
        <v>0</v>
      </c>
      <c r="R80" s="2" t="inlineStr"/>
    </row>
    <row r="81" ht="15" customHeight="1">
      <c r="A81" t="inlineStr">
        <is>
          <t>A 4878-2021</t>
        </is>
      </c>
      <c r="B81" s="1" t="n">
        <v>44225</v>
      </c>
      <c r="C81" s="1" t="n">
        <v>45922</v>
      </c>
      <c r="D81" t="inlineStr">
        <is>
          <t>KALMAR LÄN</t>
        </is>
      </c>
      <c r="E81" t="inlineStr">
        <is>
          <t>BORGHOLM</t>
        </is>
      </c>
      <c r="G81" t="n">
        <v>3</v>
      </c>
      <c r="H81" t="n">
        <v>0</v>
      </c>
      <c r="I81" t="n">
        <v>0</v>
      </c>
      <c r="J81" t="n">
        <v>0</v>
      </c>
      <c r="K81" t="n">
        <v>0</v>
      </c>
      <c r="L81" t="n">
        <v>0</v>
      </c>
      <c r="M81" t="n">
        <v>0</v>
      </c>
      <c r="N81" t="n">
        <v>0</v>
      </c>
      <c r="O81" t="n">
        <v>0</v>
      </c>
      <c r="P81" t="n">
        <v>0</v>
      </c>
      <c r="Q81" t="n">
        <v>0</v>
      </c>
      <c r="R81" s="2" t="inlineStr"/>
    </row>
    <row r="82" ht="15" customHeight="1">
      <c r="A82" t="inlineStr">
        <is>
          <t>A 9034-2025</t>
        </is>
      </c>
      <c r="B82" s="1" t="n">
        <v>45713</v>
      </c>
      <c r="C82" s="1" t="n">
        <v>45922</v>
      </c>
      <c r="D82" t="inlineStr">
        <is>
          <t>KALMAR LÄN</t>
        </is>
      </c>
      <c r="E82" t="inlineStr">
        <is>
          <t>BORGHOLM</t>
        </is>
      </c>
      <c r="F82" t="inlineStr">
        <is>
          <t>Sveaskog</t>
        </is>
      </c>
      <c r="G82" t="n">
        <v>6.8</v>
      </c>
      <c r="H82" t="n">
        <v>0</v>
      </c>
      <c r="I82" t="n">
        <v>0</v>
      </c>
      <c r="J82" t="n">
        <v>0</v>
      </c>
      <c r="K82" t="n">
        <v>0</v>
      </c>
      <c r="L82" t="n">
        <v>0</v>
      </c>
      <c r="M82" t="n">
        <v>0</v>
      </c>
      <c r="N82" t="n">
        <v>0</v>
      </c>
      <c r="O82" t="n">
        <v>0</v>
      </c>
      <c r="P82" t="n">
        <v>0</v>
      </c>
      <c r="Q82" t="n">
        <v>0</v>
      </c>
      <c r="R82" s="2" t="inlineStr"/>
    </row>
    <row r="83" ht="15" customHeight="1">
      <c r="A83" t="inlineStr">
        <is>
          <t>A 61438-2023</t>
        </is>
      </c>
      <c r="B83" s="1" t="n">
        <v>45264</v>
      </c>
      <c r="C83" s="1" t="n">
        <v>45922</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13041-2024</t>
        </is>
      </c>
      <c r="B84" s="1" t="n">
        <v>45385.60065972222</v>
      </c>
      <c r="C84" s="1" t="n">
        <v>45922</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45922</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45922</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45922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45922</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4165-2023</t>
        </is>
      </c>
      <c r="B89" s="1" t="n">
        <v>44953</v>
      </c>
      <c r="C89" s="1" t="n">
        <v>45922</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45922</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31699-2022</t>
        </is>
      </c>
      <c r="B91" s="1" t="n">
        <v>44776</v>
      </c>
      <c r="C91" s="1" t="n">
        <v>45922</v>
      </c>
      <c r="D91" t="inlineStr">
        <is>
          <t>KALMAR LÄN</t>
        </is>
      </c>
      <c r="E91" t="inlineStr">
        <is>
          <t>BORGHOLM</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45922</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63276-2023</t>
        </is>
      </c>
      <c r="B93" s="1" t="n">
        <v>45273.82195601852</v>
      </c>
      <c r="C93" s="1" t="n">
        <v>45922</v>
      </c>
      <c r="D93" t="inlineStr">
        <is>
          <t>KALMAR LÄN</t>
        </is>
      </c>
      <c r="E93" t="inlineStr">
        <is>
          <t>BORGHOLM</t>
        </is>
      </c>
      <c r="G93" t="n">
        <v>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45922</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13548-2025</t>
        </is>
      </c>
      <c r="B95" s="1" t="n">
        <v>45736.53827546296</v>
      </c>
      <c r="C95" s="1" t="n">
        <v>45922</v>
      </c>
      <c r="D95" t="inlineStr">
        <is>
          <t>KALMAR LÄN</t>
        </is>
      </c>
      <c r="E95" t="inlineStr">
        <is>
          <t>BORGHOLM</t>
        </is>
      </c>
      <c r="G95" t="n">
        <v>1</v>
      </c>
      <c r="H95" t="n">
        <v>0</v>
      </c>
      <c r="I95" t="n">
        <v>0</v>
      </c>
      <c r="J95" t="n">
        <v>0</v>
      </c>
      <c r="K95" t="n">
        <v>0</v>
      </c>
      <c r="L95" t="n">
        <v>0</v>
      </c>
      <c r="M95" t="n">
        <v>0</v>
      </c>
      <c r="N95" t="n">
        <v>0</v>
      </c>
      <c r="O95" t="n">
        <v>0</v>
      </c>
      <c r="P95" t="n">
        <v>0</v>
      </c>
      <c r="Q95" t="n">
        <v>0</v>
      </c>
      <c r="R95" s="2" t="inlineStr"/>
    </row>
    <row r="96" ht="15" customHeight="1">
      <c r="A96" t="inlineStr">
        <is>
          <t>A 1614-2025</t>
        </is>
      </c>
      <c r="B96" s="1" t="n">
        <v>45670.60094907408</v>
      </c>
      <c r="C96" s="1" t="n">
        <v>45922</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45922</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1757-2025</t>
        </is>
      </c>
      <c r="B98" s="1" t="n">
        <v>45671.42195601852</v>
      </c>
      <c r="C98" s="1" t="n">
        <v>45922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7960-2023</t>
        </is>
      </c>
      <c r="B99" s="1" t="n">
        <v>44973</v>
      </c>
      <c r="C99" s="1" t="n">
        <v>45922</v>
      </c>
      <c r="D99" t="inlineStr">
        <is>
          <t>KALMAR LÄN</t>
        </is>
      </c>
      <c r="E99" t="inlineStr">
        <is>
          <t>BORGHOLM</t>
        </is>
      </c>
      <c r="G99" t="n">
        <v>2.1</v>
      </c>
      <c r="H99" t="n">
        <v>0</v>
      </c>
      <c r="I99" t="n">
        <v>0</v>
      </c>
      <c r="J99" t="n">
        <v>0</v>
      </c>
      <c r="K99" t="n">
        <v>0</v>
      </c>
      <c r="L99" t="n">
        <v>0</v>
      </c>
      <c r="M99" t="n">
        <v>0</v>
      </c>
      <c r="N99" t="n">
        <v>0</v>
      </c>
      <c r="O99" t="n">
        <v>0</v>
      </c>
      <c r="P99" t="n">
        <v>0</v>
      </c>
      <c r="Q99" t="n">
        <v>0</v>
      </c>
      <c r="R99" s="2" t="inlineStr"/>
    </row>
    <row r="100" ht="15" customHeight="1">
      <c r="A100" t="inlineStr">
        <is>
          <t>A 28782-2025</t>
        </is>
      </c>
      <c r="B100" s="1" t="n">
        <v>45820.45572916666</v>
      </c>
      <c r="C100" s="1" t="n">
        <v>45922</v>
      </c>
      <c r="D100" t="inlineStr">
        <is>
          <t>KALMAR LÄN</t>
        </is>
      </c>
      <c r="E100" t="inlineStr">
        <is>
          <t>BORGHOLM</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29656-2023</t>
        </is>
      </c>
      <c r="B101" s="1" t="n">
        <v>45107</v>
      </c>
      <c r="C101" s="1" t="n">
        <v>45922</v>
      </c>
      <c r="D101" t="inlineStr">
        <is>
          <t>KALMAR LÄN</t>
        </is>
      </c>
      <c r="E101" t="inlineStr">
        <is>
          <t>BORGHOLM</t>
        </is>
      </c>
      <c r="G101" t="n">
        <v>4.1</v>
      </c>
      <c r="H101" t="n">
        <v>0</v>
      </c>
      <c r="I101" t="n">
        <v>0</v>
      </c>
      <c r="J101" t="n">
        <v>0</v>
      </c>
      <c r="K101" t="n">
        <v>0</v>
      </c>
      <c r="L101" t="n">
        <v>0</v>
      </c>
      <c r="M101" t="n">
        <v>0</v>
      </c>
      <c r="N101" t="n">
        <v>0</v>
      </c>
      <c r="O101" t="n">
        <v>0</v>
      </c>
      <c r="P101" t="n">
        <v>0</v>
      </c>
      <c r="Q101" t="n">
        <v>0</v>
      </c>
      <c r="R101" s="2" t="inlineStr"/>
    </row>
    <row r="102" ht="15" customHeight="1">
      <c r="A102" t="inlineStr">
        <is>
          <t>A 9050-2025</t>
        </is>
      </c>
      <c r="B102" s="1" t="n">
        <v>45713.63512731482</v>
      </c>
      <c r="C102" s="1" t="n">
        <v>45922</v>
      </c>
      <c r="D102" t="inlineStr">
        <is>
          <t>KALMAR LÄN</t>
        </is>
      </c>
      <c r="E102" t="inlineStr">
        <is>
          <t>BORGHOLM</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13043-2024</t>
        </is>
      </c>
      <c r="B103" s="1" t="n">
        <v>45385.60111111111</v>
      </c>
      <c r="C103" s="1" t="n">
        <v>45922</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45922</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64303-2023</t>
        </is>
      </c>
      <c r="B105" s="1" t="n">
        <v>45280</v>
      </c>
      <c r="C105" s="1" t="n">
        <v>45922</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7669-2024</t>
        </is>
      </c>
      <c r="B106" s="1" t="n">
        <v>45348.82498842593</v>
      </c>
      <c r="C106" s="1" t="n">
        <v>45922</v>
      </c>
      <c r="D106" t="inlineStr">
        <is>
          <t>KALMAR LÄN</t>
        </is>
      </c>
      <c r="E106" t="inlineStr">
        <is>
          <t>BORGHOLM</t>
        </is>
      </c>
      <c r="G106" t="n">
        <v>2.3</v>
      </c>
      <c r="H106" t="n">
        <v>0</v>
      </c>
      <c r="I106" t="n">
        <v>0</v>
      </c>
      <c r="J106" t="n">
        <v>0</v>
      </c>
      <c r="K106" t="n">
        <v>0</v>
      </c>
      <c r="L106" t="n">
        <v>0</v>
      </c>
      <c r="M106" t="n">
        <v>0</v>
      </c>
      <c r="N106" t="n">
        <v>0</v>
      </c>
      <c r="O106" t="n">
        <v>0</v>
      </c>
      <c r="P106" t="n">
        <v>0</v>
      </c>
      <c r="Q106" t="n">
        <v>0</v>
      </c>
      <c r="R106" s="2" t="inlineStr"/>
    </row>
    <row r="107" ht="15" customHeight="1">
      <c r="A107" t="inlineStr">
        <is>
          <t>A 9044-2025</t>
        </is>
      </c>
      <c r="B107" s="1" t="n">
        <v>45713.6275</v>
      </c>
      <c r="C107" s="1" t="n">
        <v>45922</v>
      </c>
      <c r="D107" t="inlineStr">
        <is>
          <t>KALMAR LÄN</t>
        </is>
      </c>
      <c r="E107" t="inlineStr">
        <is>
          <t>BORGHOLM</t>
        </is>
      </c>
      <c r="F107" t="inlineStr">
        <is>
          <t>Sveaskog</t>
        </is>
      </c>
      <c r="G107" t="n">
        <v>4</v>
      </c>
      <c r="H107" t="n">
        <v>0</v>
      </c>
      <c r="I107" t="n">
        <v>0</v>
      </c>
      <c r="J107" t="n">
        <v>0</v>
      </c>
      <c r="K107" t="n">
        <v>0</v>
      </c>
      <c r="L107" t="n">
        <v>0</v>
      </c>
      <c r="M107" t="n">
        <v>0</v>
      </c>
      <c r="N107" t="n">
        <v>0</v>
      </c>
      <c r="O107" t="n">
        <v>0</v>
      </c>
      <c r="P107" t="n">
        <v>0</v>
      </c>
      <c r="Q107" t="n">
        <v>0</v>
      </c>
      <c r="R107" s="2" t="inlineStr"/>
    </row>
    <row r="108" ht="15" customHeight="1">
      <c r="A108" t="inlineStr">
        <is>
          <t>A 41831-2025</t>
        </is>
      </c>
      <c r="B108" s="1" t="n">
        <v>45902.67887731481</v>
      </c>
      <c r="C108" s="1" t="n">
        <v>45922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41950-2025</t>
        </is>
      </c>
      <c r="B109" s="1" t="n">
        <v>45903.45767361111</v>
      </c>
      <c r="C109" s="1" t="n">
        <v>45922</v>
      </c>
      <c r="D109" t="inlineStr">
        <is>
          <t>KALMAR LÄN</t>
        </is>
      </c>
      <c r="E109" t="inlineStr">
        <is>
          <t>BORGHOLM</t>
        </is>
      </c>
      <c r="G109" t="n">
        <v>1.8</v>
      </c>
      <c r="H109" t="n">
        <v>0</v>
      </c>
      <c r="I109" t="n">
        <v>0</v>
      </c>
      <c r="J109" t="n">
        <v>0</v>
      </c>
      <c r="K109" t="n">
        <v>0</v>
      </c>
      <c r="L109" t="n">
        <v>0</v>
      </c>
      <c r="M109" t="n">
        <v>0</v>
      </c>
      <c r="N109" t="n">
        <v>0</v>
      </c>
      <c r="O109" t="n">
        <v>0</v>
      </c>
      <c r="P109" t="n">
        <v>0</v>
      </c>
      <c r="Q109" t="n">
        <v>0</v>
      </c>
      <c r="R109" s="2" t="inlineStr"/>
    </row>
    <row r="110" ht="15" customHeight="1">
      <c r="A110" t="inlineStr">
        <is>
          <t>A 20878-2024</t>
        </is>
      </c>
      <c r="B110" s="1" t="n">
        <v>45439.44748842593</v>
      </c>
      <c r="C110" s="1" t="n">
        <v>45922</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17699-2025</t>
        </is>
      </c>
      <c r="B111" s="1" t="n">
        <v>45758.41846064815</v>
      </c>
      <c r="C111" s="1" t="n">
        <v>45922</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45922</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42232-2025</t>
        </is>
      </c>
      <c r="B113" s="1" t="n">
        <v>45904.55591435185</v>
      </c>
      <c r="C113" s="1" t="n">
        <v>45922</v>
      </c>
      <c r="D113" t="inlineStr">
        <is>
          <t>KALMAR LÄN</t>
        </is>
      </c>
      <c r="E113" t="inlineStr">
        <is>
          <t>BORGHOLM</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45922</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45922</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43542-2025</t>
        </is>
      </c>
      <c r="B116" s="1" t="n">
        <v>45911.61123842592</v>
      </c>
      <c r="C116" s="1" t="n">
        <v>45922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31840-2021</t>
        </is>
      </c>
      <c r="B117" s="1" t="n">
        <v>44370</v>
      </c>
      <c r="C117" s="1" t="n">
        <v>45922</v>
      </c>
      <c r="D117" t="inlineStr">
        <is>
          <t>KALMAR LÄN</t>
        </is>
      </c>
      <c r="E117" t="inlineStr">
        <is>
          <t>BORGHOLM</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9028-2025</t>
        </is>
      </c>
      <c r="B118" s="1" t="n">
        <v>45713</v>
      </c>
      <c r="C118" s="1" t="n">
        <v>45922</v>
      </c>
      <c r="D118" t="inlineStr">
        <is>
          <t>KALMAR LÄN</t>
        </is>
      </c>
      <c r="E118" t="inlineStr">
        <is>
          <t>BORGHOLM</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44224-2025</t>
        </is>
      </c>
      <c r="B119" s="1" t="n">
        <v>45915</v>
      </c>
      <c r="C119" s="1" t="n">
        <v>45922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63075-2023</t>
        </is>
      </c>
      <c r="B120" s="1" t="n">
        <v>45273</v>
      </c>
      <c r="C120" s="1" t="n">
        <v>45922</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32919-2023</t>
        </is>
      </c>
      <c r="B121" s="1" t="n">
        <v>45125</v>
      </c>
      <c r="C121" s="1" t="n">
        <v>45922</v>
      </c>
      <c r="D121" t="inlineStr">
        <is>
          <t>KALMAR LÄN</t>
        </is>
      </c>
      <c r="E121" t="inlineStr">
        <is>
          <t>BORGHOLM</t>
        </is>
      </c>
      <c r="G121" t="n">
        <v>2.7</v>
      </c>
      <c r="H121" t="n">
        <v>0</v>
      </c>
      <c r="I121" t="n">
        <v>0</v>
      </c>
      <c r="J121" t="n">
        <v>0</v>
      </c>
      <c r="K121" t="n">
        <v>0</v>
      </c>
      <c r="L121" t="n">
        <v>0</v>
      </c>
      <c r="M121" t="n">
        <v>0</v>
      </c>
      <c r="N121" t="n">
        <v>0</v>
      </c>
      <c r="O121" t="n">
        <v>0</v>
      </c>
      <c r="P121" t="n">
        <v>0</v>
      </c>
      <c r="Q121" t="n">
        <v>0</v>
      </c>
      <c r="R121" s="2" t="inlineStr"/>
    </row>
    <row r="122" ht="15" customHeight="1">
      <c r="A122" t="inlineStr">
        <is>
          <t>A 44678-2022</t>
        </is>
      </c>
      <c r="B122" s="1" t="n">
        <v>44840.65100694444</v>
      </c>
      <c r="C122" s="1" t="n">
        <v>45922</v>
      </c>
      <c r="D122" t="inlineStr">
        <is>
          <t>KALMAR LÄN</t>
        </is>
      </c>
      <c r="E122" t="inlineStr">
        <is>
          <t>BORGHOLM</t>
        </is>
      </c>
      <c r="G122" t="n">
        <v>2.4</v>
      </c>
      <c r="H122" t="n">
        <v>0</v>
      </c>
      <c r="I122" t="n">
        <v>0</v>
      </c>
      <c r="J122" t="n">
        <v>0</v>
      </c>
      <c r="K122" t="n">
        <v>0</v>
      </c>
      <c r="L122" t="n">
        <v>0</v>
      </c>
      <c r="M122" t="n">
        <v>0</v>
      </c>
      <c r="N122" t="n">
        <v>0</v>
      </c>
      <c r="O122" t="n">
        <v>0</v>
      </c>
      <c r="P122" t="n">
        <v>0</v>
      </c>
      <c r="Q122" t="n">
        <v>0</v>
      </c>
      <c r="R122" s="2" t="inlineStr"/>
    </row>
    <row r="123" ht="15" customHeight="1">
      <c r="A123" t="inlineStr">
        <is>
          <t>A 31720-2022</t>
        </is>
      </c>
      <c r="B123" s="1" t="n">
        <v>44776</v>
      </c>
      <c r="C123" s="1" t="n">
        <v>45922</v>
      </c>
      <c r="D123" t="inlineStr">
        <is>
          <t>KALMAR LÄN</t>
        </is>
      </c>
      <c r="E123" t="inlineStr">
        <is>
          <t>BORGHOLM</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17978-2021</t>
        </is>
      </c>
      <c r="B124" s="1" t="n">
        <v>44301</v>
      </c>
      <c r="C124" s="1" t="n">
        <v>45922</v>
      </c>
      <c r="D124" t="inlineStr">
        <is>
          <t>KALMAR LÄN</t>
        </is>
      </c>
      <c r="E124" t="inlineStr">
        <is>
          <t>BORGHOLM</t>
        </is>
      </c>
      <c r="G124" t="n">
        <v>6</v>
      </c>
      <c r="H124" t="n">
        <v>0</v>
      </c>
      <c r="I124" t="n">
        <v>0</v>
      </c>
      <c r="J124" t="n">
        <v>0</v>
      </c>
      <c r="K124" t="n">
        <v>0</v>
      </c>
      <c r="L124" t="n">
        <v>0</v>
      </c>
      <c r="M124" t="n">
        <v>0</v>
      </c>
      <c r="N124" t="n">
        <v>0</v>
      </c>
      <c r="O124" t="n">
        <v>0</v>
      </c>
      <c r="P124" t="n">
        <v>0</v>
      </c>
      <c r="Q124" t="n">
        <v>0</v>
      </c>
      <c r="R124" s="2" t="inlineStr"/>
    </row>
    <row r="125" ht="15" customHeight="1">
      <c r="A125" t="inlineStr">
        <is>
          <t>A 44547-2021</t>
        </is>
      </c>
      <c r="B125" s="1" t="n">
        <v>44435</v>
      </c>
      <c r="C125" s="1" t="n">
        <v>45922</v>
      </c>
      <c r="D125" t="inlineStr">
        <is>
          <t>KALMAR LÄN</t>
        </is>
      </c>
      <c r="E125" t="inlineStr">
        <is>
          <t>BORGHOLM</t>
        </is>
      </c>
      <c r="G125" t="n">
        <v>1.4</v>
      </c>
      <c r="H125" t="n">
        <v>0</v>
      </c>
      <c r="I125" t="n">
        <v>0</v>
      </c>
      <c r="J125" t="n">
        <v>0</v>
      </c>
      <c r="K125" t="n">
        <v>0</v>
      </c>
      <c r="L125" t="n">
        <v>0</v>
      </c>
      <c r="M125" t="n">
        <v>0</v>
      </c>
      <c r="N125" t="n">
        <v>0</v>
      </c>
      <c r="O125" t="n">
        <v>0</v>
      </c>
      <c r="P125" t="n">
        <v>0</v>
      </c>
      <c r="Q125" t="n">
        <v>0</v>
      </c>
      <c r="R125" s="2" t="inlineStr"/>
    </row>
    <row r="126" ht="15" customHeight="1">
      <c r="A126" t="inlineStr">
        <is>
          <t>A 5175-2024</t>
        </is>
      </c>
      <c r="B126" s="1" t="n">
        <v>45330</v>
      </c>
      <c r="C126" s="1" t="n">
        <v>45922</v>
      </c>
      <c r="D126" t="inlineStr">
        <is>
          <t>KALMAR LÄN</t>
        </is>
      </c>
      <c r="E126" t="inlineStr">
        <is>
          <t>BORGHOLM</t>
        </is>
      </c>
      <c r="G126" t="n">
        <v>1.5</v>
      </c>
      <c r="H126" t="n">
        <v>0</v>
      </c>
      <c r="I126" t="n">
        <v>0</v>
      </c>
      <c r="J126" t="n">
        <v>0</v>
      </c>
      <c r="K126" t="n">
        <v>0</v>
      </c>
      <c r="L126" t="n">
        <v>0</v>
      </c>
      <c r="M126" t="n">
        <v>0</v>
      </c>
      <c r="N126" t="n">
        <v>0</v>
      </c>
      <c r="O126" t="n">
        <v>0</v>
      </c>
      <c r="P126" t="n">
        <v>0</v>
      </c>
      <c r="Q126" t="n">
        <v>0</v>
      </c>
      <c r="R126" s="2" t="inlineStr"/>
    </row>
    <row r="127" ht="15" customHeight="1">
      <c r="A127" t="inlineStr">
        <is>
          <t>A 22785-2025</t>
        </is>
      </c>
      <c r="B127" s="1" t="n">
        <v>45789.64186342592</v>
      </c>
      <c r="C127" s="1" t="n">
        <v>45922</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12534-2022</t>
        </is>
      </c>
      <c r="B128" s="1" t="n">
        <v>44638</v>
      </c>
      <c r="C128" s="1" t="n">
        <v>45922</v>
      </c>
      <c r="D128" t="inlineStr">
        <is>
          <t>KALMAR LÄN</t>
        </is>
      </c>
      <c r="E128" t="inlineStr">
        <is>
          <t>BORGHOLM</t>
        </is>
      </c>
      <c r="G128" t="n">
        <v>8.6</v>
      </c>
      <c r="H128" t="n">
        <v>0</v>
      </c>
      <c r="I128" t="n">
        <v>0</v>
      </c>
      <c r="J128" t="n">
        <v>0</v>
      </c>
      <c r="K128" t="n">
        <v>0</v>
      </c>
      <c r="L128" t="n">
        <v>0</v>
      </c>
      <c r="M128" t="n">
        <v>0</v>
      </c>
      <c r="N128" t="n">
        <v>0</v>
      </c>
      <c r="O128" t="n">
        <v>0</v>
      </c>
      <c r="P128" t="n">
        <v>0</v>
      </c>
      <c r="Q128" t="n">
        <v>0</v>
      </c>
      <c r="R128" s="2" t="inlineStr"/>
    </row>
    <row r="129">
      <c r="A129" t="inlineStr">
        <is>
          <t>A 40339-2023</t>
        </is>
      </c>
      <c r="B129" s="1" t="n">
        <v>45169.62733796296</v>
      </c>
      <c r="C129" s="1" t="n">
        <v>45922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2025-09-22T20:27:53Z</dcterms:created>
  <dcterms:modified xmlns:dcterms="http://purl.org/dc/terms/" xmlns:xsi="http://www.w3.org/2001/XMLSchema-instance" xsi:type="dcterms:W3CDTF">2025-09-22T20:27:53Z</dcterms:modified>
</cp:coreProperties>
</file>