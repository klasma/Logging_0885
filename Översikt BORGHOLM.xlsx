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46047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46047</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46047</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46047</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46047</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46047</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44008-2022</t>
        </is>
      </c>
      <c r="B20" s="1" t="n">
        <v>44838</v>
      </c>
      <c r="C20" s="1" t="n">
        <v>46047</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13556-2025</t>
        </is>
      </c>
      <c r="B21" s="1" t="n">
        <v>45736.54759259259</v>
      </c>
      <c r="C21" s="1" t="n">
        <v>46047</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34944-2022</t>
        </is>
      </c>
      <c r="B22" s="1" t="n">
        <v>44796</v>
      </c>
      <c r="C22" s="1" t="n">
        <v>46047</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28779-2025</t>
        </is>
      </c>
      <c r="B23" s="1" t="n">
        <v>45820.44920138889</v>
      </c>
      <c r="C23" s="1" t="n">
        <v>46047</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32174-2022</t>
        </is>
      </c>
      <c r="B24" s="1" t="n">
        <v>44781</v>
      </c>
      <c r="C24" s="1" t="n">
        <v>46047</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46047</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38860-2025</t>
        </is>
      </c>
      <c r="B26" s="1" t="n">
        <v>45887.5609375</v>
      </c>
      <c r="C26" s="1" t="n">
        <v>46047</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4164-2023</t>
        </is>
      </c>
      <c r="B27" s="1" t="n">
        <v>44953</v>
      </c>
      <c r="C27" s="1" t="n">
        <v>46047</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60140-2025</t>
        </is>
      </c>
      <c r="B28" s="1" t="n">
        <v>45994.36274305556</v>
      </c>
      <c r="C28" s="1" t="n">
        <v>46047</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46047</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46047</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46047</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9745-2023</t>
        </is>
      </c>
      <c r="B34" s="1" t="n">
        <v>44984</v>
      </c>
      <c r="C34" s="1" t="n">
        <v>46047</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24048-2025</t>
        </is>
      </c>
      <c r="B35" s="1" t="n">
        <v>45796.4959375</v>
      </c>
      <c r="C35" s="1" t="n">
        <v>46047</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46047</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43603-2024</t>
        </is>
      </c>
      <c r="B37" s="1" t="n">
        <v>45569.44700231482</v>
      </c>
      <c r="C37" s="1" t="n">
        <v>46047</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28785-2025</t>
        </is>
      </c>
      <c r="B38" s="1" t="n">
        <v>45820.46159722222</v>
      </c>
      <c r="C38" s="1" t="n">
        <v>46047</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14789-2021</t>
        </is>
      </c>
      <c r="B39" s="1" t="n">
        <v>44280</v>
      </c>
      <c r="C39" s="1" t="n">
        <v>46047</v>
      </c>
      <c r="D39" t="inlineStr">
        <is>
          <t>KALMAR LÄN</t>
        </is>
      </c>
      <c r="E39" t="inlineStr">
        <is>
          <t>BORGHOLM</t>
        </is>
      </c>
      <c r="G39" t="n">
        <v>1</v>
      </c>
      <c r="H39" t="n">
        <v>1</v>
      </c>
      <c r="I39" t="n">
        <v>1</v>
      </c>
      <c r="J39" t="n">
        <v>0</v>
      </c>
      <c r="K39" t="n">
        <v>0</v>
      </c>
      <c r="L39" t="n">
        <v>0</v>
      </c>
      <c r="M39" t="n">
        <v>0</v>
      </c>
      <c r="N39" t="n">
        <v>0</v>
      </c>
      <c r="O39" t="n">
        <v>0</v>
      </c>
      <c r="P39" t="n">
        <v>0</v>
      </c>
      <c r="Q39" t="n">
        <v>1</v>
      </c>
      <c r="R39" s="2" t="inlineStr">
        <is>
          <t>Skogsknipprot</t>
        </is>
      </c>
      <c r="S39">
        <f>HYPERLINK("https://klasma.github.io/Logging_0885/artfynd/A 14789-2021 artfynd.xlsx", "A 14789-2021")</f>
        <v/>
      </c>
      <c r="T39">
        <f>HYPERLINK("https://klasma.github.io/Logging_0885/kartor/A 14789-2021 karta.png", "A 14789-2021")</f>
        <v/>
      </c>
      <c r="V39">
        <f>HYPERLINK("https://klasma.github.io/Logging_0885/klagomål/A 14789-2021 FSC-klagomål.docx", "A 14789-2021")</f>
        <v/>
      </c>
      <c r="W39">
        <f>HYPERLINK("https://klasma.github.io/Logging_0885/klagomålsmail/A 14789-2021 FSC-klagomål mail.docx", "A 14789-2021")</f>
        <v/>
      </c>
      <c r="X39">
        <f>HYPERLINK("https://klasma.github.io/Logging_0885/tillsyn/A 14789-2021 tillsynsbegäran.docx", "A 14789-2021")</f>
        <v/>
      </c>
      <c r="Y39">
        <f>HYPERLINK("https://klasma.github.io/Logging_0885/tillsynsmail/A 14789-2021 tillsynsbegäran mail.docx", "A 14789-2021")</f>
        <v/>
      </c>
    </row>
    <row r="40" ht="15" customHeight="1">
      <c r="A40" t="inlineStr">
        <is>
          <t>A 29962-2025</t>
        </is>
      </c>
      <c r="B40" s="1" t="n">
        <v>45826.48184027777</v>
      </c>
      <c r="C40" s="1" t="n">
        <v>46047</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34885-2025</t>
        </is>
      </c>
      <c r="B41" s="1" t="n">
        <v>45849.47128472223</v>
      </c>
      <c r="C41" s="1" t="n">
        <v>46047</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24704-2023</t>
        </is>
      </c>
      <c r="B42" s="1" t="n">
        <v>45084</v>
      </c>
      <c r="C42" s="1" t="n">
        <v>46047</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12785-2021</t>
        </is>
      </c>
      <c r="B43" s="1" t="n">
        <v>44270</v>
      </c>
      <c r="C43" s="1" t="n">
        <v>46047</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45693-2025</t>
        </is>
      </c>
      <c r="B44" s="1" t="n">
        <v>45923</v>
      </c>
      <c r="C44" s="1" t="n">
        <v>46047</v>
      </c>
      <c r="D44" t="inlineStr">
        <is>
          <t>KALMAR LÄN</t>
        </is>
      </c>
      <c r="E44" t="inlineStr">
        <is>
          <t>BORGHOLM</t>
        </is>
      </c>
      <c r="G44" t="n">
        <v>4.8</v>
      </c>
      <c r="H44" t="n">
        <v>0</v>
      </c>
      <c r="I44" t="n">
        <v>0</v>
      </c>
      <c r="J44" t="n">
        <v>1</v>
      </c>
      <c r="K44" t="n">
        <v>0</v>
      </c>
      <c r="L44" t="n">
        <v>0</v>
      </c>
      <c r="M44" t="n">
        <v>0</v>
      </c>
      <c r="N44" t="n">
        <v>0</v>
      </c>
      <c r="O44" t="n">
        <v>1</v>
      </c>
      <c r="P44" t="n">
        <v>0</v>
      </c>
      <c r="Q44" t="n">
        <v>1</v>
      </c>
      <c r="R44" s="2" t="inlineStr">
        <is>
          <t>Stjälkröksvamp</t>
        </is>
      </c>
      <c r="S44">
        <f>HYPERLINK("https://klasma.github.io/Logging_0885/artfynd/A 45693-2025 artfynd.xlsx", "A 45693-2025")</f>
        <v/>
      </c>
      <c r="T44">
        <f>HYPERLINK("https://klasma.github.io/Logging_0885/kartor/A 45693-2025 karta.png", "A 45693-2025")</f>
        <v/>
      </c>
      <c r="V44">
        <f>HYPERLINK("https://klasma.github.io/Logging_0885/klagomål/A 45693-2025 FSC-klagomål.docx", "A 45693-2025")</f>
        <v/>
      </c>
      <c r="W44">
        <f>HYPERLINK("https://klasma.github.io/Logging_0885/klagomålsmail/A 45693-2025 FSC-klagomål mail.docx", "A 45693-2025")</f>
        <v/>
      </c>
      <c r="X44">
        <f>HYPERLINK("https://klasma.github.io/Logging_0885/tillsyn/A 45693-2025 tillsynsbegäran.docx", "A 45693-2025")</f>
        <v/>
      </c>
      <c r="Y44">
        <f>HYPERLINK("https://klasma.github.io/Logging_0885/tillsynsmail/A 45693-2025 tillsynsbegäran mail.docx", "A 45693-2025")</f>
        <v/>
      </c>
    </row>
    <row r="45" ht="15" customHeight="1">
      <c r="A45" t="inlineStr">
        <is>
          <t>A 3302-2026</t>
        </is>
      </c>
      <c r="B45" s="1" t="n">
        <v>46041</v>
      </c>
      <c r="C45" s="1" t="n">
        <v>46047</v>
      </c>
      <c r="D45" t="inlineStr">
        <is>
          <t>KALMAR LÄN</t>
        </is>
      </c>
      <c r="E45" t="inlineStr">
        <is>
          <t>BORGHOLM</t>
        </is>
      </c>
      <c r="G45" t="n">
        <v>3.9</v>
      </c>
      <c r="H45" t="n">
        <v>1</v>
      </c>
      <c r="I45" t="n">
        <v>0</v>
      </c>
      <c r="J45" t="n">
        <v>0</v>
      </c>
      <c r="K45" t="n">
        <v>0</v>
      </c>
      <c r="L45" t="n">
        <v>0</v>
      </c>
      <c r="M45" t="n">
        <v>0</v>
      </c>
      <c r="N45" t="n">
        <v>0</v>
      </c>
      <c r="O45" t="n">
        <v>0</v>
      </c>
      <c r="P45" t="n">
        <v>0</v>
      </c>
      <c r="Q45" t="n">
        <v>1</v>
      </c>
      <c r="R45" s="2" t="inlineStr">
        <is>
          <t>Blåsippa</t>
        </is>
      </c>
      <c r="S45">
        <f>HYPERLINK("https://klasma.github.io/Logging_0885/artfynd/A 3302-2026 artfynd.xlsx", "A 3302-2026")</f>
        <v/>
      </c>
      <c r="T45">
        <f>HYPERLINK("https://klasma.github.io/Logging_0885/kartor/A 3302-2026 karta.png", "A 3302-2026")</f>
        <v/>
      </c>
      <c r="V45">
        <f>HYPERLINK("https://klasma.github.io/Logging_0885/klagomål/A 3302-2026 FSC-klagomål.docx", "A 3302-2026")</f>
        <v/>
      </c>
      <c r="W45">
        <f>HYPERLINK("https://klasma.github.io/Logging_0885/klagomålsmail/A 3302-2026 FSC-klagomål mail.docx", "A 3302-2026")</f>
        <v/>
      </c>
      <c r="X45">
        <f>HYPERLINK("https://klasma.github.io/Logging_0885/tillsyn/A 3302-2026 tillsynsbegäran.docx", "A 3302-2026")</f>
        <v/>
      </c>
      <c r="Y45">
        <f>HYPERLINK("https://klasma.github.io/Logging_0885/tillsynsmail/A 3302-2026 tillsynsbegäran mail.docx", "A 3302-2026")</f>
        <v/>
      </c>
    </row>
    <row r="46" ht="15" customHeight="1">
      <c r="A46" t="inlineStr">
        <is>
          <t>A 12711-2021</t>
        </is>
      </c>
      <c r="B46" s="1" t="n">
        <v>44270</v>
      </c>
      <c r="C46" s="1" t="n">
        <v>46047</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46047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46047</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46047</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46047</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46047</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46047</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46047</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46047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46047</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46047</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56983-2021</t>
        </is>
      </c>
      <c r="B57" s="1" t="n">
        <v>44482</v>
      </c>
      <c r="C57" s="1" t="n">
        <v>46047</v>
      </c>
      <c r="D57" t="inlineStr">
        <is>
          <t>KALMAR LÄN</t>
        </is>
      </c>
      <c r="E57" t="inlineStr">
        <is>
          <t>BORGHOLM</t>
        </is>
      </c>
      <c r="G57" t="n">
        <v>1.2</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46047</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46047</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46047</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46047</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46047</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3878-2023</t>
        </is>
      </c>
      <c r="B63" s="1" t="n">
        <v>44951</v>
      </c>
      <c r="C63" s="1" t="n">
        <v>46047</v>
      </c>
      <c r="D63" t="inlineStr">
        <is>
          <t>KALMAR LÄN</t>
        </is>
      </c>
      <c r="E63" t="inlineStr">
        <is>
          <t>BORGHOLM</t>
        </is>
      </c>
      <c r="G63" t="n">
        <v>1.7</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46047</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9076-2025</t>
        </is>
      </c>
      <c r="B65" s="1" t="n">
        <v>45713.6596875</v>
      </c>
      <c r="C65" s="1" t="n">
        <v>46047</v>
      </c>
      <c r="D65" t="inlineStr">
        <is>
          <t>KALMAR LÄN</t>
        </is>
      </c>
      <c r="E65" t="inlineStr">
        <is>
          <t>BORGHOLM</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1757-2025</t>
        </is>
      </c>
      <c r="B66" s="1" t="n">
        <v>45671.42195601852</v>
      </c>
      <c r="C66" s="1" t="n">
        <v>46047</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34951-2022</t>
        </is>
      </c>
      <c r="B67" s="1" t="n">
        <v>44796</v>
      </c>
      <c r="C67" s="1" t="n">
        <v>46047</v>
      </c>
      <c r="D67" t="inlineStr">
        <is>
          <t>KALMAR LÄN</t>
        </is>
      </c>
      <c r="E67" t="inlineStr">
        <is>
          <t>BORGHOLM</t>
        </is>
      </c>
      <c r="F67" t="inlineStr">
        <is>
          <t>Sveaskog</t>
        </is>
      </c>
      <c r="G67" t="n">
        <v>4.6</v>
      </c>
      <c r="H67" t="n">
        <v>0</v>
      </c>
      <c r="I67" t="n">
        <v>0</v>
      </c>
      <c r="J67" t="n">
        <v>0</v>
      </c>
      <c r="K67" t="n">
        <v>0</v>
      </c>
      <c r="L67" t="n">
        <v>0</v>
      </c>
      <c r="M67" t="n">
        <v>0</v>
      </c>
      <c r="N67" t="n">
        <v>0</v>
      </c>
      <c r="O67" t="n">
        <v>0</v>
      </c>
      <c r="P67" t="n">
        <v>0</v>
      </c>
      <c r="Q67" t="n">
        <v>0</v>
      </c>
      <c r="R67" s="2" t="inlineStr"/>
    </row>
    <row r="68" ht="15" customHeight="1">
      <c r="A68" t="inlineStr">
        <is>
          <t>A 19867-2024</t>
        </is>
      </c>
      <c r="B68" s="1" t="n">
        <v>45433</v>
      </c>
      <c r="C68" s="1" t="n">
        <v>46047</v>
      </c>
      <c r="D68" t="inlineStr">
        <is>
          <t>KALMAR LÄN</t>
        </is>
      </c>
      <c r="E68" t="inlineStr">
        <is>
          <t>BORGHOLM</t>
        </is>
      </c>
      <c r="G68" t="n">
        <v>3.9</v>
      </c>
      <c r="H68" t="n">
        <v>0</v>
      </c>
      <c r="I68" t="n">
        <v>0</v>
      </c>
      <c r="J68" t="n">
        <v>0</v>
      </c>
      <c r="K68" t="n">
        <v>0</v>
      </c>
      <c r="L68" t="n">
        <v>0</v>
      </c>
      <c r="M68" t="n">
        <v>0</v>
      </c>
      <c r="N68" t="n">
        <v>0</v>
      </c>
      <c r="O68" t="n">
        <v>0</v>
      </c>
      <c r="P68" t="n">
        <v>0</v>
      </c>
      <c r="Q68" t="n">
        <v>0</v>
      </c>
      <c r="R68" s="2" t="inlineStr"/>
    </row>
    <row r="69" ht="15" customHeight="1">
      <c r="A69" t="inlineStr">
        <is>
          <t>A 7960-2023</t>
        </is>
      </c>
      <c r="B69" s="1" t="n">
        <v>44973</v>
      </c>
      <c r="C69" s="1" t="n">
        <v>46047</v>
      </c>
      <c r="D69" t="inlineStr">
        <is>
          <t>KALMAR LÄN</t>
        </is>
      </c>
      <c r="E69" t="inlineStr">
        <is>
          <t>BORGHOLM</t>
        </is>
      </c>
      <c r="G69" t="n">
        <v>2.1</v>
      </c>
      <c r="H69" t="n">
        <v>0</v>
      </c>
      <c r="I69" t="n">
        <v>0</v>
      </c>
      <c r="J69" t="n">
        <v>0</v>
      </c>
      <c r="K69" t="n">
        <v>0</v>
      </c>
      <c r="L69" t="n">
        <v>0</v>
      </c>
      <c r="M69" t="n">
        <v>0</v>
      </c>
      <c r="N69" t="n">
        <v>0</v>
      </c>
      <c r="O69" t="n">
        <v>0</v>
      </c>
      <c r="P69" t="n">
        <v>0</v>
      </c>
      <c r="Q69" t="n">
        <v>0</v>
      </c>
      <c r="R69" s="2" t="inlineStr"/>
    </row>
    <row r="70" ht="15" customHeight="1">
      <c r="A70" t="inlineStr">
        <is>
          <t>A 17978-2021</t>
        </is>
      </c>
      <c r="B70" s="1" t="n">
        <v>44301</v>
      </c>
      <c r="C70" s="1" t="n">
        <v>46047</v>
      </c>
      <c r="D70" t="inlineStr">
        <is>
          <t>KALMAR LÄN</t>
        </is>
      </c>
      <c r="E70" t="inlineStr">
        <is>
          <t>BORGHOLM</t>
        </is>
      </c>
      <c r="G70" t="n">
        <v>6</v>
      </c>
      <c r="H70" t="n">
        <v>0</v>
      </c>
      <c r="I70" t="n">
        <v>0</v>
      </c>
      <c r="J70" t="n">
        <v>0</v>
      </c>
      <c r="K70" t="n">
        <v>0</v>
      </c>
      <c r="L70" t="n">
        <v>0</v>
      </c>
      <c r="M70" t="n">
        <v>0</v>
      </c>
      <c r="N70" t="n">
        <v>0</v>
      </c>
      <c r="O70" t="n">
        <v>0</v>
      </c>
      <c r="P70" t="n">
        <v>0</v>
      </c>
      <c r="Q70" t="n">
        <v>0</v>
      </c>
      <c r="R70" s="2" t="inlineStr"/>
    </row>
    <row r="71" ht="15" customHeight="1">
      <c r="A71" t="inlineStr">
        <is>
          <t>A 22785-2025</t>
        </is>
      </c>
      <c r="B71" s="1" t="n">
        <v>45789.64186342592</v>
      </c>
      <c r="C71" s="1" t="n">
        <v>46047</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29656-2023</t>
        </is>
      </c>
      <c r="B72" s="1" t="n">
        <v>45107</v>
      </c>
      <c r="C72" s="1" t="n">
        <v>46047</v>
      </c>
      <c r="D72" t="inlineStr">
        <is>
          <t>KALMAR LÄN</t>
        </is>
      </c>
      <c r="E72" t="inlineStr">
        <is>
          <t>BORGHOLM</t>
        </is>
      </c>
      <c r="G72" t="n">
        <v>4.1</v>
      </c>
      <c r="H72" t="n">
        <v>0</v>
      </c>
      <c r="I72" t="n">
        <v>0</v>
      </c>
      <c r="J72" t="n">
        <v>0</v>
      </c>
      <c r="K72" t="n">
        <v>0</v>
      </c>
      <c r="L72" t="n">
        <v>0</v>
      </c>
      <c r="M72" t="n">
        <v>0</v>
      </c>
      <c r="N72" t="n">
        <v>0</v>
      </c>
      <c r="O72" t="n">
        <v>0</v>
      </c>
      <c r="P72" t="n">
        <v>0</v>
      </c>
      <c r="Q72" t="n">
        <v>0</v>
      </c>
      <c r="R72" s="2" t="inlineStr"/>
    </row>
    <row r="73" ht="15" customHeight="1">
      <c r="A73" t="inlineStr">
        <is>
          <t>A 12534-2022</t>
        </is>
      </c>
      <c r="B73" s="1" t="n">
        <v>44638</v>
      </c>
      <c r="C73" s="1" t="n">
        <v>46047</v>
      </c>
      <c r="D73" t="inlineStr">
        <is>
          <t>KALMAR LÄN</t>
        </is>
      </c>
      <c r="E73" t="inlineStr">
        <is>
          <t>BORGHOLM</t>
        </is>
      </c>
      <c r="G73" t="n">
        <v>8.6</v>
      </c>
      <c r="H73" t="n">
        <v>0</v>
      </c>
      <c r="I73" t="n">
        <v>0</v>
      </c>
      <c r="J73" t="n">
        <v>0</v>
      </c>
      <c r="K73" t="n">
        <v>0</v>
      </c>
      <c r="L73" t="n">
        <v>0</v>
      </c>
      <c r="M73" t="n">
        <v>0</v>
      </c>
      <c r="N73" t="n">
        <v>0</v>
      </c>
      <c r="O73" t="n">
        <v>0</v>
      </c>
      <c r="P73" t="n">
        <v>0</v>
      </c>
      <c r="Q73" t="n">
        <v>0</v>
      </c>
      <c r="R73" s="2" t="inlineStr"/>
    </row>
    <row r="74" ht="15" customHeight="1">
      <c r="A74" t="inlineStr">
        <is>
          <t>A 64303-2023</t>
        </is>
      </c>
      <c r="B74" s="1" t="n">
        <v>45280</v>
      </c>
      <c r="C74" s="1" t="n">
        <v>46047</v>
      </c>
      <c r="D74" t="inlineStr">
        <is>
          <t>KALMAR LÄN</t>
        </is>
      </c>
      <c r="E74" t="inlineStr">
        <is>
          <t>BORGHOLM</t>
        </is>
      </c>
      <c r="G74" t="n">
        <v>1.2</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46047</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40339-2023</t>
        </is>
      </c>
      <c r="B76" s="1" t="n">
        <v>45169.62733796296</v>
      </c>
      <c r="C76" s="1" t="n">
        <v>46047</v>
      </c>
      <c r="D76" t="inlineStr">
        <is>
          <t>KALMAR LÄN</t>
        </is>
      </c>
      <c r="E76" t="inlineStr">
        <is>
          <t>BORGHOLM</t>
        </is>
      </c>
      <c r="G76" t="n">
        <v>3.8</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46047</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46047</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9050-2025</t>
        </is>
      </c>
      <c r="B79" s="1" t="n">
        <v>45713.63512731482</v>
      </c>
      <c r="C79" s="1" t="n">
        <v>46047</v>
      </c>
      <c r="D79" t="inlineStr">
        <is>
          <t>KALMAR LÄN</t>
        </is>
      </c>
      <c r="E79" t="inlineStr">
        <is>
          <t>BORGHOLM</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24166-2022</t>
        </is>
      </c>
      <c r="B80" s="1" t="n">
        <v>44725</v>
      </c>
      <c r="C80" s="1" t="n">
        <v>46047</v>
      </c>
      <c r="D80" t="inlineStr">
        <is>
          <t>KALMAR LÄN</t>
        </is>
      </c>
      <c r="E80" t="inlineStr">
        <is>
          <t>BORGHOLM</t>
        </is>
      </c>
      <c r="G80" t="n">
        <v>10.7</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46047</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4165-2023</t>
        </is>
      </c>
      <c r="B82" s="1" t="n">
        <v>44953</v>
      </c>
      <c r="C82" s="1" t="n">
        <v>46047</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21908-2022</t>
        </is>
      </c>
      <c r="B83" s="1" t="n">
        <v>44711</v>
      </c>
      <c r="C83" s="1" t="n">
        <v>46047</v>
      </c>
      <c r="D83" t="inlineStr">
        <is>
          <t>KALMAR LÄN</t>
        </is>
      </c>
      <c r="E83" t="inlineStr">
        <is>
          <t>BORGHOLM</t>
        </is>
      </c>
      <c r="G83" t="n">
        <v>4.7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46047</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50129-2021</t>
        </is>
      </c>
      <c r="B85" s="1" t="n">
        <v>44456</v>
      </c>
      <c r="C85" s="1" t="n">
        <v>46047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46047</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46047</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46047</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46047</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46047</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27366-2025</t>
        </is>
      </c>
      <c r="B91" s="1" t="n">
        <v>45812.64475694444</v>
      </c>
      <c r="C91" s="1" t="n">
        <v>46047</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28782-2025</t>
        </is>
      </c>
      <c r="B92" s="1" t="n">
        <v>45820.45572916666</v>
      </c>
      <c r="C92" s="1" t="n">
        <v>46047</v>
      </c>
      <c r="D92" t="inlineStr">
        <is>
          <t>KALMAR LÄN</t>
        </is>
      </c>
      <c r="E92" t="inlineStr">
        <is>
          <t>BORGHOLM</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46047</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46047</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46047</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31699-2022</t>
        </is>
      </c>
      <c r="B96" s="1" t="n">
        <v>44776</v>
      </c>
      <c r="C96" s="1" t="n">
        <v>46047</v>
      </c>
      <c r="D96" t="inlineStr">
        <is>
          <t>KALMAR LÄN</t>
        </is>
      </c>
      <c r="E96" t="inlineStr">
        <is>
          <t>BORGHOLM</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63276-2023</t>
        </is>
      </c>
      <c r="B97" s="1" t="n">
        <v>45273.82195601852</v>
      </c>
      <c r="C97" s="1" t="n">
        <v>46047</v>
      </c>
      <c r="D97" t="inlineStr">
        <is>
          <t>KALMAR LÄN</t>
        </is>
      </c>
      <c r="E97" t="inlineStr">
        <is>
          <t>BORGHOLM</t>
        </is>
      </c>
      <c r="G97" t="n">
        <v>5</v>
      </c>
      <c r="H97" t="n">
        <v>0</v>
      </c>
      <c r="I97" t="n">
        <v>0</v>
      </c>
      <c r="J97" t="n">
        <v>0</v>
      </c>
      <c r="K97" t="n">
        <v>0</v>
      </c>
      <c r="L97" t="n">
        <v>0</v>
      </c>
      <c r="M97" t="n">
        <v>0</v>
      </c>
      <c r="N97" t="n">
        <v>0</v>
      </c>
      <c r="O97" t="n">
        <v>0</v>
      </c>
      <c r="P97" t="n">
        <v>0</v>
      </c>
      <c r="Q97" t="n">
        <v>0</v>
      </c>
      <c r="R97" s="2" t="inlineStr"/>
    </row>
    <row r="98" ht="15" customHeight="1">
      <c r="A98" t="inlineStr">
        <is>
          <t>A 1614-2025</t>
        </is>
      </c>
      <c r="B98" s="1" t="n">
        <v>45670.60094907408</v>
      </c>
      <c r="C98" s="1" t="n">
        <v>46047</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46047</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36269-2025</t>
        </is>
      </c>
      <c r="B100" s="1" t="n">
        <v>45867.61736111111</v>
      </c>
      <c r="C100" s="1" t="n">
        <v>46047</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46047</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46047</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46047</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46047</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46047</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46047</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41831-2025</t>
        </is>
      </c>
      <c r="B107" s="1" t="n">
        <v>45902.67887731481</v>
      </c>
      <c r="C107" s="1" t="n">
        <v>46047</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9044-2025</t>
        </is>
      </c>
      <c r="B108" s="1" t="n">
        <v>45713.6275</v>
      </c>
      <c r="C108" s="1" t="n">
        <v>46047</v>
      </c>
      <c r="D108" t="inlineStr">
        <is>
          <t>KALMAR LÄN</t>
        </is>
      </c>
      <c r="E108" t="inlineStr">
        <is>
          <t>BORGHOLM</t>
        </is>
      </c>
      <c r="F108" t="inlineStr">
        <is>
          <t>Sveaskog</t>
        </is>
      </c>
      <c r="G108" t="n">
        <v>4</v>
      </c>
      <c r="H108" t="n">
        <v>0</v>
      </c>
      <c r="I108" t="n">
        <v>0</v>
      </c>
      <c r="J108" t="n">
        <v>0</v>
      </c>
      <c r="K108" t="n">
        <v>0</v>
      </c>
      <c r="L108" t="n">
        <v>0</v>
      </c>
      <c r="M108" t="n">
        <v>0</v>
      </c>
      <c r="N108" t="n">
        <v>0</v>
      </c>
      <c r="O108" t="n">
        <v>0</v>
      </c>
      <c r="P108" t="n">
        <v>0</v>
      </c>
      <c r="Q108" t="n">
        <v>0</v>
      </c>
      <c r="R108" s="2" t="inlineStr"/>
    </row>
    <row r="109" ht="15" customHeight="1">
      <c r="A109" t="inlineStr">
        <is>
          <t>A 41950-2025</t>
        </is>
      </c>
      <c r="B109" s="1" t="n">
        <v>45903.45767361111</v>
      </c>
      <c r="C109" s="1" t="n">
        <v>46047</v>
      </c>
      <c r="D109" t="inlineStr">
        <is>
          <t>KALMAR LÄN</t>
        </is>
      </c>
      <c r="E109" t="inlineStr">
        <is>
          <t>BORGHOLM</t>
        </is>
      </c>
      <c r="G109" t="n">
        <v>1.8</v>
      </c>
      <c r="H109" t="n">
        <v>0</v>
      </c>
      <c r="I109" t="n">
        <v>0</v>
      </c>
      <c r="J109" t="n">
        <v>0</v>
      </c>
      <c r="K109" t="n">
        <v>0</v>
      </c>
      <c r="L109" t="n">
        <v>0</v>
      </c>
      <c r="M109" t="n">
        <v>0</v>
      </c>
      <c r="N109" t="n">
        <v>0</v>
      </c>
      <c r="O109" t="n">
        <v>0</v>
      </c>
      <c r="P109" t="n">
        <v>0</v>
      </c>
      <c r="Q109" t="n">
        <v>0</v>
      </c>
      <c r="R109" s="2" t="inlineStr"/>
    </row>
    <row r="110" ht="15" customHeight="1">
      <c r="A110" t="inlineStr">
        <is>
          <t>A 42232-2025</t>
        </is>
      </c>
      <c r="B110" s="1" t="n">
        <v>45904.55591435185</v>
      </c>
      <c r="C110" s="1" t="n">
        <v>46047</v>
      </c>
      <c r="D110" t="inlineStr">
        <is>
          <t>KALMAR LÄN</t>
        </is>
      </c>
      <c r="E110" t="inlineStr">
        <is>
          <t>BORGHOLM</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20878-2024</t>
        </is>
      </c>
      <c r="B111" s="1" t="n">
        <v>45439.44748842593</v>
      </c>
      <c r="C111" s="1" t="n">
        <v>46047</v>
      </c>
      <c r="D111" t="inlineStr">
        <is>
          <t>KALMAR LÄN</t>
        </is>
      </c>
      <c r="E111" t="inlineStr">
        <is>
          <t>BORGHOLM</t>
        </is>
      </c>
      <c r="G111" t="n">
        <v>1.9</v>
      </c>
      <c r="H111" t="n">
        <v>0</v>
      </c>
      <c r="I111" t="n">
        <v>0</v>
      </c>
      <c r="J111" t="n">
        <v>0</v>
      </c>
      <c r="K111" t="n">
        <v>0</v>
      </c>
      <c r="L111" t="n">
        <v>0</v>
      </c>
      <c r="M111" t="n">
        <v>0</v>
      </c>
      <c r="N111" t="n">
        <v>0</v>
      </c>
      <c r="O111" t="n">
        <v>0</v>
      </c>
      <c r="P111" t="n">
        <v>0</v>
      </c>
      <c r="Q111" t="n">
        <v>0</v>
      </c>
      <c r="R111" s="2" t="inlineStr"/>
    </row>
    <row r="112" ht="15" customHeight="1">
      <c r="A112" t="inlineStr">
        <is>
          <t>A 43542-2025</t>
        </is>
      </c>
      <c r="B112" s="1" t="n">
        <v>45911.61123842592</v>
      </c>
      <c r="C112" s="1" t="n">
        <v>46047</v>
      </c>
      <c r="D112" t="inlineStr">
        <is>
          <t>KALMAR LÄN</t>
        </is>
      </c>
      <c r="E112" t="inlineStr">
        <is>
          <t>BORGHOLM</t>
        </is>
      </c>
      <c r="G112" t="n">
        <v>2.4</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46047</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46047</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46047</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45734-2025</t>
        </is>
      </c>
      <c r="B116" s="1" t="n">
        <v>45923.46512731481</v>
      </c>
      <c r="C116" s="1" t="n">
        <v>46047</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45869-2025</t>
        </is>
      </c>
      <c r="B117" s="1" t="n">
        <v>45923.65313657407</v>
      </c>
      <c r="C117" s="1" t="n">
        <v>46047</v>
      </c>
      <c r="D117" t="inlineStr">
        <is>
          <t>KALMAR LÄN</t>
        </is>
      </c>
      <c r="E117" t="inlineStr">
        <is>
          <t>BORGHOLM</t>
        </is>
      </c>
      <c r="G117" t="n">
        <v>4.5</v>
      </c>
      <c r="H117" t="n">
        <v>0</v>
      </c>
      <c r="I117" t="n">
        <v>0</v>
      </c>
      <c r="J117" t="n">
        <v>0</v>
      </c>
      <c r="K117" t="n">
        <v>0</v>
      </c>
      <c r="L117" t="n">
        <v>0</v>
      </c>
      <c r="M117" t="n">
        <v>0</v>
      </c>
      <c r="N117" t="n">
        <v>0</v>
      </c>
      <c r="O117" t="n">
        <v>0</v>
      </c>
      <c r="P117" t="n">
        <v>0</v>
      </c>
      <c r="Q117" t="n">
        <v>0</v>
      </c>
      <c r="R117" s="2" t="inlineStr"/>
    </row>
    <row r="118" ht="15" customHeight="1">
      <c r="A118" t="inlineStr">
        <is>
          <t>A 46845-2025</t>
        </is>
      </c>
      <c r="B118" s="1" t="n">
        <v>45928</v>
      </c>
      <c r="C118" s="1" t="n">
        <v>46047</v>
      </c>
      <c r="D118" t="inlineStr">
        <is>
          <t>KALMAR LÄN</t>
        </is>
      </c>
      <c r="E118" t="inlineStr">
        <is>
          <t>BORGHOLM</t>
        </is>
      </c>
      <c r="G118" t="n">
        <v>2.7</v>
      </c>
      <c r="H118" t="n">
        <v>0</v>
      </c>
      <c r="I118" t="n">
        <v>0</v>
      </c>
      <c r="J118" t="n">
        <v>0</v>
      </c>
      <c r="K118" t="n">
        <v>0</v>
      </c>
      <c r="L118" t="n">
        <v>0</v>
      </c>
      <c r="M118" t="n">
        <v>0</v>
      </c>
      <c r="N118" t="n">
        <v>0</v>
      </c>
      <c r="O118" t="n">
        <v>0</v>
      </c>
      <c r="P118" t="n">
        <v>0</v>
      </c>
      <c r="Q118" t="n">
        <v>0</v>
      </c>
      <c r="R118" s="2" t="inlineStr"/>
    </row>
    <row r="119" ht="15" customHeight="1">
      <c r="A119" t="inlineStr">
        <is>
          <t>A 63075-2023</t>
        </is>
      </c>
      <c r="B119" s="1" t="n">
        <v>45273</v>
      </c>
      <c r="C119" s="1" t="n">
        <v>46047</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60141-2025</t>
        </is>
      </c>
      <c r="B120" s="1" t="n">
        <v>45994.36873842592</v>
      </c>
      <c r="C120" s="1" t="n">
        <v>46047</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c r="A121" t="inlineStr">
        <is>
          <t>A 61723-2025</t>
        </is>
      </c>
      <c r="B121" s="1" t="n">
        <v>46002.58388888889</v>
      </c>
      <c r="C121" s="1" t="n">
        <v>46047</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2026-01-25T11:04:43Z</dcterms:created>
  <dcterms:modified xmlns:dcterms="http://purl.org/dc/terms/" xmlns:xsi="http://www.w3.org/2001/XMLSchema-instance" xsi:type="dcterms:W3CDTF">2026-01-25T11:04:43Z</dcterms:modified>
</cp:coreProperties>
</file>