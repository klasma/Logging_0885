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46066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46066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46066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46066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46066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46066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46066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46066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46066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46066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46066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46066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46066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46066</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46066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46066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46066</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46066</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46066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46066</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46066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46066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32174-2022</t>
        </is>
      </c>
      <c r="B24" s="1" t="n">
        <v>44781</v>
      </c>
      <c r="C24" s="1" t="n">
        <v>46066</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46066</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60140-2025</t>
        </is>
      </c>
      <c r="B26" s="1" t="n">
        <v>45994.36274305556</v>
      </c>
      <c r="C26" s="1" t="n">
        <v>46066</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4164-2023</t>
        </is>
      </c>
      <c r="B27" s="1" t="n">
        <v>44953</v>
      </c>
      <c r="C27" s="1" t="n">
        <v>46066</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31790-2021</t>
        </is>
      </c>
      <c r="B28" s="1" t="n">
        <v>44370</v>
      </c>
      <c r="C28" s="1" t="n">
        <v>46066</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46066</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46066</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46066</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24048-2025</t>
        </is>
      </c>
      <c r="B32" s="1" t="n">
        <v>45796.4959375</v>
      </c>
      <c r="C32" s="1" t="n">
        <v>46066</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46066</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3302-2026</t>
        </is>
      </c>
      <c r="B34" s="1" t="n">
        <v>46041</v>
      </c>
      <c r="C34" s="1" t="n">
        <v>46066</v>
      </c>
      <c r="D34" t="inlineStr">
        <is>
          <t>KALMAR LÄN</t>
        </is>
      </c>
      <c r="E34" t="inlineStr">
        <is>
          <t>BORGHOLM</t>
        </is>
      </c>
      <c r="G34" t="n">
        <v>3.9</v>
      </c>
      <c r="H34" t="n">
        <v>1</v>
      </c>
      <c r="I34" t="n">
        <v>0</v>
      </c>
      <c r="J34" t="n">
        <v>0</v>
      </c>
      <c r="K34" t="n">
        <v>0</v>
      </c>
      <c r="L34" t="n">
        <v>0</v>
      </c>
      <c r="M34" t="n">
        <v>0</v>
      </c>
      <c r="N34" t="n">
        <v>0</v>
      </c>
      <c r="O34" t="n">
        <v>0</v>
      </c>
      <c r="P34" t="n">
        <v>0</v>
      </c>
      <c r="Q34" t="n">
        <v>1</v>
      </c>
      <c r="R34" s="2" t="inlineStr">
        <is>
          <t>Blåsippa</t>
        </is>
      </c>
      <c r="S34">
        <f>HYPERLINK("https://klasma.github.io/Logging_0885/artfynd/A 3302-2026 artfynd.xlsx", "A 3302-2026")</f>
        <v/>
      </c>
      <c r="T34">
        <f>HYPERLINK("https://klasma.github.io/Logging_0885/kartor/A 3302-2026 karta.png", "A 3302-2026")</f>
        <v/>
      </c>
      <c r="V34">
        <f>HYPERLINK("https://klasma.github.io/Logging_0885/klagomål/A 3302-2026 FSC-klagomål.docx", "A 3302-2026")</f>
        <v/>
      </c>
      <c r="W34">
        <f>HYPERLINK("https://klasma.github.io/Logging_0885/klagomålsmail/A 3302-2026 FSC-klagomål mail.docx", "A 3302-2026")</f>
        <v/>
      </c>
      <c r="X34">
        <f>HYPERLINK("https://klasma.github.io/Logging_0885/tillsyn/A 3302-2026 tillsynsbegäran.docx", "A 3302-2026")</f>
        <v/>
      </c>
      <c r="Y34">
        <f>HYPERLINK("https://klasma.github.io/Logging_0885/tillsynsmail/A 3302-2026 tillsynsbegäran mail.docx", "A 3302-2026")</f>
        <v/>
      </c>
    </row>
    <row r="35" ht="15" customHeight="1">
      <c r="A35" t="inlineStr">
        <is>
          <t>A 28785-2025</t>
        </is>
      </c>
      <c r="B35" s="1" t="n">
        <v>45820.46159722222</v>
      </c>
      <c r="C35" s="1" t="n">
        <v>46066</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46066</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46066</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24704-2023</t>
        </is>
      </c>
      <c r="B38" s="1" t="n">
        <v>45084</v>
      </c>
      <c r="C38" s="1" t="n">
        <v>46066</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9745-2023</t>
        </is>
      </c>
      <c r="B39" s="1" t="n">
        <v>44984</v>
      </c>
      <c r="C39" s="1" t="n">
        <v>46066</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45693-2025</t>
        </is>
      </c>
      <c r="B40" s="1" t="n">
        <v>45923</v>
      </c>
      <c r="C40" s="1" t="n">
        <v>46066</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43603-2024</t>
        </is>
      </c>
      <c r="B41" s="1" t="n">
        <v>45569.44700231482</v>
      </c>
      <c r="C41" s="1" t="n">
        <v>46066</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14789-2021</t>
        </is>
      </c>
      <c r="B42" s="1" t="n">
        <v>44280</v>
      </c>
      <c r="C42" s="1" t="n">
        <v>46066</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12785-2021</t>
        </is>
      </c>
      <c r="B43" s="1" t="n">
        <v>44270</v>
      </c>
      <c r="C43" s="1" t="n">
        <v>46066</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12711-2021</t>
        </is>
      </c>
      <c r="B44" s="1" t="n">
        <v>44270</v>
      </c>
      <c r="C44" s="1" t="n">
        <v>46066</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46066</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46066</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46066</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46066</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46066</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46066</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46066</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46066</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46066</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46066</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46066</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46066</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46066</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46066</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46066</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46066</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46066</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46066</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12534-2022</t>
        </is>
      </c>
      <c r="B63" s="1" t="n">
        <v>44638</v>
      </c>
      <c r="C63" s="1" t="n">
        <v>46066</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7481-2026</t>
        </is>
      </c>
      <c r="B64" s="1" t="n">
        <v>46059.51359953704</v>
      </c>
      <c r="C64" s="1" t="n">
        <v>46066</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64303-2023</t>
        </is>
      </c>
      <c r="B65" s="1" t="n">
        <v>45280</v>
      </c>
      <c r="C65" s="1" t="n">
        <v>46066</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46066</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46066</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46066</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46066</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46066</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55367-2024</t>
        </is>
      </c>
      <c r="B71" s="1" t="n">
        <v>45621.87075231481</v>
      </c>
      <c r="C71" s="1" t="n">
        <v>46066</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46066</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27366-2025</t>
        </is>
      </c>
      <c r="B73" s="1" t="n">
        <v>45812.64475694444</v>
      </c>
      <c r="C73" s="1" t="n">
        <v>46066</v>
      </c>
      <c r="D73" t="inlineStr">
        <is>
          <t>KALMAR LÄN</t>
        </is>
      </c>
      <c r="E73" t="inlineStr">
        <is>
          <t>BORGHOLM</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28782-2025</t>
        </is>
      </c>
      <c r="B74" s="1" t="n">
        <v>45820.45572916666</v>
      </c>
      <c r="C74" s="1" t="n">
        <v>46066</v>
      </c>
      <c r="D74" t="inlineStr">
        <is>
          <t>KALMAR LÄN</t>
        </is>
      </c>
      <c r="E74" t="inlineStr">
        <is>
          <t>BORGHOLM</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4159-2024</t>
        </is>
      </c>
      <c r="B75" s="1" t="n">
        <v>45323</v>
      </c>
      <c r="C75" s="1" t="n">
        <v>46066</v>
      </c>
      <c r="D75" t="inlineStr">
        <is>
          <t>KALMAR LÄN</t>
        </is>
      </c>
      <c r="E75" t="inlineStr">
        <is>
          <t>BORGHOLM</t>
        </is>
      </c>
      <c r="G75" t="n">
        <v>0.5</v>
      </c>
      <c r="H75" t="n">
        <v>0</v>
      </c>
      <c r="I75" t="n">
        <v>0</v>
      </c>
      <c r="J75" t="n">
        <v>0</v>
      </c>
      <c r="K75" t="n">
        <v>0</v>
      </c>
      <c r="L75" t="n">
        <v>0</v>
      </c>
      <c r="M75" t="n">
        <v>0</v>
      </c>
      <c r="N75" t="n">
        <v>0</v>
      </c>
      <c r="O75" t="n">
        <v>0</v>
      </c>
      <c r="P75" t="n">
        <v>0</v>
      </c>
      <c r="Q75" t="n">
        <v>0</v>
      </c>
      <c r="R75" s="2" t="inlineStr"/>
    </row>
    <row r="76" ht="15" customHeight="1">
      <c r="A76" t="inlineStr">
        <is>
          <t>A 32921-2023</t>
        </is>
      </c>
      <c r="B76" s="1" t="n">
        <v>45125</v>
      </c>
      <c r="C76" s="1" t="n">
        <v>46066</v>
      </c>
      <c r="D76" t="inlineStr">
        <is>
          <t>KALMAR LÄN</t>
        </is>
      </c>
      <c r="E76" t="inlineStr">
        <is>
          <t>BORGHOLM</t>
        </is>
      </c>
      <c r="G76" t="n">
        <v>2.9</v>
      </c>
      <c r="H76" t="n">
        <v>0</v>
      </c>
      <c r="I76" t="n">
        <v>0</v>
      </c>
      <c r="J76" t="n">
        <v>0</v>
      </c>
      <c r="K76" t="n">
        <v>0</v>
      </c>
      <c r="L76" t="n">
        <v>0</v>
      </c>
      <c r="M76" t="n">
        <v>0</v>
      </c>
      <c r="N76" t="n">
        <v>0</v>
      </c>
      <c r="O76" t="n">
        <v>0</v>
      </c>
      <c r="P76" t="n">
        <v>0</v>
      </c>
      <c r="Q76" t="n">
        <v>0</v>
      </c>
      <c r="R76" s="2" t="inlineStr"/>
    </row>
    <row r="77" ht="15" customHeight="1">
      <c r="A77" t="inlineStr">
        <is>
          <t>A 31699-2022</t>
        </is>
      </c>
      <c r="B77" s="1" t="n">
        <v>44776</v>
      </c>
      <c r="C77" s="1" t="n">
        <v>46066</v>
      </c>
      <c r="D77" t="inlineStr">
        <is>
          <t>KALMAR LÄN</t>
        </is>
      </c>
      <c r="E77" t="inlineStr">
        <is>
          <t>BORGHOLM</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41831-2025</t>
        </is>
      </c>
      <c r="B78" s="1" t="n">
        <v>45902.67887731481</v>
      </c>
      <c r="C78" s="1" t="n">
        <v>46066</v>
      </c>
      <c r="D78" t="inlineStr">
        <is>
          <t>KALMAR LÄN</t>
        </is>
      </c>
      <c r="E78" t="inlineStr">
        <is>
          <t>BORGHOLM</t>
        </is>
      </c>
      <c r="G78" t="n">
        <v>1.5</v>
      </c>
      <c r="H78" t="n">
        <v>0</v>
      </c>
      <c r="I78" t="n">
        <v>0</v>
      </c>
      <c r="J78" t="n">
        <v>0</v>
      </c>
      <c r="K78" t="n">
        <v>0</v>
      </c>
      <c r="L78" t="n">
        <v>0</v>
      </c>
      <c r="M78" t="n">
        <v>0</v>
      </c>
      <c r="N78" t="n">
        <v>0</v>
      </c>
      <c r="O78" t="n">
        <v>0</v>
      </c>
      <c r="P78" t="n">
        <v>0</v>
      </c>
      <c r="Q78" t="n">
        <v>0</v>
      </c>
      <c r="R78" s="2" t="inlineStr"/>
    </row>
    <row r="79" ht="15" customHeight="1">
      <c r="A79" t="inlineStr">
        <is>
          <t>A 63276-2023</t>
        </is>
      </c>
      <c r="B79" s="1" t="n">
        <v>45273.82195601852</v>
      </c>
      <c r="C79" s="1" t="n">
        <v>46066</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41950-2025</t>
        </is>
      </c>
      <c r="B80" s="1" t="n">
        <v>45903.45767361111</v>
      </c>
      <c r="C80" s="1" t="n">
        <v>46066</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42232-2025</t>
        </is>
      </c>
      <c r="B81" s="1" t="n">
        <v>45904.55591435185</v>
      </c>
      <c r="C81" s="1" t="n">
        <v>46066</v>
      </c>
      <c r="D81" t="inlineStr">
        <is>
          <t>KALMAR LÄN</t>
        </is>
      </c>
      <c r="E81" t="inlineStr">
        <is>
          <t>BORGHOLM</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46066</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1614-2025</t>
        </is>
      </c>
      <c r="B83" s="1" t="n">
        <v>45670.60094907408</v>
      </c>
      <c r="C83" s="1" t="n">
        <v>46066</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43542-2025</t>
        </is>
      </c>
      <c r="B84" s="1" t="n">
        <v>45911.61123842592</v>
      </c>
      <c r="C84" s="1" t="n">
        <v>46066</v>
      </c>
      <c r="D84" t="inlineStr">
        <is>
          <t>KALMAR LÄN</t>
        </is>
      </c>
      <c r="E84" t="inlineStr">
        <is>
          <t>BORGHOLM</t>
        </is>
      </c>
      <c r="G84" t="n">
        <v>2.4</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46066</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45734-2025</t>
        </is>
      </c>
      <c r="B86" s="1" t="n">
        <v>45923.46512731481</v>
      </c>
      <c r="C86" s="1" t="n">
        <v>46066</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46066</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45869-2025</t>
        </is>
      </c>
      <c r="B88" s="1" t="n">
        <v>45923.65313657407</v>
      </c>
      <c r="C88" s="1" t="n">
        <v>46066</v>
      </c>
      <c r="D88" t="inlineStr">
        <is>
          <t>KALMAR LÄN</t>
        </is>
      </c>
      <c r="E88" t="inlineStr">
        <is>
          <t>BORGHOLM</t>
        </is>
      </c>
      <c r="G88" t="n">
        <v>4.5</v>
      </c>
      <c r="H88" t="n">
        <v>0</v>
      </c>
      <c r="I88" t="n">
        <v>0</v>
      </c>
      <c r="J88" t="n">
        <v>0</v>
      </c>
      <c r="K88" t="n">
        <v>0</v>
      </c>
      <c r="L88" t="n">
        <v>0</v>
      </c>
      <c r="M88" t="n">
        <v>0</v>
      </c>
      <c r="N88" t="n">
        <v>0</v>
      </c>
      <c r="O88" t="n">
        <v>0</v>
      </c>
      <c r="P88" t="n">
        <v>0</v>
      </c>
      <c r="Q88" t="n">
        <v>0</v>
      </c>
      <c r="R88" s="2" t="inlineStr"/>
    </row>
    <row r="89" ht="15" customHeight="1">
      <c r="A89" t="inlineStr">
        <is>
          <t>A 7960-2023</t>
        </is>
      </c>
      <c r="B89" s="1" t="n">
        <v>44973</v>
      </c>
      <c r="C89" s="1" t="n">
        <v>46066</v>
      </c>
      <c r="D89" t="inlineStr">
        <is>
          <t>KALMAR LÄN</t>
        </is>
      </c>
      <c r="E89" t="inlineStr">
        <is>
          <t>BORGHOLM</t>
        </is>
      </c>
      <c r="G89" t="n">
        <v>2.1</v>
      </c>
      <c r="H89" t="n">
        <v>0</v>
      </c>
      <c r="I89" t="n">
        <v>0</v>
      </c>
      <c r="J89" t="n">
        <v>0</v>
      </c>
      <c r="K89" t="n">
        <v>0</v>
      </c>
      <c r="L89" t="n">
        <v>0</v>
      </c>
      <c r="M89" t="n">
        <v>0</v>
      </c>
      <c r="N89" t="n">
        <v>0</v>
      </c>
      <c r="O89" t="n">
        <v>0</v>
      </c>
      <c r="P89" t="n">
        <v>0</v>
      </c>
      <c r="Q89" t="n">
        <v>0</v>
      </c>
      <c r="R89" s="2" t="inlineStr"/>
    </row>
    <row r="90" ht="15" customHeight="1">
      <c r="A90" t="inlineStr">
        <is>
          <t>A 46845-2025</t>
        </is>
      </c>
      <c r="B90" s="1" t="n">
        <v>45928</v>
      </c>
      <c r="C90" s="1" t="n">
        <v>46066</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29656-2023</t>
        </is>
      </c>
      <c r="B91" s="1" t="n">
        <v>45107</v>
      </c>
      <c r="C91" s="1" t="n">
        <v>46066</v>
      </c>
      <c r="D91" t="inlineStr">
        <is>
          <t>KALMAR LÄN</t>
        </is>
      </c>
      <c r="E91" t="inlineStr">
        <is>
          <t>BORGHOLM</t>
        </is>
      </c>
      <c r="G91" t="n">
        <v>4.1</v>
      </c>
      <c r="H91" t="n">
        <v>0</v>
      </c>
      <c r="I91" t="n">
        <v>0</v>
      </c>
      <c r="J91" t="n">
        <v>0</v>
      </c>
      <c r="K91" t="n">
        <v>0</v>
      </c>
      <c r="L91" t="n">
        <v>0</v>
      </c>
      <c r="M91" t="n">
        <v>0</v>
      </c>
      <c r="N91" t="n">
        <v>0</v>
      </c>
      <c r="O91" t="n">
        <v>0</v>
      </c>
      <c r="P91" t="n">
        <v>0</v>
      </c>
      <c r="Q91" t="n">
        <v>0</v>
      </c>
      <c r="R91" s="2" t="inlineStr"/>
    </row>
    <row r="92" ht="15" customHeight="1">
      <c r="A92" t="inlineStr">
        <is>
          <t>A 9050-2025</t>
        </is>
      </c>
      <c r="B92" s="1" t="n">
        <v>45713.63512731482</v>
      </c>
      <c r="C92" s="1" t="n">
        <v>46066</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7669-2024</t>
        </is>
      </c>
      <c r="B93" s="1" t="n">
        <v>45348.82498842593</v>
      </c>
      <c r="C93" s="1" t="n">
        <v>46066</v>
      </c>
      <c r="D93" t="inlineStr">
        <is>
          <t>KALMAR LÄN</t>
        </is>
      </c>
      <c r="E93" t="inlineStr">
        <is>
          <t>BORGHOLM</t>
        </is>
      </c>
      <c r="G93" t="n">
        <v>2.3</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46066</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32919-2023</t>
        </is>
      </c>
      <c r="B95" s="1" t="n">
        <v>45125</v>
      </c>
      <c r="C95" s="1" t="n">
        <v>46066</v>
      </c>
      <c r="D95" t="inlineStr">
        <is>
          <t>KALMAR LÄN</t>
        </is>
      </c>
      <c r="E95" t="inlineStr">
        <is>
          <t>BORGHOLM</t>
        </is>
      </c>
      <c r="G95" t="n">
        <v>2.7</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46066</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60141-2025</t>
        </is>
      </c>
      <c r="B97" s="1" t="n">
        <v>45994.36873842592</v>
      </c>
      <c r="C97" s="1" t="n">
        <v>46066</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46066</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46066</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46066</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46066</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46066</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46066</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61723-2025</t>
        </is>
      </c>
      <c r="B104" s="1" t="n">
        <v>46002.58388888889</v>
      </c>
      <c r="C104" s="1" t="n">
        <v>46066</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46066</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46066</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46066</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46066</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46066</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46066</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46066</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9044-2025</t>
        </is>
      </c>
      <c r="B112" s="1" t="n">
        <v>45713.6275</v>
      </c>
      <c r="C112" s="1" t="n">
        <v>46066</v>
      </c>
      <c r="D112" t="inlineStr">
        <is>
          <t>KALMAR LÄN</t>
        </is>
      </c>
      <c r="E112" t="inlineStr">
        <is>
          <t>BORGHOLM</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20878-2024</t>
        </is>
      </c>
      <c r="B113" s="1" t="n">
        <v>45439.44748842593</v>
      </c>
      <c r="C113" s="1" t="n">
        <v>46066</v>
      </c>
      <c r="D113" t="inlineStr">
        <is>
          <t>KALMAR LÄN</t>
        </is>
      </c>
      <c r="E113" t="inlineStr">
        <is>
          <t>BORGHOLM</t>
        </is>
      </c>
      <c r="G113" t="n">
        <v>1.9</v>
      </c>
      <c r="H113" t="n">
        <v>0</v>
      </c>
      <c r="I113" t="n">
        <v>0</v>
      </c>
      <c r="J113" t="n">
        <v>0</v>
      </c>
      <c r="K113" t="n">
        <v>0</v>
      </c>
      <c r="L113" t="n">
        <v>0</v>
      </c>
      <c r="M113" t="n">
        <v>0</v>
      </c>
      <c r="N113" t="n">
        <v>0</v>
      </c>
      <c r="O113" t="n">
        <v>0</v>
      </c>
      <c r="P113" t="n">
        <v>0</v>
      </c>
      <c r="Q113" t="n">
        <v>0</v>
      </c>
      <c r="R113" s="2" t="inlineStr"/>
    </row>
    <row r="114" ht="15" customHeight="1">
      <c r="A114" t="inlineStr">
        <is>
          <t>A 17699-2025</t>
        </is>
      </c>
      <c r="B114" s="1" t="n">
        <v>45758.41846064815</v>
      </c>
      <c r="C114" s="1" t="n">
        <v>46066</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20287-2025</t>
        </is>
      </c>
      <c r="B115" s="1" t="n">
        <v>45774.60741898148</v>
      </c>
      <c r="C115" s="1" t="n">
        <v>46066</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26160-2024</t>
        </is>
      </c>
      <c r="B116" s="1" t="n">
        <v>45468</v>
      </c>
      <c r="C116" s="1" t="n">
        <v>46066</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c r="T116">
        <f>HYPERLINK("https://klasma.github.io/Logging_0885/kartor/A 26160-2024 karta.png", "A 26160-2024")</f>
        <v/>
      </c>
      <c r="V116">
        <f>HYPERLINK("https://klasma.github.io/Logging_0885/klagomål/A 26160-2024 FSC-klagomål.docx", "A 26160-2024")</f>
        <v/>
      </c>
      <c r="W116">
        <f>HYPERLINK("https://klasma.github.io/Logging_0885/klagomålsmail/A 26160-2024 FSC-klagomål mail.docx", "A 26160-2024")</f>
        <v/>
      </c>
      <c r="X116">
        <f>HYPERLINK("https://klasma.github.io/Logging_0885/tillsyn/A 26160-2024 tillsynsbegäran.docx", "A 26160-2024")</f>
        <v/>
      </c>
      <c r="Y116">
        <f>HYPERLINK("https://klasma.github.io/Logging_0885/tillsynsmail/A 26160-2024 tillsynsbegäran mail.docx", "A 26160-2024")</f>
        <v/>
      </c>
    </row>
    <row r="117" ht="15" customHeight="1">
      <c r="A117" t="inlineStr">
        <is>
          <t>A 63075-2023</t>
        </is>
      </c>
      <c r="B117" s="1" t="n">
        <v>45273</v>
      </c>
      <c r="C117" s="1" t="n">
        <v>46066</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17978-2021</t>
        </is>
      </c>
      <c r="B118" s="1" t="n">
        <v>44301</v>
      </c>
      <c r="C118" s="1" t="n">
        <v>46066</v>
      </c>
      <c r="D118" t="inlineStr">
        <is>
          <t>KALMAR LÄN</t>
        </is>
      </c>
      <c r="E118" t="inlineStr">
        <is>
          <t>BORGHOLM</t>
        </is>
      </c>
      <c r="G118" t="n">
        <v>6</v>
      </c>
      <c r="H118" t="n">
        <v>0</v>
      </c>
      <c r="I118" t="n">
        <v>0</v>
      </c>
      <c r="J118" t="n">
        <v>0</v>
      </c>
      <c r="K118" t="n">
        <v>0</v>
      </c>
      <c r="L118" t="n">
        <v>0</v>
      </c>
      <c r="M118" t="n">
        <v>0</v>
      </c>
      <c r="N118" t="n">
        <v>0</v>
      </c>
      <c r="O118" t="n">
        <v>0</v>
      </c>
      <c r="P118" t="n">
        <v>0</v>
      </c>
      <c r="Q118" t="n">
        <v>0</v>
      </c>
      <c r="R118" s="2" t="inlineStr"/>
    </row>
    <row r="119">
      <c r="A119" t="inlineStr">
        <is>
          <t>A 22785-2025</t>
        </is>
      </c>
      <c r="B119" s="1" t="n">
        <v>45789.64186342592</v>
      </c>
      <c r="C119" s="1" t="n">
        <v>46066</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2026-02-13T11:02:13Z</dcterms:created>
  <dcterms:modified xmlns:dcterms="http://purl.org/dc/terms/" xmlns:xsi="http://www.w3.org/2001/XMLSchema-instance" xsi:type="dcterms:W3CDTF">2026-02-13T11:02:13Z</dcterms:modified>
</cp:coreProperties>
</file>