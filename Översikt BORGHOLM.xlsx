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46228</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46228</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46228</v>
      </c>
      <c r="F4" t="inlineStr">
        <is>
          <t>KALMAR LÄN</t>
        </is>
      </c>
      <c r="G4" t="inlineStr">
        <is>
          <t>BORGHOLM</t>
        </is>
      </c>
      <c r="I4" t="n">
        <v>13.5</v>
      </c>
      <c r="J4" t="n">
        <v>13</v>
      </c>
      <c r="K4" t="n">
        <v>6</v>
      </c>
      <c r="L4" t="n">
        <v>9</v>
      </c>
      <c r="M4" t="n">
        <v>1</v>
      </c>
      <c r="N4" t="n">
        <v>1</v>
      </c>
      <c r="O4" t="n">
        <v>0</v>
      </c>
      <c r="P4" t="n">
        <v>0</v>
      </c>
      <c r="Q4" t="n">
        <v>11</v>
      </c>
      <c r="R4" t="n">
        <v>2</v>
      </c>
      <c r="S4" t="n">
        <v>30</v>
      </c>
      <c r="T4" t="n">
        <v>46</v>
      </c>
      <c r="U4" t="n">
        <v>39</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46228</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46228</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46228</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46228</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46228</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46228</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46228</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46228</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46228</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46228</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46228</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46228</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46228</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46228</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45006-2025</t>
        </is>
      </c>
      <c r="B19" t="inlineStr">
        <is>
          <t>avverkningsanmälan</t>
        </is>
      </c>
      <c r="C19" t="inlineStr">
        <is>
          <t>Avverkning för annat ändamål</t>
        </is>
      </c>
      <c r="D19" s="1" t="n">
        <v>45918</v>
      </c>
      <c r="E19" s="1" t="n">
        <v>46228</v>
      </c>
      <c r="F19" t="inlineStr">
        <is>
          <t>KALMAR LÄN</t>
        </is>
      </c>
      <c r="G19" t="inlineStr">
        <is>
          <t>BORGHOLM</t>
        </is>
      </c>
      <c r="I19" t="n">
        <v>7.8</v>
      </c>
      <c r="J19" t="n">
        <v>5</v>
      </c>
      <c r="K19" t="n">
        <v>4</v>
      </c>
      <c r="L19" t="n">
        <v>2</v>
      </c>
      <c r="M19" t="n">
        <v>0</v>
      </c>
      <c r="N19" t="n">
        <v>0</v>
      </c>
      <c r="O19" t="n">
        <v>0</v>
      </c>
      <c r="P19" t="n">
        <v>0</v>
      </c>
      <c r="Q19" t="n">
        <v>2</v>
      </c>
      <c r="R19" t="n">
        <v>0</v>
      </c>
      <c r="S19" t="n">
        <v>9</v>
      </c>
      <c r="T19" t="n">
        <v>13</v>
      </c>
      <c r="U19" t="n">
        <v>12</v>
      </c>
      <c r="V19" s="2" t="inlineStr">
        <is>
          <t>Mindre ekbock
Vårstarr
Murgröna
Myskmadra
Tvåblad
Vit skogslilja
Johannesnycklar
Krutbrännare
Gullviva</t>
        </is>
      </c>
      <c r="W19">
        <f>HYPERLINK("https://klasma.github.io/Logging_0885/artfynd/A 45006-2025 artfynd.xlsx", "A 45006-2025")</f>
        <v/>
      </c>
      <c r="X19">
        <f>HYPERLINK("https://klasma.github.io/Logging_0885/kartor/A 45006-2025 karta.png", "A 45006-2025")</f>
        <v/>
      </c>
      <c r="Y19">
        <f>HYPERLINK("https://klasma.github.io/Logging_0885/kartor_geotiff/A 45006-2025 georefererad karta.tif", "A 45006-2025")</f>
        <v/>
      </c>
      <c r="AA19">
        <f>HYPERLINK("https://klasma.github.io/Logging_0885/klagomål/A 45006-2025 FSC-klagomål.docx", "A 45006-2025")</f>
        <v/>
      </c>
      <c r="AB19">
        <f>HYPERLINK("https://klasma.github.io/Logging_0885/klagomålsmail/A 45006-2025 FSC-klagomål mail.docx", "A 45006-2025")</f>
        <v/>
      </c>
      <c r="AC19">
        <f>HYPERLINK("https://klasma.github.io/Logging_0885/tillsyn/A 45006-2025 tillsynsbegäran.docx", "A 45006-2025")</f>
        <v/>
      </c>
      <c r="AD19">
        <f>HYPERLINK("https://klasma.github.io/Logging_0885/tillsynsmail/A 45006-2025 tillsynsbegäran mail.docx", "A 45006-2025")</f>
        <v/>
      </c>
    </row>
    <row r="20" ht="15" customHeight="1">
      <c r="A20" t="inlineStr">
        <is>
          <t>A 44885-2025</t>
        </is>
      </c>
      <c r="B20" t="inlineStr">
        <is>
          <t>avverkningsanmälan</t>
        </is>
      </c>
      <c r="C20" t="inlineStr">
        <is>
          <t>Föryngringsavverkning</t>
        </is>
      </c>
      <c r="D20" s="1" t="n">
        <v>45918</v>
      </c>
      <c r="E20" s="1" t="n">
        <v>46228</v>
      </c>
      <c r="F20" t="inlineStr">
        <is>
          <t>KALMAR LÄN</t>
        </is>
      </c>
      <c r="G20" t="inlineStr">
        <is>
          <t>BORGHOLM</t>
        </is>
      </c>
      <c r="I20" t="n">
        <v>4.4</v>
      </c>
      <c r="J20" t="n">
        <v>3</v>
      </c>
      <c r="K20" t="n">
        <v>4</v>
      </c>
      <c r="L20" t="n">
        <v>1</v>
      </c>
      <c r="M20" t="n">
        <v>0</v>
      </c>
      <c r="N20" t="n">
        <v>2</v>
      </c>
      <c r="O20" t="n">
        <v>0</v>
      </c>
      <c r="P20" t="n">
        <v>0</v>
      </c>
      <c r="Q20" t="n">
        <v>3</v>
      </c>
      <c r="R20" t="n">
        <v>2</v>
      </c>
      <c r="S20" t="n">
        <v>9</v>
      </c>
      <c r="T20" t="n">
        <v>9</v>
      </c>
      <c r="U20" t="n">
        <v>9</v>
      </c>
      <c r="V20" s="2" t="inlineStr">
        <is>
          <t>Ask
Skogsalm
Solvända
Murgröna
Myskmadra
Skogsknipprot
Strävlosta
Blåsippa
Brudsporre</t>
        </is>
      </c>
      <c r="W20">
        <f>HYPERLINK("https://klasma.github.io/Logging_0885/artfynd/A 44885-2025 artfynd.xlsx", "A 44885-2025")</f>
        <v/>
      </c>
      <c r="X20">
        <f>HYPERLINK("https://klasma.github.io/Logging_0885/kartor/A 44885-2025 karta.png", "A 44885-2025")</f>
        <v/>
      </c>
      <c r="Y20">
        <f>HYPERLINK("https://klasma.github.io/Logging_0885/kartor_geotiff/A 44885-2025 georefererad karta.tif", "A 44885-2025")</f>
        <v/>
      </c>
      <c r="AA20">
        <f>HYPERLINK("https://klasma.github.io/Logging_0885/klagomål/A 44885-2025 FSC-klagomål.docx", "A 44885-2025")</f>
        <v/>
      </c>
      <c r="AB20">
        <f>HYPERLINK("https://klasma.github.io/Logging_0885/klagomålsmail/A 44885-2025 FSC-klagomål mail.docx", "A 44885-2025")</f>
        <v/>
      </c>
      <c r="AC20">
        <f>HYPERLINK("https://klasma.github.io/Logging_0885/tillsyn/A 44885-2025 tillsynsbegäran.docx", "A 44885-2025")</f>
        <v/>
      </c>
      <c r="AD20">
        <f>HYPERLINK("https://klasma.github.io/Logging_0885/tillsynsmail/A 44885-2025 tillsynsbegäran mail.docx", "A 44885-2025")</f>
        <v/>
      </c>
    </row>
    <row r="21" ht="15" customHeight="1">
      <c r="A21" t="inlineStr">
        <is>
          <t>A 47471-2025</t>
        </is>
      </c>
      <c r="B21" t="inlineStr">
        <is>
          <t>avverkningsanmälan</t>
        </is>
      </c>
      <c r="C21" t="inlineStr">
        <is>
          <t>Avverkning för att bevara och utveckla /försöksver</t>
        </is>
      </c>
      <c r="D21" s="1" t="n">
        <v>45930</v>
      </c>
      <c r="E21" s="1" t="n">
        <v>46228</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S 2717-2025</t>
        </is>
      </c>
      <c r="B22" t="inlineStr">
        <is>
          <t>samrådsanmälan</t>
        </is>
      </c>
      <c r="C22" t="inlineStr">
        <is>
          <t>Annan skogsbruksåtgärd</t>
        </is>
      </c>
      <c r="D22" s="1" t="n">
        <v>45930</v>
      </c>
      <c r="E22" s="1" t="n">
        <v>46228</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46228</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31515-2026</t>
        </is>
      </c>
      <c r="B24" t="inlineStr">
        <is>
          <t>avverkningsanmälan</t>
        </is>
      </c>
      <c r="C24" t="inlineStr">
        <is>
          <t>Avverkning för att bevara och utveckla /försöksver</t>
        </is>
      </c>
      <c r="D24" s="1" t="n">
        <v>46223</v>
      </c>
      <c r="E24" s="1" t="n">
        <v>46228</v>
      </c>
      <c r="F24" t="inlineStr">
        <is>
          <t>KALMAR LÄN</t>
        </is>
      </c>
      <c r="G24" t="inlineStr">
        <is>
          <t>BORGHOLM</t>
        </is>
      </c>
      <c r="H24" t="inlineStr">
        <is>
          <t>Sveaskog</t>
        </is>
      </c>
      <c r="I24" t="n">
        <v>0.8</v>
      </c>
      <c r="J24" t="n">
        <v>3</v>
      </c>
      <c r="K24" t="n">
        <v>3</v>
      </c>
      <c r="L24" t="n">
        <v>3</v>
      </c>
      <c r="M24" t="n">
        <v>0</v>
      </c>
      <c r="N24" t="n">
        <v>0</v>
      </c>
      <c r="O24" t="n">
        <v>0</v>
      </c>
      <c r="P24" t="n">
        <v>0</v>
      </c>
      <c r="Q24" t="n">
        <v>3</v>
      </c>
      <c r="R24" t="n">
        <v>0</v>
      </c>
      <c r="S24" t="n">
        <v>8</v>
      </c>
      <c r="T24" t="n">
        <v>10</v>
      </c>
      <c r="U24" t="n">
        <v>0</v>
      </c>
      <c r="V24" s="2" t="inlineStr">
        <is>
          <t>Blå slemspindling
Sårläka
Vårärt
Anisspindling
Skogsknipprot
Strävlosta
Blåsippa
Grönvit nattviol</t>
        </is>
      </c>
      <c r="W24">
        <f>HYPERLINK("https://klasma.github.io/Logging_0885/artfynd/A 31515-2026 artfynd.xlsx", "A 31515-2026")</f>
        <v/>
      </c>
      <c r="X24">
        <f>HYPERLINK("https://klasma.github.io/Logging_0885/kartor/A 31515-2026 karta.png", "A 31515-2026")</f>
        <v/>
      </c>
      <c r="Y24">
        <f>HYPERLINK("https://klasma.github.io/Logging_0885/kartor_geotiff/A 31515-2026 georefererad karta.tif", "A 31515-2026")</f>
        <v/>
      </c>
      <c r="AA24">
        <f>HYPERLINK("https://klasma.github.io/Logging_0885/klagomål/A 31515-2026 FSC-klagomål.docx", "A 31515-2026")</f>
        <v/>
      </c>
      <c r="AB24">
        <f>HYPERLINK("https://klasma.github.io/Logging_0885/klagomålsmail/A 31515-2026 FSC-klagomål mail.docx", "A 31515-2026")</f>
        <v/>
      </c>
      <c r="AC24">
        <f>HYPERLINK("https://klasma.github.io/Logging_0885/tillsyn/A 31515-2026 tillsynsbegäran.docx", "A 31515-2026")</f>
        <v/>
      </c>
      <c r="AD24">
        <f>HYPERLINK("https://klasma.github.io/Logging_0885/tillsynsmail/A 31515-2026 tillsynsbegäran mail.docx", "A 31515-2026")</f>
        <v/>
      </c>
    </row>
    <row r="25" ht="15" customHeight="1">
      <c r="A25" t="inlineStr">
        <is>
          <t>A 31516-2026</t>
        </is>
      </c>
      <c r="B25" t="inlineStr">
        <is>
          <t>avverkningsanmälan</t>
        </is>
      </c>
      <c r="C25" t="inlineStr">
        <is>
          <t>Avverkning för att bevara och utveckla /försöksver</t>
        </is>
      </c>
      <c r="D25" s="1" t="n">
        <v>46223</v>
      </c>
      <c r="E25" s="1" t="n">
        <v>46228</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46228</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12534-2022</t>
        </is>
      </c>
      <c r="B27" t="inlineStr">
        <is>
          <t>avverkningsanmälan</t>
        </is>
      </c>
      <c r="C27" t="inlineStr">
        <is>
          <t>Föryngringsavverkning</t>
        </is>
      </c>
      <c r="D27" s="1" t="n">
        <v>44638</v>
      </c>
      <c r="E27" s="1" t="n">
        <v>46228</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46228</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46228</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46228</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46228</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46228</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46228</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46228</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16171-2023</t>
        </is>
      </c>
      <c r="B35" t="inlineStr">
        <is>
          <t>avverkningsanmälan</t>
        </is>
      </c>
      <c r="C35" t="inlineStr">
        <is>
          <t>Föryngringsavverkning</t>
        </is>
      </c>
      <c r="D35" s="1" t="n">
        <v>45027</v>
      </c>
      <c r="E35" s="1" t="n">
        <v>46228</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46228</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46228</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46228</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46228</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46228</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46228</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46228</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7960-2023</t>
        </is>
      </c>
      <c r="B43" t="inlineStr">
        <is>
          <t>avverkningsanmälan</t>
        </is>
      </c>
      <c r="C43" t="inlineStr">
        <is>
          <t>Föryngringsavverkning</t>
        </is>
      </c>
      <c r="D43" s="1" t="n">
        <v>44973</v>
      </c>
      <c r="E43" s="1" t="n">
        <v>46228</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27290-2026</t>
        </is>
      </c>
      <c r="B44" t="inlineStr">
        <is>
          <t>avverkningsanmälan</t>
        </is>
      </c>
      <c r="C44" t="inlineStr">
        <is>
          <t>Avverkning för att bevara och utveckla /försöksver</t>
        </is>
      </c>
      <c r="D44" s="1" t="n">
        <v>46188</v>
      </c>
      <c r="E44" s="1" t="n">
        <v>46228</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4164-2023</t>
        </is>
      </c>
      <c r="B45" t="inlineStr">
        <is>
          <t>avverkningsanmälan</t>
        </is>
      </c>
      <c r="C45" t="inlineStr">
        <is>
          <t>Föryngringsavverkning</t>
        </is>
      </c>
      <c r="D45" s="1" t="n">
        <v>44953</v>
      </c>
      <c r="E45" s="1" t="n">
        <v>46228</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21797-2024</t>
        </is>
      </c>
      <c r="B46" t="inlineStr">
        <is>
          <t>avverkningsanmälan</t>
        </is>
      </c>
      <c r="C46" t="inlineStr">
        <is>
          <t>Föryngringsavverkning</t>
        </is>
      </c>
      <c r="D46" s="1" t="n">
        <v>45442</v>
      </c>
      <c r="E46" s="1" t="n">
        <v>46228</v>
      </c>
      <c r="F46" t="inlineStr">
        <is>
          <t>KALMAR LÄN</t>
        </is>
      </c>
      <c r="G46" t="inlineStr">
        <is>
          <t>BORGHOLM</t>
        </is>
      </c>
      <c r="I46" t="n">
        <v>1.4</v>
      </c>
      <c r="J46" t="n">
        <v>2</v>
      </c>
      <c r="K46" t="n">
        <v>2</v>
      </c>
      <c r="L46" t="n">
        <v>1</v>
      </c>
      <c r="M46" t="n">
        <v>0</v>
      </c>
      <c r="N46" t="n">
        <v>0</v>
      </c>
      <c r="O46" t="n">
        <v>0</v>
      </c>
      <c r="P46" t="n">
        <v>0</v>
      </c>
      <c r="Q46" t="n">
        <v>1</v>
      </c>
      <c r="R46" t="n">
        <v>0</v>
      </c>
      <c r="S46" t="n">
        <v>4</v>
      </c>
      <c r="T46" t="n">
        <v>9</v>
      </c>
      <c r="U46" t="n">
        <v>4</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S 2742-2022</t>
        </is>
      </c>
      <c r="B47" t="inlineStr">
        <is>
          <t>samrådsanmälan</t>
        </is>
      </c>
      <c r="C47" t="inlineStr">
        <is>
          <t>Annan skogsbruksåtgärd</t>
        </is>
      </c>
      <c r="D47" s="1" t="n">
        <v>44704</v>
      </c>
      <c r="E47" s="1" t="n">
        <v>46228</v>
      </c>
      <c r="F47" t="inlineStr">
        <is>
          <t>KALMAR LÄN</t>
        </is>
      </c>
      <c r="G47" t="inlineStr">
        <is>
          <t>BORGHOLM</t>
        </is>
      </c>
      <c r="I47" t="n">
        <v>3.1</v>
      </c>
      <c r="J47" t="n">
        <v>1</v>
      </c>
      <c r="K47" t="n">
        <v>1</v>
      </c>
      <c r="L47" t="n">
        <v>1</v>
      </c>
      <c r="M47" t="n">
        <v>0</v>
      </c>
      <c r="N47" t="n">
        <v>2</v>
      </c>
      <c r="O47" t="n">
        <v>0</v>
      </c>
      <c r="P47" t="n">
        <v>0</v>
      </c>
      <c r="Q47" t="n">
        <v>3</v>
      </c>
      <c r="R47" t="n">
        <v>2</v>
      </c>
      <c r="S47" t="n">
        <v>4</v>
      </c>
      <c r="T47" t="n">
        <v>14</v>
      </c>
      <c r="U47" t="n">
        <v>13</v>
      </c>
      <c r="V47" s="2" t="inlineStr">
        <is>
          <t>Ask
Skogsalm
Vårärt
Ekoxe</t>
        </is>
      </c>
      <c r="W47">
        <f>HYPERLINK("https://klasma.github.io/Logging_0885/artfynd/S 2742-2022 artfynd.xlsx", "S 2742-2022")</f>
        <v/>
      </c>
      <c r="X47">
        <f>HYPERLINK("https://klasma.github.io/Logging_0885/kartor/S 2742-2022 karta.png", "S 2742-2022")</f>
        <v/>
      </c>
      <c r="Y47">
        <f>HYPERLINK("https://klasma.github.io/Logging_0885/kartor_geotiff/S 2742-2022 georefererad karta.tif", "S 2742-2022")</f>
        <v/>
      </c>
      <c r="AA47">
        <f>HYPERLINK("https://klasma.github.io/Logging_0885/klagomål/S 2742-2022 FSC-klagomål.docx", "S 2742-2022")</f>
        <v/>
      </c>
      <c r="AB47">
        <f>HYPERLINK("https://klasma.github.io/Logging_0885/klagomålsmail/S 2742-2022 FSC-klagomål mail.docx", "S 2742-2022")</f>
        <v/>
      </c>
      <c r="AC47">
        <f>HYPERLINK("https://klasma.github.io/Logging_0885/tillsyn/S 2742-2022 tillsynsbegäran.docx", "S 2742-2022")</f>
        <v/>
      </c>
      <c r="AD47">
        <f>HYPERLINK("https://klasma.github.io/Logging_0885/tillsynsmail/S 2742-2022 tillsynsbegäran mail.docx", "S 2742-2022")</f>
        <v/>
      </c>
    </row>
    <row r="48" ht="15" customHeight="1">
      <c r="A48" t="inlineStr">
        <is>
          <t>A 32640-2022</t>
        </is>
      </c>
      <c r="B48" t="inlineStr">
        <is>
          <t>avverkningsanmälan</t>
        </is>
      </c>
      <c r="C48" t="inlineStr">
        <is>
          <t>Avverkning för att bevara och utveckla /försöksver</t>
        </is>
      </c>
      <c r="D48" s="1" t="n">
        <v>44783</v>
      </c>
      <c r="E48" s="1" t="n">
        <v>46228</v>
      </c>
      <c r="F48" t="inlineStr">
        <is>
          <t>KALMAR LÄN</t>
        </is>
      </c>
      <c r="G48" t="inlineStr">
        <is>
          <t>BORGHOLM</t>
        </is>
      </c>
      <c r="H48" t="inlineStr">
        <is>
          <t>Sveaskog</t>
        </is>
      </c>
      <c r="I48" t="n">
        <v>1.2</v>
      </c>
      <c r="J48" t="n">
        <v>0</v>
      </c>
      <c r="K48" t="n">
        <v>3</v>
      </c>
      <c r="L48" t="n">
        <v>0</v>
      </c>
      <c r="M48" t="n">
        <v>0</v>
      </c>
      <c r="N48" t="n">
        <v>0</v>
      </c>
      <c r="O48" t="n">
        <v>0</v>
      </c>
      <c r="P48" t="n">
        <v>0</v>
      </c>
      <c r="Q48" t="n">
        <v>0</v>
      </c>
      <c r="R48" t="n">
        <v>0</v>
      </c>
      <c r="S48" t="n">
        <v>3</v>
      </c>
      <c r="T48" t="n">
        <v>3</v>
      </c>
      <c r="U48" t="n">
        <v>3</v>
      </c>
      <c r="V48" s="2" t="inlineStr">
        <is>
          <t>Kornknutmossa
Murgröna
Svart trolldruva</t>
        </is>
      </c>
      <c r="W48">
        <f>HYPERLINK("https://klasma.github.io/Logging_0885/artfynd/A 32640-2022 artfynd.xlsx", "A 32640-2022")</f>
        <v/>
      </c>
      <c r="X48">
        <f>HYPERLINK("https://klasma.github.io/Logging_0885/kartor/A 32640-2022 karta.png", "A 32640-2022")</f>
        <v/>
      </c>
      <c r="Y48">
        <f>HYPERLINK("https://klasma.github.io/Logging_0885/kartor_geotiff/A 32640-2022 georefererad karta.tif", "A 32640-2022")</f>
        <v/>
      </c>
      <c r="AA48">
        <f>HYPERLINK("https://klasma.github.io/Logging_0885/klagomål/A 32640-2022 FSC-klagomål.docx", "A 32640-2022")</f>
        <v/>
      </c>
      <c r="AB48">
        <f>HYPERLINK("https://klasma.github.io/Logging_0885/klagomålsmail/A 32640-2022 FSC-klagomål mail.docx", "A 32640-2022")</f>
        <v/>
      </c>
      <c r="AC48">
        <f>HYPERLINK("https://klasma.github.io/Logging_0885/tillsyn/A 32640-2022 tillsynsbegäran.docx", "A 32640-2022")</f>
        <v/>
      </c>
      <c r="AD48">
        <f>HYPERLINK("https://klasma.github.io/Logging_0885/tillsynsmail/A 32640-2022 tillsynsbegäran mail.docx", "A 32640-2022")</f>
        <v/>
      </c>
    </row>
    <row r="49" ht="15" customHeight="1">
      <c r="A49" t="inlineStr">
        <is>
          <t>A 38860-2025</t>
        </is>
      </c>
      <c r="B49" t="inlineStr">
        <is>
          <t>avverkningsanmälan</t>
        </is>
      </c>
      <c r="C49" t="inlineStr">
        <is>
          <t>Föryngringsavverkning</t>
        </is>
      </c>
      <c r="D49" s="1" t="n">
        <v>45887</v>
      </c>
      <c r="E49" s="1" t="n">
        <v>46228</v>
      </c>
      <c r="F49" t="inlineStr">
        <is>
          <t>KALMAR LÄN</t>
        </is>
      </c>
      <c r="G49" t="inlineStr">
        <is>
          <t>BORGHOLM</t>
        </is>
      </c>
      <c r="I49" t="n">
        <v>5.6</v>
      </c>
      <c r="J49" t="n">
        <v>2</v>
      </c>
      <c r="K49" t="n">
        <v>1</v>
      </c>
      <c r="L49" t="n">
        <v>0</v>
      </c>
      <c r="M49" t="n">
        <v>0</v>
      </c>
      <c r="N49" t="n">
        <v>1</v>
      </c>
      <c r="O49" t="n">
        <v>0</v>
      </c>
      <c r="P49" t="n">
        <v>0</v>
      </c>
      <c r="Q49" t="n">
        <v>1</v>
      </c>
      <c r="R49" t="n">
        <v>1</v>
      </c>
      <c r="S49" t="n">
        <v>3</v>
      </c>
      <c r="T49" t="n">
        <v>3</v>
      </c>
      <c r="U49" t="n">
        <v>0</v>
      </c>
      <c r="V49" s="2" t="inlineStr">
        <is>
          <t>Ask
Skogsknipprot
Revlummer</t>
        </is>
      </c>
      <c r="W49">
        <f>HYPERLINK("https://klasma.github.io/Logging_0885/artfynd/A 38860-2025 artfynd.xlsx", "A 38860-2025")</f>
        <v/>
      </c>
      <c r="X49">
        <f>HYPERLINK("https://klasma.github.io/Logging_0885/kartor/A 38860-2025 karta.png", "A 38860-2025")</f>
        <v/>
      </c>
      <c r="Y49">
        <f>HYPERLINK("https://klasma.github.io/Logging_0885/kartor_geotiff/A 38860-2025 georefererad karta.tif", "A 38860-2025")</f>
        <v/>
      </c>
      <c r="AA49">
        <f>HYPERLINK("https://klasma.github.io/Logging_0885/klagomål/A 38860-2025 FSC-klagomål.docx", "A 38860-2025")</f>
        <v/>
      </c>
      <c r="AB49">
        <f>HYPERLINK("https://klasma.github.io/Logging_0885/klagomålsmail/A 38860-2025 FSC-klagomål mail.docx", "A 38860-2025")</f>
        <v/>
      </c>
      <c r="AC49">
        <f>HYPERLINK("https://klasma.github.io/Logging_0885/tillsyn/A 38860-2025 tillsynsbegäran.docx", "A 38860-2025")</f>
        <v/>
      </c>
      <c r="AD49">
        <f>HYPERLINK("https://klasma.github.io/Logging_0885/tillsynsmail/A 38860-2025 tillsynsbegäran mail.docx", "A 38860-2025")</f>
        <v/>
      </c>
    </row>
    <row r="50" ht="15" customHeight="1">
      <c r="A50" t="inlineStr">
        <is>
          <t>A 43542-2025</t>
        </is>
      </c>
      <c r="B50" t="inlineStr">
        <is>
          <t>avverkningsanmälan</t>
        </is>
      </c>
      <c r="C50" t="inlineStr">
        <is>
          <t>Föryngringsavverkning</t>
        </is>
      </c>
      <c r="D50" s="1" t="n">
        <v>45911</v>
      </c>
      <c r="E50" s="1" t="n">
        <v>46228</v>
      </c>
      <c r="F50" t="inlineStr">
        <is>
          <t>KALMAR LÄN</t>
        </is>
      </c>
      <c r="G50" t="inlineStr">
        <is>
          <t>BORGHOLM</t>
        </is>
      </c>
      <c r="I50" t="n">
        <v>2.4</v>
      </c>
      <c r="J50" t="n">
        <v>0</v>
      </c>
      <c r="K50" t="n">
        <v>1</v>
      </c>
      <c r="L50" t="n">
        <v>2</v>
      </c>
      <c r="M50" t="n">
        <v>0</v>
      </c>
      <c r="N50" t="n">
        <v>0</v>
      </c>
      <c r="O50" t="n">
        <v>0</v>
      </c>
      <c r="P50" t="n">
        <v>0</v>
      </c>
      <c r="Q50" t="n">
        <v>2</v>
      </c>
      <c r="R50" t="n">
        <v>0</v>
      </c>
      <c r="S50" t="n">
        <v>3</v>
      </c>
      <c r="T50" t="n">
        <v>3</v>
      </c>
      <c r="U50" t="n">
        <v>3</v>
      </c>
      <c r="V50" s="2" t="inlineStr">
        <is>
          <t>Vårärt
Ängsskära
Underviol</t>
        </is>
      </c>
      <c r="W50">
        <f>HYPERLINK("https://klasma.github.io/Logging_0885/artfynd/A 43542-2025 artfynd.xlsx", "A 43542-2025")</f>
        <v/>
      </c>
      <c r="X50">
        <f>HYPERLINK("https://klasma.github.io/Logging_0885/kartor/A 43542-2025 karta.png", "A 43542-2025")</f>
        <v/>
      </c>
      <c r="Y50">
        <f>HYPERLINK("https://klasma.github.io/Logging_0885/kartor_geotiff/A 43542-2025 georefererad karta.tif", "A 43542-2025")</f>
        <v/>
      </c>
      <c r="AA50">
        <f>HYPERLINK("https://klasma.github.io/Logging_0885/klagomål/A 43542-2025 FSC-klagomål.docx", "A 43542-2025")</f>
        <v/>
      </c>
      <c r="AB50">
        <f>HYPERLINK("https://klasma.github.io/Logging_0885/klagomålsmail/A 43542-2025 FSC-klagomål mail.docx", "A 43542-2025")</f>
        <v/>
      </c>
      <c r="AC50">
        <f>HYPERLINK("https://klasma.github.io/Logging_0885/tillsyn/A 43542-2025 tillsynsbegäran.docx", "A 43542-2025")</f>
        <v/>
      </c>
      <c r="AD50">
        <f>HYPERLINK("https://klasma.github.io/Logging_0885/tillsynsmail/A 43542-2025 tillsynsbegäran mail.docx", "A 43542-2025")</f>
        <v/>
      </c>
    </row>
    <row r="51" ht="15" customHeight="1">
      <c r="A51" t="inlineStr">
        <is>
          <t>A 27283-2026</t>
        </is>
      </c>
      <c r="B51" t="inlineStr">
        <is>
          <t>avverkningsanmälan</t>
        </is>
      </c>
      <c r="C51" t="inlineStr">
        <is>
          <t>Avverkning för att bevara och utveckla /försöksver</t>
        </is>
      </c>
      <c r="D51" s="1" t="n">
        <v>46188</v>
      </c>
      <c r="E51" s="1" t="n">
        <v>46228</v>
      </c>
      <c r="F51" t="inlineStr">
        <is>
          <t>KALMAR LÄN</t>
        </is>
      </c>
      <c r="G51" t="inlineStr">
        <is>
          <t>BORGHOLM</t>
        </is>
      </c>
      <c r="H51" t="inlineStr">
        <is>
          <t>Sveaskog</t>
        </is>
      </c>
      <c r="I51" t="n">
        <v>2</v>
      </c>
      <c r="J51" t="n">
        <v>1</v>
      </c>
      <c r="K51" t="n">
        <v>1</v>
      </c>
      <c r="L51" t="n">
        <v>1</v>
      </c>
      <c r="M51" t="n">
        <v>0</v>
      </c>
      <c r="N51" t="n">
        <v>1</v>
      </c>
      <c r="O51" t="n">
        <v>0</v>
      </c>
      <c r="P51" t="n">
        <v>0</v>
      </c>
      <c r="Q51" t="n">
        <v>2</v>
      </c>
      <c r="R51" t="n">
        <v>1</v>
      </c>
      <c r="S51" t="n">
        <v>3</v>
      </c>
      <c r="T51" t="n">
        <v>3</v>
      </c>
      <c r="U51" t="n">
        <v>0</v>
      </c>
      <c r="V51" s="2" t="inlineStr">
        <is>
          <t>Ask
Mindre poppelglasvinge
Skogsknipprot</t>
        </is>
      </c>
      <c r="W51">
        <f>HYPERLINK("https://klasma.github.io/Logging_0885/artfynd/A 27283-2026 artfynd.xlsx", "A 27283-2026")</f>
        <v/>
      </c>
      <c r="X51">
        <f>HYPERLINK("https://klasma.github.io/Logging_0885/kartor/A 27283-2026 karta.png", "A 27283-2026")</f>
        <v/>
      </c>
      <c r="Y51">
        <f>HYPERLINK("https://klasma.github.io/Logging_0885/kartor_geotiff/A 27283-2026 georefererad karta.tif", "A 27283-2026")</f>
        <v/>
      </c>
      <c r="AA51">
        <f>HYPERLINK("https://klasma.github.io/Logging_0885/klagomål/A 27283-2026 FSC-klagomål.docx", "A 27283-2026")</f>
        <v/>
      </c>
      <c r="AB51">
        <f>HYPERLINK("https://klasma.github.io/Logging_0885/klagomålsmail/A 27283-2026 FSC-klagomål mail.docx", "A 27283-2026")</f>
        <v/>
      </c>
      <c r="AC51">
        <f>HYPERLINK("https://klasma.github.io/Logging_0885/tillsyn/A 27283-2026 tillsynsbegäran.docx", "A 27283-2026")</f>
        <v/>
      </c>
      <c r="AD51">
        <f>HYPERLINK("https://klasma.github.io/Logging_0885/tillsynsmail/A 27283-2026 tillsynsbegäran mail.docx", "A 27283-2026")</f>
        <v/>
      </c>
    </row>
    <row r="52" ht="15" customHeight="1">
      <c r="A52" t="inlineStr">
        <is>
          <t>A 32174-2022</t>
        </is>
      </c>
      <c r="B52" t="inlineStr">
        <is>
          <t>avverkningsanmälan</t>
        </is>
      </c>
      <c r="C52" t="inlineStr">
        <is>
          <t>Avverkning för att bevara och utveckla /försöksver</t>
        </is>
      </c>
      <c r="D52" s="1" t="n">
        <v>44781</v>
      </c>
      <c r="E52" s="1" t="n">
        <v>46228</v>
      </c>
      <c r="F52" t="inlineStr">
        <is>
          <t>KALMAR LÄN</t>
        </is>
      </c>
      <c r="G52" t="inlineStr">
        <is>
          <t>BORGHOLM</t>
        </is>
      </c>
      <c r="H52" t="inlineStr">
        <is>
          <t>Sveaskog</t>
        </is>
      </c>
      <c r="I52" t="n">
        <v>1.6</v>
      </c>
      <c r="J52" t="n">
        <v>2</v>
      </c>
      <c r="K52" t="n">
        <v>2</v>
      </c>
      <c r="L52" t="n">
        <v>1</v>
      </c>
      <c r="M52" t="n">
        <v>0</v>
      </c>
      <c r="N52" t="n">
        <v>0</v>
      </c>
      <c r="O52" t="n">
        <v>0</v>
      </c>
      <c r="P52" t="n">
        <v>0</v>
      </c>
      <c r="Q52" t="n">
        <v>1</v>
      </c>
      <c r="R52" t="n">
        <v>0</v>
      </c>
      <c r="S52" t="n">
        <v>3</v>
      </c>
      <c r="T52" t="n">
        <v>3</v>
      </c>
      <c r="U52" t="n">
        <v>3</v>
      </c>
      <c r="V52" s="2" t="inlineStr">
        <is>
          <t>Backklöver
Tvåblad
Vit skogslilja</t>
        </is>
      </c>
      <c r="W52">
        <f>HYPERLINK("https://klasma.github.io/Logging_0885/artfynd/A 32174-2022 artfynd.xlsx", "A 32174-2022")</f>
        <v/>
      </c>
      <c r="X52">
        <f>HYPERLINK("https://klasma.github.io/Logging_0885/kartor/A 32174-2022 karta.png", "A 32174-2022")</f>
        <v/>
      </c>
      <c r="Y52">
        <f>HYPERLINK("https://klasma.github.io/Logging_0885/kartor_geotiff/A 32174-2022 georefererad karta.tif", "A 32174-2022")</f>
        <v/>
      </c>
      <c r="AA52">
        <f>HYPERLINK("https://klasma.github.io/Logging_0885/klagomål/A 32174-2022 FSC-klagomål.docx", "A 32174-2022")</f>
        <v/>
      </c>
      <c r="AB52">
        <f>HYPERLINK("https://klasma.github.io/Logging_0885/klagomålsmail/A 32174-2022 FSC-klagomål mail.docx", "A 32174-2022")</f>
        <v/>
      </c>
      <c r="AC52">
        <f>HYPERLINK("https://klasma.github.io/Logging_0885/tillsyn/A 32174-2022 tillsynsbegäran.docx", "A 32174-2022")</f>
        <v/>
      </c>
      <c r="AD52">
        <f>HYPERLINK("https://klasma.github.io/Logging_0885/tillsynsmail/A 32174-2022 tillsynsbegäran mail.docx", "A 32174-2022")</f>
        <v/>
      </c>
    </row>
    <row r="53" ht="15" customHeight="1">
      <c r="A53" t="inlineStr">
        <is>
          <t>A 43756-2022</t>
        </is>
      </c>
      <c r="B53" t="inlineStr">
        <is>
          <t>avverkningsanmälan</t>
        </is>
      </c>
      <c r="C53" t="inlineStr">
        <is>
          <t>Föryngringsavverkning</t>
        </is>
      </c>
      <c r="D53" s="1" t="n">
        <v>44837</v>
      </c>
      <c r="E53" s="1" t="n">
        <v>46228</v>
      </c>
      <c r="F53" t="inlineStr">
        <is>
          <t>KALMAR LÄN</t>
        </is>
      </c>
      <c r="G53" t="inlineStr">
        <is>
          <t>BORGHOLM</t>
        </is>
      </c>
      <c r="I53" t="n">
        <v>2.2</v>
      </c>
      <c r="J53" t="n">
        <v>2</v>
      </c>
      <c r="K53" t="n">
        <v>1</v>
      </c>
      <c r="L53" t="n">
        <v>0</v>
      </c>
      <c r="M53" t="n">
        <v>0</v>
      </c>
      <c r="N53" t="n">
        <v>0</v>
      </c>
      <c r="O53" t="n">
        <v>0</v>
      </c>
      <c r="P53" t="n">
        <v>0</v>
      </c>
      <c r="Q53" t="n">
        <v>0</v>
      </c>
      <c r="R53" t="n">
        <v>0</v>
      </c>
      <c r="S53" t="n">
        <v>3</v>
      </c>
      <c r="T53" t="n">
        <v>5</v>
      </c>
      <c r="U53" t="n">
        <v>5</v>
      </c>
      <c r="V53" s="2" t="inlineStr">
        <is>
          <t>Murgröna
Blåsippa
Gullviva</t>
        </is>
      </c>
      <c r="W53">
        <f>HYPERLINK("https://klasma.github.io/Logging_0885/artfynd/A 43756-2022 artfynd.xlsx", "A 43756-2022")</f>
        <v/>
      </c>
      <c r="X53">
        <f>HYPERLINK("https://klasma.github.io/Logging_0885/kartor/A 43756-2022 karta.png", "A 43756-2022")</f>
        <v/>
      </c>
      <c r="Y53">
        <f>HYPERLINK("https://klasma.github.io/Logging_0885/kartor_geotiff/A 43756-2022 georefererad karta.tif", "A 43756-2022")</f>
        <v/>
      </c>
      <c r="AA53">
        <f>HYPERLINK("https://klasma.github.io/Logging_0885/klagomål/A 43756-2022 FSC-klagomål.docx", "A 43756-2022")</f>
        <v/>
      </c>
      <c r="AB53">
        <f>HYPERLINK("https://klasma.github.io/Logging_0885/klagomålsmail/A 43756-2022 FSC-klagomål mail.docx", "A 43756-2022")</f>
        <v/>
      </c>
      <c r="AC53">
        <f>HYPERLINK("https://klasma.github.io/Logging_0885/tillsyn/A 43756-2022 tillsynsbegäran.docx", "A 43756-2022")</f>
        <v/>
      </c>
      <c r="AD53">
        <f>HYPERLINK("https://klasma.github.io/Logging_0885/tillsynsmail/A 43756-2022 tillsynsbegäran mail.docx", "A 43756-2022")</f>
        <v/>
      </c>
    </row>
    <row r="54" ht="15" customHeight="1">
      <c r="A54" t="inlineStr">
        <is>
          <t>A 15285-2026</t>
        </is>
      </c>
      <c r="B54" t="inlineStr">
        <is>
          <t>avverkningsanmälan</t>
        </is>
      </c>
      <c r="C54" t="inlineStr">
        <is>
          <t>Avverkning för att bevara och utveckla /försöksver</t>
        </is>
      </c>
      <c r="D54" s="1" t="n">
        <v>46105</v>
      </c>
      <c r="E54" s="1" t="n">
        <v>46228</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31520-2026</t>
        </is>
      </c>
      <c r="B55" t="inlineStr">
        <is>
          <t>avverkningsanmälan</t>
        </is>
      </c>
      <c r="C55" t="inlineStr">
        <is>
          <t>Avverkning för att bevara och utveckla /försöksver</t>
        </is>
      </c>
      <c r="D55" s="1" t="n">
        <v>46223</v>
      </c>
      <c r="E55" s="1" t="n">
        <v>46228</v>
      </c>
      <c r="F55" t="inlineStr">
        <is>
          <t>KALMAR LÄN</t>
        </is>
      </c>
      <c r="G55" t="inlineStr">
        <is>
          <t>BORGHOLM</t>
        </is>
      </c>
      <c r="H55" t="inlineStr">
        <is>
          <t>Sveaskog</t>
        </is>
      </c>
      <c r="I55" t="n">
        <v>1.1</v>
      </c>
      <c r="J55" t="n">
        <v>3</v>
      </c>
      <c r="K55" t="n">
        <v>0</v>
      </c>
      <c r="L55" t="n">
        <v>1</v>
      </c>
      <c r="M55" t="n">
        <v>0</v>
      </c>
      <c r="N55" t="n">
        <v>0</v>
      </c>
      <c r="O55" t="n">
        <v>0</v>
      </c>
      <c r="P55" t="n">
        <v>0</v>
      </c>
      <c r="Q55" t="n">
        <v>1</v>
      </c>
      <c r="R55" t="n">
        <v>0</v>
      </c>
      <c r="S55" t="n">
        <v>3</v>
      </c>
      <c r="T55" t="n">
        <v>4</v>
      </c>
      <c r="U55" t="n">
        <v>0</v>
      </c>
      <c r="V55" s="2" t="inlineStr">
        <is>
          <t>Talltita
Grönsiska
Kungsfågel</t>
        </is>
      </c>
      <c r="W55">
        <f>HYPERLINK("https://klasma.github.io/Logging_0885/artfynd/A 31520-2026 artfynd.xlsx", "A 31520-2026")</f>
        <v/>
      </c>
      <c r="X55">
        <f>HYPERLINK("https://klasma.github.io/Logging_0885/kartor/A 31520-2026 karta.png", "A 31520-2026")</f>
        <v/>
      </c>
      <c r="Y55">
        <f>HYPERLINK("https://klasma.github.io/Logging_0885/kartor_geotiff/A 31520-2026 georefererad karta.tif", "A 31520-2026")</f>
        <v/>
      </c>
      <c r="AA55">
        <f>HYPERLINK("https://klasma.github.io/Logging_0885/klagomål/A 31520-2026 FSC-klagomål.docx", "A 31520-2026")</f>
        <v/>
      </c>
      <c r="AB55">
        <f>HYPERLINK("https://klasma.github.io/Logging_0885/klagomålsmail/A 31520-2026 FSC-klagomål mail.docx", "A 31520-2026")</f>
        <v/>
      </c>
      <c r="AC55">
        <f>HYPERLINK("https://klasma.github.io/Logging_0885/tillsyn/A 31520-2026 tillsynsbegäran.docx", "A 31520-2026")</f>
        <v/>
      </c>
      <c r="AD55">
        <f>HYPERLINK("https://klasma.github.io/Logging_0885/tillsynsmail/A 31520-2026 tillsynsbegäran mail.docx", "A 31520-2026")</f>
        <v/>
      </c>
      <c r="AE55">
        <f>HYPERLINK("https://klasma.github.io/Logging_0885/fåglar/A 31520-2026 prioriterade fågelarter.docx", "A 31520-2026")</f>
        <v/>
      </c>
    </row>
    <row r="56" ht="15" customHeight="1">
      <c r="A56" t="inlineStr">
        <is>
          <t>A 26849-2026</t>
        </is>
      </c>
      <c r="B56" t="inlineStr">
        <is>
          <t>avverkningsanmälan</t>
        </is>
      </c>
      <c r="C56" t="inlineStr">
        <is>
          <t>Föryngringsavverkning</t>
        </is>
      </c>
      <c r="D56" s="1" t="n">
        <v>46185</v>
      </c>
      <c r="E56" s="1" t="n">
        <v>46228</v>
      </c>
      <c r="F56" t="inlineStr">
        <is>
          <t>KALMAR LÄN</t>
        </is>
      </c>
      <c r="G56" t="inlineStr">
        <is>
          <t>BORGHOLM</t>
        </is>
      </c>
      <c r="H56" t="inlineStr">
        <is>
          <t>Sveaskog</t>
        </is>
      </c>
      <c r="I56" t="n">
        <v>8.1</v>
      </c>
      <c r="J56" t="n">
        <v>2</v>
      </c>
      <c r="K56" t="n">
        <v>3</v>
      </c>
      <c r="L56" t="n">
        <v>0</v>
      </c>
      <c r="M56" t="n">
        <v>0</v>
      </c>
      <c r="N56" t="n">
        <v>0</v>
      </c>
      <c r="O56" t="n">
        <v>0</v>
      </c>
      <c r="P56" t="n">
        <v>0</v>
      </c>
      <c r="Q56" t="n">
        <v>0</v>
      </c>
      <c r="R56" t="n">
        <v>0</v>
      </c>
      <c r="S56" t="n">
        <v>3</v>
      </c>
      <c r="T56" t="n">
        <v>3</v>
      </c>
      <c r="U56" t="n">
        <v>0</v>
      </c>
      <c r="V56" s="2" t="inlineStr">
        <is>
          <t>Myskmadra
Purpurknipprot
Vit skogslilja</t>
        </is>
      </c>
      <c r="W56">
        <f>HYPERLINK("https://klasma.github.io/Logging_0885/artfynd/A 26849-2026 artfynd.xlsx", "A 26849-2026")</f>
        <v/>
      </c>
      <c r="X56">
        <f>HYPERLINK("https://klasma.github.io/Logging_0885/kartor/A 26849-2026 karta.png", "A 26849-2026")</f>
        <v/>
      </c>
      <c r="Y56">
        <f>HYPERLINK("https://klasma.github.io/Logging_0885/kartor_geotiff/A 26849-2026 georefererad karta.tif", "A 26849-2026")</f>
        <v/>
      </c>
      <c r="AA56">
        <f>HYPERLINK("https://klasma.github.io/Logging_0885/klagomål/A 26849-2026 FSC-klagomål.docx", "A 26849-2026")</f>
        <v/>
      </c>
      <c r="AB56">
        <f>HYPERLINK("https://klasma.github.io/Logging_0885/klagomålsmail/A 26849-2026 FSC-klagomål mail.docx", "A 26849-2026")</f>
        <v/>
      </c>
      <c r="AC56">
        <f>HYPERLINK("https://klasma.github.io/Logging_0885/tillsyn/A 26849-2026 tillsynsbegäran.docx", "A 26849-2026")</f>
        <v/>
      </c>
      <c r="AD56">
        <f>HYPERLINK("https://klasma.github.io/Logging_0885/tillsynsmail/A 26849-2026 tillsynsbegäran mail.docx", "A 26849-2026")</f>
        <v/>
      </c>
    </row>
    <row r="57" ht="15" customHeight="1">
      <c r="A57" t="inlineStr">
        <is>
          <t>A 24048-2025</t>
        </is>
      </c>
      <c r="B57" t="inlineStr">
        <is>
          <t>avverkningsanmälan</t>
        </is>
      </c>
      <c r="C57" t="inlineStr">
        <is>
          <t>Föryngringsavverkning</t>
        </is>
      </c>
      <c r="D57" s="1" t="n">
        <v>45796</v>
      </c>
      <c r="E57" s="1" t="n">
        <v>46228</v>
      </c>
      <c r="F57" t="inlineStr">
        <is>
          <t>KALMAR LÄN</t>
        </is>
      </c>
      <c r="G57" t="inlineStr">
        <is>
          <t>BORGHOLM</t>
        </is>
      </c>
      <c r="I57" t="n">
        <v>2</v>
      </c>
      <c r="J57" t="n">
        <v>1</v>
      </c>
      <c r="K57" t="n">
        <v>0</v>
      </c>
      <c r="L57" t="n">
        <v>2</v>
      </c>
      <c r="M57" t="n">
        <v>0</v>
      </c>
      <c r="N57" t="n">
        <v>0</v>
      </c>
      <c r="O57" t="n">
        <v>0</v>
      </c>
      <c r="P57" t="n">
        <v>0</v>
      </c>
      <c r="Q57" t="n">
        <v>2</v>
      </c>
      <c r="R57" t="n">
        <v>0</v>
      </c>
      <c r="S57" t="n">
        <v>3</v>
      </c>
      <c r="T57" t="n">
        <v>5</v>
      </c>
      <c r="U57" t="n">
        <v>0</v>
      </c>
      <c r="V57" s="2" t="inlineStr">
        <is>
          <t>Loppstarr
Ängsstarr
Kärrknipprot</t>
        </is>
      </c>
      <c r="W57">
        <f>HYPERLINK("https://klasma.github.io/Logging_0885/artfynd/A 24048-2025 artfynd.xlsx", "A 24048-2025")</f>
        <v/>
      </c>
      <c r="X57">
        <f>HYPERLINK("https://klasma.github.io/Logging_0885/kartor/A 24048-2025 karta.png", "A 24048-2025")</f>
        <v/>
      </c>
      <c r="Y57">
        <f>HYPERLINK("https://klasma.github.io/Logging_0885/kartor_geotiff/A 24048-2025 georefererad karta.tif", "A 24048-2025")</f>
        <v/>
      </c>
      <c r="AA57">
        <f>HYPERLINK("https://klasma.github.io/Logging_0885/klagomål/A 24048-2025 FSC-klagomål.docx", "A 24048-2025")</f>
        <v/>
      </c>
      <c r="AB57">
        <f>HYPERLINK("https://klasma.github.io/Logging_0885/klagomålsmail/A 24048-2025 FSC-klagomål mail.docx", "A 24048-2025")</f>
        <v/>
      </c>
      <c r="AC57">
        <f>HYPERLINK("https://klasma.github.io/Logging_0885/tillsyn/A 24048-2025 tillsynsbegäran.docx", "A 24048-2025")</f>
        <v/>
      </c>
      <c r="AD57">
        <f>HYPERLINK("https://klasma.github.io/Logging_0885/tillsynsmail/A 24048-2025 tillsynsbegäran mail.docx", "A 24048-2025")</f>
        <v/>
      </c>
    </row>
    <row r="58" ht="15" customHeight="1">
      <c r="A58" t="inlineStr">
        <is>
          <t>S 2740-2022</t>
        </is>
      </c>
      <c r="B58" t="inlineStr">
        <is>
          <t>samrådsanmälan</t>
        </is>
      </c>
      <c r="C58" t="inlineStr">
        <is>
          <t>Annan skogsbruksåtgärd</t>
        </is>
      </c>
      <c r="D58" s="1" t="n">
        <v>44704</v>
      </c>
      <c r="E58" s="1" t="n">
        <v>46228</v>
      </c>
      <c r="F58" t="inlineStr">
        <is>
          <t>KALMAR LÄN</t>
        </is>
      </c>
      <c r="G58" t="inlineStr">
        <is>
          <t>BORGHOLM</t>
        </is>
      </c>
      <c r="I58" t="n">
        <v>4.4</v>
      </c>
      <c r="J58" t="n">
        <v>2</v>
      </c>
      <c r="K58" t="n">
        <v>1</v>
      </c>
      <c r="L58" t="n">
        <v>0</v>
      </c>
      <c r="M58" t="n">
        <v>0</v>
      </c>
      <c r="N58" t="n">
        <v>1</v>
      </c>
      <c r="O58" t="n">
        <v>0</v>
      </c>
      <c r="P58" t="n">
        <v>0</v>
      </c>
      <c r="Q58" t="n">
        <v>1</v>
      </c>
      <c r="R58" t="n">
        <v>1</v>
      </c>
      <c r="S58" t="n">
        <v>3</v>
      </c>
      <c r="T58" t="n">
        <v>16</v>
      </c>
      <c r="U58" t="n">
        <v>16</v>
      </c>
      <c r="V58" s="2" t="inlineStr">
        <is>
          <t>Ask
Ekoxe
Vanlig padda</t>
        </is>
      </c>
      <c r="W58">
        <f>HYPERLINK("https://klasma.github.io/Logging_0885/artfynd/S 2740-2022 artfynd.xlsx", "S 2740-2022")</f>
        <v/>
      </c>
      <c r="X58">
        <f>HYPERLINK("https://klasma.github.io/Logging_0885/kartor/S 2740-2022 karta.png", "S 2740-2022")</f>
        <v/>
      </c>
      <c r="Y58">
        <f>HYPERLINK("https://klasma.github.io/Logging_0885/kartor_geotiff/S 2740-2022 georefererad karta.tif", "S 2740-2022")</f>
        <v/>
      </c>
      <c r="AA58">
        <f>HYPERLINK("https://klasma.github.io/Logging_0885/klagomål/S 2740-2022 FSC-klagomål.docx", "S 2740-2022")</f>
        <v/>
      </c>
      <c r="AB58">
        <f>HYPERLINK("https://klasma.github.io/Logging_0885/klagomålsmail/S 2740-2022 FSC-klagomål mail.docx", "S 2740-2022")</f>
        <v/>
      </c>
      <c r="AC58">
        <f>HYPERLINK("https://klasma.github.io/Logging_0885/tillsyn/S 2740-2022 tillsynsbegäran.docx", "S 2740-2022")</f>
        <v/>
      </c>
      <c r="AD58">
        <f>HYPERLINK("https://klasma.github.io/Logging_0885/tillsynsmail/S 2740-2022 tillsynsbegäran mail.docx", "S 2740-2022")</f>
        <v/>
      </c>
    </row>
    <row r="59" ht="15" customHeight="1">
      <c r="A59" t="inlineStr">
        <is>
          <t>S 846-2026</t>
        </is>
      </c>
      <c r="B59" t="inlineStr">
        <is>
          <t>samrådsanmälan</t>
        </is>
      </c>
      <c r="C59" t="inlineStr">
        <is>
          <t>Annan skogsbruksåtgärd</t>
        </is>
      </c>
      <c r="D59" s="1" t="n">
        <v>46105</v>
      </c>
      <c r="E59" s="1" t="n">
        <v>46228</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1726-2026</t>
        </is>
      </c>
      <c r="B60" t="inlineStr">
        <is>
          <t>samrådsanmälan</t>
        </is>
      </c>
      <c r="C60" t="inlineStr">
        <is>
          <t>Annan skogsbruksåtgärd</t>
        </is>
      </c>
      <c r="D60" s="1" t="n">
        <v>46188</v>
      </c>
      <c r="E60" s="1" t="n">
        <v>46228</v>
      </c>
      <c r="F60" t="inlineStr">
        <is>
          <t>KALMAR LÄN</t>
        </is>
      </c>
      <c r="G60" t="inlineStr">
        <is>
          <t>BORGHOLM</t>
        </is>
      </c>
      <c r="H60" t="inlineStr">
        <is>
          <t>Sveaskog</t>
        </is>
      </c>
      <c r="I60" t="n">
        <v>2</v>
      </c>
      <c r="J60" t="n">
        <v>1</v>
      </c>
      <c r="K60" t="n">
        <v>1</v>
      </c>
      <c r="L60" t="n">
        <v>1</v>
      </c>
      <c r="M60" t="n">
        <v>0</v>
      </c>
      <c r="N60" t="n">
        <v>1</v>
      </c>
      <c r="O60" t="n">
        <v>0</v>
      </c>
      <c r="P60" t="n">
        <v>0</v>
      </c>
      <c r="Q60" t="n">
        <v>2</v>
      </c>
      <c r="R60" t="n">
        <v>1</v>
      </c>
      <c r="S60" t="n">
        <v>3</v>
      </c>
      <c r="T60" t="n">
        <v>3</v>
      </c>
      <c r="U60" t="n">
        <v>0</v>
      </c>
      <c r="V60" s="2" t="inlineStr">
        <is>
          <t>Ask
Mindre poppelglasvinge
Skogsknipprot</t>
        </is>
      </c>
      <c r="W60">
        <f>HYPERLINK("https://klasma.github.io/Logging_0885/artfynd/S 1726-2026 artfynd.xlsx", "S 1726-2026")</f>
        <v/>
      </c>
      <c r="X60">
        <f>HYPERLINK("https://klasma.github.io/Logging_0885/kartor/S 1726-2026 karta.png", "S 1726-2026")</f>
        <v/>
      </c>
      <c r="Y60">
        <f>HYPERLINK("https://klasma.github.io/Logging_0885/kartor_geotiff/S 1726-2026 georefererad karta.tif", "S 1726-2026")</f>
        <v/>
      </c>
      <c r="AA60">
        <f>HYPERLINK("https://klasma.github.io/Logging_0885/klagomål/S 1726-2026 FSC-klagomål.docx", "S 1726-2026")</f>
        <v/>
      </c>
      <c r="AB60">
        <f>HYPERLINK("https://klasma.github.io/Logging_0885/klagomålsmail/S 1726-2026 FSC-klagomål mail.docx", "S 1726-2026")</f>
        <v/>
      </c>
      <c r="AC60">
        <f>HYPERLINK("https://klasma.github.io/Logging_0885/tillsyn/S 1726-2026 tillsynsbegäran.docx", "S 1726-2026")</f>
        <v/>
      </c>
      <c r="AD60">
        <f>HYPERLINK("https://klasma.github.io/Logging_0885/tillsynsmail/S 1726-2026 tillsynsbegäran mail.docx", "S 1726-2026")</f>
        <v/>
      </c>
    </row>
    <row r="61" ht="15" customHeight="1">
      <c r="A61" t="inlineStr">
        <is>
          <t>S 2059-2026</t>
        </is>
      </c>
      <c r="B61" t="inlineStr">
        <is>
          <t>samrådsanmälan</t>
        </is>
      </c>
      <c r="C61" t="inlineStr">
        <is>
          <t>Annan skogsbruksåtgärd</t>
        </is>
      </c>
      <c r="D61" s="1" t="n">
        <v>46223</v>
      </c>
      <c r="E61" s="1" t="n">
        <v>46228</v>
      </c>
      <c r="F61" t="inlineStr">
        <is>
          <t>KALMAR LÄN</t>
        </is>
      </c>
      <c r="G61" t="inlineStr">
        <is>
          <t>BORGHOLM</t>
        </is>
      </c>
      <c r="H61" t="inlineStr">
        <is>
          <t>Sveaskog</t>
        </is>
      </c>
      <c r="I61" t="n">
        <v>1.1</v>
      </c>
      <c r="J61" t="n">
        <v>3</v>
      </c>
      <c r="K61" t="n">
        <v>0</v>
      </c>
      <c r="L61" t="n">
        <v>1</v>
      </c>
      <c r="M61" t="n">
        <v>0</v>
      </c>
      <c r="N61" t="n">
        <v>0</v>
      </c>
      <c r="O61" t="n">
        <v>0</v>
      </c>
      <c r="P61" t="n">
        <v>0</v>
      </c>
      <c r="Q61" t="n">
        <v>1</v>
      </c>
      <c r="R61" t="n">
        <v>0</v>
      </c>
      <c r="S61" t="n">
        <v>3</v>
      </c>
      <c r="T61" t="n">
        <v>4</v>
      </c>
      <c r="U61" t="n">
        <v>0</v>
      </c>
      <c r="V61" s="2" t="inlineStr">
        <is>
          <t>Talltita
Grönsiska
Kungsfågel</t>
        </is>
      </c>
      <c r="W61">
        <f>HYPERLINK("https://klasma.github.io/Logging_0885/artfynd/S 2059-2026 artfynd.xlsx", "S 2059-2026")</f>
        <v/>
      </c>
      <c r="X61">
        <f>HYPERLINK("https://klasma.github.io/Logging_0885/kartor/S 2059-2026 karta.png", "S 2059-2026")</f>
        <v/>
      </c>
      <c r="Y61">
        <f>HYPERLINK("https://klasma.github.io/Logging_0885/kartor_geotiff/S 2059-2026 georefererad karta.tif", "S 2059-2026")</f>
        <v/>
      </c>
      <c r="AA61">
        <f>HYPERLINK("https://klasma.github.io/Logging_0885/klagomål/S 2059-2026 FSC-klagomål.docx", "S 2059-2026")</f>
        <v/>
      </c>
      <c r="AB61">
        <f>HYPERLINK("https://klasma.github.io/Logging_0885/klagomålsmail/S 2059-2026 FSC-klagomål mail.docx", "S 2059-2026")</f>
        <v/>
      </c>
      <c r="AC61">
        <f>HYPERLINK("https://klasma.github.io/Logging_0885/tillsyn/S 2059-2026 tillsynsbegäran.docx", "S 2059-2026")</f>
        <v/>
      </c>
      <c r="AD61">
        <f>HYPERLINK("https://klasma.github.io/Logging_0885/tillsynsmail/S 2059-2026 tillsynsbegäran mail.docx", "S 2059-2026")</f>
        <v/>
      </c>
      <c r="AE61">
        <f>HYPERLINK("https://klasma.github.io/Logging_0885/fåglar/S 2059-2026 prioriterade fågelarter.docx", "S 2059-2026")</f>
        <v/>
      </c>
    </row>
    <row r="62" ht="15" customHeight="1">
      <c r="A62" t="inlineStr">
        <is>
          <t>A 10348-2022</t>
        </is>
      </c>
      <c r="B62" t="inlineStr">
        <is>
          <t>avverkningsanmälan</t>
        </is>
      </c>
      <c r="C62" t="inlineStr">
        <is>
          <t>Föryngringsavverkning</t>
        </is>
      </c>
      <c r="D62" s="1" t="n">
        <v>44623</v>
      </c>
      <c r="E62" s="1" t="n">
        <v>46228</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21908-2022</t>
        </is>
      </c>
      <c r="B63" t="inlineStr">
        <is>
          <t>avverkningsanmälan</t>
        </is>
      </c>
      <c r="C63" t="inlineStr">
        <is>
          <t>Föryngringsavverkning</t>
        </is>
      </c>
      <c r="D63" s="1" t="n">
        <v>44711</v>
      </c>
      <c r="E63" s="1" t="n">
        <v>46228</v>
      </c>
      <c r="F63" t="inlineStr">
        <is>
          <t>KALMAR LÄN</t>
        </is>
      </c>
      <c r="G63" t="inlineStr">
        <is>
          <t>BORGHOLM</t>
        </is>
      </c>
      <c r="I63" t="n">
        <v>4.7</v>
      </c>
      <c r="J63" t="n">
        <v>1</v>
      </c>
      <c r="K63" t="n">
        <v>2</v>
      </c>
      <c r="L63" t="n">
        <v>0</v>
      </c>
      <c r="M63" t="n">
        <v>0</v>
      </c>
      <c r="N63" t="n">
        <v>0</v>
      </c>
      <c r="O63" t="n">
        <v>0</v>
      </c>
      <c r="P63" t="n">
        <v>0</v>
      </c>
      <c r="Q63" t="n">
        <v>0</v>
      </c>
      <c r="R63" t="n">
        <v>0</v>
      </c>
      <c r="S63" t="n">
        <v>2</v>
      </c>
      <c r="T63" t="n">
        <v>2</v>
      </c>
      <c r="U63" t="n">
        <v>2</v>
      </c>
      <c r="V63" s="2" t="inlineStr">
        <is>
          <t>Myskmadra
Skogsknipprot</t>
        </is>
      </c>
      <c r="W63">
        <f>HYPERLINK("https://klasma.github.io/Logging_0885/artfynd/A 21908-2022 artfynd.xlsx", "A 21908-2022")</f>
        <v/>
      </c>
      <c r="X63">
        <f>HYPERLINK("https://klasma.github.io/Logging_0885/kartor/A 21908-2022 karta.png", "A 21908-2022")</f>
        <v/>
      </c>
      <c r="Y63">
        <f>HYPERLINK("https://klasma.github.io/Logging_0885/kartor_geotiff/A 21908-2022 georefererad karta.tif", "A 21908-2022")</f>
        <v/>
      </c>
      <c r="AA63">
        <f>HYPERLINK("https://klasma.github.io/Logging_0885/klagomål/A 21908-2022 FSC-klagomål.docx", "A 21908-2022")</f>
        <v/>
      </c>
      <c r="AB63">
        <f>HYPERLINK("https://klasma.github.io/Logging_0885/klagomålsmail/A 21908-2022 FSC-klagomål mail.docx", "A 21908-2022")</f>
        <v/>
      </c>
      <c r="AC63">
        <f>HYPERLINK("https://klasma.github.io/Logging_0885/tillsyn/A 21908-2022 tillsynsbegäran.docx", "A 21908-2022")</f>
        <v/>
      </c>
      <c r="AD63">
        <f>HYPERLINK("https://klasma.github.io/Logging_0885/tillsynsmail/A 21908-2022 tillsynsbegäran mail.docx", "A 21908-2022")</f>
        <v/>
      </c>
    </row>
    <row r="64" ht="15" customHeight="1">
      <c r="A64" t="inlineStr">
        <is>
          <t>A 60141-2025</t>
        </is>
      </c>
      <c r="B64" t="inlineStr">
        <is>
          <t>avverkningsanmälan</t>
        </is>
      </c>
      <c r="C64" t="inlineStr">
        <is>
          <t>Föryngringsavverkning</t>
        </is>
      </c>
      <c r="D64" s="1" t="n">
        <v>45994</v>
      </c>
      <c r="E64" s="1" t="n">
        <v>46228</v>
      </c>
      <c r="F64" t="inlineStr">
        <is>
          <t>KALMAR LÄN</t>
        </is>
      </c>
      <c r="G64" t="inlineStr">
        <is>
          <t>BORGHOLM</t>
        </is>
      </c>
      <c r="I64" t="n">
        <v>0.7</v>
      </c>
      <c r="J64" t="n">
        <v>1</v>
      </c>
      <c r="K64" t="n">
        <v>1</v>
      </c>
      <c r="L64" t="n">
        <v>0</v>
      </c>
      <c r="M64" t="n">
        <v>0</v>
      </c>
      <c r="N64" t="n">
        <v>0</v>
      </c>
      <c r="O64" t="n">
        <v>0</v>
      </c>
      <c r="P64" t="n">
        <v>0</v>
      </c>
      <c r="Q64" t="n">
        <v>0</v>
      </c>
      <c r="R64" t="n">
        <v>0</v>
      </c>
      <c r="S64" t="n">
        <v>2</v>
      </c>
      <c r="T64" t="n">
        <v>3</v>
      </c>
      <c r="U64" t="n">
        <v>0</v>
      </c>
      <c r="V64" s="2" t="inlineStr">
        <is>
          <t>Strävlosta
Långbensgroda</t>
        </is>
      </c>
      <c r="W64">
        <f>HYPERLINK("https://klasma.github.io/Logging_0885/artfynd/A 60141-2025 artfynd.xlsx", "A 60141-2025")</f>
        <v/>
      </c>
      <c r="X64">
        <f>HYPERLINK("https://klasma.github.io/Logging_0885/kartor/A 60141-2025 karta.png", "A 60141-2025")</f>
        <v/>
      </c>
      <c r="Y64">
        <f>HYPERLINK("https://klasma.github.io/Logging_0885/kartor_geotiff/A 60141-2025 georefererad karta.tif", "A 60141-2025")</f>
        <v/>
      </c>
      <c r="AA64">
        <f>HYPERLINK("https://klasma.github.io/Logging_0885/klagomål/A 60141-2025 FSC-klagomål.docx", "A 60141-2025")</f>
        <v/>
      </c>
      <c r="AB64">
        <f>HYPERLINK("https://klasma.github.io/Logging_0885/klagomålsmail/A 60141-2025 FSC-klagomål mail.docx", "A 60141-2025")</f>
        <v/>
      </c>
      <c r="AC64">
        <f>HYPERLINK("https://klasma.github.io/Logging_0885/tillsyn/A 60141-2025 tillsynsbegäran.docx", "A 60141-2025")</f>
        <v/>
      </c>
      <c r="AD64">
        <f>HYPERLINK("https://klasma.github.io/Logging_0885/tillsynsmail/A 60141-2025 tillsynsbegäran mail.docx", "A 60141-2025")</f>
        <v/>
      </c>
    </row>
    <row r="65" ht="15" customHeight="1">
      <c r="A65" t="inlineStr">
        <is>
          <t>A 60140-2025</t>
        </is>
      </c>
      <c r="B65" t="inlineStr">
        <is>
          <t>avverkningsanmälan</t>
        </is>
      </c>
      <c r="C65" t="inlineStr">
        <is>
          <t>Föryngringsavverkning</t>
        </is>
      </c>
      <c r="D65" s="1" t="n">
        <v>45994</v>
      </c>
      <c r="E65" s="1" t="n">
        <v>46228</v>
      </c>
      <c r="F65" t="inlineStr">
        <is>
          <t>KALMAR LÄN</t>
        </is>
      </c>
      <c r="G65" t="inlineStr">
        <is>
          <t>BORGHOLM</t>
        </is>
      </c>
      <c r="I65" t="n">
        <v>0.8</v>
      </c>
      <c r="J65" t="n">
        <v>1</v>
      </c>
      <c r="K65" t="n">
        <v>2</v>
      </c>
      <c r="L65" t="n">
        <v>0</v>
      </c>
      <c r="M65" t="n">
        <v>0</v>
      </c>
      <c r="N65" t="n">
        <v>0</v>
      </c>
      <c r="O65" t="n">
        <v>0</v>
      </c>
      <c r="P65" t="n">
        <v>0</v>
      </c>
      <c r="Q65" t="n">
        <v>0</v>
      </c>
      <c r="R65" t="n">
        <v>0</v>
      </c>
      <c r="S65" t="n">
        <v>2</v>
      </c>
      <c r="T65" t="n">
        <v>5</v>
      </c>
      <c r="U65" t="n">
        <v>0</v>
      </c>
      <c r="V65" s="2" t="inlineStr">
        <is>
          <t>Skogsknipprot
Strävlosta</t>
        </is>
      </c>
      <c r="W65">
        <f>HYPERLINK("https://klasma.github.io/Logging_0885/artfynd/A 60140-2025 artfynd.xlsx", "A 60140-2025")</f>
        <v/>
      </c>
      <c r="X65">
        <f>HYPERLINK("https://klasma.github.io/Logging_0885/kartor/A 60140-2025 karta.png", "A 60140-2025")</f>
        <v/>
      </c>
      <c r="Y65">
        <f>HYPERLINK("https://klasma.github.io/Logging_0885/kartor_geotiff/A 60140-2025 georefererad karta.tif", "A 60140-2025")</f>
        <v/>
      </c>
      <c r="AA65">
        <f>HYPERLINK("https://klasma.github.io/Logging_0885/klagomål/A 60140-2025 FSC-klagomål.docx", "A 60140-2025")</f>
        <v/>
      </c>
      <c r="AB65">
        <f>HYPERLINK("https://klasma.github.io/Logging_0885/klagomålsmail/A 60140-2025 FSC-klagomål mail.docx", "A 60140-2025")</f>
        <v/>
      </c>
      <c r="AC65">
        <f>HYPERLINK("https://klasma.github.io/Logging_0885/tillsyn/A 60140-2025 tillsynsbegäran.docx", "A 60140-2025")</f>
        <v/>
      </c>
      <c r="AD65">
        <f>HYPERLINK("https://klasma.github.io/Logging_0885/tillsynsmail/A 60140-2025 tillsynsbegäran mail.docx", "A 60140-2025")</f>
        <v/>
      </c>
    </row>
    <row r="66" ht="15" customHeight="1">
      <c r="A66" t="inlineStr">
        <is>
          <t>A 29411-2026</t>
        </is>
      </c>
      <c r="B66" t="inlineStr">
        <is>
          <t>avverkningsanmälan</t>
        </is>
      </c>
      <c r="C66" t="inlineStr">
        <is>
          <t>Avverkning för att bevara och utveckla /försöksver</t>
        </is>
      </c>
      <c r="D66" s="1" t="n">
        <v>46203</v>
      </c>
      <c r="E66" s="1" t="n">
        <v>46228</v>
      </c>
      <c r="F66" t="inlineStr">
        <is>
          <t>KALMAR LÄN</t>
        </is>
      </c>
      <c r="G66" t="inlineStr">
        <is>
          <t>BORGHOLM</t>
        </is>
      </c>
      <c r="H66" t="inlineStr">
        <is>
          <t>Sveaskog</t>
        </is>
      </c>
      <c r="I66" t="n">
        <v>0.6</v>
      </c>
      <c r="J66" t="n">
        <v>1</v>
      </c>
      <c r="K66" t="n">
        <v>1</v>
      </c>
      <c r="L66" t="n">
        <v>0</v>
      </c>
      <c r="M66" t="n">
        <v>1</v>
      </c>
      <c r="N66" t="n">
        <v>0</v>
      </c>
      <c r="O66" t="n">
        <v>0</v>
      </c>
      <c r="P66" t="n">
        <v>0</v>
      </c>
      <c r="Q66" t="n">
        <v>1</v>
      </c>
      <c r="R66" t="n">
        <v>1</v>
      </c>
      <c r="S66" t="n">
        <v>2</v>
      </c>
      <c r="T66" t="n">
        <v>2</v>
      </c>
      <c r="U66" t="n">
        <v>1</v>
      </c>
      <c r="V66" s="2" t="inlineStr">
        <is>
          <t>Bredbrämad bastardsvärmare
Ekoxe</t>
        </is>
      </c>
      <c r="W66">
        <f>HYPERLINK("https://klasma.github.io/Logging_0885/artfynd/A 29411-2026 artfynd.xlsx", "A 29411-2026")</f>
        <v/>
      </c>
      <c r="X66">
        <f>HYPERLINK("https://klasma.github.io/Logging_0885/kartor/A 29411-2026 karta.png", "A 29411-2026")</f>
        <v/>
      </c>
      <c r="Y66">
        <f>HYPERLINK("https://klasma.github.io/Logging_0885/kartor_geotiff/A 29411-2026 georefererad karta.tif", "A 29411-2026")</f>
        <v/>
      </c>
      <c r="AA66">
        <f>HYPERLINK("https://klasma.github.io/Logging_0885/klagomål/A 29411-2026 FSC-klagomål.docx", "A 29411-2026")</f>
        <v/>
      </c>
      <c r="AB66">
        <f>HYPERLINK("https://klasma.github.io/Logging_0885/klagomålsmail/A 29411-2026 FSC-klagomål mail.docx", "A 29411-2026")</f>
        <v/>
      </c>
      <c r="AC66">
        <f>HYPERLINK("https://klasma.github.io/Logging_0885/tillsyn/A 29411-2026 tillsynsbegäran.docx", "A 29411-2026")</f>
        <v/>
      </c>
      <c r="AD66">
        <f>HYPERLINK("https://klasma.github.io/Logging_0885/tillsynsmail/A 29411-2026 tillsynsbegäran mail.docx", "A 29411-2026")</f>
        <v/>
      </c>
    </row>
    <row r="67" ht="15" customHeight="1">
      <c r="A67" t="inlineStr">
        <is>
          <t>A 44678-2022</t>
        </is>
      </c>
      <c r="B67" t="inlineStr">
        <is>
          <t>avverkningsanmälan</t>
        </is>
      </c>
      <c r="C67" t="inlineStr">
        <is>
          <t>Föryngringsavverkning</t>
        </is>
      </c>
      <c r="D67" s="1" t="n">
        <v>44840</v>
      </c>
      <c r="E67" s="1" t="n">
        <v>46228</v>
      </c>
      <c r="F67" t="inlineStr">
        <is>
          <t>KALMAR LÄN</t>
        </is>
      </c>
      <c r="G67" t="inlineStr">
        <is>
          <t>BORGHOLM</t>
        </is>
      </c>
      <c r="I67" t="n">
        <v>2.4</v>
      </c>
      <c r="J67" t="n">
        <v>1</v>
      </c>
      <c r="K67" t="n">
        <v>1</v>
      </c>
      <c r="L67" t="n">
        <v>0</v>
      </c>
      <c r="M67" t="n">
        <v>0</v>
      </c>
      <c r="N67" t="n">
        <v>1</v>
      </c>
      <c r="O67" t="n">
        <v>0</v>
      </c>
      <c r="P67" t="n">
        <v>0</v>
      </c>
      <c r="Q67" t="n">
        <v>1</v>
      </c>
      <c r="R67" t="n">
        <v>1</v>
      </c>
      <c r="S67" t="n">
        <v>2</v>
      </c>
      <c r="T67" t="n">
        <v>2</v>
      </c>
      <c r="U67" t="n">
        <v>1</v>
      </c>
      <c r="V67" s="2" t="inlineStr">
        <is>
          <t>Ask
Skogsknipprot</t>
        </is>
      </c>
      <c r="W67">
        <f>HYPERLINK("https://klasma.github.io/Logging_0885/artfynd/A 44678-2022 artfynd.xlsx", "A 44678-2022")</f>
        <v/>
      </c>
      <c r="X67">
        <f>HYPERLINK("https://klasma.github.io/Logging_0885/kartor/A 44678-2022 karta.png", "A 44678-2022")</f>
        <v/>
      </c>
      <c r="Y67">
        <f>HYPERLINK("https://klasma.github.io/Logging_0885/kartor_geotiff/A 44678-2022 georefererad karta.tif", "A 44678-2022")</f>
        <v/>
      </c>
      <c r="AA67">
        <f>HYPERLINK("https://klasma.github.io/Logging_0885/klagomål/A 44678-2022 FSC-klagomål.docx", "A 44678-2022")</f>
        <v/>
      </c>
      <c r="AB67">
        <f>HYPERLINK("https://klasma.github.io/Logging_0885/klagomålsmail/A 44678-2022 FSC-klagomål mail.docx", "A 44678-2022")</f>
        <v/>
      </c>
      <c r="AC67">
        <f>HYPERLINK("https://klasma.github.io/Logging_0885/tillsyn/A 44678-2022 tillsynsbegäran.docx", "A 44678-2022")</f>
        <v/>
      </c>
      <c r="AD67">
        <f>HYPERLINK("https://klasma.github.io/Logging_0885/tillsynsmail/A 44678-2022 tillsynsbegäran mail.docx", "A 44678-2022")</f>
        <v/>
      </c>
    </row>
    <row r="68" ht="15" customHeight="1">
      <c r="A68" t="inlineStr">
        <is>
          <t>A 9253-2026</t>
        </is>
      </c>
      <c r="B68" t="inlineStr">
        <is>
          <t>avverkningsanmälan</t>
        </is>
      </c>
      <c r="C68" t="inlineStr">
        <is>
          <t>Föryngringsavverkning</t>
        </is>
      </c>
      <c r="D68" s="1" t="n">
        <v>46070</v>
      </c>
      <c r="E68" s="1" t="n">
        <v>46228</v>
      </c>
      <c r="F68" t="inlineStr">
        <is>
          <t>KALMAR LÄN</t>
        </is>
      </c>
      <c r="G68" t="inlineStr">
        <is>
          <t>BORGHOLM</t>
        </is>
      </c>
      <c r="I68" t="n">
        <v>1.1</v>
      </c>
      <c r="J68" t="n">
        <v>1</v>
      </c>
      <c r="K68" t="n">
        <v>1</v>
      </c>
      <c r="L68" t="n">
        <v>0</v>
      </c>
      <c r="M68" t="n">
        <v>0</v>
      </c>
      <c r="N68" t="n">
        <v>0</v>
      </c>
      <c r="O68" t="n">
        <v>0</v>
      </c>
      <c r="P68" t="n">
        <v>0</v>
      </c>
      <c r="Q68" t="n">
        <v>0</v>
      </c>
      <c r="R68" t="n">
        <v>0</v>
      </c>
      <c r="S68" t="n">
        <v>2</v>
      </c>
      <c r="T68" t="n">
        <v>2</v>
      </c>
      <c r="U68" t="n">
        <v>0</v>
      </c>
      <c r="V68" s="2" t="inlineStr">
        <is>
          <t>Murgröna
Gullviva</t>
        </is>
      </c>
      <c r="W68">
        <f>HYPERLINK("https://klasma.github.io/Logging_0885/artfynd/A 9253-2026 artfynd.xlsx", "A 9253-2026")</f>
        <v/>
      </c>
      <c r="X68">
        <f>HYPERLINK("https://klasma.github.io/Logging_0885/kartor/A 9253-2026 karta.png", "A 9253-2026")</f>
        <v/>
      </c>
      <c r="Y68">
        <f>HYPERLINK("https://klasma.github.io/Logging_0885/kartor_geotiff/A 9253-2026 georefererad karta.tif", "A 9253-2026")</f>
        <v/>
      </c>
      <c r="AA68">
        <f>HYPERLINK("https://klasma.github.io/Logging_0885/klagomål/A 9253-2026 FSC-klagomål.docx", "A 9253-2026")</f>
        <v/>
      </c>
      <c r="AB68">
        <f>HYPERLINK("https://klasma.github.io/Logging_0885/klagomålsmail/A 9253-2026 FSC-klagomål mail.docx", "A 9253-2026")</f>
        <v/>
      </c>
      <c r="AC68">
        <f>HYPERLINK("https://klasma.github.io/Logging_0885/tillsyn/A 9253-2026 tillsynsbegäran.docx", "A 9253-2026")</f>
        <v/>
      </c>
      <c r="AD68">
        <f>HYPERLINK("https://klasma.github.io/Logging_0885/tillsynsmail/A 9253-2026 tillsynsbegäran mail.docx", "A 9253-2026")</f>
        <v/>
      </c>
    </row>
    <row r="69" ht="15" customHeight="1">
      <c r="A69" t="inlineStr">
        <is>
          <t>A 24322-2026</t>
        </is>
      </c>
      <c r="B69" t="inlineStr">
        <is>
          <t>avverkningsanmälan</t>
        </is>
      </c>
      <c r="C69" t="inlineStr">
        <is>
          <t>Föryngringsavverkning</t>
        </is>
      </c>
      <c r="D69" s="1" t="n">
        <v>46169</v>
      </c>
      <c r="E69" s="1" t="n">
        <v>46228</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29434-2026</t>
        </is>
      </c>
      <c r="B70" t="inlineStr">
        <is>
          <t>avverkningsanmälan</t>
        </is>
      </c>
      <c r="C70" t="inlineStr">
        <is>
          <t>Avverkning för att bevara och utveckla /försöksver</t>
        </is>
      </c>
      <c r="D70" s="1" t="n">
        <v>46203</v>
      </c>
      <c r="E70" s="1" t="n">
        <v>46228</v>
      </c>
      <c r="F70" t="inlineStr">
        <is>
          <t>KALMAR LÄN</t>
        </is>
      </c>
      <c r="G70" t="inlineStr">
        <is>
          <t>BORGHOLM</t>
        </is>
      </c>
      <c r="H70" t="inlineStr">
        <is>
          <t>Sveaskog</t>
        </is>
      </c>
      <c r="I70" t="n">
        <v>2.1</v>
      </c>
      <c r="J70" t="n">
        <v>0</v>
      </c>
      <c r="K70" t="n">
        <v>0</v>
      </c>
      <c r="L70" t="n">
        <v>0</v>
      </c>
      <c r="M70" t="n">
        <v>2</v>
      </c>
      <c r="N70" t="n">
        <v>0</v>
      </c>
      <c r="O70" t="n">
        <v>0</v>
      </c>
      <c r="P70" t="n">
        <v>0</v>
      </c>
      <c r="Q70" t="n">
        <v>2</v>
      </c>
      <c r="R70" t="n">
        <v>2</v>
      </c>
      <c r="S70" t="n">
        <v>2</v>
      </c>
      <c r="T70" t="n">
        <v>2</v>
      </c>
      <c r="U70" t="n">
        <v>0</v>
      </c>
      <c r="V70" s="2" t="inlineStr">
        <is>
          <t>Bredbrämad bastardsvärmare
Purpurmusseron</t>
        </is>
      </c>
      <c r="W70">
        <f>HYPERLINK("https://klasma.github.io/Logging_0885/artfynd/A 29434-2026 artfynd.xlsx", "A 29434-2026")</f>
        <v/>
      </c>
      <c r="X70">
        <f>HYPERLINK("https://klasma.github.io/Logging_0885/kartor/A 29434-2026 karta.png", "A 29434-2026")</f>
        <v/>
      </c>
      <c r="Y70">
        <f>HYPERLINK("https://klasma.github.io/Logging_0885/kartor_geotiff/A 29434-2026 georefererad karta.tif", "A 29434-2026")</f>
        <v/>
      </c>
      <c r="AA70">
        <f>HYPERLINK("https://klasma.github.io/Logging_0885/klagomål/A 29434-2026 FSC-klagomål.docx", "A 29434-2026")</f>
        <v/>
      </c>
      <c r="AB70">
        <f>HYPERLINK("https://klasma.github.io/Logging_0885/klagomålsmail/A 29434-2026 FSC-klagomål mail.docx", "A 29434-2026")</f>
        <v/>
      </c>
      <c r="AC70">
        <f>HYPERLINK("https://klasma.github.io/Logging_0885/tillsyn/A 29434-2026 tillsynsbegäran.docx", "A 29434-2026")</f>
        <v/>
      </c>
      <c r="AD70">
        <f>HYPERLINK("https://klasma.github.io/Logging_0885/tillsynsmail/A 29434-2026 tillsynsbegäran mail.docx", "A 29434-2026")</f>
        <v/>
      </c>
    </row>
    <row r="71" ht="15" customHeight="1">
      <c r="A71" t="inlineStr">
        <is>
          <t>A 50129-2021</t>
        </is>
      </c>
      <c r="B71" t="inlineStr">
        <is>
          <t>avverkningsanmälan</t>
        </is>
      </c>
      <c r="C71" t="inlineStr">
        <is>
          <t>Avverkning för annat ändamål</t>
        </is>
      </c>
      <c r="D71" s="1" t="n">
        <v>44456</v>
      </c>
      <c r="E71" s="1" t="n">
        <v>46228</v>
      </c>
      <c r="F71" t="inlineStr">
        <is>
          <t>KALMAR LÄN</t>
        </is>
      </c>
      <c r="G71" t="inlineStr">
        <is>
          <t>BORGHOLM</t>
        </is>
      </c>
      <c r="I71" t="n">
        <v>1.6</v>
      </c>
      <c r="J71" t="n">
        <v>1</v>
      </c>
      <c r="K71" t="n">
        <v>1</v>
      </c>
      <c r="L71" t="n">
        <v>0</v>
      </c>
      <c r="M71" t="n">
        <v>0</v>
      </c>
      <c r="N71" t="n">
        <v>0</v>
      </c>
      <c r="O71" t="n">
        <v>0</v>
      </c>
      <c r="P71" t="n">
        <v>0</v>
      </c>
      <c r="Q71" t="n">
        <v>0</v>
      </c>
      <c r="R71" t="n">
        <v>0</v>
      </c>
      <c r="S71" t="n">
        <v>2</v>
      </c>
      <c r="T71" t="n">
        <v>2</v>
      </c>
      <c r="U71" t="n">
        <v>2</v>
      </c>
      <c r="V71" s="2" t="inlineStr">
        <is>
          <t>Murgröna
Blåsippa</t>
        </is>
      </c>
      <c r="W71">
        <f>HYPERLINK("https://klasma.github.io/Logging_0885/artfynd/A 50129-2021 artfynd.xlsx", "A 50129-2021")</f>
        <v/>
      </c>
      <c r="X71">
        <f>HYPERLINK("https://klasma.github.io/Logging_0885/kartor/A 50129-2021 karta.png", "A 50129-2021")</f>
        <v/>
      </c>
      <c r="Y71">
        <f>HYPERLINK("https://klasma.github.io/Logging_0885/kartor_geotiff/A 50129-2021 georefererad karta.tif", "A 50129-2021")</f>
        <v/>
      </c>
      <c r="AA71">
        <f>HYPERLINK("https://klasma.github.io/Logging_0885/klagomål/A 50129-2021 FSC-klagomål.docx", "A 50129-2021")</f>
        <v/>
      </c>
      <c r="AB71">
        <f>HYPERLINK("https://klasma.github.io/Logging_0885/klagomålsmail/A 50129-2021 FSC-klagomål mail.docx", "A 50129-2021")</f>
        <v/>
      </c>
      <c r="AC71">
        <f>HYPERLINK("https://klasma.github.io/Logging_0885/tillsyn/A 50129-2021 tillsynsbegäran.docx", "A 50129-2021")</f>
        <v/>
      </c>
      <c r="AD71">
        <f>HYPERLINK("https://klasma.github.io/Logging_0885/tillsynsmail/A 50129-2021 tillsynsbegäran mail.docx", "A 50129-2021")</f>
        <v/>
      </c>
    </row>
    <row r="72" ht="15" customHeight="1">
      <c r="A72" t="inlineStr">
        <is>
          <t>A 17699-2025</t>
        </is>
      </c>
      <c r="B72" t="inlineStr">
        <is>
          <t>avverkningsanmälan</t>
        </is>
      </c>
      <c r="C72" t="inlineStr">
        <is>
          <t>Föryngringsavverkning</t>
        </is>
      </c>
      <c r="D72" s="1" t="n">
        <v>45758</v>
      </c>
      <c r="E72" s="1" t="n">
        <v>46228</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24166-2022</t>
        </is>
      </c>
      <c r="B73" t="inlineStr">
        <is>
          <t>avverkningsanmälan</t>
        </is>
      </c>
      <c r="C73" t="inlineStr">
        <is>
          <t>Avverkning för annat ändamål</t>
        </is>
      </c>
      <c r="D73" s="1" t="n">
        <v>44725</v>
      </c>
      <c r="E73" s="1" t="n">
        <v>46228</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S 6144-2022</t>
        </is>
      </c>
      <c r="B74" t="inlineStr">
        <is>
          <t>samrådsanmälan</t>
        </is>
      </c>
      <c r="C74" t="inlineStr">
        <is>
          <t>Annan skogsbruksåtgärd</t>
        </is>
      </c>
      <c r="D74" s="1" t="n">
        <v>44865</v>
      </c>
      <c r="E74" s="1" t="n">
        <v>46228</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46228</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46228</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46228</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46228</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46228</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46228</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24701-2023</t>
        </is>
      </c>
      <c r="B81" t="inlineStr">
        <is>
          <t>avverkningsanmälan</t>
        </is>
      </c>
      <c r="C81" t="inlineStr">
        <is>
          <t>Föryngringsavverkning</t>
        </is>
      </c>
      <c r="D81" s="1" t="n">
        <v>45084</v>
      </c>
      <c r="E81" s="1" t="n">
        <v>46228</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63276-2023</t>
        </is>
      </c>
      <c r="B82" t="inlineStr">
        <is>
          <t>avverkningsanmälan</t>
        </is>
      </c>
      <c r="C82" t="inlineStr">
        <is>
          <t>Föryngringsavverkning</t>
        </is>
      </c>
      <c r="D82" s="1" t="n">
        <v>45273</v>
      </c>
      <c r="E82" s="1" t="n">
        <v>46228</v>
      </c>
      <c r="F82" t="inlineStr">
        <is>
          <t>KALMAR LÄN</t>
        </is>
      </c>
      <c r="G82" t="inlineStr">
        <is>
          <t>BORGHOLM</t>
        </is>
      </c>
      <c r="I82" t="n">
        <v>5</v>
      </c>
      <c r="J82" t="n">
        <v>0</v>
      </c>
      <c r="K82" t="n">
        <v>0</v>
      </c>
      <c r="L82" t="n">
        <v>0</v>
      </c>
      <c r="M82" t="n">
        <v>1</v>
      </c>
      <c r="N82" t="n">
        <v>0</v>
      </c>
      <c r="O82" t="n">
        <v>0</v>
      </c>
      <c r="P82" t="n">
        <v>0</v>
      </c>
      <c r="Q82" t="n">
        <v>1</v>
      </c>
      <c r="R82" t="n">
        <v>1</v>
      </c>
      <c r="S82" t="n">
        <v>1</v>
      </c>
      <c r="T82" t="n">
        <v>1</v>
      </c>
      <c r="U82" t="n">
        <v>0</v>
      </c>
      <c r="V82" s="2" t="inlineStr">
        <is>
          <t>Elaphomyces barrioi</t>
        </is>
      </c>
      <c r="W82">
        <f>HYPERLINK("https://klasma.github.io/Logging_0885/artfynd/A 63276-2023 artfynd.xlsx", "A 63276-2023")</f>
        <v/>
      </c>
      <c r="X82">
        <f>HYPERLINK("https://klasma.github.io/Logging_0885/kartor/A 63276-2023 karta.png", "A 63276-2023")</f>
        <v/>
      </c>
      <c r="Y82">
        <f>HYPERLINK("https://klasma.github.io/Logging_0885/kartor_geotiff/A 63276-2023 georefererad karta.tif", "A 63276-2023")</f>
        <v/>
      </c>
      <c r="AA82">
        <f>HYPERLINK("https://klasma.github.io/Logging_0885/klagomål/A 63276-2023 FSC-klagomål.docx", "A 63276-2023")</f>
        <v/>
      </c>
      <c r="AB82">
        <f>HYPERLINK("https://klasma.github.io/Logging_0885/klagomålsmail/A 63276-2023 FSC-klagomål mail.docx", "A 63276-2023")</f>
        <v/>
      </c>
      <c r="AC82">
        <f>HYPERLINK("https://klasma.github.io/Logging_0885/tillsyn/A 63276-2023 tillsynsbegäran.docx", "A 63276-2023")</f>
        <v/>
      </c>
      <c r="AD82">
        <f>HYPERLINK("https://klasma.github.io/Logging_0885/tillsynsmail/A 63276-2023 tillsynsbegäran mail.docx", "A 63276-2023")</f>
        <v/>
      </c>
    </row>
    <row r="83" ht="15" customHeight="1">
      <c r="A83" t="inlineStr">
        <is>
          <t>A 41831-2025</t>
        </is>
      </c>
      <c r="B83" t="inlineStr">
        <is>
          <t>avverkningsanmälan</t>
        </is>
      </c>
      <c r="C83" t="inlineStr">
        <is>
          <t>Föryngringsavverkning</t>
        </is>
      </c>
      <c r="D83" s="1" t="n">
        <v>45902</v>
      </c>
      <c r="E83" s="1" t="n">
        <v>46228</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24704-2023</t>
        </is>
      </c>
      <c r="B84" t="inlineStr">
        <is>
          <t>avverkningsanmälan</t>
        </is>
      </c>
      <c r="C84" t="inlineStr">
        <is>
          <t>Föryngringsavverkning</t>
        </is>
      </c>
      <c r="D84" s="1" t="n">
        <v>45084</v>
      </c>
      <c r="E84" s="1" t="n">
        <v>46228</v>
      </c>
      <c r="F84" t="inlineStr">
        <is>
          <t>KALMAR LÄN</t>
        </is>
      </c>
      <c r="G84" t="inlineStr">
        <is>
          <t>BORGHOLM</t>
        </is>
      </c>
      <c r="I84" t="n">
        <v>3.5</v>
      </c>
      <c r="J84" t="n">
        <v>0</v>
      </c>
      <c r="K84" t="n">
        <v>0</v>
      </c>
      <c r="L84" t="n">
        <v>0</v>
      </c>
      <c r="M84" t="n">
        <v>0</v>
      </c>
      <c r="N84" t="n">
        <v>1</v>
      </c>
      <c r="O84" t="n">
        <v>0</v>
      </c>
      <c r="P84" t="n">
        <v>0</v>
      </c>
      <c r="Q84" t="n">
        <v>1</v>
      </c>
      <c r="R84" t="n">
        <v>1</v>
      </c>
      <c r="S84" t="n">
        <v>1</v>
      </c>
      <c r="T84" t="n">
        <v>2</v>
      </c>
      <c r="U84" t="n">
        <v>0</v>
      </c>
      <c r="V84" s="2" t="inlineStr">
        <is>
          <t>Ask</t>
        </is>
      </c>
      <c r="W84">
        <f>HYPERLINK("https://klasma.github.io/Logging_0885/artfynd/A 24704-2023 artfynd.xlsx", "A 24704-2023")</f>
        <v/>
      </c>
      <c r="X84">
        <f>HYPERLINK("https://klasma.github.io/Logging_0885/kartor/A 24704-2023 karta.png", "A 24704-2023")</f>
        <v/>
      </c>
      <c r="Y84">
        <f>HYPERLINK("https://klasma.github.io/Logging_0885/kartor_geotiff/A 24704-2023 georefererad karta.tif", "A 24704-2023")</f>
        <v/>
      </c>
      <c r="AA84">
        <f>HYPERLINK("https://klasma.github.io/Logging_0885/klagomål/A 24704-2023 FSC-klagomål.docx", "A 24704-2023")</f>
        <v/>
      </c>
      <c r="AB84">
        <f>HYPERLINK("https://klasma.github.io/Logging_0885/klagomålsmail/A 24704-2023 FSC-klagomål mail.docx", "A 24704-2023")</f>
        <v/>
      </c>
      <c r="AC84">
        <f>HYPERLINK("https://klasma.github.io/Logging_0885/tillsyn/A 24704-2023 tillsynsbegäran.docx", "A 24704-2023")</f>
        <v/>
      </c>
      <c r="AD84">
        <f>HYPERLINK("https://klasma.github.io/Logging_0885/tillsynsmail/A 24704-2023 tillsynsbegäran mail.docx", "A 24704-2023")</f>
        <v/>
      </c>
    </row>
    <row r="85" ht="15" customHeight="1">
      <c r="A85" t="inlineStr">
        <is>
          <t>A 9745-2023</t>
        </is>
      </c>
      <c r="B85" t="inlineStr">
        <is>
          <t>avverkningsanmälan</t>
        </is>
      </c>
      <c r="C85" t="inlineStr">
        <is>
          <t>Föryngringsavverkning</t>
        </is>
      </c>
      <c r="D85" s="1" t="n">
        <v>44984</v>
      </c>
      <c r="E85" s="1" t="n">
        <v>46228</v>
      </c>
      <c r="F85" t="inlineStr">
        <is>
          <t>KALMAR LÄN</t>
        </is>
      </c>
      <c r="G85" t="inlineStr">
        <is>
          <t>BORGHOLM</t>
        </is>
      </c>
      <c r="I85" t="n">
        <v>1.2</v>
      </c>
      <c r="J85" t="n">
        <v>1</v>
      </c>
      <c r="K85" t="n">
        <v>1</v>
      </c>
      <c r="L85" t="n">
        <v>0</v>
      </c>
      <c r="M85" t="n">
        <v>0</v>
      </c>
      <c r="N85" t="n">
        <v>0</v>
      </c>
      <c r="O85" t="n">
        <v>0</v>
      </c>
      <c r="P85" t="n">
        <v>0</v>
      </c>
      <c r="Q85" t="n">
        <v>0</v>
      </c>
      <c r="R85" t="n">
        <v>0</v>
      </c>
      <c r="S85" t="n">
        <v>1</v>
      </c>
      <c r="T85" t="n">
        <v>2</v>
      </c>
      <c r="U85" t="n">
        <v>1</v>
      </c>
      <c r="V85" s="2" t="inlineStr">
        <is>
          <t>Skogsknipprot</t>
        </is>
      </c>
      <c r="W85">
        <f>HYPERLINK("https://klasma.github.io/Logging_0885/artfynd/A 9745-2023 artfynd.xlsx", "A 9745-2023")</f>
        <v/>
      </c>
      <c r="X85">
        <f>HYPERLINK("https://klasma.github.io/Logging_0885/kartor/A 9745-2023 karta.png", "A 9745-2023")</f>
        <v/>
      </c>
      <c r="Y85">
        <f>HYPERLINK("https://klasma.github.io/Logging_0885/kartor_geotiff/A 9745-2023 georefererad karta.tif", "A 9745-2023")</f>
        <v/>
      </c>
      <c r="AA85">
        <f>HYPERLINK("https://klasma.github.io/Logging_0885/klagomål/A 9745-2023 FSC-klagomål.docx", "A 9745-2023")</f>
        <v/>
      </c>
      <c r="AB85">
        <f>HYPERLINK("https://klasma.github.io/Logging_0885/klagomålsmail/A 9745-2023 FSC-klagomål mail.docx", "A 9745-2023")</f>
        <v/>
      </c>
      <c r="AC85">
        <f>HYPERLINK("https://klasma.github.io/Logging_0885/tillsyn/A 9745-2023 tillsynsbegäran.docx", "A 9745-2023")</f>
        <v/>
      </c>
      <c r="AD85">
        <f>HYPERLINK("https://klasma.github.io/Logging_0885/tillsynsmail/A 9745-2023 tillsynsbegäran mail.docx", "A 9745-2023")</f>
        <v/>
      </c>
    </row>
    <row r="86" ht="15" customHeight="1">
      <c r="A86" t="inlineStr">
        <is>
          <t>A 28430-2026</t>
        </is>
      </c>
      <c r="B86" t="inlineStr">
        <is>
          <t>avverkningsanmälan</t>
        </is>
      </c>
      <c r="C86" t="inlineStr">
        <is>
          <t>Avverkning för att bevara och utveckla /försöksver</t>
        </is>
      </c>
      <c r="D86" s="1" t="n">
        <v>46197</v>
      </c>
      <c r="E86" s="1" t="n">
        <v>46228</v>
      </c>
      <c r="F86" t="inlineStr">
        <is>
          <t>KALMAR LÄN</t>
        </is>
      </c>
      <c r="G86" t="inlineStr">
        <is>
          <t>BORGHOLM</t>
        </is>
      </c>
      <c r="H86" t="inlineStr">
        <is>
          <t>Sveaskog</t>
        </is>
      </c>
      <c r="I86" t="n">
        <v>1.8</v>
      </c>
      <c r="J86" t="n">
        <v>0</v>
      </c>
      <c r="K86" t="n">
        <v>0</v>
      </c>
      <c r="L86" t="n">
        <v>1</v>
      </c>
      <c r="M86" t="n">
        <v>0</v>
      </c>
      <c r="N86" t="n">
        <v>0</v>
      </c>
      <c r="O86" t="n">
        <v>0</v>
      </c>
      <c r="P86" t="n">
        <v>0</v>
      </c>
      <c r="Q86" t="n">
        <v>1</v>
      </c>
      <c r="R86" t="n">
        <v>0</v>
      </c>
      <c r="S86" t="n">
        <v>1</v>
      </c>
      <c r="T86" t="n">
        <v>2</v>
      </c>
      <c r="U86" t="n">
        <v>0</v>
      </c>
      <c r="V86" s="2" t="inlineStr">
        <is>
          <t>Oxtungssvamp</t>
        </is>
      </c>
      <c r="W86">
        <f>HYPERLINK("https://klasma.github.io/Logging_0885/artfynd/A 28430-2026 artfynd.xlsx", "A 28430-2026")</f>
        <v/>
      </c>
      <c r="X86">
        <f>HYPERLINK("https://klasma.github.io/Logging_0885/kartor/A 28430-2026 karta.png", "A 28430-2026")</f>
        <v/>
      </c>
      <c r="Y86">
        <f>HYPERLINK("https://klasma.github.io/Logging_0885/kartor_geotiff/A 28430-2026 georefererad karta.tif", "A 28430-2026")</f>
        <v/>
      </c>
      <c r="AA86">
        <f>HYPERLINK("https://klasma.github.io/Logging_0885/klagomål/A 28430-2026 FSC-klagomål.docx", "A 28430-2026")</f>
        <v/>
      </c>
      <c r="AB86">
        <f>HYPERLINK("https://klasma.github.io/Logging_0885/klagomålsmail/A 28430-2026 FSC-klagomål mail.docx", "A 28430-2026")</f>
        <v/>
      </c>
      <c r="AC86">
        <f>HYPERLINK("https://klasma.github.io/Logging_0885/tillsyn/A 28430-2026 tillsynsbegäran.docx", "A 28430-2026")</f>
        <v/>
      </c>
      <c r="AD86">
        <f>HYPERLINK("https://klasma.github.io/Logging_0885/tillsynsmail/A 28430-2026 tillsynsbegäran mail.docx", "A 28430-2026")</f>
        <v/>
      </c>
    </row>
    <row r="87" ht="15" customHeight="1">
      <c r="A87" t="inlineStr">
        <is>
          <t>A 28374-2026</t>
        </is>
      </c>
      <c r="B87" t="inlineStr">
        <is>
          <t>avverkningsanmälan</t>
        </is>
      </c>
      <c r="C87" t="inlineStr">
        <is>
          <t>Avverkning för att bevara och utveckla /försöksver</t>
        </is>
      </c>
      <c r="D87" s="1" t="n">
        <v>46196</v>
      </c>
      <c r="E87" s="1" t="n">
        <v>46228</v>
      </c>
      <c r="F87" t="inlineStr">
        <is>
          <t>KALMAR LÄN</t>
        </is>
      </c>
      <c r="G87" t="inlineStr">
        <is>
          <t>BORGHOLM</t>
        </is>
      </c>
      <c r="H87" t="inlineStr">
        <is>
          <t>Sveaskog</t>
        </is>
      </c>
      <c r="I87" t="n">
        <v>2</v>
      </c>
      <c r="J87" t="n">
        <v>0</v>
      </c>
      <c r="K87" t="n">
        <v>0</v>
      </c>
      <c r="L87" t="n">
        <v>0</v>
      </c>
      <c r="M87" t="n">
        <v>1</v>
      </c>
      <c r="N87" t="n">
        <v>0</v>
      </c>
      <c r="O87" t="n">
        <v>0</v>
      </c>
      <c r="P87" t="n">
        <v>0</v>
      </c>
      <c r="Q87" t="n">
        <v>1</v>
      </c>
      <c r="R87" t="n">
        <v>1</v>
      </c>
      <c r="S87" t="n">
        <v>1</v>
      </c>
      <c r="T87" t="n">
        <v>1</v>
      </c>
      <c r="U87" t="n">
        <v>0</v>
      </c>
      <c r="V87" s="2" t="inlineStr">
        <is>
          <t>Purpurmusseron</t>
        </is>
      </c>
      <c r="W87">
        <f>HYPERLINK("https://klasma.github.io/Logging_0885/artfynd/A 28374-2026 artfynd.xlsx", "A 28374-2026")</f>
        <v/>
      </c>
      <c r="X87">
        <f>HYPERLINK("https://klasma.github.io/Logging_0885/kartor/A 28374-2026 karta.png", "A 28374-2026")</f>
        <v/>
      </c>
      <c r="Y87">
        <f>HYPERLINK("https://klasma.github.io/Logging_0885/kartor_geotiff/A 28374-2026 georefererad karta.tif", "A 28374-2026")</f>
        <v/>
      </c>
      <c r="AA87">
        <f>HYPERLINK("https://klasma.github.io/Logging_0885/klagomål/A 28374-2026 FSC-klagomål.docx", "A 28374-2026")</f>
        <v/>
      </c>
      <c r="AB87">
        <f>HYPERLINK("https://klasma.github.io/Logging_0885/klagomålsmail/A 28374-2026 FSC-klagomål mail.docx", "A 28374-2026")</f>
        <v/>
      </c>
      <c r="AC87">
        <f>HYPERLINK("https://klasma.github.io/Logging_0885/tillsyn/A 28374-2026 tillsynsbegäran.docx", "A 28374-2026")</f>
        <v/>
      </c>
      <c r="AD87">
        <f>HYPERLINK("https://klasma.github.io/Logging_0885/tillsynsmail/A 28374-2026 tillsynsbegäran mail.docx", "A 28374-2026")</f>
        <v/>
      </c>
    </row>
    <row r="88" ht="15" customHeight="1">
      <c r="A88" t="inlineStr">
        <is>
          <t>A 3302-2026</t>
        </is>
      </c>
      <c r="B88" t="inlineStr">
        <is>
          <t>avverkningsanmälan</t>
        </is>
      </c>
      <c r="C88" t="inlineStr">
        <is>
          <t>Avverkning för annat ändamål</t>
        </is>
      </c>
      <c r="D88" s="1" t="n">
        <v>46041</v>
      </c>
      <c r="E88" s="1" t="n">
        <v>46228</v>
      </c>
      <c r="F88" t="inlineStr">
        <is>
          <t>KALMAR LÄN</t>
        </is>
      </c>
      <c r="G88" t="inlineStr">
        <is>
          <t>BORGHOLM</t>
        </is>
      </c>
      <c r="I88" t="n">
        <v>3.9</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HYPERLINK("https://klasma.github.io/Logging_0885/artfynd/A 3302-2026 artfynd.xlsx", "A 3302-2026")</f>
        <v/>
      </c>
      <c r="X88">
        <f>HYPERLINK("https://klasma.github.io/Logging_0885/kartor/A 3302-2026 karta.png", "A 3302-2026")</f>
        <v/>
      </c>
      <c r="Y88">
        <f>HYPERLINK("https://klasma.github.io/Logging_0885/kartor_geotiff/A 3302-2026 georefererad karta.tif", "A 3302-2026")</f>
        <v/>
      </c>
      <c r="AA88">
        <f>HYPERLINK("https://klasma.github.io/Logging_0885/klagomål/A 3302-2026 FSC-klagomål.docx", "A 3302-2026")</f>
        <v/>
      </c>
      <c r="AB88">
        <f>HYPERLINK("https://klasma.github.io/Logging_0885/klagomålsmail/A 3302-2026 FSC-klagomål mail.docx", "A 3302-2026")</f>
        <v/>
      </c>
      <c r="AC88">
        <f>HYPERLINK("https://klasma.github.io/Logging_0885/tillsyn/A 3302-2026 tillsynsbegäran.docx", "A 3302-2026")</f>
        <v/>
      </c>
      <c r="AD88">
        <f>HYPERLINK("https://klasma.github.io/Logging_0885/tillsynsmail/A 3302-2026 tillsynsbegäran mail.docx", "A 3302-2026")</f>
        <v/>
      </c>
    </row>
    <row r="89" ht="15" customHeight="1">
      <c r="A89" t="inlineStr">
        <is>
          <t>A 7481-2026</t>
        </is>
      </c>
      <c r="B89" t="inlineStr">
        <is>
          <t>avverkningsanmälan</t>
        </is>
      </c>
      <c r="C89" t="inlineStr">
        <is>
          <t>Föryngringsavverkning</t>
        </is>
      </c>
      <c r="D89" s="1" t="n">
        <v>46059</v>
      </c>
      <c r="E89" s="1" t="n">
        <v>46228</v>
      </c>
      <c r="F89" t="inlineStr">
        <is>
          <t>KALMAR LÄN</t>
        </is>
      </c>
      <c r="G89" t="inlineStr">
        <is>
          <t>BORGHOLM</t>
        </is>
      </c>
      <c r="I89" t="n">
        <v>1.9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HYPERLINK("https://klasma.github.io/Logging_0885/artfynd/A 7481-2026 artfynd.xlsx", "A 7481-2026")</f>
        <v/>
      </c>
      <c r="X89">
        <f>HYPERLINK("https://klasma.github.io/Logging_0885/kartor/A 7481-2026 karta.png", "A 7481-2026")</f>
        <v/>
      </c>
      <c r="Y89">
        <f>HYPERLINK("https://klasma.github.io/Logging_0885/kartor_geotiff/A 7481-2026 georefererad karta.tif", "A 7481-2026")</f>
        <v/>
      </c>
      <c r="AA89">
        <f>HYPERLINK("https://klasma.github.io/Logging_0885/klagomål/A 7481-2026 FSC-klagomål.docx", "A 7481-2026")</f>
        <v/>
      </c>
      <c r="AB89">
        <f>HYPERLINK("https://klasma.github.io/Logging_0885/klagomålsmail/A 7481-2026 FSC-klagomål mail.docx", "A 7481-2026")</f>
        <v/>
      </c>
      <c r="AC89">
        <f>HYPERLINK("https://klasma.github.io/Logging_0885/tillsyn/A 7481-2026 tillsynsbegäran.docx", "A 7481-2026")</f>
        <v/>
      </c>
      <c r="AD89">
        <f>HYPERLINK("https://klasma.github.io/Logging_0885/tillsynsmail/A 7481-2026 tillsynsbegäran mail.docx", "A 7481-2026")</f>
        <v/>
      </c>
    </row>
    <row r="90" ht="15" customHeight="1">
      <c r="A90" t="inlineStr">
        <is>
          <t>A 31720-2022</t>
        </is>
      </c>
      <c r="B90" t="inlineStr">
        <is>
          <t>avverkningsanmälan</t>
        </is>
      </c>
      <c r="C90" t="inlineStr">
        <is>
          <t>Föryngringsavverkning</t>
        </is>
      </c>
      <c r="D90" s="1" t="n">
        <v>44776</v>
      </c>
      <c r="E90" s="1" t="n">
        <v>46228</v>
      </c>
      <c r="F90" t="inlineStr">
        <is>
          <t>KALMAR LÄN</t>
        </is>
      </c>
      <c r="G90" t="inlineStr">
        <is>
          <t>BORGHOLM</t>
        </is>
      </c>
      <c r="H90" t="inlineStr">
        <is>
          <t>Sveaskog</t>
        </is>
      </c>
      <c r="I90" t="n">
        <v>4.5</v>
      </c>
      <c r="J90" t="n">
        <v>1</v>
      </c>
      <c r="K90" t="n">
        <v>1</v>
      </c>
      <c r="L90" t="n">
        <v>0</v>
      </c>
      <c r="M90" t="n">
        <v>0</v>
      </c>
      <c r="N90" t="n">
        <v>0</v>
      </c>
      <c r="O90" t="n">
        <v>0</v>
      </c>
      <c r="P90" t="n">
        <v>0</v>
      </c>
      <c r="Q90" t="n">
        <v>0</v>
      </c>
      <c r="R90" t="n">
        <v>0</v>
      </c>
      <c r="S90" t="n">
        <v>1</v>
      </c>
      <c r="T90" t="n">
        <v>1</v>
      </c>
      <c r="U90" t="n">
        <v>1</v>
      </c>
      <c r="V90" s="2" t="inlineStr">
        <is>
          <t>Tvåblad</t>
        </is>
      </c>
      <c r="W90">
        <f>HYPERLINK("https://klasma.github.io/Logging_0885/artfynd/A 31720-2022 artfynd.xlsx", "A 31720-2022")</f>
        <v/>
      </c>
      <c r="X90">
        <f>HYPERLINK("https://klasma.github.io/Logging_0885/kartor/A 31720-2022 karta.png", "A 31720-2022")</f>
        <v/>
      </c>
      <c r="Y90">
        <f>HYPERLINK("https://klasma.github.io/Logging_0885/kartor_geotiff/A 31720-2022 georefererad karta.tif", "A 31720-2022")</f>
        <v/>
      </c>
      <c r="AA90">
        <f>HYPERLINK("https://klasma.github.io/Logging_0885/klagomål/A 31720-2022 FSC-klagomål.docx", "A 31720-2022")</f>
        <v/>
      </c>
      <c r="AB90">
        <f>HYPERLINK("https://klasma.github.io/Logging_0885/klagomålsmail/A 31720-2022 FSC-klagomål mail.docx", "A 31720-2022")</f>
        <v/>
      </c>
      <c r="AC90">
        <f>HYPERLINK("https://klasma.github.io/Logging_0885/tillsyn/A 31720-2022 tillsynsbegäran.docx", "A 31720-2022")</f>
        <v/>
      </c>
      <c r="AD90">
        <f>HYPERLINK("https://klasma.github.io/Logging_0885/tillsynsmail/A 31720-2022 tillsynsbegäran mail.docx", "A 31720-2022")</f>
        <v/>
      </c>
    </row>
    <row r="91" ht="15" customHeight="1">
      <c r="A91" t="inlineStr">
        <is>
          <t>A 9905-2026</t>
        </is>
      </c>
      <c r="B91" t="inlineStr">
        <is>
          <t>avverkningsanmälan</t>
        </is>
      </c>
      <c r="C91" t="inlineStr">
        <is>
          <t>Föryngringsavverkning</t>
        </is>
      </c>
      <c r="D91" s="1" t="n">
        <v>46073</v>
      </c>
      <c r="E91" s="1" t="n">
        <v>46228</v>
      </c>
      <c r="F91" t="inlineStr">
        <is>
          <t>KALMAR LÄN</t>
        </is>
      </c>
      <c r="G91" t="inlineStr">
        <is>
          <t>BORGHOLM</t>
        </is>
      </c>
      <c r="I91" t="n">
        <v>1.4</v>
      </c>
      <c r="J91" t="n">
        <v>0</v>
      </c>
      <c r="K91" t="n">
        <v>0</v>
      </c>
      <c r="L91" t="n">
        <v>0</v>
      </c>
      <c r="M91" t="n">
        <v>0</v>
      </c>
      <c r="N91" t="n">
        <v>1</v>
      </c>
      <c r="O91" t="n">
        <v>0</v>
      </c>
      <c r="P91" t="n">
        <v>0</v>
      </c>
      <c r="Q91" t="n">
        <v>1</v>
      </c>
      <c r="R91" t="n">
        <v>1</v>
      </c>
      <c r="S91" t="n">
        <v>1</v>
      </c>
      <c r="T91" t="n">
        <v>1</v>
      </c>
      <c r="U91" t="n">
        <v>0</v>
      </c>
      <c r="V91" s="2" t="inlineStr">
        <is>
          <t>Ask</t>
        </is>
      </c>
      <c r="W91">
        <f>HYPERLINK("https://klasma.github.io/Logging_0885/artfynd/A 9905-2026 artfynd.xlsx", "A 9905-2026")</f>
        <v/>
      </c>
      <c r="X91">
        <f>HYPERLINK("https://klasma.github.io/Logging_0885/kartor/A 9905-2026 karta.png", "A 9905-2026")</f>
        <v/>
      </c>
      <c r="Y91">
        <f>HYPERLINK("https://klasma.github.io/Logging_0885/kartor_geotiff/A 9905-2026 georefererad karta.tif", "A 9905-2026")</f>
        <v/>
      </c>
      <c r="AA91">
        <f>HYPERLINK("https://klasma.github.io/Logging_0885/klagomål/A 9905-2026 FSC-klagomål.docx", "A 9905-2026")</f>
        <v/>
      </c>
      <c r="AB91">
        <f>HYPERLINK("https://klasma.github.io/Logging_0885/klagomålsmail/A 9905-2026 FSC-klagomål mail.docx", "A 9905-2026")</f>
        <v/>
      </c>
      <c r="AC91">
        <f>HYPERLINK("https://klasma.github.io/Logging_0885/tillsyn/A 9905-2026 tillsynsbegäran.docx", "A 9905-2026")</f>
        <v/>
      </c>
      <c r="AD91">
        <f>HYPERLINK("https://klasma.github.io/Logging_0885/tillsynsmail/A 9905-2026 tillsynsbegäran mail.docx", "A 9905-2026")</f>
        <v/>
      </c>
    </row>
    <row r="92" ht="15" customHeight="1">
      <c r="A92" t="inlineStr">
        <is>
          <t>A 19867-2024</t>
        </is>
      </c>
      <c r="B92" t="inlineStr">
        <is>
          <t>avverkningsanmälan</t>
        </is>
      </c>
      <c r="C92" t="inlineStr">
        <is>
          <t>Föryngringsavverkning</t>
        </is>
      </c>
      <c r="D92" s="1" t="n">
        <v>45433</v>
      </c>
      <c r="E92" s="1" t="n">
        <v>46228</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26840-2026</t>
        </is>
      </c>
      <c r="B93" t="inlineStr">
        <is>
          <t>avverkningsanmälan</t>
        </is>
      </c>
      <c r="C93" t="inlineStr">
        <is>
          <t>Avverkning för att bevara och utveckla /försöksver</t>
        </is>
      </c>
      <c r="D93" s="1" t="n">
        <v>46185</v>
      </c>
      <c r="E93" s="1" t="n">
        <v>46228</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13043-2024</t>
        </is>
      </c>
      <c r="B94" t="inlineStr">
        <is>
          <t>avverkningsanmälan</t>
        </is>
      </c>
      <c r="C94" t="inlineStr">
        <is>
          <t>Föryngringsavverkning</t>
        </is>
      </c>
      <c r="D94" s="1" t="n">
        <v>45385</v>
      </c>
      <c r="E94" s="1" t="n">
        <v>46228</v>
      </c>
      <c r="F94" t="inlineStr">
        <is>
          <t>KALMAR LÄN</t>
        </is>
      </c>
      <c r="G94" t="inlineStr">
        <is>
          <t>BORGHOLM</t>
        </is>
      </c>
      <c r="I94" t="n">
        <v>0.4</v>
      </c>
      <c r="J94" t="n">
        <v>1</v>
      </c>
      <c r="K94" t="n">
        <v>1</v>
      </c>
      <c r="L94" t="n">
        <v>0</v>
      </c>
      <c r="M94" t="n">
        <v>0</v>
      </c>
      <c r="N94" t="n">
        <v>0</v>
      </c>
      <c r="O94" t="n">
        <v>0</v>
      </c>
      <c r="P94" t="n">
        <v>0</v>
      </c>
      <c r="Q94" t="n">
        <v>0</v>
      </c>
      <c r="R94" t="n">
        <v>0</v>
      </c>
      <c r="S94" t="n">
        <v>1</v>
      </c>
      <c r="T94" t="n">
        <v>1</v>
      </c>
      <c r="U94" t="n">
        <v>0</v>
      </c>
      <c r="V94" s="2" t="inlineStr">
        <is>
          <t>Ekoxe</t>
        </is>
      </c>
      <c r="W94">
        <f>HYPERLINK("https://klasma.github.io/Logging_0885/artfynd/A 13043-2024 artfynd.xlsx", "A 13043-2024")</f>
        <v/>
      </c>
      <c r="X94">
        <f>HYPERLINK("https://klasma.github.io/Logging_0885/kartor/A 13043-2024 karta.png", "A 13043-2024")</f>
        <v/>
      </c>
      <c r="Y94">
        <f>HYPERLINK("https://klasma.github.io/Logging_0885/kartor_geotiff/A 13043-2024 georefererad karta.tif", "A 13043-2024")</f>
        <v/>
      </c>
      <c r="AA94">
        <f>HYPERLINK("https://klasma.github.io/Logging_0885/klagomål/A 13043-2024 FSC-klagomål.docx", "A 13043-2024")</f>
        <v/>
      </c>
      <c r="AB94">
        <f>HYPERLINK("https://klasma.github.io/Logging_0885/klagomålsmail/A 13043-2024 FSC-klagomål mail.docx", "A 13043-2024")</f>
        <v/>
      </c>
      <c r="AC94">
        <f>HYPERLINK("https://klasma.github.io/Logging_0885/tillsyn/A 13043-2024 tillsynsbegäran.docx", "A 13043-2024")</f>
        <v/>
      </c>
      <c r="AD94">
        <f>HYPERLINK("https://klasma.github.io/Logging_0885/tillsynsmail/A 13043-2024 tillsynsbegäran mail.docx", "A 13043-2024")</f>
        <v/>
      </c>
    </row>
    <row r="95" ht="15" customHeight="1">
      <c r="A95" t="inlineStr">
        <is>
          <t>A 20878-2024</t>
        </is>
      </c>
      <c r="B95" t="inlineStr">
        <is>
          <t>avverkningsanmälan</t>
        </is>
      </c>
      <c r="C95" t="inlineStr">
        <is>
          <t>Föryngringsavverkning</t>
        </is>
      </c>
      <c r="D95" s="1" t="n">
        <v>45439</v>
      </c>
      <c r="E95" s="1" t="n">
        <v>46228</v>
      </c>
      <c r="F95" t="inlineStr">
        <is>
          <t>KALMAR LÄN</t>
        </is>
      </c>
      <c r="G95" t="inlineStr">
        <is>
          <t>BORGHOLM</t>
        </is>
      </c>
      <c r="I95" t="n">
        <v>1.9</v>
      </c>
      <c r="J95" t="n">
        <v>1</v>
      </c>
      <c r="K95" t="n">
        <v>0</v>
      </c>
      <c r="L95" t="n">
        <v>0</v>
      </c>
      <c r="M95" t="n">
        <v>0</v>
      </c>
      <c r="N95" t="n">
        <v>0</v>
      </c>
      <c r="O95" t="n">
        <v>0</v>
      </c>
      <c r="P95" t="n">
        <v>0</v>
      </c>
      <c r="Q95" t="n">
        <v>0</v>
      </c>
      <c r="R95" t="n">
        <v>0</v>
      </c>
      <c r="S95" t="n">
        <v>1</v>
      </c>
      <c r="T95" t="n">
        <v>2</v>
      </c>
      <c r="U95" t="n">
        <v>0</v>
      </c>
      <c r="V95" s="2" t="inlineStr">
        <is>
          <t>Fläcknycklar</t>
        </is>
      </c>
      <c r="W95">
        <f>HYPERLINK("https://klasma.github.io/Logging_0885/artfynd/A 20878-2024 artfynd.xlsx", "A 20878-2024")</f>
        <v/>
      </c>
      <c r="X95">
        <f>HYPERLINK("https://klasma.github.io/Logging_0885/kartor/A 20878-2024 karta.png", "A 20878-2024")</f>
        <v/>
      </c>
      <c r="Y95">
        <f>HYPERLINK("https://klasma.github.io/Logging_0885/kartor_geotiff/A 20878-2024 georefererad karta.tif", "A 20878-2024")</f>
        <v/>
      </c>
      <c r="AA95">
        <f>HYPERLINK("https://klasma.github.io/Logging_0885/klagomål/A 20878-2024 FSC-klagomål.docx", "A 20878-2024")</f>
        <v/>
      </c>
      <c r="AB95">
        <f>HYPERLINK("https://klasma.github.io/Logging_0885/klagomålsmail/A 20878-2024 FSC-klagomål mail.docx", "A 20878-2024")</f>
        <v/>
      </c>
      <c r="AC95">
        <f>HYPERLINK("https://klasma.github.io/Logging_0885/tillsyn/A 20878-2024 tillsynsbegäran.docx", "A 20878-2024")</f>
        <v/>
      </c>
      <c r="AD95">
        <f>HYPERLINK("https://klasma.github.io/Logging_0885/tillsynsmail/A 20878-2024 tillsynsbegäran mail.docx", "A 20878-2024")</f>
        <v/>
      </c>
    </row>
    <row r="96" ht="15" customHeight="1">
      <c r="A96" t="inlineStr">
        <is>
          <t>A 28785-2025</t>
        </is>
      </c>
      <c r="B96" t="inlineStr">
        <is>
          <t>avverkningsanmälan</t>
        </is>
      </c>
      <c r="C96" t="inlineStr">
        <is>
          <t>Avverkning för att bevara och utveckla /försöksver</t>
        </is>
      </c>
      <c r="D96" s="1" t="n">
        <v>45820</v>
      </c>
      <c r="E96" s="1" t="n">
        <v>46228</v>
      </c>
      <c r="F96" t="inlineStr">
        <is>
          <t>KALMAR LÄN</t>
        </is>
      </c>
      <c r="G96" t="inlineStr">
        <is>
          <t>BORGHOLM</t>
        </is>
      </c>
      <c r="H96" t="inlineStr">
        <is>
          <t>Sveaskog</t>
        </is>
      </c>
      <c r="I96" t="n">
        <v>2.3</v>
      </c>
      <c r="J96" t="n">
        <v>1</v>
      </c>
      <c r="K96" t="n">
        <v>0</v>
      </c>
      <c r="L96" t="n">
        <v>0</v>
      </c>
      <c r="M96" t="n">
        <v>0</v>
      </c>
      <c r="N96" t="n">
        <v>0</v>
      </c>
      <c r="O96" t="n">
        <v>0</v>
      </c>
      <c r="P96" t="n">
        <v>0</v>
      </c>
      <c r="Q96" t="n">
        <v>0</v>
      </c>
      <c r="R96" t="n">
        <v>0</v>
      </c>
      <c r="S96" t="n">
        <v>1</v>
      </c>
      <c r="T96" t="n">
        <v>1</v>
      </c>
      <c r="U96" t="n">
        <v>0</v>
      </c>
      <c r="V96" s="2" t="inlineStr">
        <is>
          <t>Havsörn</t>
        </is>
      </c>
      <c r="W96">
        <f>HYPERLINK("https://klasma.github.io/Logging_0885/artfynd/A 28785-2025 artfynd.xlsx", "A 28785-2025")</f>
        <v/>
      </c>
      <c r="X96">
        <f>HYPERLINK("https://klasma.github.io/Logging_0885/kartor/A 28785-2025 karta.png", "A 28785-2025")</f>
        <v/>
      </c>
      <c r="Y96">
        <f>HYPERLINK("https://klasma.github.io/Logging_0885/kartor_geotiff/A 28785-2025 georefererad karta.tif", "A 28785-2025")</f>
        <v/>
      </c>
      <c r="AA96">
        <f>HYPERLINK("https://klasma.github.io/Logging_0885/klagomål/A 28785-2025 FSC-klagomål.docx", "A 28785-2025")</f>
        <v/>
      </c>
      <c r="AB96">
        <f>HYPERLINK("https://klasma.github.io/Logging_0885/klagomålsmail/A 28785-2025 FSC-klagomål mail.docx", "A 28785-2025")</f>
        <v/>
      </c>
      <c r="AC96">
        <f>HYPERLINK("https://klasma.github.io/Logging_0885/tillsyn/A 28785-2025 tillsynsbegäran.docx", "A 28785-2025")</f>
        <v/>
      </c>
      <c r="AD96">
        <f>HYPERLINK("https://klasma.github.io/Logging_0885/tillsynsmail/A 28785-2025 tillsynsbegäran mail.docx", "A 28785-2025")</f>
        <v/>
      </c>
      <c r="AE96">
        <f>HYPERLINK("https://klasma.github.io/Logging_0885/fåglar/A 28785-2025 prioriterade fågelarter.docx", "A 28785-2025")</f>
        <v/>
      </c>
    </row>
    <row r="97" ht="15" customHeight="1">
      <c r="A97" t="inlineStr">
        <is>
          <t>A 28782-2025</t>
        </is>
      </c>
      <c r="B97" t="inlineStr">
        <is>
          <t>avverkningsanmälan</t>
        </is>
      </c>
      <c r="C97" t="inlineStr">
        <is>
          <t>Avverkning för att bevara och utveckla /försöksver</t>
        </is>
      </c>
      <c r="D97" s="1" t="n">
        <v>45820</v>
      </c>
      <c r="E97" s="1" t="n">
        <v>46228</v>
      </c>
      <c r="F97" t="inlineStr">
        <is>
          <t>KALMAR LÄN</t>
        </is>
      </c>
      <c r="G97" t="inlineStr">
        <is>
          <t>BORGHOLM</t>
        </is>
      </c>
      <c r="H97" t="inlineStr">
        <is>
          <t>Sveaskog</t>
        </is>
      </c>
      <c r="I97" t="n">
        <v>0.8</v>
      </c>
      <c r="J97" t="n">
        <v>1</v>
      </c>
      <c r="K97" t="n">
        <v>0</v>
      </c>
      <c r="L97" t="n">
        <v>0</v>
      </c>
      <c r="M97" t="n">
        <v>0</v>
      </c>
      <c r="N97" t="n">
        <v>0</v>
      </c>
      <c r="O97" t="n">
        <v>0</v>
      </c>
      <c r="P97" t="n">
        <v>0</v>
      </c>
      <c r="Q97" t="n">
        <v>0</v>
      </c>
      <c r="R97" t="n">
        <v>0</v>
      </c>
      <c r="S97" t="n">
        <v>1</v>
      </c>
      <c r="T97" t="n">
        <v>1</v>
      </c>
      <c r="U97" t="n">
        <v>0</v>
      </c>
      <c r="V97" s="2" t="inlineStr">
        <is>
          <t>Havsörn</t>
        </is>
      </c>
      <c r="W97">
        <f>HYPERLINK("https://klasma.github.io/Logging_0885/artfynd/A 28782-2025 artfynd.xlsx", "A 28782-2025")</f>
        <v/>
      </c>
      <c r="X97">
        <f>HYPERLINK("https://klasma.github.io/Logging_0885/kartor/A 28782-2025 karta.png", "A 28782-2025")</f>
        <v/>
      </c>
      <c r="Y97">
        <f>HYPERLINK("https://klasma.github.io/Logging_0885/kartor_geotiff/A 28782-2025 georefererad karta.tif", "A 28782-2025")</f>
        <v/>
      </c>
      <c r="AA97">
        <f>HYPERLINK("https://klasma.github.io/Logging_0885/klagomål/A 28782-2025 FSC-klagomål.docx", "A 28782-2025")</f>
        <v/>
      </c>
      <c r="AB97">
        <f>HYPERLINK("https://klasma.github.io/Logging_0885/klagomålsmail/A 28782-2025 FSC-klagomål mail.docx", "A 28782-2025")</f>
        <v/>
      </c>
      <c r="AC97">
        <f>HYPERLINK("https://klasma.github.io/Logging_0885/tillsyn/A 28782-2025 tillsynsbegäran.docx", "A 28782-2025")</f>
        <v/>
      </c>
      <c r="AD97">
        <f>HYPERLINK("https://klasma.github.io/Logging_0885/tillsynsmail/A 28782-2025 tillsynsbegäran mail.docx", "A 28782-2025")</f>
        <v/>
      </c>
      <c r="AE97">
        <f>HYPERLINK("https://klasma.github.io/Logging_0885/fåglar/A 28782-2025 prioriterade fågelarter.docx", "A 28782-2025")</f>
        <v/>
      </c>
    </row>
    <row r="98" ht="15" customHeight="1">
      <c r="A98" t="inlineStr">
        <is>
          <t>S 2390-2023</t>
        </is>
      </c>
      <c r="B98" t="inlineStr">
        <is>
          <t>samrådsanmälan</t>
        </is>
      </c>
      <c r="C98" t="inlineStr">
        <is>
          <t>Annan skogsbruksåtgärd</t>
        </is>
      </c>
      <c r="D98" s="1" t="n">
        <v>45111</v>
      </c>
      <c r="E98" s="1" t="n">
        <v>46228</v>
      </c>
      <c r="F98" t="inlineStr">
        <is>
          <t>KALMAR LÄN</t>
        </is>
      </c>
      <c r="G98" t="inlineStr">
        <is>
          <t>BORGHOLM</t>
        </is>
      </c>
      <c r="I98" t="n">
        <v>2.7</v>
      </c>
      <c r="J98" t="n">
        <v>1</v>
      </c>
      <c r="K98" t="n">
        <v>0</v>
      </c>
      <c r="L98" t="n">
        <v>1</v>
      </c>
      <c r="M98" t="n">
        <v>0</v>
      </c>
      <c r="N98" t="n">
        <v>0</v>
      </c>
      <c r="O98" t="n">
        <v>0</v>
      </c>
      <c r="P98" t="n">
        <v>0</v>
      </c>
      <c r="Q98" t="n">
        <v>1</v>
      </c>
      <c r="R98" t="n">
        <v>0</v>
      </c>
      <c r="S98" t="n">
        <v>1</v>
      </c>
      <c r="T98" t="n">
        <v>1</v>
      </c>
      <c r="U98" t="n">
        <v>0</v>
      </c>
      <c r="V98" s="2" t="inlineStr">
        <is>
          <t>Entita</t>
        </is>
      </c>
      <c r="W98">
        <f>HYPERLINK("https://klasma.github.io/Logging_0885/artfynd/S 2390-2023 artfynd.xlsx", "S 2390-2023")</f>
        <v/>
      </c>
      <c r="X98">
        <f>HYPERLINK("https://klasma.github.io/Logging_0885/kartor/S 2390-2023 karta.png", "S 2390-2023")</f>
        <v/>
      </c>
      <c r="Y98">
        <f>HYPERLINK("https://klasma.github.io/Logging_0885/kartor_geotiff/S 2390-2023 georefererad karta.tif", "S 2390-2023")</f>
        <v/>
      </c>
      <c r="AA98">
        <f>HYPERLINK("https://klasma.github.io/Logging_0885/klagomål/S 2390-2023 FSC-klagomål.docx", "S 2390-2023")</f>
        <v/>
      </c>
      <c r="AB98">
        <f>HYPERLINK("https://klasma.github.io/Logging_0885/klagomålsmail/S 2390-2023 FSC-klagomål mail.docx", "S 2390-2023")</f>
        <v/>
      </c>
      <c r="AC98">
        <f>HYPERLINK("https://klasma.github.io/Logging_0885/tillsyn/S 2390-2023 tillsynsbegäran.docx", "S 2390-2023")</f>
        <v/>
      </c>
      <c r="AD98">
        <f>HYPERLINK("https://klasma.github.io/Logging_0885/tillsynsmail/S 2390-2023 tillsynsbegäran mail.docx", "S 2390-2023")</f>
        <v/>
      </c>
      <c r="AE98">
        <f>HYPERLINK("https://klasma.github.io/Logging_0885/fåglar/S 2390-2023 prioriterade fågelarter.docx", "S 2390-2023")</f>
        <v/>
      </c>
    </row>
    <row r="99" ht="15" customHeight="1">
      <c r="A99" t="inlineStr">
        <is>
          <t>S 2489-2025</t>
        </is>
      </c>
      <c r="B99" t="inlineStr">
        <is>
          <t>samrådsanmälan</t>
        </is>
      </c>
      <c r="C99" t="inlineStr">
        <is>
          <t>Annan skogsbruksåtgärd</t>
        </is>
      </c>
      <c r="D99" s="1" t="n">
        <v>45903</v>
      </c>
      <c r="E99" s="1" t="n">
        <v>46228</v>
      </c>
      <c r="F99" t="inlineStr">
        <is>
          <t>KALMAR LÄN</t>
        </is>
      </c>
      <c r="G99" t="inlineStr">
        <is>
          <t>BORGHOLM</t>
        </is>
      </c>
      <c r="I99" t="n">
        <v>7.7</v>
      </c>
      <c r="J99" t="n">
        <v>0</v>
      </c>
      <c r="K99" t="n">
        <v>0</v>
      </c>
      <c r="L99" t="n">
        <v>1</v>
      </c>
      <c r="M99" t="n">
        <v>0</v>
      </c>
      <c r="N99" t="n">
        <v>0</v>
      </c>
      <c r="O99" t="n">
        <v>0</v>
      </c>
      <c r="P99" t="n">
        <v>0</v>
      </c>
      <c r="Q99" t="n">
        <v>1</v>
      </c>
      <c r="R99" t="n">
        <v>0</v>
      </c>
      <c r="S99" t="n">
        <v>1</v>
      </c>
      <c r="T99" t="n">
        <v>1</v>
      </c>
      <c r="U99" t="n">
        <v>1</v>
      </c>
      <c r="V99" s="2" t="inlineStr">
        <is>
          <t>Backtimjan</t>
        </is>
      </c>
      <c r="W99">
        <f>HYPERLINK("https://klasma.github.io/Logging_0885/artfynd/S 2489-2025 artfynd.xlsx", "S 2489-2025")</f>
        <v/>
      </c>
      <c r="X99">
        <f>HYPERLINK("https://klasma.github.io/Logging_0885/kartor/S 2489-2025 karta.png", "S 2489-2025")</f>
        <v/>
      </c>
      <c r="Y99">
        <f>HYPERLINK("https://klasma.github.io/Logging_0885/kartor_geotiff/S 2489-2025 georefererad karta.tif", "S 2489-2025")</f>
        <v/>
      </c>
      <c r="AA99">
        <f>HYPERLINK("https://klasma.github.io/Logging_0885/klagomål/S 2489-2025 FSC-klagomål.docx", "S 2489-2025")</f>
        <v/>
      </c>
      <c r="AB99">
        <f>HYPERLINK("https://klasma.github.io/Logging_0885/klagomålsmail/S 2489-2025 FSC-klagomål mail.docx", "S 2489-2025")</f>
        <v/>
      </c>
      <c r="AC99">
        <f>HYPERLINK("https://klasma.github.io/Logging_0885/tillsyn/S 2489-2025 tillsynsbegäran.docx", "S 2489-2025")</f>
        <v/>
      </c>
      <c r="AD99">
        <f>HYPERLINK("https://klasma.github.io/Logging_0885/tillsynsmail/S 2489-2025 tillsynsbegäran mail.docx", "S 2489-2025")</f>
        <v/>
      </c>
    </row>
    <row r="100" ht="15" customHeight="1">
      <c r="A100" t="inlineStr">
        <is>
          <t>S 1803-2026</t>
        </is>
      </c>
      <c r="B100" t="inlineStr">
        <is>
          <t>samrådsanmälan</t>
        </is>
      </c>
      <c r="C100" t="inlineStr">
        <is>
          <t>Annan skogsbruksåtgärd</t>
        </is>
      </c>
      <c r="D100" s="1" t="n">
        <v>46196</v>
      </c>
      <c r="E100" s="1" t="n">
        <v>46228</v>
      </c>
      <c r="F100" t="inlineStr">
        <is>
          <t>KALMAR LÄN</t>
        </is>
      </c>
      <c r="G100" t="inlineStr">
        <is>
          <t>BORGHOLM</t>
        </is>
      </c>
      <c r="H100" t="inlineStr">
        <is>
          <t>Sveaskog</t>
        </is>
      </c>
      <c r="I100" t="n">
        <v>2</v>
      </c>
      <c r="J100" t="n">
        <v>0</v>
      </c>
      <c r="K100" t="n">
        <v>0</v>
      </c>
      <c r="L100" t="n">
        <v>0</v>
      </c>
      <c r="M100" t="n">
        <v>1</v>
      </c>
      <c r="N100" t="n">
        <v>0</v>
      </c>
      <c r="O100" t="n">
        <v>0</v>
      </c>
      <c r="P100" t="n">
        <v>0</v>
      </c>
      <c r="Q100" t="n">
        <v>1</v>
      </c>
      <c r="R100" t="n">
        <v>1</v>
      </c>
      <c r="S100" t="n">
        <v>1</v>
      </c>
      <c r="T100" t="n">
        <v>1</v>
      </c>
      <c r="U100" t="n">
        <v>0</v>
      </c>
      <c r="V100" s="2" t="inlineStr">
        <is>
          <t>Purpurmusseron</t>
        </is>
      </c>
      <c r="W100">
        <f>HYPERLINK("https://klasma.github.io/Logging_0885/artfynd/S 1803-2026 artfynd.xlsx", "S 1803-2026")</f>
        <v/>
      </c>
      <c r="X100">
        <f>HYPERLINK("https://klasma.github.io/Logging_0885/kartor/S 1803-2026 karta.png", "S 1803-2026")</f>
        <v/>
      </c>
      <c r="Y100">
        <f>HYPERLINK("https://klasma.github.io/Logging_0885/kartor_geotiff/S 1803-2026 georefererad karta.tif", "S 1803-2026")</f>
        <v/>
      </c>
      <c r="AA100">
        <f>HYPERLINK("https://klasma.github.io/Logging_0885/klagomål/S 1803-2026 FSC-klagomål.docx", "S 1803-2026")</f>
        <v/>
      </c>
      <c r="AB100">
        <f>HYPERLINK("https://klasma.github.io/Logging_0885/klagomålsmail/S 1803-2026 FSC-klagomål mail.docx", "S 1803-2026")</f>
        <v/>
      </c>
      <c r="AC100">
        <f>HYPERLINK("https://klasma.github.io/Logging_0885/tillsyn/S 1803-2026 tillsynsbegäran.docx", "S 1803-2026")</f>
        <v/>
      </c>
      <c r="AD100">
        <f>HYPERLINK("https://klasma.github.io/Logging_0885/tillsynsmail/S 1803-2026 tillsynsbegäran mail.docx", "S 1803-2026")</f>
        <v/>
      </c>
    </row>
    <row r="101" ht="15" customHeight="1">
      <c r="A101" t="inlineStr">
        <is>
          <t>S 1813-2026</t>
        </is>
      </c>
      <c r="B101" t="inlineStr">
        <is>
          <t>samrådsanmälan</t>
        </is>
      </c>
      <c r="C101" t="inlineStr">
        <is>
          <t>Annan skogsbruksåtgärd</t>
        </is>
      </c>
      <c r="D101" s="1" t="n">
        <v>46197</v>
      </c>
      <c r="E101" s="1" t="n">
        <v>46228</v>
      </c>
      <c r="F101" t="inlineStr">
        <is>
          <t>KALMAR LÄN</t>
        </is>
      </c>
      <c r="G101" t="inlineStr">
        <is>
          <t>BORGHOLM</t>
        </is>
      </c>
      <c r="H101" t="inlineStr">
        <is>
          <t>Sveaskog</t>
        </is>
      </c>
      <c r="I101" t="n">
        <v>1.8</v>
      </c>
      <c r="J101" t="n">
        <v>0</v>
      </c>
      <c r="K101" t="n">
        <v>0</v>
      </c>
      <c r="L101" t="n">
        <v>1</v>
      </c>
      <c r="M101" t="n">
        <v>0</v>
      </c>
      <c r="N101" t="n">
        <v>0</v>
      </c>
      <c r="O101" t="n">
        <v>0</v>
      </c>
      <c r="P101" t="n">
        <v>0</v>
      </c>
      <c r="Q101" t="n">
        <v>1</v>
      </c>
      <c r="R101" t="n">
        <v>0</v>
      </c>
      <c r="S101" t="n">
        <v>1</v>
      </c>
      <c r="T101" t="n">
        <v>2</v>
      </c>
      <c r="U101" t="n">
        <v>0</v>
      </c>
      <c r="V101" s="2" t="inlineStr">
        <is>
          <t>Oxtungssvamp</t>
        </is>
      </c>
      <c r="W101">
        <f>HYPERLINK("https://klasma.github.io/Logging_0885/artfynd/S 1813-2026 artfynd.xlsx", "S 1813-2026")</f>
        <v/>
      </c>
      <c r="X101">
        <f>HYPERLINK("https://klasma.github.io/Logging_0885/kartor/S 1813-2026 karta.png", "S 1813-2026")</f>
        <v/>
      </c>
      <c r="Y101">
        <f>HYPERLINK("https://klasma.github.io/Logging_0885/kartor_geotiff/S 1813-2026 georefererad karta.tif", "S 1813-2026")</f>
        <v/>
      </c>
      <c r="AA101">
        <f>HYPERLINK("https://klasma.github.io/Logging_0885/klagomål/S 1813-2026 FSC-klagomål.docx", "S 1813-2026")</f>
        <v/>
      </c>
      <c r="AB101">
        <f>HYPERLINK("https://klasma.github.io/Logging_0885/klagomålsmail/S 1813-2026 FSC-klagomål mail.docx", "S 1813-2026")</f>
        <v/>
      </c>
      <c r="AC101">
        <f>HYPERLINK("https://klasma.github.io/Logging_0885/tillsyn/S 1813-2026 tillsynsbegäran.docx", "S 1813-2026")</f>
        <v/>
      </c>
      <c r="AD101">
        <f>HYPERLINK("https://klasma.github.io/Logging_0885/tillsynsmail/S 1813-2026 tillsynsbegäran mail.docx", "S 1813-2026")</f>
        <v/>
      </c>
    </row>
    <row r="102" ht="15" customHeight="1">
      <c r="A102" t="inlineStr">
        <is>
          <t>S 1706-2026</t>
        </is>
      </c>
      <c r="B102" t="inlineStr">
        <is>
          <t>samrådsanmälan</t>
        </is>
      </c>
      <c r="C102" t="inlineStr">
        <is>
          <t>Annan skogsbruksåtgärd</t>
        </is>
      </c>
      <c r="D102" s="1" t="n">
        <v>46185</v>
      </c>
      <c r="E102" s="1" t="n">
        <v>46228</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A 42761-2021</t>
        </is>
      </c>
      <c r="B103" t="inlineStr">
        <is>
          <t>avverkningsanmälan</t>
        </is>
      </c>
      <c r="C103" t="inlineStr">
        <is>
          <t>Avverkning för annat ändamål</t>
        </is>
      </c>
      <c r="D103" s="1" t="n">
        <v>44428</v>
      </c>
      <c r="E103" s="1" t="n">
        <v>46228</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32665-2022</t>
        </is>
      </c>
      <c r="B104" t="inlineStr">
        <is>
          <t>avverkningsanmälan</t>
        </is>
      </c>
      <c r="C104" t="inlineStr">
        <is>
          <t>Avverkning för att bevara och utveckla /försöksver</t>
        </is>
      </c>
      <c r="D104" s="1" t="n">
        <v>44783</v>
      </c>
      <c r="E104" s="1" t="n">
        <v>46228</v>
      </c>
      <c r="F104" t="inlineStr">
        <is>
          <t>KALMAR LÄN</t>
        </is>
      </c>
      <c r="G104" t="inlineStr">
        <is>
          <t>BORGHOLM</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28345-2022</t>
        </is>
      </c>
      <c r="B105" t="inlineStr">
        <is>
          <t>avverkningsanmälan</t>
        </is>
      </c>
      <c r="C105" t="inlineStr">
        <is>
          <t>Föryngringsavverkning</t>
        </is>
      </c>
      <c r="D105" s="1" t="n">
        <v>44747</v>
      </c>
      <c r="E105" s="1" t="n">
        <v>46228</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44681-2022</t>
        </is>
      </c>
      <c r="B106" t="inlineStr">
        <is>
          <t>avverkningsanmälan</t>
        </is>
      </c>
      <c r="C106" t="inlineStr">
        <is>
          <t>Föryngringsavverkning</t>
        </is>
      </c>
      <c r="D106" s="1" t="n">
        <v>44840</v>
      </c>
      <c r="E106" s="1" t="n">
        <v>46228</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32608-2022</t>
        </is>
      </c>
      <c r="B107" t="inlineStr">
        <is>
          <t>avverkningsanmälan</t>
        </is>
      </c>
      <c r="C107" t="inlineStr">
        <is>
          <t>Avverkning för att bevara och utveckla /försöksver</t>
        </is>
      </c>
      <c r="D107" s="1" t="n">
        <v>44783</v>
      </c>
      <c r="E107" s="1" t="n">
        <v>46228</v>
      </c>
      <c r="F107" t="inlineStr">
        <is>
          <t>KALMAR LÄN</t>
        </is>
      </c>
      <c r="G107" t="inlineStr">
        <is>
          <t>BORGHOLM</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61828-2021</t>
        </is>
      </c>
      <c r="B108" t="inlineStr">
        <is>
          <t>avverkningsanmälan</t>
        </is>
      </c>
      <c r="C108" t="inlineStr">
        <is>
          <t>Föryngringsavverkning</t>
        </is>
      </c>
      <c r="D108" s="1" t="n">
        <v>44501</v>
      </c>
      <c r="E108" s="1" t="n">
        <v>46228</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56188-2021</t>
        </is>
      </c>
      <c r="B109" t="inlineStr">
        <is>
          <t>avverkningsanmälan</t>
        </is>
      </c>
      <c r="C109" t="inlineStr">
        <is>
          <t>Föryngringsavverkning</t>
        </is>
      </c>
      <c r="D109" s="1" t="n">
        <v>44477</v>
      </c>
      <c r="E109" s="1" t="n">
        <v>46228</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46228</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46228</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12937-2022</t>
        </is>
      </c>
      <c r="B112" t="inlineStr">
        <is>
          <t>avverkningsanmälan</t>
        </is>
      </c>
      <c r="C112" t="inlineStr">
        <is>
          <t>Föryngringsavverkning</t>
        </is>
      </c>
      <c r="D112" s="1" t="n">
        <v>44642</v>
      </c>
      <c r="E112" s="1" t="n">
        <v>46228</v>
      </c>
      <c r="F112" t="inlineStr">
        <is>
          <t>KALMAR LÄN</t>
        </is>
      </c>
      <c r="G112" t="inlineStr">
        <is>
          <t>BORGHOLM</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46228</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64303-2023</t>
        </is>
      </c>
      <c r="B114" t="inlineStr">
        <is>
          <t>avverkningsanmälan</t>
        </is>
      </c>
      <c r="C114" t="inlineStr">
        <is>
          <t>Avverkning för annat ändamål</t>
        </is>
      </c>
      <c r="D114" s="1" t="n">
        <v>45280</v>
      </c>
      <c r="E114" s="1" t="n">
        <v>46228</v>
      </c>
      <c r="F114" t="inlineStr">
        <is>
          <t>KALMAR LÄN</t>
        </is>
      </c>
      <c r="G114" t="inlineStr">
        <is>
          <t>BORGHOLM</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55367-2024</t>
        </is>
      </c>
      <c r="B115" t="inlineStr">
        <is>
          <t>avverkningsanmälan</t>
        </is>
      </c>
      <c r="C115" t="inlineStr">
        <is>
          <t>Föryngringsavverkning</t>
        </is>
      </c>
      <c r="D115" s="1" t="n">
        <v>45621</v>
      </c>
      <c r="E115" s="1" t="n">
        <v>46228</v>
      </c>
      <c r="F115" t="inlineStr">
        <is>
          <t>KALMAR LÄN</t>
        </is>
      </c>
      <c r="G115" t="inlineStr">
        <is>
          <t>BORGHOLM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4159-2024</t>
        </is>
      </c>
      <c r="B116" t="inlineStr">
        <is>
          <t>avverkningsanmälan</t>
        </is>
      </c>
      <c r="C116" t="inlineStr">
        <is>
          <t>Föryngringsavverkning</t>
        </is>
      </c>
      <c r="D116" s="1" t="n">
        <v>45323</v>
      </c>
      <c r="E116" s="1" t="n">
        <v>46228</v>
      </c>
      <c r="F116" t="inlineStr">
        <is>
          <t>KALMAR LÄN</t>
        </is>
      </c>
      <c r="G116" t="inlineStr">
        <is>
          <t>BORGHOLM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32921-2023</t>
        </is>
      </c>
      <c r="B117" t="inlineStr">
        <is>
          <t>avverkningsanmälan</t>
        </is>
      </c>
      <c r="C117" t="inlineStr">
        <is>
          <t>Föryngringsavverkning</t>
        </is>
      </c>
      <c r="D117" s="1" t="n">
        <v>45125</v>
      </c>
      <c r="E117" s="1" t="n">
        <v>46228</v>
      </c>
      <c r="F117" t="inlineStr">
        <is>
          <t>KALMAR LÄN</t>
        </is>
      </c>
      <c r="G117" t="inlineStr">
        <is>
          <t>BORGHOLM</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31699-2022</t>
        </is>
      </c>
      <c r="B118" t="inlineStr">
        <is>
          <t>avverkningsanmälan</t>
        </is>
      </c>
      <c r="C118" t="inlineStr">
        <is>
          <t>Föryngringsavverkning</t>
        </is>
      </c>
      <c r="D118" s="1" t="n">
        <v>44776</v>
      </c>
      <c r="E118" s="1" t="n">
        <v>46228</v>
      </c>
      <c r="F118" t="inlineStr">
        <is>
          <t>KALMAR LÄN</t>
        </is>
      </c>
      <c r="G118" t="inlineStr">
        <is>
          <t>BORGHOLM</t>
        </is>
      </c>
      <c r="H118" t="inlineStr">
        <is>
          <t>Sveaskog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1614-2025</t>
        </is>
      </c>
      <c r="B119" t="inlineStr">
        <is>
          <t>avverkningsanmälan</t>
        </is>
      </c>
      <c r="C119" t="inlineStr">
        <is>
          <t>Föryngringsavverkning</t>
        </is>
      </c>
      <c r="D119" s="1" t="n">
        <v>45670</v>
      </c>
      <c r="E119" s="1" t="n">
        <v>46228</v>
      </c>
      <c r="F119" t="inlineStr">
        <is>
          <t>KALMAR LÄN</t>
        </is>
      </c>
      <c r="G119" t="inlineStr">
        <is>
          <t>BORGHOLM</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41950-2025</t>
        </is>
      </c>
      <c r="B120" t="inlineStr">
        <is>
          <t>avverkningsanmälan</t>
        </is>
      </c>
      <c r="C120" t="inlineStr">
        <is>
          <t>Föryngringsavverkning</t>
        </is>
      </c>
      <c r="D120" s="1" t="n">
        <v>45903</v>
      </c>
      <c r="E120" s="1" t="n">
        <v>46228</v>
      </c>
      <c r="F120" t="inlineStr">
        <is>
          <t>KALMAR LÄN</t>
        </is>
      </c>
      <c r="G120" t="inlineStr">
        <is>
          <t>BORGHOLM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45869-2025</t>
        </is>
      </c>
      <c r="B121" t="inlineStr">
        <is>
          <t>avverkningsanmälan</t>
        </is>
      </c>
      <c r="C121" t="inlineStr">
        <is>
          <t>Föryngringsavverkning</t>
        </is>
      </c>
      <c r="D121" s="1" t="n">
        <v>45923</v>
      </c>
      <c r="E121" s="1" t="n">
        <v>46228</v>
      </c>
      <c r="F121" t="inlineStr">
        <is>
          <t>KALMAR LÄN</t>
        </is>
      </c>
      <c r="G121" t="inlineStr">
        <is>
          <t>BORGHOLM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9076-2025</t>
        </is>
      </c>
      <c r="B122" t="inlineStr">
        <is>
          <t>avverkningsanmälan</t>
        </is>
      </c>
      <c r="C122" t="inlineStr">
        <is>
          <t>Föryngringsavverkning</t>
        </is>
      </c>
      <c r="D122" s="1" t="n">
        <v>45713</v>
      </c>
      <c r="E122" s="1" t="n">
        <v>46228</v>
      </c>
      <c r="F122" t="inlineStr">
        <is>
          <t>KALMAR LÄN</t>
        </is>
      </c>
      <c r="G122" t="inlineStr">
        <is>
          <t>BORGHOLM</t>
        </is>
      </c>
      <c r="H122" t="inlineStr">
        <is>
          <t>Sveaskog</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46845-2025</t>
        </is>
      </c>
      <c r="B123" t="inlineStr">
        <is>
          <t>avverkningsanmälan</t>
        </is>
      </c>
      <c r="C123" t="inlineStr">
        <is>
          <t>Avverkning för annat ändamål</t>
        </is>
      </c>
      <c r="D123" s="1" t="n">
        <v>45928</v>
      </c>
      <c r="E123" s="1" t="n">
        <v>46228</v>
      </c>
      <c r="F123" t="inlineStr">
        <is>
          <t>KALMAR LÄN</t>
        </is>
      </c>
      <c r="G123" t="inlineStr">
        <is>
          <t>BORGHOLM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1757-2025</t>
        </is>
      </c>
      <c r="B124" t="inlineStr">
        <is>
          <t>avverkningsanmälan</t>
        </is>
      </c>
      <c r="C124" t="inlineStr">
        <is>
          <t>Föryngringsavverkning</t>
        </is>
      </c>
      <c r="D124" s="1" t="n">
        <v>45671</v>
      </c>
      <c r="E124" s="1" t="n">
        <v>46228</v>
      </c>
      <c r="F124" t="inlineStr">
        <is>
          <t>KALMAR LÄN</t>
        </is>
      </c>
      <c r="G124" t="inlineStr">
        <is>
          <t>BORGHOLM</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9050-2025</t>
        </is>
      </c>
      <c r="B125" t="inlineStr">
        <is>
          <t>avverkningsanmälan</t>
        </is>
      </c>
      <c r="C125" t="inlineStr">
        <is>
          <t>Avverkning för att bevara och utveckla /försöksver</t>
        </is>
      </c>
      <c r="D125" s="1" t="n">
        <v>45713</v>
      </c>
      <c r="E125" s="1" t="n">
        <v>46228</v>
      </c>
      <c r="F125" t="inlineStr">
        <is>
          <t>KALMAR LÄN</t>
        </is>
      </c>
      <c r="G125" t="inlineStr">
        <is>
          <t>BORGHOLM</t>
        </is>
      </c>
      <c r="H125" t="inlineStr">
        <is>
          <t>Sveaskog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43603-2024</t>
        </is>
      </c>
      <c r="B126" t="inlineStr">
        <is>
          <t>avverkningsanmälan</t>
        </is>
      </c>
      <c r="C126" t="inlineStr">
        <is>
          <t>Föryngringsavverkning</t>
        </is>
      </c>
      <c r="D126" s="1" t="n">
        <v>45569</v>
      </c>
      <c r="E126" s="1" t="n">
        <v>46228</v>
      </c>
      <c r="F126" t="inlineStr">
        <is>
          <t>KALMAR LÄN</t>
        </is>
      </c>
      <c r="G126" t="inlineStr">
        <is>
          <t>BORGHOLM</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28411-2026</t>
        </is>
      </c>
      <c r="B127" t="inlineStr">
        <is>
          <t>avverkningsanmälan</t>
        </is>
      </c>
      <c r="C127" t="inlineStr">
        <is>
          <t>Avverkning för att bevara och utveckla /försöksver</t>
        </is>
      </c>
      <c r="D127" s="1" t="n">
        <v>46197</v>
      </c>
      <c r="E127" s="1" t="n">
        <v>46228</v>
      </c>
      <c r="F127" t="inlineStr">
        <is>
          <t>KALMAR LÄN</t>
        </is>
      </c>
      <c r="G127" t="inlineStr">
        <is>
          <t>BORGHOLM</t>
        </is>
      </c>
      <c r="H127" t="inlineStr">
        <is>
          <t>Sveaskog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28381-2026</t>
        </is>
      </c>
      <c r="B128" t="inlineStr">
        <is>
          <t>avverkningsanmälan</t>
        </is>
      </c>
      <c r="C128" t="inlineStr">
        <is>
          <t>Avverkning för att bevara och utveckla /försöksver</t>
        </is>
      </c>
      <c r="D128" s="1" t="n">
        <v>46196</v>
      </c>
      <c r="E128" s="1" t="n">
        <v>46228</v>
      </c>
      <c r="F128" t="inlineStr">
        <is>
          <t>KALMAR LÄN</t>
        </is>
      </c>
      <c r="G128" t="inlineStr">
        <is>
          <t>BORGHOLM</t>
        </is>
      </c>
      <c r="H128" t="inlineStr">
        <is>
          <t>Sveaskog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28380-2026</t>
        </is>
      </c>
      <c r="B129" t="inlineStr">
        <is>
          <t>avverkningsanmälan</t>
        </is>
      </c>
      <c r="C129" t="inlineStr">
        <is>
          <t>Avverkning för att bevara och utveckla /försöksver</t>
        </is>
      </c>
      <c r="D129" s="1" t="n">
        <v>46196</v>
      </c>
      <c r="E129" s="1" t="n">
        <v>46228</v>
      </c>
      <c r="F129" t="inlineStr">
        <is>
          <t>KALMAR LÄN</t>
        </is>
      </c>
      <c r="G129" t="inlineStr">
        <is>
          <t>BORGHOLM</t>
        </is>
      </c>
      <c r="H129" t="inlineStr">
        <is>
          <t>Sveaskog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27357-2025</t>
        </is>
      </c>
      <c r="B130" t="inlineStr">
        <is>
          <t>avverkningsanmälan</t>
        </is>
      </c>
      <c r="C130" t="inlineStr">
        <is>
          <t>Avverkning för att bevara och utveckla /försöksver</t>
        </is>
      </c>
      <c r="D130" s="1" t="n">
        <v>45812</v>
      </c>
      <c r="E130" s="1" t="n">
        <v>46228</v>
      </c>
      <c r="F130" t="inlineStr">
        <is>
          <t>KALMAR LÄN</t>
        </is>
      </c>
      <c r="G130" t="inlineStr">
        <is>
          <t>BORGHOLM</t>
        </is>
      </c>
      <c r="H130" t="inlineStr">
        <is>
          <t>Sveaskog</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29431-2026</t>
        </is>
      </c>
      <c r="B131" t="inlineStr">
        <is>
          <t>avverkningsanmälan</t>
        </is>
      </c>
      <c r="C131" t="inlineStr">
        <is>
          <t>Avverkning för att bevara och utveckla /försöksver</t>
        </is>
      </c>
      <c r="D131" s="1" t="n">
        <v>46203</v>
      </c>
      <c r="E131" s="1" t="n">
        <v>46228</v>
      </c>
      <c r="F131" t="inlineStr">
        <is>
          <t>KALMAR LÄN</t>
        </is>
      </c>
      <c r="G131" t="inlineStr">
        <is>
          <t>BORGHOLM</t>
        </is>
      </c>
      <c r="H131" t="inlineStr">
        <is>
          <t>Sveaskog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7669-2024</t>
        </is>
      </c>
      <c r="B132" t="inlineStr">
        <is>
          <t>avverkningsanmälan</t>
        </is>
      </c>
      <c r="C132" t="inlineStr">
        <is>
          <t>Föryngringsavverkning</t>
        </is>
      </c>
      <c r="D132" s="1" t="n">
        <v>45348</v>
      </c>
      <c r="E132" s="1" t="n">
        <v>46228</v>
      </c>
      <c r="F132" t="inlineStr">
        <is>
          <t>KALMAR LÄN</t>
        </is>
      </c>
      <c r="G132" t="inlineStr">
        <is>
          <t>BORGHOLM</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29410-2026</t>
        </is>
      </c>
      <c r="B133" t="inlineStr">
        <is>
          <t>avverkningsanmälan</t>
        </is>
      </c>
      <c r="C133" t="inlineStr">
        <is>
          <t>Avverkning för att bevara och utveckla /försöksver</t>
        </is>
      </c>
      <c r="D133" s="1" t="n">
        <v>46203</v>
      </c>
      <c r="E133" s="1" t="n">
        <v>46228</v>
      </c>
      <c r="F133" t="inlineStr">
        <is>
          <t>KALMAR LÄN</t>
        </is>
      </c>
      <c r="G133" t="inlineStr">
        <is>
          <t>BORGHOLM</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29413-2026</t>
        </is>
      </c>
      <c r="B134" t="inlineStr">
        <is>
          <t>avverkningsanmälan</t>
        </is>
      </c>
      <c r="C134" t="inlineStr">
        <is>
          <t>Avverkning för att bevara och utveckla /försöksver</t>
        </is>
      </c>
      <c r="D134" s="1" t="n">
        <v>46203</v>
      </c>
      <c r="E134" s="1" t="n">
        <v>46228</v>
      </c>
      <c r="F134" t="inlineStr">
        <is>
          <t>KALMAR LÄN</t>
        </is>
      </c>
      <c r="G134" t="inlineStr">
        <is>
          <t>BORGHOLM</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29414-2026</t>
        </is>
      </c>
      <c r="B135" t="inlineStr">
        <is>
          <t>avverkningsanmälan</t>
        </is>
      </c>
      <c r="C135" t="inlineStr">
        <is>
          <t>Avverkning för att bevara och utveckla /försöksver</t>
        </is>
      </c>
      <c r="D135" s="1" t="n">
        <v>46203</v>
      </c>
      <c r="E135" s="1" t="n">
        <v>46228</v>
      </c>
      <c r="F135" t="inlineStr">
        <is>
          <t>KALMAR LÄN</t>
        </is>
      </c>
      <c r="G135" t="inlineStr">
        <is>
          <t>BORGHOLM</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32919-2023</t>
        </is>
      </c>
      <c r="B136" t="inlineStr">
        <is>
          <t>avverkningsanmälan</t>
        </is>
      </c>
      <c r="C136" t="inlineStr">
        <is>
          <t>Föryngringsavverkning</t>
        </is>
      </c>
      <c r="D136" s="1" t="n">
        <v>45125</v>
      </c>
      <c r="E136" s="1" t="n">
        <v>46228</v>
      </c>
      <c r="F136" t="inlineStr">
        <is>
          <t>KALMAR LÄN</t>
        </is>
      </c>
      <c r="G136" t="inlineStr">
        <is>
          <t>BORGHOLM</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9104-2026</t>
        </is>
      </c>
      <c r="B137" t="inlineStr">
        <is>
          <t>avverkningsanmälan</t>
        </is>
      </c>
      <c r="C137" t="inlineStr">
        <is>
          <t>Avverkning för annat ändamål</t>
        </is>
      </c>
      <c r="D137" s="1" t="n">
        <v>46069</v>
      </c>
      <c r="E137" s="1" t="n">
        <v>46228</v>
      </c>
      <c r="F137" t="inlineStr">
        <is>
          <t>KALMAR LÄN</t>
        </is>
      </c>
      <c r="G137" t="inlineStr">
        <is>
          <t>BORGHOLM</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44547-2021</t>
        </is>
      </c>
      <c r="B138" t="inlineStr">
        <is>
          <t>avverkningsanmälan</t>
        </is>
      </c>
      <c r="C138" t="inlineStr">
        <is>
          <t>Avverkning för annat ändamål</t>
        </is>
      </c>
      <c r="D138" s="1" t="n">
        <v>44435</v>
      </c>
      <c r="E138" s="1" t="n">
        <v>46228</v>
      </c>
      <c r="F138" t="inlineStr">
        <is>
          <t>KALMAR LÄN</t>
        </is>
      </c>
      <c r="G138" t="inlineStr">
        <is>
          <t>BORGHOLM</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5175-2024</t>
        </is>
      </c>
      <c r="B139" t="inlineStr">
        <is>
          <t>avverkningsanmälan</t>
        </is>
      </c>
      <c r="C139" t="inlineStr">
        <is>
          <t>Föryngringsavverkning</t>
        </is>
      </c>
      <c r="D139" s="1" t="n">
        <v>45330</v>
      </c>
      <c r="E139" s="1" t="n">
        <v>46228</v>
      </c>
      <c r="F139" t="inlineStr">
        <is>
          <t>KALMAR LÄN</t>
        </is>
      </c>
      <c r="G139" t="inlineStr">
        <is>
          <t>BORGHOLM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9259-2026</t>
        </is>
      </c>
      <c r="B140" t="inlineStr">
        <is>
          <t>avverkningsanmälan</t>
        </is>
      </c>
      <c r="C140" t="inlineStr">
        <is>
          <t>Föryngringsavverkning</t>
        </is>
      </c>
      <c r="D140" s="1" t="n">
        <v>46070</v>
      </c>
      <c r="E140" s="1" t="n">
        <v>46228</v>
      </c>
      <c r="F140" t="inlineStr">
        <is>
          <t>KALMAR LÄN</t>
        </is>
      </c>
      <c r="G140" t="inlineStr">
        <is>
          <t>BORGHOLM</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34951-2022</t>
        </is>
      </c>
      <c r="B141" t="inlineStr">
        <is>
          <t>avverkningsanmälan</t>
        </is>
      </c>
      <c r="C141" t="inlineStr">
        <is>
          <t>Avverkning för att bevara och utveckla /försöksver</t>
        </is>
      </c>
      <c r="D141" s="1" t="n">
        <v>44796</v>
      </c>
      <c r="E141" s="1" t="n">
        <v>46228</v>
      </c>
      <c r="F141" t="inlineStr">
        <is>
          <t>KALMAR LÄN</t>
        </is>
      </c>
      <c r="G141" t="inlineStr">
        <is>
          <t>BORGHOLM</t>
        </is>
      </c>
      <c r="H141" t="inlineStr">
        <is>
          <t>Sveaskog</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24323-2026</t>
        </is>
      </c>
      <c r="B142" t="inlineStr">
        <is>
          <t>avverkningsanmälan</t>
        </is>
      </c>
      <c r="C142" t="inlineStr">
        <is>
          <t>Föryngringsavverkning</t>
        </is>
      </c>
      <c r="D142" s="1" t="n">
        <v>46169</v>
      </c>
      <c r="E142" s="1" t="n">
        <v>46228</v>
      </c>
      <c r="F142" t="inlineStr">
        <is>
          <t>KALMAR LÄN</t>
        </is>
      </c>
      <c r="G142" t="inlineStr">
        <is>
          <t>BORGHOLM</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24345-2026</t>
        </is>
      </c>
      <c r="B143" t="inlineStr">
        <is>
          <t>avverkningsanmälan</t>
        </is>
      </c>
      <c r="C143" t="inlineStr">
        <is>
          <t>Avverkning för att bevara och utveckla /försöksver</t>
        </is>
      </c>
      <c r="D143" s="1" t="n">
        <v>46169</v>
      </c>
      <c r="E143" s="1" t="n">
        <v>46228</v>
      </c>
      <c r="F143" t="inlineStr">
        <is>
          <t>KALMAR LÄN</t>
        </is>
      </c>
      <c r="G143" t="inlineStr">
        <is>
          <t>BORGHOLM</t>
        </is>
      </c>
      <c r="H143" t="inlineStr">
        <is>
          <t>Sveaskog</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24338-2026</t>
        </is>
      </c>
      <c r="B144" t="inlineStr">
        <is>
          <t>avverkningsanmälan</t>
        </is>
      </c>
      <c r="C144" t="inlineStr">
        <is>
          <t>Avverkning för att bevara och utveckla /försöksver</t>
        </is>
      </c>
      <c r="D144" s="1" t="n">
        <v>46169</v>
      </c>
      <c r="E144" s="1" t="n">
        <v>46228</v>
      </c>
      <c r="F144" t="inlineStr">
        <is>
          <t>KALMAR LÄN</t>
        </is>
      </c>
      <c r="G144" t="inlineStr">
        <is>
          <t>BORGHOLM</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13383-2023</t>
        </is>
      </c>
      <c r="B145" t="inlineStr">
        <is>
          <t>avverkningsanmälan</t>
        </is>
      </c>
      <c r="C145" t="inlineStr">
        <is>
          <t>Föryngringsavverkning</t>
        </is>
      </c>
      <c r="D145" s="1" t="n">
        <v>45005</v>
      </c>
      <c r="E145" s="1" t="n">
        <v>46228</v>
      </c>
      <c r="F145" t="inlineStr">
        <is>
          <t>KALMAR LÄN</t>
        </is>
      </c>
      <c r="G145" t="inlineStr">
        <is>
          <t>BORGHOLM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61438-2023</t>
        </is>
      </c>
      <c r="B146" t="inlineStr">
        <is>
          <t>avverkningsanmälan</t>
        </is>
      </c>
      <c r="C146" t="inlineStr">
        <is>
          <t>Avverkning för annat ändamål</t>
        </is>
      </c>
      <c r="D146" s="1" t="n">
        <v>45264</v>
      </c>
      <c r="E146" s="1" t="n">
        <v>46228</v>
      </c>
      <c r="F146" t="inlineStr">
        <is>
          <t>KALMAR LÄN</t>
        </is>
      </c>
      <c r="G146" t="inlineStr">
        <is>
          <t>BORGHOLM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13041-2024</t>
        </is>
      </c>
      <c r="B147" t="inlineStr">
        <is>
          <t>avverkningsanmälan</t>
        </is>
      </c>
      <c r="C147" t="inlineStr">
        <is>
          <t>Föryngringsavverkning</t>
        </is>
      </c>
      <c r="D147" s="1" t="n">
        <v>45385</v>
      </c>
      <c r="E147" s="1" t="n">
        <v>46228</v>
      </c>
      <c r="F147" t="inlineStr">
        <is>
          <t>KALMAR LÄN</t>
        </is>
      </c>
      <c r="G147" t="inlineStr">
        <is>
          <t>BORGHOLM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53050-2021</t>
        </is>
      </c>
      <c r="B148" t="inlineStr">
        <is>
          <t>avverkningsanmälan</t>
        </is>
      </c>
      <c r="C148" t="inlineStr">
        <is>
          <t>Föryngringsavverkning</t>
        </is>
      </c>
      <c r="D148" s="1" t="n">
        <v>44467</v>
      </c>
      <c r="E148" s="1" t="n">
        <v>46228</v>
      </c>
      <c r="F148" t="inlineStr">
        <is>
          <t>KALMAR LÄN</t>
        </is>
      </c>
      <c r="G148" t="inlineStr">
        <is>
          <t>BORGHOLM</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4165-2023</t>
        </is>
      </c>
      <c r="B149" t="inlineStr">
        <is>
          <t>avverkningsanmälan</t>
        </is>
      </c>
      <c r="C149" t="inlineStr">
        <is>
          <t>Föryngringsavverkning</t>
        </is>
      </c>
      <c r="D149" s="1" t="n">
        <v>44953</v>
      </c>
      <c r="E149" s="1" t="n">
        <v>46228</v>
      </c>
      <c r="F149" t="inlineStr">
        <is>
          <t>KALMAR LÄN</t>
        </is>
      </c>
      <c r="G149" t="inlineStr">
        <is>
          <t>BORGHOLM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15272-2026</t>
        </is>
      </c>
      <c r="B150" t="inlineStr">
        <is>
          <t>avverkningsanmälan</t>
        </is>
      </c>
      <c r="C150" t="inlineStr">
        <is>
          <t>Avverkning för att bevara och utveckla /försöksver</t>
        </is>
      </c>
      <c r="D150" s="1" t="n">
        <v>46105</v>
      </c>
      <c r="E150" s="1" t="n">
        <v>46228</v>
      </c>
      <c r="F150" t="inlineStr">
        <is>
          <t>KALMAR LÄN</t>
        </is>
      </c>
      <c r="G150" t="inlineStr">
        <is>
          <t>BORGHOLM</t>
        </is>
      </c>
      <c r="H150" t="inlineStr">
        <is>
          <t>Sveaskog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15279-2026</t>
        </is>
      </c>
      <c r="B151" t="inlineStr">
        <is>
          <t>avverkningsanmälan</t>
        </is>
      </c>
      <c r="C151" t="inlineStr">
        <is>
          <t>Avverkning för att bevara och utveckla /försöksver</t>
        </is>
      </c>
      <c r="D151" s="1" t="n">
        <v>46105</v>
      </c>
      <c r="E151" s="1" t="n">
        <v>46228</v>
      </c>
      <c r="F151" t="inlineStr">
        <is>
          <t>KALMAR LÄN</t>
        </is>
      </c>
      <c r="G151" t="inlineStr">
        <is>
          <t>BORGHOLM</t>
        </is>
      </c>
      <c r="H151" t="inlineStr">
        <is>
          <t>Sveaskog</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15264-2026</t>
        </is>
      </c>
      <c r="B152" t="inlineStr">
        <is>
          <t>avverkningsanmälan</t>
        </is>
      </c>
      <c r="C152" t="inlineStr">
        <is>
          <t>Avverkning för att bevara och utveckla /försöksver</t>
        </is>
      </c>
      <c r="D152" s="1" t="n">
        <v>46105</v>
      </c>
      <c r="E152" s="1" t="n">
        <v>46228</v>
      </c>
      <c r="F152" t="inlineStr">
        <is>
          <t>KALMAR LÄN</t>
        </is>
      </c>
      <c r="G152" t="inlineStr">
        <is>
          <t>BORGHOLM</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34780-2022</t>
        </is>
      </c>
      <c r="B153" t="inlineStr">
        <is>
          <t>avverkningsanmälan</t>
        </is>
      </c>
      <c r="C153" t="inlineStr">
        <is>
          <t>Föryngringsavverkning</t>
        </is>
      </c>
      <c r="D153" s="1" t="n">
        <v>44795</v>
      </c>
      <c r="E153" s="1" t="n">
        <v>46228</v>
      </c>
      <c r="F153" t="inlineStr">
        <is>
          <t>KALMAR LÄN</t>
        </is>
      </c>
      <c r="G153" t="inlineStr">
        <is>
          <t>BORGHOLM</t>
        </is>
      </c>
      <c r="H153" t="inlineStr">
        <is>
          <t>Sveaskog</t>
        </is>
      </c>
      <c r="I153" t="n">
        <v>6.7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20287-2025</t>
        </is>
      </c>
      <c r="B154" t="inlineStr">
        <is>
          <t>avverkningsanmälan</t>
        </is>
      </c>
      <c r="C154" t="inlineStr">
        <is>
          <t>Avverkning för att bevara och utveckla /försöksver</t>
        </is>
      </c>
      <c r="D154" s="1" t="n">
        <v>45774</v>
      </c>
      <c r="E154" s="1" t="n">
        <v>46228</v>
      </c>
      <c r="F154" t="inlineStr">
        <is>
          <t>KALMAR LÄN</t>
        </is>
      </c>
      <c r="G154" t="inlineStr">
        <is>
          <t>BORGHOLM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26160-2024</t>
        </is>
      </c>
      <c r="B155" t="inlineStr">
        <is>
          <t>avverkningsanmälan</t>
        </is>
      </c>
      <c r="C155" t="inlineStr">
        <is>
          <t>Avverkning för annat ändamål</t>
        </is>
      </c>
      <c r="D155" s="1" t="n">
        <v>45468</v>
      </c>
      <c r="E155" s="1" t="n">
        <v>46228</v>
      </c>
      <c r="F155" t="inlineStr">
        <is>
          <t>KALMAR LÄN</t>
        </is>
      </c>
      <c r="G155" t="inlineStr">
        <is>
          <t>BORGHOLM</t>
        </is>
      </c>
      <c r="I155" t="n">
        <v>0.4</v>
      </c>
      <c r="J155" t="n">
        <v>0</v>
      </c>
      <c r="K155" t="n">
        <v>0</v>
      </c>
      <c r="L155" t="n">
        <v>0</v>
      </c>
      <c r="M155" t="n">
        <v>0</v>
      </c>
      <c r="N155" t="n">
        <v>0</v>
      </c>
      <c r="O155" t="n">
        <v>0</v>
      </c>
      <c r="P155" t="n">
        <v>0</v>
      </c>
      <c r="Q155" t="n">
        <v>0</v>
      </c>
      <c r="R155" t="n">
        <v>0</v>
      </c>
      <c r="S155" t="n">
        <v>0</v>
      </c>
      <c r="T155" t="n">
        <v>0</v>
      </c>
      <c r="U155" t="n">
        <v>0</v>
      </c>
      <c r="V155" s="2" t="inlineStr"/>
      <c r="X155">
        <f>HYPERLINK("https://klasma.github.io/Logging_0885/kartor/A 26160-2024 karta.png", "A 26160-2024")</f>
        <v/>
      </c>
      <c r="Y155">
        <f>HYPERLINK("https://klasma.github.io/Logging_0885/kartor_geotiff/A 26160-2024 georefererad karta.tif", "A 26160-2024")</f>
        <v/>
      </c>
      <c r="AA155">
        <f>HYPERLINK("https://klasma.github.io/Logging_0885/klagomål/A 26160-2024 FSC-klagomål.docx", "A 26160-2024")</f>
        <v/>
      </c>
      <c r="AB155">
        <f>HYPERLINK("https://klasma.github.io/Logging_0885/klagomålsmail/A 26160-2024 FSC-klagomål mail.docx", "A 26160-2024")</f>
        <v/>
      </c>
      <c r="AC155">
        <f>HYPERLINK("https://klasma.github.io/Logging_0885/tillsyn/A 26160-2024 tillsynsbegäran.docx", "A 26160-2024")</f>
        <v/>
      </c>
      <c r="AD155">
        <f>HYPERLINK("https://klasma.github.io/Logging_0885/tillsynsmail/A 26160-2024 tillsynsbegäran mail.docx", "A 26160-2024")</f>
        <v/>
      </c>
    </row>
    <row r="156" ht="15" customHeight="1">
      <c r="A156" t="inlineStr">
        <is>
          <t>A 63075-2023</t>
        </is>
      </c>
      <c r="B156" t="inlineStr">
        <is>
          <t>avverkningsanmälan</t>
        </is>
      </c>
      <c r="C156" t="inlineStr">
        <is>
          <t>Avverkning för annat ändamål</t>
        </is>
      </c>
      <c r="D156" s="1" t="n">
        <v>45273</v>
      </c>
      <c r="E156" s="1" t="n">
        <v>46228</v>
      </c>
      <c r="F156" t="inlineStr">
        <is>
          <t>KALMAR LÄN</t>
        </is>
      </c>
      <c r="G156" t="inlineStr">
        <is>
          <t>BORGHOLM</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22785-2025</t>
        </is>
      </c>
      <c r="B157" t="inlineStr">
        <is>
          <t>avverkningsanmälan</t>
        </is>
      </c>
      <c r="C157" t="inlineStr">
        <is>
          <t>Föryngringsavverkning</t>
        </is>
      </c>
      <c r="D157" s="1" t="n">
        <v>45789</v>
      </c>
      <c r="E157" s="1" t="n">
        <v>46228</v>
      </c>
      <c r="F157" t="inlineStr">
        <is>
          <t>KALMAR LÄN</t>
        </is>
      </c>
      <c r="G157" t="inlineStr">
        <is>
          <t>BORGHOLM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40339-2023</t>
        </is>
      </c>
      <c r="B158" t="inlineStr">
        <is>
          <t>avverkningsanmälan</t>
        </is>
      </c>
      <c r="C158" t="inlineStr">
        <is>
          <t>Föryngringsavverkning</t>
        </is>
      </c>
      <c r="D158" s="1" t="n">
        <v>45169</v>
      </c>
      <c r="E158" s="1" t="n">
        <v>46228</v>
      </c>
      <c r="F158" t="inlineStr">
        <is>
          <t>KALMAR LÄN</t>
        </is>
      </c>
      <c r="G158" t="inlineStr">
        <is>
          <t>BORGHOLM</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26190-2025</t>
        </is>
      </c>
      <c r="B159" t="inlineStr">
        <is>
          <t>avverkningsanmälan</t>
        </is>
      </c>
      <c r="C159" t="inlineStr">
        <is>
          <t>Föryngringsavverkning</t>
        </is>
      </c>
      <c r="D159" s="1" t="n">
        <v>45805</v>
      </c>
      <c r="E159" s="1" t="n">
        <v>46228</v>
      </c>
      <c r="F159" t="inlineStr">
        <is>
          <t>KALMAR LÄN</t>
        </is>
      </c>
      <c r="G159" t="inlineStr">
        <is>
          <t>BORGHOLM</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36269-2025</t>
        </is>
      </c>
      <c r="B160" t="inlineStr">
        <is>
          <t>avverkningsanmälan</t>
        </is>
      </c>
      <c r="C160" t="inlineStr">
        <is>
          <t>Föryngringsavverkning</t>
        </is>
      </c>
      <c r="D160" s="1" t="n">
        <v>45867</v>
      </c>
      <c r="E160" s="1" t="n">
        <v>46228</v>
      </c>
      <c r="F160" t="inlineStr">
        <is>
          <t>KALMAR LÄN</t>
        </is>
      </c>
      <c r="G160" t="inlineStr">
        <is>
          <t>BORGHOLM</t>
        </is>
      </c>
      <c r="H160" t="inlineStr">
        <is>
          <t>Sveaskog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46228</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46228</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46228</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46228</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46228</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46228</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46228</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46228</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1812-2026</t>
        </is>
      </c>
      <c r="B169" t="inlineStr">
        <is>
          <t>samrådsanmälan</t>
        </is>
      </c>
      <c r="C169" t="inlineStr">
        <is>
          <t>Annan skogsbruksåtgärd</t>
        </is>
      </c>
      <c r="D169" s="1" t="n">
        <v>46197</v>
      </c>
      <c r="E169" s="1" t="n">
        <v>46228</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1807-2026</t>
        </is>
      </c>
      <c r="B170" t="inlineStr">
        <is>
          <t>samrådsanmälan</t>
        </is>
      </c>
      <c r="C170" t="inlineStr">
        <is>
          <t>Annan skogsbruksåtgärd</t>
        </is>
      </c>
      <c r="D170" s="1" t="n">
        <v>46196</v>
      </c>
      <c r="E170" s="1" t="n">
        <v>46228</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46228</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46228</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1888-2026</t>
        </is>
      </c>
      <c r="B173" t="inlineStr">
        <is>
          <t>samrådsanmälan</t>
        </is>
      </c>
      <c r="C173" t="inlineStr">
        <is>
          <t>Annan skogsbruksåtgärd</t>
        </is>
      </c>
      <c r="D173" s="1" t="n">
        <v>46203</v>
      </c>
      <c r="E173" s="1" t="n">
        <v>46228</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46228</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1556-2026</t>
        </is>
      </c>
      <c r="B175" t="inlineStr">
        <is>
          <t>samrådsanmälan</t>
        </is>
      </c>
      <c r="C175" t="inlineStr">
        <is>
          <t>Annan skogsbruksåtgärd</t>
        </is>
      </c>
      <c r="D175" s="1" t="n">
        <v>46169</v>
      </c>
      <c r="E175" s="1" t="n">
        <v>46228</v>
      </c>
      <c r="F175" t="inlineStr">
        <is>
          <t>KALMAR LÄN</t>
        </is>
      </c>
      <c r="G175" t="inlineStr">
        <is>
          <t>BORGHOLM</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c r="A176" t="inlineStr">
        <is>
          <t>S 1557-2026</t>
        </is>
      </c>
      <c r="B176" t="inlineStr">
        <is>
          <t>samrådsanmälan</t>
        </is>
      </c>
      <c r="C176" t="inlineStr">
        <is>
          <t>Annan skogsbruksåtgärd</t>
        </is>
      </c>
      <c r="D176" s="1" t="n">
        <v>46169</v>
      </c>
      <c r="E176" s="1" t="n">
        <v>46228</v>
      </c>
      <c r="F176" t="inlineStr">
        <is>
          <t>KALMAR LÄN</t>
        </is>
      </c>
      <c r="G176" t="inlineStr">
        <is>
          <t>BORGHOLM</t>
        </is>
      </c>
      <c r="H176" t="inlineStr">
        <is>
          <t>Sveaskog</t>
        </is>
      </c>
      <c r="I176" t="n">
        <v>7.3</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2026-07-25T01:53:14Z</dcterms:created>
  <dcterms:modified xmlns:dcterms="http://purl.org/dc/terms/" xmlns:xsi="http://www.w3.org/2001/XMLSchema-instance" xsi:type="dcterms:W3CDTF">2026-07-25T01:53:15Z</dcterms:modified>
</cp:coreProperties>
</file>