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46303</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46303</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46303</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46303</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46303</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46303</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46303</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46303</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46303</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46303</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46303</v>
      </c>
      <c r="F12" t="inlineStr">
        <is>
          <t>KALMAR LÄN</t>
        </is>
      </c>
      <c r="G12" t="inlineStr">
        <is>
          <t>BORGHOLM</t>
        </is>
      </c>
      <c r="H12" t="inlineStr">
        <is>
          <t>Sveaskog</t>
        </is>
      </c>
      <c r="I12" t="n">
        <v>2.8</v>
      </c>
      <c r="J12" t="n">
        <v>3</v>
      </c>
      <c r="K12" t="n">
        <v>4</v>
      </c>
      <c r="L12" t="n">
        <v>5</v>
      </c>
      <c r="M12" t="n">
        <v>7</v>
      </c>
      <c r="N12" t="n">
        <v>1</v>
      </c>
      <c r="O12" t="n">
        <v>0</v>
      </c>
      <c r="P12" t="n">
        <v>0</v>
      </c>
      <c r="Q12" t="n">
        <v>13</v>
      </c>
      <c r="R12" t="n">
        <v>8</v>
      </c>
      <c r="S12" t="n">
        <v>18</v>
      </c>
      <c r="T12" t="n">
        <v>25</v>
      </c>
      <c r="U12" t="n">
        <v>19</v>
      </c>
      <c r="V12" s="2" t="inlineStr">
        <is>
          <t>Tallkejsarspindling
Blåfotad fagerspindling
Brödmusseron
Fågelträcksspindling
Gulsträngad fagerspindling
Silverfotsspindling
Skillerticka
Svartgrön 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46303</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67432-2021</t>
        </is>
      </c>
      <c r="B14" t="inlineStr">
        <is>
          <t>avverkningsanmälan</t>
        </is>
      </c>
      <c r="C14" t="inlineStr">
        <is>
          <t>Föryngringsavverkning</t>
        </is>
      </c>
      <c r="D14" s="1" t="n">
        <v>44523</v>
      </c>
      <c r="E14" s="1" t="n">
        <v>46303</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32178-2022</t>
        </is>
      </c>
      <c r="B15" t="inlineStr">
        <is>
          <t>avverkningsanmälan</t>
        </is>
      </c>
      <c r="C15" t="inlineStr">
        <is>
          <t>Avverkning för att bevara och utveckla /försöksver</t>
        </is>
      </c>
      <c r="D15" s="1" t="n">
        <v>44781</v>
      </c>
      <c r="E15" s="1" t="n">
        <v>46303</v>
      </c>
      <c r="F15" t="inlineStr">
        <is>
          <t>KALMAR LÄN</t>
        </is>
      </c>
      <c r="G15" t="inlineStr">
        <is>
          <t>BORGHOLM</t>
        </is>
      </c>
      <c r="H15" t="inlineStr">
        <is>
          <t>Sveaskog</t>
        </is>
      </c>
      <c r="I15" t="n">
        <v>3.8</v>
      </c>
      <c r="J15" t="n">
        <v>4</v>
      </c>
      <c r="K15" t="n">
        <v>4</v>
      </c>
      <c r="L15" t="n">
        <v>3</v>
      </c>
      <c r="M15" t="n">
        <v>0</v>
      </c>
      <c r="N15" t="n">
        <v>1</v>
      </c>
      <c r="O15" t="n">
        <v>1</v>
      </c>
      <c r="P15" t="n">
        <v>0</v>
      </c>
      <c r="Q15" t="n">
        <v>5</v>
      </c>
      <c r="R15" t="n">
        <v>2</v>
      </c>
      <c r="S15" t="n">
        <v>10</v>
      </c>
      <c r="T15" t="n">
        <v>22</v>
      </c>
      <c r="U15" t="n">
        <v>12</v>
      </c>
      <c r="V15" s="2" t="inlineStr">
        <is>
          <t>Järnek
Skogsalm
Fyrflikig jordstjärna
Grantaggsvamp
Grönsångare
Kalktallört
Kamjordstjärna
Skogsknipprot
Tvåblad
Kungsfågel</t>
        </is>
      </c>
      <c r="W15">
        <f>HYPERLINK("https://klasma.github.io/Logging_0885/artfynd/A 32178-2022 artfynd.xlsx", "A 32178-2022")</f>
        <v/>
      </c>
      <c r="X15">
        <f>HYPERLINK("https://klasma.github.io/Logging_0885/kartor/A 32178-2022 karta.png", "A 32178-2022")</f>
        <v/>
      </c>
      <c r="Y15">
        <f>HYPERLINK("https://klasma.github.io/Logging_0885/kartor_geotiff/A 32178-2022 georefererad karta.tif", "A 32178-2022")</f>
        <v/>
      </c>
      <c r="AA15">
        <f>HYPERLINK("https://klasma.github.io/Logging_0885/klagomål/A 32178-2022 FSC-klagomål.docx", "A 32178-2022")</f>
        <v/>
      </c>
      <c r="AB15">
        <f>HYPERLINK("https://klasma.github.io/Logging_0885/klagomålsmail/A 32178-2022 FSC-klagomål mail.docx", "A 32178-2022")</f>
        <v/>
      </c>
      <c r="AC15">
        <f>HYPERLINK("https://klasma.github.io/Logging_0885/tillsyn/A 32178-2022 tillsynsbegäran.docx", "A 32178-2022")</f>
        <v/>
      </c>
      <c r="AD15">
        <f>HYPERLINK("https://klasma.github.io/Logging_0885/tillsynsmail/A 32178-2022 tillsynsbegäran mail.docx", "A 32178-2022")</f>
        <v/>
      </c>
      <c r="AE15">
        <f>HYPERLINK("https://klasma.github.io/Logging_0885/fåglar/A 32178-2022 prioriterade fågelarter.docx", "A 32178-2022")</f>
        <v/>
      </c>
    </row>
    <row r="16" ht="15" customHeight="1">
      <c r="A16" t="inlineStr">
        <is>
          <t>A 29656-2023</t>
        </is>
      </c>
      <c r="B16" t="inlineStr">
        <is>
          <t>avverkningsanmälan</t>
        </is>
      </c>
      <c r="C16" t="inlineStr">
        <is>
          <t>Föryngringsavverkning</t>
        </is>
      </c>
      <c r="D16" s="1" t="n">
        <v>45107</v>
      </c>
      <c r="E16" s="1" t="n">
        <v>46303</v>
      </c>
      <c r="F16" t="inlineStr">
        <is>
          <t>KALMAR LÄN</t>
        </is>
      </c>
      <c r="G16" t="inlineStr">
        <is>
          <t>BORGHOLM</t>
        </is>
      </c>
      <c r="I16" t="n">
        <v>4.1</v>
      </c>
      <c r="J16" t="n">
        <v>0</v>
      </c>
      <c r="K16" t="n">
        <v>4</v>
      </c>
      <c r="L16" t="n">
        <v>3</v>
      </c>
      <c r="M16" t="n">
        <v>3</v>
      </c>
      <c r="N16" t="n">
        <v>0</v>
      </c>
      <c r="O16" t="n">
        <v>0</v>
      </c>
      <c r="P16" t="n">
        <v>0</v>
      </c>
      <c r="Q16" t="n">
        <v>6</v>
      </c>
      <c r="R16" t="n">
        <v>3</v>
      </c>
      <c r="S16" t="n">
        <v>10</v>
      </c>
      <c r="T16" t="n">
        <v>15</v>
      </c>
      <c r="U16" t="n">
        <v>1</v>
      </c>
      <c r="V16" s="2" t="inlineStr">
        <is>
          <t>Blå halmlav
Klosterlav
Mörk kraterlav
Gammelekslav
Gul dropplav
Oxtungssvamp
Grå skärelav
Gulpudrad spiklav
Lönnlav
Tvåfläckig praktbagge</t>
        </is>
      </c>
      <c r="W16">
        <f>HYPERLINK("https://klasma.github.io/Logging_0885/artfynd/A 29656-2023 artfynd.xlsx", "A 29656-2023")</f>
        <v/>
      </c>
      <c r="X16">
        <f>HYPERLINK("https://klasma.github.io/Logging_0885/kartor/A 29656-2023 karta.png", "A 29656-2023")</f>
        <v/>
      </c>
      <c r="Y16">
        <f>HYPERLINK("https://klasma.github.io/Logging_0885/kartor_geotiff/A 29656-2023 georefererad karta.tif", "A 29656-2023")</f>
        <v/>
      </c>
      <c r="AA16">
        <f>HYPERLINK("https://klasma.github.io/Logging_0885/klagomål/A 29656-2023 FSC-klagomål.docx", "A 29656-2023")</f>
        <v/>
      </c>
      <c r="AB16">
        <f>HYPERLINK("https://klasma.github.io/Logging_0885/klagomålsmail/A 29656-2023 FSC-klagomål mail.docx", "A 29656-2023")</f>
        <v/>
      </c>
      <c r="AC16">
        <f>HYPERLINK("https://klasma.github.io/Logging_0885/tillsyn/A 29656-2023 tillsynsbegäran.docx", "A 29656-2023")</f>
        <v/>
      </c>
      <c r="AD16">
        <f>HYPERLINK("https://klasma.github.io/Logging_0885/tillsynsmail/A 29656-2023 tillsynsbegäran mail.docx", "A 29656-2023")</f>
        <v/>
      </c>
    </row>
    <row r="17" ht="15" customHeight="1">
      <c r="A17" t="inlineStr">
        <is>
          <t>S 2786-2023</t>
        </is>
      </c>
      <c r="B17" t="inlineStr">
        <is>
          <t>samrådsanmälan</t>
        </is>
      </c>
      <c r="C17" t="inlineStr">
        <is>
          <t>Annan skogsbruksåtgärd</t>
        </is>
      </c>
      <c r="D17" s="1" t="n">
        <v>45161</v>
      </c>
      <c r="E17" s="1" t="n">
        <v>46303</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46303</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46303</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46303</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46303</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46303</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12534-2022</t>
        </is>
      </c>
      <c r="B23" t="inlineStr">
        <is>
          <t>avverkningsanmälan</t>
        </is>
      </c>
      <c r="C23" t="inlineStr">
        <is>
          <t>Föryngringsavverkning</t>
        </is>
      </c>
      <c r="D23" s="1" t="n">
        <v>44638</v>
      </c>
      <c r="E23" s="1" t="n">
        <v>46303</v>
      </c>
      <c r="F23" t="inlineStr">
        <is>
          <t>KALMAR LÄN</t>
        </is>
      </c>
      <c r="G23" t="inlineStr">
        <is>
          <t>BORGHOLM</t>
        </is>
      </c>
      <c r="I23" t="n">
        <v>8.6</v>
      </c>
      <c r="J23" t="n">
        <v>3</v>
      </c>
      <c r="K23" t="n">
        <v>0</v>
      </c>
      <c r="L23" t="n">
        <v>5</v>
      </c>
      <c r="M23" t="n">
        <v>0</v>
      </c>
      <c r="N23" t="n">
        <v>0</v>
      </c>
      <c r="O23" t="n">
        <v>0</v>
      </c>
      <c r="P23" t="n">
        <v>0</v>
      </c>
      <c r="Q23" t="n">
        <v>5</v>
      </c>
      <c r="R23" t="n">
        <v>0</v>
      </c>
      <c r="S23" t="n">
        <v>8</v>
      </c>
      <c r="T23" t="n">
        <v>9</v>
      </c>
      <c r="U23" t="n">
        <v>9</v>
      </c>
      <c r="V23" s="2" t="inlineStr">
        <is>
          <t>Backklöver
Backtimjan
Jordtistel
Sårläka
Vårstarr
Krutbrännare
Nattviol
Sankt pers nycklar</t>
        </is>
      </c>
      <c r="W23">
        <f>HYPERLINK("https://klasma.github.io/Logging_0885/artfynd/A 12534-2022 artfynd.xlsx", "A 12534-2022")</f>
        <v/>
      </c>
      <c r="X23">
        <f>HYPERLINK("https://klasma.github.io/Logging_0885/kartor/A 12534-2022 karta.png", "A 12534-2022")</f>
        <v/>
      </c>
      <c r="Y23">
        <f>HYPERLINK("https://klasma.github.io/Logging_0885/kartor_geotiff/A 12534-2022 georefererad karta.tif", "A 12534-2022")</f>
        <v/>
      </c>
      <c r="AA23">
        <f>HYPERLINK("https://klasma.github.io/Logging_0885/klagomål/A 12534-2022 FSC-klagomål.docx", "A 12534-2022")</f>
        <v/>
      </c>
      <c r="AB23">
        <f>HYPERLINK("https://klasma.github.io/Logging_0885/klagomålsmail/A 12534-2022 FSC-klagomål mail.docx", "A 12534-2022")</f>
        <v/>
      </c>
      <c r="AC23">
        <f>HYPERLINK("https://klasma.github.io/Logging_0885/tillsyn/A 12534-2022 tillsynsbegäran.docx", "A 12534-2022")</f>
        <v/>
      </c>
      <c r="AD23">
        <f>HYPERLINK("https://klasma.github.io/Logging_0885/tillsynsmail/A 12534-2022 tillsynsbegäran mail.docx", "A 12534-2022")</f>
        <v/>
      </c>
    </row>
    <row r="24" ht="15" customHeight="1">
      <c r="A24" t="inlineStr">
        <is>
          <t>A 13558-2025</t>
        </is>
      </c>
      <c r="B24" t="inlineStr">
        <is>
          <t>avverkningsanmälan</t>
        </is>
      </c>
      <c r="C24" t="inlineStr">
        <is>
          <t>Föryngringsavverkning</t>
        </is>
      </c>
      <c r="D24" s="1" t="n">
        <v>45736</v>
      </c>
      <c r="E24" s="1" t="n">
        <v>46303</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46303</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11</v>
      </c>
      <c r="U25" t="n">
        <v>1</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46303</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11</v>
      </c>
      <c r="U26" t="n">
        <v>1</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46303</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46303</v>
      </c>
      <c r="F28" t="inlineStr">
        <is>
          <t>KALMAR LÄN</t>
        </is>
      </c>
      <c r="G28" t="inlineStr">
        <is>
          <t>BORGHOLM</t>
        </is>
      </c>
      <c r="I28" t="n">
        <v>5.2</v>
      </c>
      <c r="J28" t="n">
        <v>1</v>
      </c>
      <c r="K28" t="n">
        <v>5</v>
      </c>
      <c r="L28" t="n">
        <v>1</v>
      </c>
      <c r="M28" t="n">
        <v>0</v>
      </c>
      <c r="N28" t="n">
        <v>2</v>
      </c>
      <c r="O28" t="n">
        <v>0</v>
      </c>
      <c r="P28" t="n">
        <v>0</v>
      </c>
      <c r="Q28" t="n">
        <v>3</v>
      </c>
      <c r="R28" t="n">
        <v>2</v>
      </c>
      <c r="S28" t="n">
        <v>8</v>
      </c>
      <c r="T28" t="n">
        <v>55</v>
      </c>
      <c r="U28" t="n">
        <v>49</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46303</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11</v>
      </c>
      <c r="U29" t="n">
        <v>1</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46303</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46303</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46303</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46303</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46303</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46303</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8</v>
      </c>
      <c r="U35" t="n">
        <v>1</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46303</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46303</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46303</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46303</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8</v>
      </c>
      <c r="U39" t="n">
        <v>1</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46303</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24345-2026</t>
        </is>
      </c>
      <c r="B41" t="inlineStr">
        <is>
          <t>avverkningsanmälan</t>
        </is>
      </c>
      <c r="C41" t="inlineStr">
        <is>
          <t>Avverkning för att bevara och utveckla /försöksver</t>
        </is>
      </c>
      <c r="D41" s="1" t="n">
        <v>46169</v>
      </c>
      <c r="E41" s="1" t="n">
        <v>46303</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46303</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46303</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21797-2024</t>
        </is>
      </c>
      <c r="B44" t="inlineStr">
        <is>
          <t>avverkningsanmälan</t>
        </is>
      </c>
      <c r="C44" t="inlineStr">
        <is>
          <t>Föryngringsavverkning</t>
        </is>
      </c>
      <c r="D44" s="1" t="n">
        <v>45442</v>
      </c>
      <c r="E44" s="1" t="n">
        <v>46303</v>
      </c>
      <c r="F44" t="inlineStr">
        <is>
          <t>KALMAR LÄN</t>
        </is>
      </c>
      <c r="G44" t="inlineStr">
        <is>
          <t>BORGHOLM</t>
        </is>
      </c>
      <c r="I44" t="n">
        <v>1.4</v>
      </c>
      <c r="J44" t="n">
        <v>2</v>
      </c>
      <c r="K44" t="n">
        <v>2</v>
      </c>
      <c r="L44" t="n">
        <v>1</v>
      </c>
      <c r="M44" t="n">
        <v>0</v>
      </c>
      <c r="N44" t="n">
        <v>0</v>
      </c>
      <c r="O44" t="n">
        <v>0</v>
      </c>
      <c r="P44" t="n">
        <v>0</v>
      </c>
      <c r="Q44" t="n">
        <v>1</v>
      </c>
      <c r="R44" t="n">
        <v>0</v>
      </c>
      <c r="S44" t="n">
        <v>4</v>
      </c>
      <c r="T44" t="n">
        <v>11</v>
      </c>
      <c r="U44" t="n">
        <v>6</v>
      </c>
      <c r="V44" s="2" t="inlineStr">
        <is>
          <t>Sydlig kantmusseron
Murgröna
Skogsknipprot
Revlummer</t>
        </is>
      </c>
      <c r="W44">
        <f>HYPERLINK("https://klasma.github.io/Logging_0885/artfynd/A 21797-2024 artfynd.xlsx", "A 21797-2024")</f>
        <v/>
      </c>
      <c r="X44">
        <f>HYPERLINK("https://klasma.github.io/Logging_0885/kartor/A 21797-2024 karta.png", "A 21797-2024")</f>
        <v/>
      </c>
      <c r="Y44">
        <f>HYPERLINK("https://klasma.github.io/Logging_0885/kartor_geotiff/A 21797-2024 georefererad karta.tif", "A 21797-2024")</f>
        <v/>
      </c>
      <c r="AA44">
        <f>HYPERLINK("https://klasma.github.io/Logging_0885/klagomål/A 21797-2024 FSC-klagomål.docx", "A 21797-2024")</f>
        <v/>
      </c>
      <c r="AB44">
        <f>HYPERLINK("https://klasma.github.io/Logging_0885/klagomålsmail/A 21797-2024 FSC-klagomål mail.docx", "A 21797-2024")</f>
        <v/>
      </c>
      <c r="AC44">
        <f>HYPERLINK("https://klasma.github.io/Logging_0885/tillsyn/A 21797-2024 tillsynsbegäran.docx", "A 21797-2024")</f>
        <v/>
      </c>
      <c r="AD44">
        <f>HYPERLINK("https://klasma.github.io/Logging_0885/tillsynsmail/A 21797-2024 tillsynsbegäran mail.docx", "A 21797-2024")</f>
        <v/>
      </c>
    </row>
    <row r="45" ht="15" customHeight="1">
      <c r="A45" t="inlineStr">
        <is>
          <t>A 27290-2026</t>
        </is>
      </c>
      <c r="B45" t="inlineStr">
        <is>
          <t>avverkningsanmälan</t>
        </is>
      </c>
      <c r="C45" t="inlineStr">
        <is>
          <t>Avverkning för att bevara och utveckla /försöksver</t>
        </is>
      </c>
      <c r="D45" s="1" t="n">
        <v>46188</v>
      </c>
      <c r="E45" s="1" t="n">
        <v>46303</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4164-2023</t>
        </is>
      </c>
      <c r="B46" t="inlineStr">
        <is>
          <t>avverkningsanmälan</t>
        </is>
      </c>
      <c r="C46" t="inlineStr">
        <is>
          <t>Föryngringsavverkning</t>
        </is>
      </c>
      <c r="D46" s="1" t="n">
        <v>44953</v>
      </c>
      <c r="E46" s="1" t="n">
        <v>46303</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7960-2023</t>
        </is>
      </c>
      <c r="B47" t="inlineStr">
        <is>
          <t>avverkningsanmälan</t>
        </is>
      </c>
      <c r="C47" t="inlineStr">
        <is>
          <t>Föryngringsavverkning</t>
        </is>
      </c>
      <c r="D47" s="1" t="n">
        <v>44973</v>
      </c>
      <c r="E47" s="1" t="n">
        <v>46303</v>
      </c>
      <c r="F47" t="inlineStr">
        <is>
          <t>KALMAR LÄN</t>
        </is>
      </c>
      <c r="G47" t="inlineStr">
        <is>
          <t>BORGHOLM</t>
        </is>
      </c>
      <c r="I47" t="n">
        <v>2.1</v>
      </c>
      <c r="J47" t="n">
        <v>0</v>
      </c>
      <c r="K47" t="n">
        <v>1</v>
      </c>
      <c r="L47" t="n">
        <v>2</v>
      </c>
      <c r="M47" t="n">
        <v>0</v>
      </c>
      <c r="N47" t="n">
        <v>0</v>
      </c>
      <c r="O47" t="n">
        <v>1</v>
      </c>
      <c r="P47" t="n">
        <v>0</v>
      </c>
      <c r="Q47" t="n">
        <v>3</v>
      </c>
      <c r="R47" t="n">
        <v>1</v>
      </c>
      <c r="S47" t="n">
        <v>4</v>
      </c>
      <c r="T47" t="n">
        <v>4</v>
      </c>
      <c r="U47" t="n">
        <v>3</v>
      </c>
      <c r="V47" s="2" t="inlineStr">
        <is>
          <t>Vresalm
Pilfotsspindling
Vippärt
Strävlosta</t>
        </is>
      </c>
      <c r="W47">
        <f>HYPERLINK("https://klasma.github.io/Logging_0885/artfynd/A 7960-2023 artfynd.xlsx", "A 7960-2023")</f>
        <v/>
      </c>
      <c r="X47">
        <f>HYPERLINK("https://klasma.github.io/Logging_0885/kartor/A 7960-2023 karta.png", "A 7960-2023")</f>
        <v/>
      </c>
      <c r="Y47">
        <f>HYPERLINK("https://klasma.github.io/Logging_0885/kartor_geotiff/A 7960-2023 georefererad karta.tif", "A 7960-2023")</f>
        <v/>
      </c>
      <c r="AA47">
        <f>HYPERLINK("https://klasma.github.io/Logging_0885/klagomål/A 7960-2023 FSC-klagomål.docx", "A 7960-2023")</f>
        <v/>
      </c>
      <c r="AB47">
        <f>HYPERLINK("https://klasma.github.io/Logging_0885/klagomålsmail/A 7960-2023 FSC-klagomål mail.docx", "A 7960-2023")</f>
        <v/>
      </c>
      <c r="AC47">
        <f>HYPERLINK("https://klasma.github.io/Logging_0885/tillsyn/A 7960-2023 tillsynsbegäran.docx", "A 7960-2023")</f>
        <v/>
      </c>
      <c r="AD47">
        <f>HYPERLINK("https://klasma.github.io/Logging_0885/tillsynsmail/A 7960-2023 tillsynsbegäran mail.docx", "A 7960-2023")</f>
        <v/>
      </c>
    </row>
    <row r="48" ht="15" customHeight="1">
      <c r="A48" t="inlineStr">
        <is>
          <t>S 2740-2022</t>
        </is>
      </c>
      <c r="B48" t="inlineStr">
        <is>
          <t>samrådsanmälan</t>
        </is>
      </c>
      <c r="C48" t="inlineStr">
        <is>
          <t>Annan skogsbruksåtgärd</t>
        </is>
      </c>
      <c r="D48" s="1" t="n">
        <v>44704</v>
      </c>
      <c r="E48" s="1" t="n">
        <v>46303</v>
      </c>
      <c r="F48" t="inlineStr">
        <is>
          <t>KALMAR LÄN</t>
        </is>
      </c>
      <c r="G48" t="inlineStr">
        <is>
          <t>BORGHOLM</t>
        </is>
      </c>
      <c r="I48" t="n">
        <v>4.4</v>
      </c>
      <c r="J48" t="n">
        <v>3</v>
      </c>
      <c r="K48" t="n">
        <v>1</v>
      </c>
      <c r="L48" t="n">
        <v>1</v>
      </c>
      <c r="M48" t="n">
        <v>0</v>
      </c>
      <c r="N48" t="n">
        <v>1</v>
      </c>
      <c r="O48" t="n">
        <v>0</v>
      </c>
      <c r="P48" t="n">
        <v>0</v>
      </c>
      <c r="Q48" t="n">
        <v>2</v>
      </c>
      <c r="R48" t="n">
        <v>1</v>
      </c>
      <c r="S48" t="n">
        <v>4</v>
      </c>
      <c r="T48" t="n">
        <v>25</v>
      </c>
      <c r="U48" t="n">
        <v>25</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46303</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46303</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32174-2022</t>
        </is>
      </c>
      <c r="B51" t="inlineStr">
        <is>
          <t>avverkningsanmälan</t>
        </is>
      </c>
      <c r="C51" t="inlineStr">
        <is>
          <t>Avverkning för att bevara och utveckla /försöksver</t>
        </is>
      </c>
      <c r="D51" s="1" t="n">
        <v>44781</v>
      </c>
      <c r="E51" s="1" t="n">
        <v>46303</v>
      </c>
      <c r="F51" t="inlineStr">
        <is>
          <t>KALMAR LÄN</t>
        </is>
      </c>
      <c r="G51" t="inlineStr">
        <is>
          <t>BORGHOLM</t>
        </is>
      </c>
      <c r="H51" t="inlineStr">
        <is>
          <t>Sveaskog</t>
        </is>
      </c>
      <c r="I51" t="n">
        <v>1.6</v>
      </c>
      <c r="J51" t="n">
        <v>2</v>
      </c>
      <c r="K51" t="n">
        <v>2</v>
      </c>
      <c r="L51" t="n">
        <v>1</v>
      </c>
      <c r="M51" t="n">
        <v>0</v>
      </c>
      <c r="N51" t="n">
        <v>0</v>
      </c>
      <c r="O51" t="n">
        <v>0</v>
      </c>
      <c r="P51" t="n">
        <v>0</v>
      </c>
      <c r="Q51" t="n">
        <v>1</v>
      </c>
      <c r="R51" t="n">
        <v>0</v>
      </c>
      <c r="S51" t="n">
        <v>3</v>
      </c>
      <c r="T51" t="n">
        <v>3</v>
      </c>
      <c r="U51" t="n">
        <v>3</v>
      </c>
      <c r="V51" s="2" t="inlineStr">
        <is>
          <t>Backklöver
Tvåblad
Vit skogslilja</t>
        </is>
      </c>
      <c r="W51">
        <f>HYPERLINK("https://klasma.github.io/Logging_0885/artfynd/A 32174-2022 artfynd.xlsx", "A 32174-2022")</f>
        <v/>
      </c>
      <c r="X51">
        <f>HYPERLINK("https://klasma.github.io/Logging_0885/kartor/A 32174-2022 karta.png", "A 32174-2022")</f>
        <v/>
      </c>
      <c r="Y51">
        <f>HYPERLINK("https://klasma.github.io/Logging_0885/kartor_geotiff/A 32174-2022 georefererad karta.tif", "A 32174-2022")</f>
        <v/>
      </c>
      <c r="AA51">
        <f>HYPERLINK("https://klasma.github.io/Logging_0885/klagomål/A 32174-2022 FSC-klagomål.docx", "A 32174-2022")</f>
        <v/>
      </c>
      <c r="AB51">
        <f>HYPERLINK("https://klasma.github.io/Logging_0885/klagomålsmail/A 32174-2022 FSC-klagomål mail.docx", "A 32174-2022")</f>
        <v/>
      </c>
      <c r="AC51">
        <f>HYPERLINK("https://klasma.github.io/Logging_0885/tillsyn/A 32174-2022 tillsynsbegäran.docx", "A 32174-2022")</f>
        <v/>
      </c>
      <c r="AD51">
        <f>HYPERLINK("https://klasma.github.io/Logging_0885/tillsynsmail/A 32174-2022 tillsynsbegäran mail.docx", "A 32174-2022")</f>
        <v/>
      </c>
    </row>
    <row r="52" ht="15" customHeight="1">
      <c r="A52" t="inlineStr">
        <is>
          <t>A 38860-2025</t>
        </is>
      </c>
      <c r="B52" t="inlineStr">
        <is>
          <t>avverkningsanmälan</t>
        </is>
      </c>
      <c r="C52" t="inlineStr">
        <is>
          <t>Föryngringsavverkning</t>
        </is>
      </c>
      <c r="D52" s="1" t="n">
        <v>45887</v>
      </c>
      <c r="E52" s="1" t="n">
        <v>46303</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24048-2025</t>
        </is>
      </c>
      <c r="B53" t="inlineStr">
        <is>
          <t>avverkningsanmälan</t>
        </is>
      </c>
      <c r="C53" t="inlineStr">
        <is>
          <t>Föryngringsavverkning</t>
        </is>
      </c>
      <c r="D53" s="1" t="n">
        <v>45796</v>
      </c>
      <c r="E53" s="1" t="n">
        <v>46303</v>
      </c>
      <c r="F53" t="inlineStr">
        <is>
          <t>KALMAR LÄN</t>
        </is>
      </c>
      <c r="G53" t="inlineStr">
        <is>
          <t>BORGHOLM</t>
        </is>
      </c>
      <c r="I53" t="n">
        <v>2</v>
      </c>
      <c r="J53" t="n">
        <v>1</v>
      </c>
      <c r="K53" t="n">
        <v>0</v>
      </c>
      <c r="L53" t="n">
        <v>2</v>
      </c>
      <c r="M53" t="n">
        <v>0</v>
      </c>
      <c r="N53" t="n">
        <v>0</v>
      </c>
      <c r="O53" t="n">
        <v>0</v>
      </c>
      <c r="P53" t="n">
        <v>0</v>
      </c>
      <c r="Q53" t="n">
        <v>2</v>
      </c>
      <c r="R53" t="n">
        <v>0</v>
      </c>
      <c r="S53" t="n">
        <v>3</v>
      </c>
      <c r="T53" t="n">
        <v>5</v>
      </c>
      <c r="U53" t="n">
        <v>0</v>
      </c>
      <c r="V53" s="2" t="inlineStr">
        <is>
          <t>Loppstarr
Ängsstarr
Kärrknipprot</t>
        </is>
      </c>
      <c r="W53">
        <f>HYPERLINK("https://klasma.github.io/Logging_0885/artfynd/A 24048-2025 artfynd.xlsx", "A 24048-2025")</f>
        <v/>
      </c>
      <c r="X53">
        <f>HYPERLINK("https://klasma.github.io/Logging_0885/kartor/A 24048-2025 karta.png", "A 24048-2025")</f>
        <v/>
      </c>
      <c r="Y53">
        <f>HYPERLINK("https://klasma.github.io/Logging_0885/kartor_geotiff/A 24048-2025 georefererad karta.tif", "A 24048-2025")</f>
        <v/>
      </c>
      <c r="AA53">
        <f>HYPERLINK("https://klasma.github.io/Logging_0885/klagomål/A 24048-2025 FSC-klagomål.docx", "A 24048-2025")</f>
        <v/>
      </c>
      <c r="AB53">
        <f>HYPERLINK("https://klasma.github.io/Logging_0885/klagomålsmail/A 24048-2025 FSC-klagomål mail.docx", "A 24048-2025")</f>
        <v/>
      </c>
      <c r="AC53">
        <f>HYPERLINK("https://klasma.github.io/Logging_0885/tillsyn/A 24048-2025 tillsynsbegäran.docx", "A 24048-2025")</f>
        <v/>
      </c>
      <c r="AD53">
        <f>HYPERLINK("https://klasma.github.io/Logging_0885/tillsynsmail/A 24048-2025 tillsynsbegäran mail.docx", "A 24048-2025")</f>
        <v/>
      </c>
    </row>
    <row r="54" ht="15" customHeight="1">
      <c r="A54" t="inlineStr">
        <is>
          <t>A 43542-2025</t>
        </is>
      </c>
      <c r="B54" t="inlineStr">
        <is>
          <t>avverkningsanmälan</t>
        </is>
      </c>
      <c r="C54" t="inlineStr">
        <is>
          <t>Föryngringsavverkning</t>
        </is>
      </c>
      <c r="D54" s="1" t="n">
        <v>45911</v>
      </c>
      <c r="E54" s="1" t="n">
        <v>46303</v>
      </c>
      <c r="F54" t="inlineStr">
        <is>
          <t>KALMAR LÄN</t>
        </is>
      </c>
      <c r="G54" t="inlineStr">
        <is>
          <t>BORGHOLM</t>
        </is>
      </c>
      <c r="I54" t="n">
        <v>2.4</v>
      </c>
      <c r="J54" t="n">
        <v>0</v>
      </c>
      <c r="K54" t="n">
        <v>1</v>
      </c>
      <c r="L54" t="n">
        <v>2</v>
      </c>
      <c r="M54" t="n">
        <v>0</v>
      </c>
      <c r="N54" t="n">
        <v>0</v>
      </c>
      <c r="O54" t="n">
        <v>0</v>
      </c>
      <c r="P54" t="n">
        <v>0</v>
      </c>
      <c r="Q54" t="n">
        <v>2</v>
      </c>
      <c r="R54" t="n">
        <v>0</v>
      </c>
      <c r="S54" t="n">
        <v>3</v>
      </c>
      <c r="T54" t="n">
        <v>3</v>
      </c>
      <c r="U54" t="n">
        <v>3</v>
      </c>
      <c r="V54" s="2" t="inlineStr">
        <is>
          <t>Vårärt
Ängsskära
Underviol</t>
        </is>
      </c>
      <c r="W54">
        <f>HYPERLINK("https://klasma.github.io/Logging_0885/artfynd/A 43542-2025 artfynd.xlsx", "A 43542-2025")</f>
        <v/>
      </c>
      <c r="X54">
        <f>HYPERLINK("https://klasma.github.io/Logging_0885/kartor/A 43542-2025 karta.png", "A 43542-2025")</f>
        <v/>
      </c>
      <c r="Y54">
        <f>HYPERLINK("https://klasma.github.io/Logging_0885/kartor_geotiff/A 43542-2025 georefererad karta.tif", "A 43542-2025")</f>
        <v/>
      </c>
      <c r="AA54">
        <f>HYPERLINK("https://klasma.github.io/Logging_0885/klagomål/A 43542-2025 FSC-klagomål.docx", "A 43542-2025")</f>
        <v/>
      </c>
      <c r="AB54">
        <f>HYPERLINK("https://klasma.github.io/Logging_0885/klagomålsmail/A 43542-2025 FSC-klagomål mail.docx", "A 43542-2025")</f>
        <v/>
      </c>
      <c r="AC54">
        <f>HYPERLINK("https://klasma.github.io/Logging_0885/tillsyn/A 43542-2025 tillsynsbegäran.docx", "A 43542-2025")</f>
        <v/>
      </c>
      <c r="AD54">
        <f>HYPERLINK("https://klasma.github.io/Logging_0885/tillsynsmail/A 43542-2025 tillsynsbegäran mail.docx", "A 43542-2025")</f>
        <v/>
      </c>
    </row>
    <row r="55" ht="15" customHeight="1">
      <c r="A55" t="inlineStr">
        <is>
          <t>A 26849-2026</t>
        </is>
      </c>
      <c r="B55" t="inlineStr">
        <is>
          <t>avverkningsanmälan</t>
        </is>
      </c>
      <c r="C55" t="inlineStr">
        <is>
          <t>Föryngringsavverkning</t>
        </is>
      </c>
      <c r="D55" s="1" t="n">
        <v>46185</v>
      </c>
      <c r="E55" s="1" t="n">
        <v>46303</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27283-2026</t>
        </is>
      </c>
      <c r="B56" t="inlineStr">
        <is>
          <t>avverkningsanmälan</t>
        </is>
      </c>
      <c r="C56" t="inlineStr">
        <is>
          <t>Avverkning för att bevara och utveckla /försöksver</t>
        </is>
      </c>
      <c r="D56" s="1" t="n">
        <v>46188</v>
      </c>
      <c r="E56" s="1" t="n">
        <v>46303</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43756-2022</t>
        </is>
      </c>
      <c r="B57" t="inlineStr">
        <is>
          <t>avverkningsanmälan</t>
        </is>
      </c>
      <c r="C57" t="inlineStr">
        <is>
          <t>Föryngringsavverkning</t>
        </is>
      </c>
      <c r="D57" s="1" t="n">
        <v>44837</v>
      </c>
      <c r="E57" s="1" t="n">
        <v>46303</v>
      </c>
      <c r="F57" t="inlineStr">
        <is>
          <t>KALMAR LÄN</t>
        </is>
      </c>
      <c r="G57" t="inlineStr">
        <is>
          <t>BORGHOLM</t>
        </is>
      </c>
      <c r="I57" t="n">
        <v>2.2</v>
      </c>
      <c r="J57" t="n">
        <v>2</v>
      </c>
      <c r="K57" t="n">
        <v>1</v>
      </c>
      <c r="L57" t="n">
        <v>0</v>
      </c>
      <c r="M57" t="n">
        <v>0</v>
      </c>
      <c r="N57" t="n">
        <v>0</v>
      </c>
      <c r="O57" t="n">
        <v>0</v>
      </c>
      <c r="P57" t="n">
        <v>0</v>
      </c>
      <c r="Q57" t="n">
        <v>0</v>
      </c>
      <c r="R57" t="n">
        <v>0</v>
      </c>
      <c r="S57" t="n">
        <v>3</v>
      </c>
      <c r="T57" t="n">
        <v>5</v>
      </c>
      <c r="U57" t="n">
        <v>5</v>
      </c>
      <c r="V57" s="2" t="inlineStr">
        <is>
          <t>Murgröna
Blåsippa
Gullviva</t>
        </is>
      </c>
      <c r="W57">
        <f>HYPERLINK("https://klasma.github.io/Logging_0885/artfynd/A 43756-2022 artfynd.xlsx", "A 43756-2022")</f>
        <v/>
      </c>
      <c r="X57">
        <f>HYPERLINK("https://klasma.github.io/Logging_0885/kartor/A 43756-2022 karta.png", "A 43756-2022")</f>
        <v/>
      </c>
      <c r="Y57">
        <f>HYPERLINK("https://klasma.github.io/Logging_0885/kartor_geotiff/A 43756-2022 georefererad karta.tif", "A 43756-2022")</f>
        <v/>
      </c>
      <c r="AA57">
        <f>HYPERLINK("https://klasma.github.io/Logging_0885/klagomål/A 43756-2022 FSC-klagomål.docx", "A 43756-2022")</f>
        <v/>
      </c>
      <c r="AB57">
        <f>HYPERLINK("https://klasma.github.io/Logging_0885/klagomålsmail/A 43756-2022 FSC-klagomål mail.docx", "A 43756-2022")</f>
        <v/>
      </c>
      <c r="AC57">
        <f>HYPERLINK("https://klasma.github.io/Logging_0885/tillsyn/A 43756-2022 tillsynsbegäran.docx", "A 43756-2022")</f>
        <v/>
      </c>
      <c r="AD57">
        <f>HYPERLINK("https://klasma.github.io/Logging_0885/tillsynsmail/A 43756-2022 tillsynsbegäran mail.docx", "A 43756-2022")</f>
        <v/>
      </c>
    </row>
    <row r="58" ht="15" customHeight="1">
      <c r="A58" t="inlineStr">
        <is>
          <t>A 15285-2026</t>
        </is>
      </c>
      <c r="B58" t="inlineStr">
        <is>
          <t>avverkningsanmälan</t>
        </is>
      </c>
      <c r="C58" t="inlineStr">
        <is>
          <t>Avverkning för att bevara och utveckla /försöksver</t>
        </is>
      </c>
      <c r="D58" s="1" t="n">
        <v>46105</v>
      </c>
      <c r="E58" s="1" t="n">
        <v>46303</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A 31520-2026</t>
        </is>
      </c>
      <c r="B59" t="inlineStr">
        <is>
          <t>avverkningsanmälan</t>
        </is>
      </c>
      <c r="C59" t="inlineStr">
        <is>
          <t>Avverkning för att bevara och utveckla /försöksver</t>
        </is>
      </c>
      <c r="D59" s="1" t="n">
        <v>46223</v>
      </c>
      <c r="E59" s="1" t="n">
        <v>46303</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S 846-2026</t>
        </is>
      </c>
      <c r="B60" t="inlineStr">
        <is>
          <t>samrådsanmälan</t>
        </is>
      </c>
      <c r="C60" t="inlineStr">
        <is>
          <t>Annan skogsbruksåtgärd</t>
        </is>
      </c>
      <c r="D60" s="1" t="n">
        <v>46105</v>
      </c>
      <c r="E60" s="1" t="n">
        <v>46303</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1726-2026</t>
        </is>
      </c>
      <c r="B61" t="inlineStr">
        <is>
          <t>samrådsanmälan</t>
        </is>
      </c>
      <c r="C61" t="inlineStr">
        <is>
          <t>Annan skogsbruksåtgärd</t>
        </is>
      </c>
      <c r="D61" s="1" t="n">
        <v>46188</v>
      </c>
      <c r="E61" s="1" t="n">
        <v>46303</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S 2059-2026</t>
        </is>
      </c>
      <c r="B62" t="inlineStr">
        <is>
          <t>samrådsanmälan</t>
        </is>
      </c>
      <c r="C62" t="inlineStr">
        <is>
          <t>Annan skogsbruksåtgärd</t>
        </is>
      </c>
      <c r="D62" s="1" t="n">
        <v>46223</v>
      </c>
      <c r="E62" s="1" t="n">
        <v>46303</v>
      </c>
      <c r="F62" t="inlineStr">
        <is>
          <t>KALMAR LÄN</t>
        </is>
      </c>
      <c r="G62" t="inlineStr">
        <is>
          <t>BORGHOLM</t>
        </is>
      </c>
      <c r="H62" t="inlineStr">
        <is>
          <t>Sveaskog</t>
        </is>
      </c>
      <c r="I62" t="n">
        <v>1.1</v>
      </c>
      <c r="J62" t="n">
        <v>3</v>
      </c>
      <c r="K62" t="n">
        <v>0</v>
      </c>
      <c r="L62" t="n">
        <v>1</v>
      </c>
      <c r="M62" t="n">
        <v>0</v>
      </c>
      <c r="N62" t="n">
        <v>0</v>
      </c>
      <c r="O62" t="n">
        <v>0</v>
      </c>
      <c r="P62" t="n">
        <v>0</v>
      </c>
      <c r="Q62" t="n">
        <v>1</v>
      </c>
      <c r="R62" t="n">
        <v>0</v>
      </c>
      <c r="S62" t="n">
        <v>3</v>
      </c>
      <c r="T62" t="n">
        <v>4</v>
      </c>
      <c r="U62" t="n">
        <v>0</v>
      </c>
      <c r="V62" s="2" t="inlineStr">
        <is>
          <t>Talltita
Grönsiska
Kungsfågel</t>
        </is>
      </c>
      <c r="W62">
        <f>HYPERLINK("https://klasma.github.io/Logging_0885/artfynd/S 2059-2026 artfynd.xlsx", "S 2059-2026")</f>
        <v/>
      </c>
      <c r="X62">
        <f>HYPERLINK("https://klasma.github.io/Logging_0885/kartor/S 2059-2026 karta.png", "S 2059-2026")</f>
        <v/>
      </c>
      <c r="Y62">
        <f>HYPERLINK("https://klasma.github.io/Logging_0885/kartor_geotiff/S 2059-2026 georefererad karta.tif", "S 2059-2026")</f>
        <v/>
      </c>
      <c r="AA62">
        <f>HYPERLINK("https://klasma.github.io/Logging_0885/klagomål/S 2059-2026 FSC-klagomål.docx", "S 2059-2026")</f>
        <v/>
      </c>
      <c r="AB62">
        <f>HYPERLINK("https://klasma.github.io/Logging_0885/klagomålsmail/S 2059-2026 FSC-klagomål mail.docx", "S 2059-2026")</f>
        <v/>
      </c>
      <c r="AC62">
        <f>HYPERLINK("https://klasma.github.io/Logging_0885/tillsyn/S 2059-2026 tillsynsbegäran.docx", "S 2059-2026")</f>
        <v/>
      </c>
      <c r="AD62">
        <f>HYPERLINK("https://klasma.github.io/Logging_0885/tillsynsmail/S 2059-2026 tillsynsbegäran mail.docx", "S 2059-2026")</f>
        <v/>
      </c>
      <c r="AE62">
        <f>HYPERLINK("https://klasma.github.io/Logging_0885/fåglar/S 2059-2026 prioriterade fågelarter.docx", "S 2059-2026")</f>
        <v/>
      </c>
    </row>
    <row r="63" ht="15" customHeight="1">
      <c r="A63" t="inlineStr">
        <is>
          <t>A 10348-2022</t>
        </is>
      </c>
      <c r="B63" t="inlineStr">
        <is>
          <t>avverkningsanmälan</t>
        </is>
      </c>
      <c r="C63" t="inlineStr">
        <is>
          <t>Föryngringsavverkning</t>
        </is>
      </c>
      <c r="D63" s="1" t="n">
        <v>44623</v>
      </c>
      <c r="E63" s="1" t="n">
        <v>46303</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44678-2022</t>
        </is>
      </c>
      <c r="B64" t="inlineStr">
        <is>
          <t>avverkningsanmälan</t>
        </is>
      </c>
      <c r="C64" t="inlineStr">
        <is>
          <t>Föryngringsavverkning</t>
        </is>
      </c>
      <c r="D64" s="1" t="n">
        <v>44840</v>
      </c>
      <c r="E64" s="1" t="n">
        <v>46303</v>
      </c>
      <c r="F64" t="inlineStr">
        <is>
          <t>KALMAR LÄN</t>
        </is>
      </c>
      <c r="G64" t="inlineStr">
        <is>
          <t>BORGHOLM</t>
        </is>
      </c>
      <c r="I64" t="n">
        <v>2.4</v>
      </c>
      <c r="J64" t="n">
        <v>1</v>
      </c>
      <c r="K64" t="n">
        <v>1</v>
      </c>
      <c r="L64" t="n">
        <v>0</v>
      </c>
      <c r="M64" t="n">
        <v>0</v>
      </c>
      <c r="N64" t="n">
        <v>1</v>
      </c>
      <c r="O64" t="n">
        <v>0</v>
      </c>
      <c r="P64" t="n">
        <v>0</v>
      </c>
      <c r="Q64" t="n">
        <v>1</v>
      </c>
      <c r="R64" t="n">
        <v>1</v>
      </c>
      <c r="S64" t="n">
        <v>2</v>
      </c>
      <c r="T64" t="n">
        <v>2</v>
      </c>
      <c r="U64" t="n">
        <v>1</v>
      </c>
      <c r="V64" s="2" t="inlineStr">
        <is>
          <t>Ask
Skogsknipprot</t>
        </is>
      </c>
      <c r="W64">
        <f>HYPERLINK("https://klasma.github.io/Logging_0885/artfynd/A 44678-2022 artfynd.xlsx", "A 44678-2022")</f>
        <v/>
      </c>
      <c r="X64">
        <f>HYPERLINK("https://klasma.github.io/Logging_0885/kartor/A 44678-2022 karta.png", "A 44678-2022")</f>
        <v/>
      </c>
      <c r="Y64">
        <f>HYPERLINK("https://klasma.github.io/Logging_0885/kartor_geotiff/A 44678-2022 georefererad karta.tif", "A 44678-2022")</f>
        <v/>
      </c>
      <c r="AA64">
        <f>HYPERLINK("https://klasma.github.io/Logging_0885/klagomål/A 44678-2022 FSC-klagomål.docx", "A 44678-2022")</f>
        <v/>
      </c>
      <c r="AB64">
        <f>HYPERLINK("https://klasma.github.io/Logging_0885/klagomålsmail/A 44678-2022 FSC-klagomål mail.docx", "A 44678-2022")</f>
        <v/>
      </c>
      <c r="AC64">
        <f>HYPERLINK("https://klasma.github.io/Logging_0885/tillsyn/A 44678-2022 tillsynsbegäran.docx", "A 44678-2022")</f>
        <v/>
      </c>
      <c r="AD64">
        <f>HYPERLINK("https://klasma.github.io/Logging_0885/tillsynsmail/A 44678-2022 tillsynsbegäran mail.docx", "A 44678-2022")</f>
        <v/>
      </c>
    </row>
    <row r="65" ht="15" customHeight="1">
      <c r="A65" t="inlineStr">
        <is>
          <t>A 24166-2022</t>
        </is>
      </c>
      <c r="B65" t="inlineStr">
        <is>
          <t>avverkningsanmälan</t>
        </is>
      </c>
      <c r="C65" t="inlineStr">
        <is>
          <t>Avverkning för annat ändamål</t>
        </is>
      </c>
      <c r="D65" s="1" t="n">
        <v>44725</v>
      </c>
      <c r="E65" s="1" t="n">
        <v>46303</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17699-2025</t>
        </is>
      </c>
      <c r="B66" t="inlineStr">
        <is>
          <t>avverkningsanmälan</t>
        </is>
      </c>
      <c r="C66" t="inlineStr">
        <is>
          <t>Föryngringsavverkning</t>
        </is>
      </c>
      <c r="D66" s="1" t="n">
        <v>45758</v>
      </c>
      <c r="E66" s="1" t="n">
        <v>46303</v>
      </c>
      <c r="F66" t="inlineStr">
        <is>
          <t>KALMAR LÄN</t>
        </is>
      </c>
      <c r="G66" t="inlineStr">
        <is>
          <t>BORGHOLM</t>
        </is>
      </c>
      <c r="I66" t="n">
        <v>0.7</v>
      </c>
      <c r="J66" t="n">
        <v>0</v>
      </c>
      <c r="K66" t="n">
        <v>0</v>
      </c>
      <c r="L66" t="n">
        <v>2</v>
      </c>
      <c r="M66" t="n">
        <v>0</v>
      </c>
      <c r="N66" t="n">
        <v>0</v>
      </c>
      <c r="O66" t="n">
        <v>0</v>
      </c>
      <c r="P66" t="n">
        <v>0</v>
      </c>
      <c r="Q66" t="n">
        <v>2</v>
      </c>
      <c r="R66" t="n">
        <v>0</v>
      </c>
      <c r="S66" t="n">
        <v>2</v>
      </c>
      <c r="T66" t="n">
        <v>2</v>
      </c>
      <c r="U66" t="n">
        <v>2</v>
      </c>
      <c r="V66" s="2" t="inlineStr">
        <is>
          <t>Backtimjan
Klibbveronika</t>
        </is>
      </c>
      <c r="W66">
        <f>HYPERLINK("https://klasma.github.io/Logging_0885/artfynd/A 17699-2025 artfynd.xlsx", "A 17699-2025")</f>
        <v/>
      </c>
      <c r="X66">
        <f>HYPERLINK("https://klasma.github.io/Logging_0885/kartor/A 17699-2025 karta.png", "A 17699-2025")</f>
        <v/>
      </c>
      <c r="Y66">
        <f>HYPERLINK("https://klasma.github.io/Logging_0885/kartor_geotiff/A 17699-2025 georefererad karta.tif", "A 17699-2025")</f>
        <v/>
      </c>
      <c r="AA66">
        <f>HYPERLINK("https://klasma.github.io/Logging_0885/klagomål/A 17699-2025 FSC-klagomål.docx", "A 17699-2025")</f>
        <v/>
      </c>
      <c r="AB66">
        <f>HYPERLINK("https://klasma.github.io/Logging_0885/klagomålsmail/A 17699-2025 FSC-klagomål mail.docx", "A 17699-2025")</f>
        <v/>
      </c>
      <c r="AC66">
        <f>HYPERLINK("https://klasma.github.io/Logging_0885/tillsyn/A 17699-2025 tillsynsbegäran.docx", "A 17699-2025")</f>
        <v/>
      </c>
      <c r="AD66">
        <f>HYPERLINK("https://klasma.github.io/Logging_0885/tillsynsmail/A 17699-2025 tillsynsbegäran mail.docx", "A 17699-2025")</f>
        <v/>
      </c>
    </row>
    <row r="67" ht="15" customHeight="1">
      <c r="A67" t="inlineStr">
        <is>
          <t>A 60141-2025</t>
        </is>
      </c>
      <c r="B67" t="inlineStr">
        <is>
          <t>avverkningsanmälan</t>
        </is>
      </c>
      <c r="C67" t="inlineStr">
        <is>
          <t>Föryngringsavverkning</t>
        </is>
      </c>
      <c r="D67" s="1" t="n">
        <v>45994</v>
      </c>
      <c r="E67" s="1" t="n">
        <v>46303</v>
      </c>
      <c r="F67" t="inlineStr">
        <is>
          <t>KALMAR LÄN</t>
        </is>
      </c>
      <c r="G67" t="inlineStr">
        <is>
          <t>BORGHOLM</t>
        </is>
      </c>
      <c r="I67" t="n">
        <v>0.7</v>
      </c>
      <c r="J67" t="n">
        <v>1</v>
      </c>
      <c r="K67" t="n">
        <v>1</v>
      </c>
      <c r="L67" t="n">
        <v>0</v>
      </c>
      <c r="M67" t="n">
        <v>0</v>
      </c>
      <c r="N67" t="n">
        <v>0</v>
      </c>
      <c r="O67" t="n">
        <v>0</v>
      </c>
      <c r="P67" t="n">
        <v>0</v>
      </c>
      <c r="Q67" t="n">
        <v>0</v>
      </c>
      <c r="R67" t="n">
        <v>0</v>
      </c>
      <c r="S67" t="n">
        <v>2</v>
      </c>
      <c r="T67" t="n">
        <v>3</v>
      </c>
      <c r="U67" t="n">
        <v>0</v>
      </c>
      <c r="V67" s="2" t="inlineStr">
        <is>
          <t>Strävlosta
Långbensgroda</t>
        </is>
      </c>
      <c r="W67">
        <f>HYPERLINK("https://klasma.github.io/Logging_0885/artfynd/A 60141-2025 artfynd.xlsx", "A 60141-2025")</f>
        <v/>
      </c>
      <c r="X67">
        <f>HYPERLINK("https://klasma.github.io/Logging_0885/kartor/A 60141-2025 karta.png", "A 60141-2025")</f>
        <v/>
      </c>
      <c r="Y67">
        <f>HYPERLINK("https://klasma.github.io/Logging_0885/kartor_geotiff/A 60141-2025 georefererad karta.tif", "A 60141-2025")</f>
        <v/>
      </c>
      <c r="AA67">
        <f>HYPERLINK("https://klasma.github.io/Logging_0885/klagomål/A 60141-2025 FSC-klagomål.docx", "A 60141-2025")</f>
        <v/>
      </c>
      <c r="AB67">
        <f>HYPERLINK("https://klasma.github.io/Logging_0885/klagomålsmail/A 60141-2025 FSC-klagomål mail.docx", "A 60141-2025")</f>
        <v/>
      </c>
      <c r="AC67">
        <f>HYPERLINK("https://klasma.github.io/Logging_0885/tillsyn/A 60141-2025 tillsynsbegäran.docx", "A 60141-2025")</f>
        <v/>
      </c>
      <c r="AD67">
        <f>HYPERLINK("https://klasma.github.io/Logging_0885/tillsynsmail/A 60141-2025 tillsynsbegäran mail.docx", "A 60141-2025")</f>
        <v/>
      </c>
    </row>
    <row r="68" ht="15" customHeight="1">
      <c r="A68" t="inlineStr">
        <is>
          <t>A 60140-2025</t>
        </is>
      </c>
      <c r="B68" t="inlineStr">
        <is>
          <t>avverkningsanmälan</t>
        </is>
      </c>
      <c r="C68" t="inlineStr">
        <is>
          <t>Föryngringsavverkning</t>
        </is>
      </c>
      <c r="D68" s="1" t="n">
        <v>45994</v>
      </c>
      <c r="E68" s="1" t="n">
        <v>46303</v>
      </c>
      <c r="F68" t="inlineStr">
        <is>
          <t>KALMAR LÄN</t>
        </is>
      </c>
      <c r="G68" t="inlineStr">
        <is>
          <t>BORGHOLM</t>
        </is>
      </c>
      <c r="I68" t="n">
        <v>0.8</v>
      </c>
      <c r="J68" t="n">
        <v>1</v>
      </c>
      <c r="K68" t="n">
        <v>2</v>
      </c>
      <c r="L68" t="n">
        <v>0</v>
      </c>
      <c r="M68" t="n">
        <v>0</v>
      </c>
      <c r="N68" t="n">
        <v>0</v>
      </c>
      <c r="O68" t="n">
        <v>0</v>
      </c>
      <c r="P68" t="n">
        <v>0</v>
      </c>
      <c r="Q68" t="n">
        <v>0</v>
      </c>
      <c r="R68" t="n">
        <v>0</v>
      </c>
      <c r="S68" t="n">
        <v>2</v>
      </c>
      <c r="T68" t="n">
        <v>5</v>
      </c>
      <c r="U68" t="n">
        <v>0</v>
      </c>
      <c r="V68" s="2" t="inlineStr">
        <is>
          <t>Skogsknipprot
Strävlosta</t>
        </is>
      </c>
      <c r="W68">
        <f>HYPERLINK("https://klasma.github.io/Logging_0885/artfynd/A 60140-2025 artfynd.xlsx", "A 60140-2025")</f>
        <v/>
      </c>
      <c r="X68">
        <f>HYPERLINK("https://klasma.github.io/Logging_0885/kartor/A 60140-2025 karta.png", "A 60140-2025")</f>
        <v/>
      </c>
      <c r="Y68">
        <f>HYPERLINK("https://klasma.github.io/Logging_0885/kartor_geotiff/A 60140-2025 georefererad karta.tif", "A 60140-2025")</f>
        <v/>
      </c>
      <c r="AA68">
        <f>HYPERLINK("https://klasma.github.io/Logging_0885/klagomål/A 60140-2025 FSC-klagomål.docx", "A 60140-2025")</f>
        <v/>
      </c>
      <c r="AB68">
        <f>HYPERLINK("https://klasma.github.io/Logging_0885/klagomålsmail/A 60140-2025 FSC-klagomål mail.docx", "A 60140-2025")</f>
        <v/>
      </c>
      <c r="AC68">
        <f>HYPERLINK("https://klasma.github.io/Logging_0885/tillsyn/A 60140-2025 tillsynsbegäran.docx", "A 60140-2025")</f>
        <v/>
      </c>
      <c r="AD68">
        <f>HYPERLINK("https://klasma.github.io/Logging_0885/tillsynsmail/A 60140-2025 tillsynsbegäran mail.docx", "A 60140-2025")</f>
        <v/>
      </c>
    </row>
    <row r="69" ht="15" customHeight="1">
      <c r="A69" t="inlineStr">
        <is>
          <t>A 21908-2022</t>
        </is>
      </c>
      <c r="B69" t="inlineStr">
        <is>
          <t>avverkningsanmälan</t>
        </is>
      </c>
      <c r="C69" t="inlineStr">
        <is>
          <t>Föryngringsavverkning</t>
        </is>
      </c>
      <c r="D69" s="1" t="n">
        <v>44711</v>
      </c>
      <c r="E69" s="1" t="n">
        <v>46303</v>
      </c>
      <c r="F69" t="inlineStr">
        <is>
          <t>KALMAR LÄN</t>
        </is>
      </c>
      <c r="G69" t="inlineStr">
        <is>
          <t>BORGHOLM</t>
        </is>
      </c>
      <c r="I69" t="n">
        <v>4.7</v>
      </c>
      <c r="J69" t="n">
        <v>1</v>
      </c>
      <c r="K69" t="n">
        <v>2</v>
      </c>
      <c r="L69" t="n">
        <v>0</v>
      </c>
      <c r="M69" t="n">
        <v>0</v>
      </c>
      <c r="N69" t="n">
        <v>0</v>
      </c>
      <c r="O69" t="n">
        <v>0</v>
      </c>
      <c r="P69" t="n">
        <v>0</v>
      </c>
      <c r="Q69" t="n">
        <v>0</v>
      </c>
      <c r="R69" t="n">
        <v>0</v>
      </c>
      <c r="S69" t="n">
        <v>2</v>
      </c>
      <c r="T69" t="n">
        <v>2</v>
      </c>
      <c r="U69" t="n">
        <v>2</v>
      </c>
      <c r="V69" s="2" t="inlineStr">
        <is>
          <t>Myskmadra
Skogsknipprot</t>
        </is>
      </c>
      <c r="W69">
        <f>HYPERLINK("https://klasma.github.io/Logging_0885/artfynd/A 21908-2022 artfynd.xlsx", "A 21908-2022")</f>
        <v/>
      </c>
      <c r="X69">
        <f>HYPERLINK("https://klasma.github.io/Logging_0885/kartor/A 21908-2022 karta.png", "A 21908-2022")</f>
        <v/>
      </c>
      <c r="Y69">
        <f>HYPERLINK("https://klasma.github.io/Logging_0885/kartor_geotiff/A 21908-2022 georefererad karta.tif", "A 21908-2022")</f>
        <v/>
      </c>
      <c r="AA69">
        <f>HYPERLINK("https://klasma.github.io/Logging_0885/klagomål/A 21908-2022 FSC-klagomål.docx", "A 21908-2022")</f>
        <v/>
      </c>
      <c r="AB69">
        <f>HYPERLINK("https://klasma.github.io/Logging_0885/klagomålsmail/A 21908-2022 FSC-klagomål mail.docx", "A 21908-2022")</f>
        <v/>
      </c>
      <c r="AC69">
        <f>HYPERLINK("https://klasma.github.io/Logging_0885/tillsyn/A 21908-2022 tillsynsbegäran.docx", "A 21908-2022")</f>
        <v/>
      </c>
      <c r="AD69">
        <f>HYPERLINK("https://klasma.github.io/Logging_0885/tillsynsmail/A 21908-2022 tillsynsbegäran mail.docx", "A 21908-2022")</f>
        <v/>
      </c>
    </row>
    <row r="70" ht="15" customHeight="1">
      <c r="A70" t="inlineStr">
        <is>
          <t>A 24322-2026</t>
        </is>
      </c>
      <c r="B70" t="inlineStr">
        <is>
          <t>avverkningsanmälan</t>
        </is>
      </c>
      <c r="C70" t="inlineStr">
        <is>
          <t>Föryngringsavverkning</t>
        </is>
      </c>
      <c r="D70" s="1" t="n">
        <v>46169</v>
      </c>
      <c r="E70" s="1" t="n">
        <v>46303</v>
      </c>
      <c r="F70" t="inlineStr">
        <is>
          <t>KALMAR LÄN</t>
        </is>
      </c>
      <c r="G70" t="inlineStr">
        <is>
          <t>BORGHOLM</t>
        </is>
      </c>
      <c r="H70" t="inlineStr">
        <is>
          <t>Sveaskog</t>
        </is>
      </c>
      <c r="I70" t="n">
        <v>5.5</v>
      </c>
      <c r="J70" t="n">
        <v>2</v>
      </c>
      <c r="K70" t="n">
        <v>2</v>
      </c>
      <c r="L70" t="n">
        <v>0</v>
      </c>
      <c r="M70" t="n">
        <v>0</v>
      </c>
      <c r="N70" t="n">
        <v>0</v>
      </c>
      <c r="O70" t="n">
        <v>0</v>
      </c>
      <c r="P70" t="n">
        <v>0</v>
      </c>
      <c r="Q70" t="n">
        <v>0</v>
      </c>
      <c r="R70" t="n">
        <v>0</v>
      </c>
      <c r="S70" t="n">
        <v>2</v>
      </c>
      <c r="T70" t="n">
        <v>2</v>
      </c>
      <c r="U70" t="n">
        <v>0</v>
      </c>
      <c r="V70" s="2" t="inlineStr">
        <is>
          <t>Purpurknipprot
Skogsknipprot</t>
        </is>
      </c>
      <c r="W70">
        <f>HYPERLINK("https://klasma.github.io/Logging_0885/artfynd/A 24322-2026 artfynd.xlsx", "A 24322-2026")</f>
        <v/>
      </c>
      <c r="X70">
        <f>HYPERLINK("https://klasma.github.io/Logging_0885/kartor/A 24322-2026 karta.png", "A 24322-2026")</f>
        <v/>
      </c>
      <c r="Y70">
        <f>HYPERLINK("https://klasma.github.io/Logging_0885/kartor_geotiff/A 24322-2026 georefererad karta.tif", "A 24322-2026")</f>
        <v/>
      </c>
      <c r="AA70">
        <f>HYPERLINK("https://klasma.github.io/Logging_0885/klagomål/A 24322-2026 FSC-klagomål.docx", "A 24322-2026")</f>
        <v/>
      </c>
      <c r="AB70">
        <f>HYPERLINK("https://klasma.github.io/Logging_0885/klagomålsmail/A 24322-2026 FSC-klagomål mail.docx", "A 24322-2026")</f>
        <v/>
      </c>
      <c r="AC70">
        <f>HYPERLINK("https://klasma.github.io/Logging_0885/tillsyn/A 24322-2026 tillsynsbegäran.docx", "A 24322-2026")</f>
        <v/>
      </c>
      <c r="AD70">
        <f>HYPERLINK("https://klasma.github.io/Logging_0885/tillsynsmail/A 24322-2026 tillsynsbegäran mail.docx", "A 24322-2026")</f>
        <v/>
      </c>
    </row>
    <row r="71" ht="15" customHeight="1">
      <c r="A71" t="inlineStr">
        <is>
          <t>A 9253-2026</t>
        </is>
      </c>
      <c r="B71" t="inlineStr">
        <is>
          <t>avverkningsanmälan</t>
        </is>
      </c>
      <c r="C71" t="inlineStr">
        <is>
          <t>Föryngringsavverkning</t>
        </is>
      </c>
      <c r="D71" s="1" t="n">
        <v>46070</v>
      </c>
      <c r="E71" s="1" t="n">
        <v>46303</v>
      </c>
      <c r="F71" t="inlineStr">
        <is>
          <t>KALMAR LÄN</t>
        </is>
      </c>
      <c r="G71" t="inlineStr">
        <is>
          <t>BORGHOLM</t>
        </is>
      </c>
      <c r="I71" t="n">
        <v>1.1</v>
      </c>
      <c r="J71" t="n">
        <v>1</v>
      </c>
      <c r="K71" t="n">
        <v>1</v>
      </c>
      <c r="L71" t="n">
        <v>0</v>
      </c>
      <c r="M71" t="n">
        <v>0</v>
      </c>
      <c r="N71" t="n">
        <v>0</v>
      </c>
      <c r="O71" t="n">
        <v>0</v>
      </c>
      <c r="P71" t="n">
        <v>0</v>
      </c>
      <c r="Q71" t="n">
        <v>0</v>
      </c>
      <c r="R71" t="n">
        <v>0</v>
      </c>
      <c r="S71" t="n">
        <v>2</v>
      </c>
      <c r="T71" t="n">
        <v>2</v>
      </c>
      <c r="U71" t="n">
        <v>0</v>
      </c>
      <c r="V71" s="2" t="inlineStr">
        <is>
          <t>Murgröna
Gullviva</t>
        </is>
      </c>
      <c r="W71">
        <f>HYPERLINK("https://klasma.github.io/Logging_0885/artfynd/A 9253-2026 artfynd.xlsx", "A 9253-2026")</f>
        <v/>
      </c>
      <c r="X71">
        <f>HYPERLINK("https://klasma.github.io/Logging_0885/kartor/A 9253-2026 karta.png", "A 9253-2026")</f>
        <v/>
      </c>
      <c r="Y71">
        <f>HYPERLINK("https://klasma.github.io/Logging_0885/kartor_geotiff/A 9253-2026 georefererad karta.tif", "A 9253-2026")</f>
        <v/>
      </c>
      <c r="AA71">
        <f>HYPERLINK("https://klasma.github.io/Logging_0885/klagomål/A 9253-2026 FSC-klagomål.docx", "A 9253-2026")</f>
        <v/>
      </c>
      <c r="AB71">
        <f>HYPERLINK("https://klasma.github.io/Logging_0885/klagomålsmail/A 9253-2026 FSC-klagomål mail.docx", "A 9253-2026")</f>
        <v/>
      </c>
      <c r="AC71">
        <f>HYPERLINK("https://klasma.github.io/Logging_0885/tillsyn/A 9253-2026 tillsynsbegäran.docx", "A 9253-2026")</f>
        <v/>
      </c>
      <c r="AD71">
        <f>HYPERLINK("https://klasma.github.io/Logging_0885/tillsynsmail/A 9253-2026 tillsynsbegäran mail.docx", "A 9253-2026")</f>
        <v/>
      </c>
    </row>
    <row r="72" ht="15" customHeight="1">
      <c r="A72" t="inlineStr">
        <is>
          <t>A 29411-2026</t>
        </is>
      </c>
      <c r="B72" t="inlineStr">
        <is>
          <t>avverkningsanmälan</t>
        </is>
      </c>
      <c r="C72" t="inlineStr">
        <is>
          <t>Avverkning för att bevara och utveckla /försöksver</t>
        </is>
      </c>
      <c r="D72" s="1" t="n">
        <v>46203</v>
      </c>
      <c r="E72" s="1" t="n">
        <v>46303</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46303</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1650-2022</t>
        </is>
      </c>
      <c r="B74" t="inlineStr">
        <is>
          <t>samrådsanmälan</t>
        </is>
      </c>
      <c r="C74" t="inlineStr">
        <is>
          <t>Åtgärd i nyckelbiotop</t>
        </is>
      </c>
      <c r="D74" s="1" t="n">
        <v>44649</v>
      </c>
      <c r="E74" s="1" t="n">
        <v>46303</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46303</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46303</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46303</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46303</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46303</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13043-2024</t>
        </is>
      </c>
      <c r="B80" t="inlineStr">
        <is>
          <t>avverkningsanmälan</t>
        </is>
      </c>
      <c r="C80" t="inlineStr">
        <is>
          <t>Föryngringsavverkning</t>
        </is>
      </c>
      <c r="D80" s="1" t="n">
        <v>45385</v>
      </c>
      <c r="E80" s="1" t="n">
        <v>46303</v>
      </c>
      <c r="F80" t="inlineStr">
        <is>
          <t>KALMAR LÄN</t>
        </is>
      </c>
      <c r="G80" t="inlineStr">
        <is>
          <t>BORGHOLM</t>
        </is>
      </c>
      <c r="I80" t="n">
        <v>0.4</v>
      </c>
      <c r="J80" t="n">
        <v>1</v>
      </c>
      <c r="K80" t="n">
        <v>1</v>
      </c>
      <c r="L80" t="n">
        <v>0</v>
      </c>
      <c r="M80" t="n">
        <v>0</v>
      </c>
      <c r="N80" t="n">
        <v>0</v>
      </c>
      <c r="O80" t="n">
        <v>0</v>
      </c>
      <c r="P80" t="n">
        <v>0</v>
      </c>
      <c r="Q80" t="n">
        <v>0</v>
      </c>
      <c r="R80" t="n">
        <v>0</v>
      </c>
      <c r="S80" t="n">
        <v>1</v>
      </c>
      <c r="T80" t="n">
        <v>1</v>
      </c>
      <c r="U80" t="n">
        <v>0</v>
      </c>
      <c r="V80" s="2" t="inlineStr">
        <is>
          <t>Ekoxe</t>
        </is>
      </c>
      <c r="W80">
        <f>HYPERLINK("https://klasma.github.io/Logging_0885/artfynd/A 13043-2024 artfynd.xlsx", "A 13043-2024")</f>
        <v/>
      </c>
      <c r="X80">
        <f>HYPERLINK("https://klasma.github.io/Logging_0885/kartor/A 13043-2024 karta.png", "A 13043-2024")</f>
        <v/>
      </c>
      <c r="Y80">
        <f>HYPERLINK("https://klasma.github.io/Logging_0885/kartor_geotiff/A 13043-2024 georefererad karta.tif", "A 13043-2024")</f>
        <v/>
      </c>
      <c r="AA80">
        <f>HYPERLINK("https://klasma.github.io/Logging_0885/klagomål/A 13043-2024 FSC-klagomål.docx", "A 13043-2024")</f>
        <v/>
      </c>
      <c r="AB80">
        <f>HYPERLINK("https://klasma.github.io/Logging_0885/klagomålsmail/A 13043-2024 FSC-klagomål mail.docx", "A 13043-2024")</f>
        <v/>
      </c>
      <c r="AC80">
        <f>HYPERLINK("https://klasma.github.io/Logging_0885/tillsyn/A 13043-2024 tillsynsbegäran.docx", "A 13043-2024")</f>
        <v/>
      </c>
      <c r="AD80">
        <f>HYPERLINK("https://klasma.github.io/Logging_0885/tillsynsmail/A 13043-2024 tillsynsbegäran mail.docx", "A 13043-2024")</f>
        <v/>
      </c>
    </row>
    <row r="81" ht="15" customHeight="1">
      <c r="A81" t="inlineStr">
        <is>
          <t>A 24701-2023</t>
        </is>
      </c>
      <c r="B81" t="inlineStr">
        <is>
          <t>avverkningsanmälan</t>
        </is>
      </c>
      <c r="C81" t="inlineStr">
        <is>
          <t>Föryngringsavverkning</t>
        </is>
      </c>
      <c r="D81" s="1" t="n">
        <v>45084</v>
      </c>
      <c r="E81" s="1" t="n">
        <v>46303</v>
      </c>
      <c r="F81" t="inlineStr">
        <is>
          <t>KALMAR LÄN</t>
        </is>
      </c>
      <c r="G81" t="inlineStr">
        <is>
          <t>BORGHOLM</t>
        </is>
      </c>
      <c r="I81" t="n">
        <v>3</v>
      </c>
      <c r="J81" t="n">
        <v>0</v>
      </c>
      <c r="K81" t="n">
        <v>0</v>
      </c>
      <c r="L81" t="n">
        <v>0</v>
      </c>
      <c r="M81" t="n">
        <v>0</v>
      </c>
      <c r="N81" t="n">
        <v>1</v>
      </c>
      <c r="O81" t="n">
        <v>0</v>
      </c>
      <c r="P81" t="n">
        <v>0</v>
      </c>
      <c r="Q81" t="n">
        <v>1</v>
      </c>
      <c r="R81" t="n">
        <v>1</v>
      </c>
      <c r="S81" t="n">
        <v>1</v>
      </c>
      <c r="T81" t="n">
        <v>3</v>
      </c>
      <c r="U81" t="n">
        <v>0</v>
      </c>
      <c r="V81" s="2" t="inlineStr">
        <is>
          <t>Ask</t>
        </is>
      </c>
      <c r="W81">
        <f>HYPERLINK("https://klasma.github.io/Logging_0885/artfynd/A 24701-2023 artfynd.xlsx", "A 24701-2023")</f>
        <v/>
      </c>
      <c r="X81">
        <f>HYPERLINK("https://klasma.github.io/Logging_0885/kartor/A 24701-2023 karta.png", "A 24701-2023")</f>
        <v/>
      </c>
      <c r="Y81">
        <f>HYPERLINK("https://klasma.github.io/Logging_0885/kartor_geotiff/A 24701-2023 georefererad karta.tif", "A 24701-2023")</f>
        <v/>
      </c>
      <c r="AA81">
        <f>HYPERLINK("https://klasma.github.io/Logging_0885/klagomål/A 24701-2023 FSC-klagomål.docx", "A 24701-2023")</f>
        <v/>
      </c>
      <c r="AB81">
        <f>HYPERLINK("https://klasma.github.io/Logging_0885/klagomålsmail/A 24701-2023 FSC-klagomål mail.docx", "A 24701-2023")</f>
        <v/>
      </c>
      <c r="AC81">
        <f>HYPERLINK("https://klasma.github.io/Logging_0885/tillsyn/A 24701-2023 tillsynsbegäran.docx", "A 24701-2023")</f>
        <v/>
      </c>
      <c r="AD81">
        <f>HYPERLINK("https://klasma.github.io/Logging_0885/tillsynsmail/A 24701-2023 tillsynsbegäran mail.docx", "A 24701-2023")</f>
        <v/>
      </c>
    </row>
    <row r="82" ht="15" customHeight="1">
      <c r="A82" t="inlineStr">
        <is>
          <t>A 41831-2025</t>
        </is>
      </c>
      <c r="B82" t="inlineStr">
        <is>
          <t>avverkningsanmälan</t>
        </is>
      </c>
      <c r="C82" t="inlineStr">
        <is>
          <t>Föryngringsavverkning</t>
        </is>
      </c>
      <c r="D82" s="1" t="n">
        <v>45902</v>
      </c>
      <c r="E82" s="1" t="n">
        <v>46303</v>
      </c>
      <c r="F82" t="inlineStr">
        <is>
          <t>KALMAR LÄN</t>
        </is>
      </c>
      <c r="G82" t="inlineStr">
        <is>
          <t>BORGHOLM</t>
        </is>
      </c>
      <c r="I82" t="n">
        <v>1.5</v>
      </c>
      <c r="J82" t="n">
        <v>1</v>
      </c>
      <c r="K82" t="n">
        <v>1</v>
      </c>
      <c r="L82" t="n">
        <v>0</v>
      </c>
      <c r="M82" t="n">
        <v>0</v>
      </c>
      <c r="N82" t="n">
        <v>0</v>
      </c>
      <c r="O82" t="n">
        <v>0</v>
      </c>
      <c r="P82" t="n">
        <v>0</v>
      </c>
      <c r="Q82" t="n">
        <v>0</v>
      </c>
      <c r="R82" t="n">
        <v>0</v>
      </c>
      <c r="S82" t="n">
        <v>1</v>
      </c>
      <c r="T82" t="n">
        <v>1</v>
      </c>
      <c r="U82" t="n">
        <v>0</v>
      </c>
      <c r="V82" s="2" t="inlineStr">
        <is>
          <t>Skogsknipprot</t>
        </is>
      </c>
      <c r="W82">
        <f>HYPERLINK("https://klasma.github.io/Logging_0885/artfynd/A 41831-2025 artfynd.xlsx", "A 41831-2025")</f>
        <v/>
      </c>
      <c r="X82">
        <f>HYPERLINK("https://klasma.github.io/Logging_0885/kartor/A 41831-2025 karta.png", "A 41831-2025")</f>
        <v/>
      </c>
      <c r="Y82">
        <f>HYPERLINK("https://klasma.github.io/Logging_0885/kartor_geotiff/A 41831-2025 georefererad karta.tif", "A 41831-2025")</f>
        <v/>
      </c>
      <c r="AA82">
        <f>HYPERLINK("https://klasma.github.io/Logging_0885/klagomål/A 41831-2025 FSC-klagomål.docx", "A 41831-2025")</f>
        <v/>
      </c>
      <c r="AB82">
        <f>HYPERLINK("https://klasma.github.io/Logging_0885/klagomålsmail/A 41831-2025 FSC-klagomål mail.docx", "A 41831-2025")</f>
        <v/>
      </c>
      <c r="AC82">
        <f>HYPERLINK("https://klasma.github.io/Logging_0885/tillsyn/A 41831-2025 tillsynsbegäran.docx", "A 41831-2025")</f>
        <v/>
      </c>
      <c r="AD82">
        <f>HYPERLINK("https://klasma.github.io/Logging_0885/tillsynsmail/A 41831-2025 tillsynsbegäran mail.docx", "A 41831-2025")</f>
        <v/>
      </c>
    </row>
    <row r="83" ht="15" customHeight="1">
      <c r="A83" t="inlineStr">
        <is>
          <t>A 28782-2025</t>
        </is>
      </c>
      <c r="B83" t="inlineStr">
        <is>
          <t>avverkningsanmälan</t>
        </is>
      </c>
      <c r="C83" t="inlineStr">
        <is>
          <t>Avverkning för att bevara och utveckla /försöksver</t>
        </is>
      </c>
      <c r="D83" s="1" t="n">
        <v>45820</v>
      </c>
      <c r="E83" s="1" t="n">
        <v>46303</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28785-2025</t>
        </is>
      </c>
      <c r="B84" t="inlineStr">
        <is>
          <t>avverkningsanmälan</t>
        </is>
      </c>
      <c r="C84" t="inlineStr">
        <is>
          <t>Avverkning för att bevara och utveckla /försöksver</t>
        </is>
      </c>
      <c r="D84" s="1" t="n">
        <v>45820</v>
      </c>
      <c r="E84" s="1" t="n">
        <v>46303</v>
      </c>
      <c r="F84" t="inlineStr">
        <is>
          <t>KALMAR LÄN</t>
        </is>
      </c>
      <c r="G84" t="inlineStr">
        <is>
          <t>BORGHOLM</t>
        </is>
      </c>
      <c r="H84" t="inlineStr">
        <is>
          <t>Sveaskog</t>
        </is>
      </c>
      <c r="I84" t="n">
        <v>2.3</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28785-2025 artfynd.xlsx", "A 28785-2025")</f>
        <v/>
      </c>
      <c r="X84">
        <f>HYPERLINK("https://klasma.github.io/Logging_0885/kartor/A 28785-2025 karta.png", "A 28785-2025")</f>
        <v/>
      </c>
      <c r="Y84">
        <f>HYPERLINK("https://klasma.github.io/Logging_0885/kartor_geotiff/A 28785-2025 georefererad karta.tif", "A 28785-2025")</f>
        <v/>
      </c>
      <c r="AA84">
        <f>HYPERLINK("https://klasma.github.io/Logging_0885/klagomål/A 28785-2025 FSC-klagomål.docx", "A 28785-2025")</f>
        <v/>
      </c>
      <c r="AB84">
        <f>HYPERLINK("https://klasma.github.io/Logging_0885/klagomålsmail/A 28785-2025 FSC-klagomål mail.docx", "A 28785-2025")</f>
        <v/>
      </c>
      <c r="AC84">
        <f>HYPERLINK("https://klasma.github.io/Logging_0885/tillsyn/A 28785-2025 tillsynsbegäran.docx", "A 28785-2025")</f>
        <v/>
      </c>
      <c r="AD84">
        <f>HYPERLINK("https://klasma.github.io/Logging_0885/tillsynsmail/A 28785-2025 tillsynsbegäran mail.docx", "A 28785-2025")</f>
        <v/>
      </c>
      <c r="AE84">
        <f>HYPERLINK("https://klasma.github.io/Logging_0885/fåglar/A 28785-2025 prioriterade fågelarter.docx", "A 28785-2025")</f>
        <v/>
      </c>
    </row>
    <row r="85" ht="15" customHeight="1">
      <c r="A85" t="inlineStr">
        <is>
          <t>A 9745-2023</t>
        </is>
      </c>
      <c r="B85" t="inlineStr">
        <is>
          <t>avverkningsanmälan</t>
        </is>
      </c>
      <c r="C85" t="inlineStr">
        <is>
          <t>Föryngringsavverkning</t>
        </is>
      </c>
      <c r="D85" s="1" t="n">
        <v>44984</v>
      </c>
      <c r="E85" s="1" t="n">
        <v>46303</v>
      </c>
      <c r="F85" t="inlineStr">
        <is>
          <t>KALMAR LÄN</t>
        </is>
      </c>
      <c r="G85" t="inlineStr">
        <is>
          <t>BORGHOLM</t>
        </is>
      </c>
      <c r="I85" t="n">
        <v>1.2</v>
      </c>
      <c r="J85" t="n">
        <v>1</v>
      </c>
      <c r="K85" t="n">
        <v>1</v>
      </c>
      <c r="L85" t="n">
        <v>0</v>
      </c>
      <c r="M85" t="n">
        <v>0</v>
      </c>
      <c r="N85" t="n">
        <v>0</v>
      </c>
      <c r="O85" t="n">
        <v>0</v>
      </c>
      <c r="P85" t="n">
        <v>0</v>
      </c>
      <c r="Q85" t="n">
        <v>0</v>
      </c>
      <c r="R85" t="n">
        <v>0</v>
      </c>
      <c r="S85" t="n">
        <v>1</v>
      </c>
      <c r="T85" t="n">
        <v>2</v>
      </c>
      <c r="U85" t="n">
        <v>1</v>
      </c>
      <c r="V85" s="2" t="inlineStr">
        <is>
          <t>Skogsknipprot</t>
        </is>
      </c>
      <c r="W85">
        <f>HYPERLINK("https://klasma.github.io/Logging_0885/artfynd/A 9745-2023 artfynd.xlsx", "A 9745-2023")</f>
        <v/>
      </c>
      <c r="X85">
        <f>HYPERLINK("https://klasma.github.io/Logging_0885/kartor/A 9745-2023 karta.png", "A 9745-2023")</f>
        <v/>
      </c>
      <c r="Y85">
        <f>HYPERLINK("https://klasma.github.io/Logging_0885/kartor_geotiff/A 9745-2023 georefererad karta.tif", "A 9745-2023")</f>
        <v/>
      </c>
      <c r="AA85">
        <f>HYPERLINK("https://klasma.github.io/Logging_0885/klagomål/A 9745-2023 FSC-klagomål.docx", "A 9745-2023")</f>
        <v/>
      </c>
      <c r="AB85">
        <f>HYPERLINK("https://klasma.github.io/Logging_0885/klagomålsmail/A 9745-2023 FSC-klagomål mail.docx", "A 9745-2023")</f>
        <v/>
      </c>
      <c r="AC85">
        <f>HYPERLINK("https://klasma.github.io/Logging_0885/tillsyn/A 9745-2023 tillsynsbegäran.docx", "A 9745-2023")</f>
        <v/>
      </c>
      <c r="AD85">
        <f>HYPERLINK("https://klasma.github.io/Logging_0885/tillsynsmail/A 9745-2023 tillsynsbegäran mail.docx", "A 9745-2023")</f>
        <v/>
      </c>
    </row>
    <row r="86" ht="15" customHeight="1">
      <c r="A86" t="inlineStr">
        <is>
          <t>A 20878-2024</t>
        </is>
      </c>
      <c r="B86" t="inlineStr">
        <is>
          <t>avverkningsanmälan</t>
        </is>
      </c>
      <c r="C86" t="inlineStr">
        <is>
          <t>Föryngringsavverkning</t>
        </is>
      </c>
      <c r="D86" s="1" t="n">
        <v>45439</v>
      </c>
      <c r="E86" s="1" t="n">
        <v>46303</v>
      </c>
      <c r="F86" t="inlineStr">
        <is>
          <t>KALMAR LÄN</t>
        </is>
      </c>
      <c r="G86" t="inlineStr">
        <is>
          <t>BORGHOLM</t>
        </is>
      </c>
      <c r="I86" t="n">
        <v>1.9</v>
      </c>
      <c r="J86" t="n">
        <v>1</v>
      </c>
      <c r="K86" t="n">
        <v>0</v>
      </c>
      <c r="L86" t="n">
        <v>0</v>
      </c>
      <c r="M86" t="n">
        <v>0</v>
      </c>
      <c r="N86" t="n">
        <v>0</v>
      </c>
      <c r="O86" t="n">
        <v>0</v>
      </c>
      <c r="P86" t="n">
        <v>0</v>
      </c>
      <c r="Q86" t="n">
        <v>0</v>
      </c>
      <c r="R86" t="n">
        <v>0</v>
      </c>
      <c r="S86" t="n">
        <v>1</v>
      </c>
      <c r="T86" t="n">
        <v>2</v>
      </c>
      <c r="U86" t="n">
        <v>0</v>
      </c>
      <c r="V86" s="2" t="inlineStr">
        <is>
          <t>Fläcknycklar</t>
        </is>
      </c>
      <c r="W86">
        <f>HYPERLINK("https://klasma.github.io/Logging_0885/artfynd/A 20878-2024 artfynd.xlsx", "A 20878-2024")</f>
        <v/>
      </c>
      <c r="X86">
        <f>HYPERLINK("https://klasma.github.io/Logging_0885/kartor/A 20878-2024 karta.png", "A 20878-2024")</f>
        <v/>
      </c>
      <c r="Y86">
        <f>HYPERLINK("https://klasma.github.io/Logging_0885/kartor_geotiff/A 20878-2024 georefererad karta.tif", "A 20878-2024")</f>
        <v/>
      </c>
      <c r="AA86">
        <f>HYPERLINK("https://klasma.github.io/Logging_0885/klagomål/A 20878-2024 FSC-klagomål.docx", "A 20878-2024")</f>
        <v/>
      </c>
      <c r="AB86">
        <f>HYPERLINK("https://klasma.github.io/Logging_0885/klagomålsmail/A 20878-2024 FSC-klagomål mail.docx", "A 20878-2024")</f>
        <v/>
      </c>
      <c r="AC86">
        <f>HYPERLINK("https://klasma.github.io/Logging_0885/tillsyn/A 20878-2024 tillsynsbegäran.docx", "A 20878-2024")</f>
        <v/>
      </c>
      <c r="AD86">
        <f>HYPERLINK("https://klasma.github.io/Logging_0885/tillsynsmail/A 20878-2024 tillsynsbegäran mail.docx", "A 20878-2024")</f>
        <v/>
      </c>
    </row>
    <row r="87" ht="15" customHeight="1">
      <c r="A87" t="inlineStr">
        <is>
          <t>A 24704-2023</t>
        </is>
      </c>
      <c r="B87" t="inlineStr">
        <is>
          <t>avverkningsanmälan</t>
        </is>
      </c>
      <c r="C87" t="inlineStr">
        <is>
          <t>Föryngringsavverkning</t>
        </is>
      </c>
      <c r="D87" s="1" t="n">
        <v>45084</v>
      </c>
      <c r="E87" s="1" t="n">
        <v>46303</v>
      </c>
      <c r="F87" t="inlineStr">
        <is>
          <t>KALMAR LÄN</t>
        </is>
      </c>
      <c r="G87" t="inlineStr">
        <is>
          <t>BORGHOLM</t>
        </is>
      </c>
      <c r="I87" t="n">
        <v>3.5</v>
      </c>
      <c r="J87" t="n">
        <v>0</v>
      </c>
      <c r="K87" t="n">
        <v>0</v>
      </c>
      <c r="L87" t="n">
        <v>0</v>
      </c>
      <c r="M87" t="n">
        <v>0</v>
      </c>
      <c r="N87" t="n">
        <v>1</v>
      </c>
      <c r="O87" t="n">
        <v>0</v>
      </c>
      <c r="P87" t="n">
        <v>0</v>
      </c>
      <c r="Q87" t="n">
        <v>1</v>
      </c>
      <c r="R87" t="n">
        <v>1</v>
      </c>
      <c r="S87" t="n">
        <v>1</v>
      </c>
      <c r="T87" t="n">
        <v>2</v>
      </c>
      <c r="U87" t="n">
        <v>0</v>
      </c>
      <c r="V87" s="2" t="inlineStr">
        <is>
          <t>Ask</t>
        </is>
      </c>
      <c r="W87">
        <f>HYPERLINK("https://klasma.github.io/Logging_0885/artfynd/A 24704-2023 artfynd.xlsx", "A 24704-2023")</f>
        <v/>
      </c>
      <c r="X87">
        <f>HYPERLINK("https://klasma.github.io/Logging_0885/kartor/A 24704-2023 karta.png", "A 24704-2023")</f>
        <v/>
      </c>
      <c r="Y87">
        <f>HYPERLINK("https://klasma.github.io/Logging_0885/kartor_geotiff/A 24704-2023 georefererad karta.tif", "A 24704-2023")</f>
        <v/>
      </c>
      <c r="AA87">
        <f>HYPERLINK("https://klasma.github.io/Logging_0885/klagomål/A 24704-2023 FSC-klagomål.docx", "A 24704-2023")</f>
        <v/>
      </c>
      <c r="AB87">
        <f>HYPERLINK("https://klasma.github.io/Logging_0885/klagomålsmail/A 24704-2023 FSC-klagomål mail.docx", "A 24704-2023")</f>
        <v/>
      </c>
      <c r="AC87">
        <f>HYPERLINK("https://klasma.github.io/Logging_0885/tillsyn/A 24704-2023 tillsynsbegäran.docx", "A 24704-2023")</f>
        <v/>
      </c>
      <c r="AD87">
        <f>HYPERLINK("https://klasma.github.io/Logging_0885/tillsynsmail/A 24704-2023 tillsynsbegäran mail.docx", "A 24704-2023")</f>
        <v/>
      </c>
    </row>
    <row r="88" ht="15" customHeight="1">
      <c r="A88" t="inlineStr">
        <is>
          <t>A 31720-2022</t>
        </is>
      </c>
      <c r="B88" t="inlineStr">
        <is>
          <t>avverkningsanmälan</t>
        </is>
      </c>
      <c r="C88" t="inlineStr">
        <is>
          <t>Föryngringsavverkning</t>
        </is>
      </c>
      <c r="D88" s="1" t="n">
        <v>44776</v>
      </c>
      <c r="E88" s="1" t="n">
        <v>46303</v>
      </c>
      <c r="F88" t="inlineStr">
        <is>
          <t>KALMAR LÄN</t>
        </is>
      </c>
      <c r="G88" t="inlineStr">
        <is>
          <t>BORGHOLM</t>
        </is>
      </c>
      <c r="H88" t="inlineStr">
        <is>
          <t>Sveaskog</t>
        </is>
      </c>
      <c r="I88" t="n">
        <v>4.5</v>
      </c>
      <c r="J88" t="n">
        <v>1</v>
      </c>
      <c r="K88" t="n">
        <v>1</v>
      </c>
      <c r="L88" t="n">
        <v>0</v>
      </c>
      <c r="M88" t="n">
        <v>0</v>
      </c>
      <c r="N88" t="n">
        <v>0</v>
      </c>
      <c r="O88" t="n">
        <v>0</v>
      </c>
      <c r="P88" t="n">
        <v>0</v>
      </c>
      <c r="Q88" t="n">
        <v>0</v>
      </c>
      <c r="R88" t="n">
        <v>0</v>
      </c>
      <c r="S88" t="n">
        <v>1</v>
      </c>
      <c r="T88" t="n">
        <v>1</v>
      </c>
      <c r="U88" t="n">
        <v>1</v>
      </c>
      <c r="V88" s="2" t="inlineStr">
        <is>
          <t>Tvåblad</t>
        </is>
      </c>
      <c r="W88">
        <f>HYPERLINK("https://klasma.github.io/Logging_0885/artfynd/A 31720-2022 artfynd.xlsx", "A 31720-2022")</f>
        <v/>
      </c>
      <c r="X88">
        <f>HYPERLINK("https://klasma.github.io/Logging_0885/kartor/A 31720-2022 karta.png", "A 31720-2022")</f>
        <v/>
      </c>
      <c r="Y88">
        <f>HYPERLINK("https://klasma.github.io/Logging_0885/kartor_geotiff/A 31720-2022 georefererad karta.tif", "A 31720-2022")</f>
        <v/>
      </c>
      <c r="AA88">
        <f>HYPERLINK("https://klasma.github.io/Logging_0885/klagomål/A 31720-2022 FSC-klagomål.docx", "A 31720-2022")</f>
        <v/>
      </c>
      <c r="AB88">
        <f>HYPERLINK("https://klasma.github.io/Logging_0885/klagomålsmail/A 31720-2022 FSC-klagomål mail.docx", "A 31720-2022")</f>
        <v/>
      </c>
      <c r="AC88">
        <f>HYPERLINK("https://klasma.github.io/Logging_0885/tillsyn/A 31720-2022 tillsynsbegäran.docx", "A 31720-2022")</f>
        <v/>
      </c>
      <c r="AD88">
        <f>HYPERLINK("https://klasma.github.io/Logging_0885/tillsynsmail/A 31720-2022 tillsynsbegäran mail.docx", "A 31720-2022")</f>
        <v/>
      </c>
    </row>
    <row r="89" ht="15" customHeight="1">
      <c r="A89" t="inlineStr">
        <is>
          <t>A 3302-2026</t>
        </is>
      </c>
      <c r="B89" t="inlineStr">
        <is>
          <t>avverkningsanmälan</t>
        </is>
      </c>
      <c r="C89" t="inlineStr">
        <is>
          <t>Avverkning för annat ändamål</t>
        </is>
      </c>
      <c r="D89" s="1" t="n">
        <v>46041</v>
      </c>
      <c r="E89" s="1" t="n">
        <v>46303</v>
      </c>
      <c r="F89" t="inlineStr">
        <is>
          <t>KALMAR LÄN</t>
        </is>
      </c>
      <c r="G89" t="inlineStr">
        <is>
          <t>BORGHOLM</t>
        </is>
      </c>
      <c r="I89" t="n">
        <v>3.9</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HYPERLINK("https://klasma.github.io/Logging_0885/artfynd/A 3302-2026 artfynd.xlsx", "A 3302-2026")</f>
        <v/>
      </c>
      <c r="X89">
        <f>HYPERLINK("https://klasma.github.io/Logging_0885/kartor/A 3302-2026 karta.png", "A 3302-2026")</f>
        <v/>
      </c>
      <c r="Y89">
        <f>HYPERLINK("https://klasma.github.io/Logging_0885/kartor_geotiff/A 3302-2026 georefererad karta.tif", "A 3302-2026")</f>
        <v/>
      </c>
      <c r="AA89">
        <f>HYPERLINK("https://klasma.github.io/Logging_0885/klagomål/A 3302-2026 FSC-klagomål.docx", "A 3302-2026")</f>
        <v/>
      </c>
      <c r="AB89">
        <f>HYPERLINK("https://klasma.github.io/Logging_0885/klagomålsmail/A 3302-2026 FSC-klagomål mail.docx", "A 3302-2026")</f>
        <v/>
      </c>
      <c r="AC89">
        <f>HYPERLINK("https://klasma.github.io/Logging_0885/tillsyn/A 3302-2026 tillsynsbegäran.docx", "A 3302-2026")</f>
        <v/>
      </c>
      <c r="AD89">
        <f>HYPERLINK("https://klasma.github.io/Logging_0885/tillsynsmail/A 3302-2026 tillsynsbegäran mail.docx", "A 3302-2026")</f>
        <v/>
      </c>
    </row>
    <row r="90" ht="15" customHeight="1">
      <c r="A90" t="inlineStr">
        <is>
          <t>A 26840-2026</t>
        </is>
      </c>
      <c r="B90" t="inlineStr">
        <is>
          <t>avverkningsanmälan</t>
        </is>
      </c>
      <c r="C90" t="inlineStr">
        <is>
          <t>Avverkning för att bevara och utveckla /försöksver</t>
        </is>
      </c>
      <c r="D90" s="1" t="n">
        <v>46185</v>
      </c>
      <c r="E90" s="1" t="n">
        <v>46303</v>
      </c>
      <c r="F90" t="inlineStr">
        <is>
          <t>KALMAR LÄN</t>
        </is>
      </c>
      <c r="G90" t="inlineStr">
        <is>
          <t>BORGHOLM</t>
        </is>
      </c>
      <c r="H90" t="inlineStr">
        <is>
          <t>Sveaskog</t>
        </is>
      </c>
      <c r="I90" t="n">
        <v>1.4</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26840-2026 artfynd.xlsx", "A 26840-2026")</f>
        <v/>
      </c>
      <c r="X90">
        <f>HYPERLINK("https://klasma.github.io/Logging_0885/kartor/A 26840-2026 karta.png", "A 26840-2026")</f>
        <v/>
      </c>
      <c r="Y90">
        <f>HYPERLINK("https://klasma.github.io/Logging_0885/kartor_geotiff/A 26840-2026 georefererad karta.tif", "A 26840-2026")</f>
        <v/>
      </c>
      <c r="AA90">
        <f>HYPERLINK("https://klasma.github.io/Logging_0885/klagomål/A 26840-2026 FSC-klagomål.docx", "A 26840-2026")</f>
        <v/>
      </c>
      <c r="AB90">
        <f>HYPERLINK("https://klasma.github.io/Logging_0885/klagomålsmail/A 26840-2026 FSC-klagomål mail.docx", "A 26840-2026")</f>
        <v/>
      </c>
      <c r="AC90">
        <f>HYPERLINK("https://klasma.github.io/Logging_0885/tillsyn/A 26840-2026 tillsynsbegäran.docx", "A 26840-2026")</f>
        <v/>
      </c>
      <c r="AD90">
        <f>HYPERLINK("https://klasma.github.io/Logging_0885/tillsynsmail/A 26840-2026 tillsynsbegäran mail.docx", "A 26840-2026")</f>
        <v/>
      </c>
    </row>
    <row r="91" ht="15" customHeight="1">
      <c r="A91" t="inlineStr">
        <is>
          <t>A 7481-2026</t>
        </is>
      </c>
      <c r="B91" t="inlineStr">
        <is>
          <t>avverkningsanmälan</t>
        </is>
      </c>
      <c r="C91" t="inlineStr">
        <is>
          <t>Föryngringsavverkning</t>
        </is>
      </c>
      <c r="D91" s="1" t="n">
        <v>46059</v>
      </c>
      <c r="E91" s="1" t="n">
        <v>46303</v>
      </c>
      <c r="F91" t="inlineStr">
        <is>
          <t>KALMAR LÄN</t>
        </is>
      </c>
      <c r="G91" t="inlineStr">
        <is>
          <t>BORGHOLM</t>
        </is>
      </c>
      <c r="I91" t="n">
        <v>1.9</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HYPERLINK("https://klasma.github.io/Logging_0885/artfynd/A 7481-2026 artfynd.xlsx", "A 7481-2026")</f>
        <v/>
      </c>
      <c r="X91">
        <f>HYPERLINK("https://klasma.github.io/Logging_0885/kartor/A 7481-2026 karta.png", "A 7481-2026")</f>
        <v/>
      </c>
      <c r="Y91">
        <f>HYPERLINK("https://klasma.github.io/Logging_0885/kartor_geotiff/A 7481-2026 georefererad karta.tif", "A 7481-2026")</f>
        <v/>
      </c>
      <c r="AA91">
        <f>HYPERLINK("https://klasma.github.io/Logging_0885/klagomål/A 7481-2026 FSC-klagomål.docx", "A 7481-2026")</f>
        <v/>
      </c>
      <c r="AB91">
        <f>HYPERLINK("https://klasma.github.io/Logging_0885/klagomålsmail/A 7481-2026 FSC-klagomål mail.docx", "A 7481-2026")</f>
        <v/>
      </c>
      <c r="AC91">
        <f>HYPERLINK("https://klasma.github.io/Logging_0885/tillsyn/A 7481-2026 tillsynsbegäran.docx", "A 7481-2026")</f>
        <v/>
      </c>
      <c r="AD91">
        <f>HYPERLINK("https://klasma.github.io/Logging_0885/tillsynsmail/A 7481-2026 tillsynsbegäran mail.docx", "A 7481-2026")</f>
        <v/>
      </c>
    </row>
    <row r="92" ht="15" customHeight="1">
      <c r="A92" t="inlineStr">
        <is>
          <t>A 9104-2026</t>
        </is>
      </c>
      <c r="B92" t="inlineStr">
        <is>
          <t>avverkningsanmälan</t>
        </is>
      </c>
      <c r="C92" t="inlineStr">
        <is>
          <t>Avverkning för annat ändamål</t>
        </is>
      </c>
      <c r="D92" s="1" t="n">
        <v>46069</v>
      </c>
      <c r="E92" s="1" t="n">
        <v>46303</v>
      </c>
      <c r="F92" t="inlineStr">
        <is>
          <t>KALMAR LÄN</t>
        </is>
      </c>
      <c r="G92" t="inlineStr">
        <is>
          <t>BORGHOLM</t>
        </is>
      </c>
      <c r="I92" t="n">
        <v>1.3</v>
      </c>
      <c r="J92" t="n">
        <v>0</v>
      </c>
      <c r="K92" t="n">
        <v>0</v>
      </c>
      <c r="L92" t="n">
        <v>0</v>
      </c>
      <c r="M92" t="n">
        <v>0</v>
      </c>
      <c r="N92" t="n">
        <v>0</v>
      </c>
      <c r="O92" t="n">
        <v>0</v>
      </c>
      <c r="P92" t="n">
        <v>0</v>
      </c>
      <c r="Q92" t="n">
        <v>0</v>
      </c>
      <c r="R92" t="n">
        <v>0</v>
      </c>
      <c r="S92" t="n">
        <v>1</v>
      </c>
      <c r="T92" t="n">
        <v>1</v>
      </c>
      <c r="U92" t="n">
        <v>1</v>
      </c>
      <c r="V92" s="2" t="inlineStr">
        <is>
          <t>Liljekonvalj</t>
        </is>
      </c>
      <c r="W92">
        <f>HYPERLINK("https://klasma.github.io/Logging_0885/artfynd/A 9104-2026 artfynd.xlsx", "A 9104-2026")</f>
        <v/>
      </c>
      <c r="X92">
        <f>HYPERLINK("https://klasma.github.io/Logging_0885/kartor/A 9104-2026 karta.png", "A 9104-2026")</f>
        <v/>
      </c>
      <c r="Y92">
        <f>HYPERLINK("https://klasma.github.io/Logging_0885/kartor_geotiff/A 9104-2026 georefererad karta.tif", "A 9104-2026")</f>
        <v/>
      </c>
      <c r="AA92">
        <f>HYPERLINK("https://klasma.github.io/Logging_0885/klagomål/A 9104-2026 FSC-klagomål.docx", "A 9104-2026")</f>
        <v/>
      </c>
      <c r="AB92">
        <f>HYPERLINK("https://klasma.github.io/Logging_0885/klagomålsmail/A 9104-2026 FSC-klagomål mail.docx", "A 9104-2026")</f>
        <v/>
      </c>
      <c r="AC92">
        <f>HYPERLINK("https://klasma.github.io/Logging_0885/tillsyn/A 9104-2026 tillsynsbegäran.docx", "A 9104-2026")</f>
        <v/>
      </c>
      <c r="AD92">
        <f>HYPERLINK("https://klasma.github.io/Logging_0885/tillsynsmail/A 9104-2026 tillsynsbegäran mail.docx", "A 9104-2026")</f>
        <v/>
      </c>
    </row>
    <row r="93" ht="15" customHeight="1">
      <c r="A93" t="inlineStr">
        <is>
          <t>A 19867-2024</t>
        </is>
      </c>
      <c r="B93" t="inlineStr">
        <is>
          <t>avverkningsanmälan</t>
        </is>
      </c>
      <c r="C93" t="inlineStr">
        <is>
          <t>Föryngringsavverkning</t>
        </is>
      </c>
      <c r="D93" s="1" t="n">
        <v>45433</v>
      </c>
      <c r="E93" s="1" t="n">
        <v>46303</v>
      </c>
      <c r="F93" t="inlineStr">
        <is>
          <t>KALMAR LÄN</t>
        </is>
      </c>
      <c r="G93" t="inlineStr">
        <is>
          <t>BORGHOLM</t>
        </is>
      </c>
      <c r="I93" t="n">
        <v>3.9</v>
      </c>
      <c r="J93" t="n">
        <v>0</v>
      </c>
      <c r="K93" t="n">
        <v>0</v>
      </c>
      <c r="L93" t="n">
        <v>1</v>
      </c>
      <c r="M93" t="n">
        <v>0</v>
      </c>
      <c r="N93" t="n">
        <v>0</v>
      </c>
      <c r="O93" t="n">
        <v>0</v>
      </c>
      <c r="P93" t="n">
        <v>0</v>
      </c>
      <c r="Q93" t="n">
        <v>1</v>
      </c>
      <c r="R93" t="n">
        <v>0</v>
      </c>
      <c r="S93" t="n">
        <v>1</v>
      </c>
      <c r="T93" t="n">
        <v>1</v>
      </c>
      <c r="U93" t="n">
        <v>1</v>
      </c>
      <c r="V93" s="2" t="inlineStr">
        <is>
          <t>Åkerkulla</t>
        </is>
      </c>
      <c r="W93">
        <f>HYPERLINK("https://klasma.github.io/Logging_0885/artfynd/A 19867-2024 artfynd.xlsx", "A 19867-2024")</f>
        <v/>
      </c>
      <c r="X93">
        <f>HYPERLINK("https://klasma.github.io/Logging_0885/kartor/A 19867-2024 karta.png", "A 19867-2024")</f>
        <v/>
      </c>
      <c r="Y93">
        <f>HYPERLINK("https://klasma.github.io/Logging_0885/kartor_geotiff/A 19867-2024 georefererad karta.tif", "A 19867-2024")</f>
        <v/>
      </c>
      <c r="AA93">
        <f>HYPERLINK("https://klasma.github.io/Logging_0885/klagomål/A 19867-2024 FSC-klagomål.docx", "A 19867-2024")</f>
        <v/>
      </c>
      <c r="AB93">
        <f>HYPERLINK("https://klasma.github.io/Logging_0885/klagomålsmail/A 19867-2024 FSC-klagomål mail.docx", "A 19867-2024")</f>
        <v/>
      </c>
      <c r="AC93">
        <f>HYPERLINK("https://klasma.github.io/Logging_0885/tillsyn/A 19867-2024 tillsynsbegäran.docx", "A 19867-2024")</f>
        <v/>
      </c>
      <c r="AD93">
        <f>HYPERLINK("https://klasma.github.io/Logging_0885/tillsynsmail/A 19867-2024 tillsynsbegäran mail.docx", "A 19867-2024")</f>
        <v/>
      </c>
    </row>
    <row r="94" ht="15" customHeight="1">
      <c r="A94" t="inlineStr">
        <is>
          <t>A 28430-2026</t>
        </is>
      </c>
      <c r="B94" t="inlineStr">
        <is>
          <t>avverkningsanmälan</t>
        </is>
      </c>
      <c r="C94" t="inlineStr">
        <is>
          <t>Avverkning för att bevara och utveckla /försöksver</t>
        </is>
      </c>
      <c r="D94" s="1" t="n">
        <v>46197</v>
      </c>
      <c r="E94" s="1" t="n">
        <v>46303</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t="n">
        <v>0</v>
      </c>
      <c r="V94" s="2" t="inlineStr">
        <is>
          <t>Oxtungssvamp</t>
        </is>
      </c>
      <c r="W94">
        <f>HYPERLINK("https://klasma.github.io/Logging_0885/artfynd/A 28430-2026 artfynd.xlsx", "A 28430-2026")</f>
        <v/>
      </c>
      <c r="X94">
        <f>HYPERLINK("https://klasma.github.io/Logging_0885/kartor/A 28430-2026 karta.png", "A 28430-2026")</f>
        <v/>
      </c>
      <c r="Y94">
        <f>HYPERLINK("https://klasma.github.io/Logging_0885/kartor_geotiff/A 28430-2026 georefererad karta.tif", "A 28430-2026")</f>
        <v/>
      </c>
      <c r="AA94">
        <f>HYPERLINK("https://klasma.github.io/Logging_0885/klagomål/A 28430-2026 FSC-klagomål.docx", "A 28430-2026")</f>
        <v/>
      </c>
      <c r="AB94">
        <f>HYPERLINK("https://klasma.github.io/Logging_0885/klagomålsmail/A 28430-2026 FSC-klagomål mail.docx", "A 28430-2026")</f>
        <v/>
      </c>
      <c r="AC94">
        <f>HYPERLINK("https://klasma.github.io/Logging_0885/tillsyn/A 28430-2026 tillsynsbegäran.docx", "A 28430-2026")</f>
        <v/>
      </c>
      <c r="AD94">
        <f>HYPERLINK("https://klasma.github.io/Logging_0885/tillsynsmail/A 28430-2026 tillsynsbegäran mail.docx", "A 28430-2026")</f>
        <v/>
      </c>
    </row>
    <row r="95" ht="15" customHeight="1">
      <c r="A95" t="inlineStr">
        <is>
          <t>A 28374-2026</t>
        </is>
      </c>
      <c r="B95" t="inlineStr">
        <is>
          <t>avverkningsanmälan</t>
        </is>
      </c>
      <c r="C95" t="inlineStr">
        <is>
          <t>Avverkning för att bevara och utveckla /försöksver</t>
        </is>
      </c>
      <c r="D95" s="1" t="n">
        <v>46196</v>
      </c>
      <c r="E95" s="1" t="n">
        <v>46303</v>
      </c>
      <c r="F95" t="inlineStr">
        <is>
          <t>KALMAR LÄN</t>
        </is>
      </c>
      <c r="G95" t="inlineStr">
        <is>
          <t>BORGHOLM</t>
        </is>
      </c>
      <c r="H95" t="inlineStr">
        <is>
          <t>Sveaskog</t>
        </is>
      </c>
      <c r="I95" t="n">
        <v>2</v>
      </c>
      <c r="J95" t="n">
        <v>0</v>
      </c>
      <c r="K95" t="n">
        <v>0</v>
      </c>
      <c r="L95" t="n">
        <v>0</v>
      </c>
      <c r="M95" t="n">
        <v>1</v>
      </c>
      <c r="N95" t="n">
        <v>0</v>
      </c>
      <c r="O95" t="n">
        <v>0</v>
      </c>
      <c r="P95" t="n">
        <v>0</v>
      </c>
      <c r="Q95" t="n">
        <v>1</v>
      </c>
      <c r="R95" t="n">
        <v>1</v>
      </c>
      <c r="S95" t="n">
        <v>1</v>
      </c>
      <c r="T95" t="n">
        <v>1</v>
      </c>
      <c r="U95" t="n">
        <v>0</v>
      </c>
      <c r="V95" s="2" t="inlineStr">
        <is>
          <t>Purpurmusseron</t>
        </is>
      </c>
      <c r="W95">
        <f>HYPERLINK("https://klasma.github.io/Logging_0885/artfynd/A 28374-2026 artfynd.xlsx", "A 28374-2026")</f>
        <v/>
      </c>
      <c r="X95">
        <f>HYPERLINK("https://klasma.github.io/Logging_0885/kartor/A 28374-2026 karta.png", "A 28374-2026")</f>
        <v/>
      </c>
      <c r="Y95">
        <f>HYPERLINK("https://klasma.github.io/Logging_0885/kartor_geotiff/A 28374-2026 georefererad karta.tif", "A 28374-2026")</f>
        <v/>
      </c>
      <c r="AA95">
        <f>HYPERLINK("https://klasma.github.io/Logging_0885/klagomål/A 28374-2026 FSC-klagomål.docx", "A 28374-2026")</f>
        <v/>
      </c>
      <c r="AB95">
        <f>HYPERLINK("https://klasma.github.io/Logging_0885/klagomålsmail/A 28374-2026 FSC-klagomål mail.docx", "A 28374-2026")</f>
        <v/>
      </c>
      <c r="AC95">
        <f>HYPERLINK("https://klasma.github.io/Logging_0885/tillsyn/A 28374-2026 tillsynsbegäran.docx", "A 28374-2026")</f>
        <v/>
      </c>
      <c r="AD95">
        <f>HYPERLINK("https://klasma.github.io/Logging_0885/tillsynsmail/A 28374-2026 tillsynsbegäran mail.docx", "A 28374-2026")</f>
        <v/>
      </c>
    </row>
    <row r="96" ht="15" customHeight="1">
      <c r="A96" t="inlineStr">
        <is>
          <t>A 9905-2026</t>
        </is>
      </c>
      <c r="B96" t="inlineStr">
        <is>
          <t>avverkningsanmälan</t>
        </is>
      </c>
      <c r="C96" t="inlineStr">
        <is>
          <t>Föryngringsavverkning</t>
        </is>
      </c>
      <c r="D96" s="1" t="n">
        <v>46073</v>
      </c>
      <c r="E96" s="1" t="n">
        <v>46303</v>
      </c>
      <c r="F96" t="inlineStr">
        <is>
          <t>KALMAR LÄN</t>
        </is>
      </c>
      <c r="G96" t="inlineStr">
        <is>
          <t>BORGHOLM</t>
        </is>
      </c>
      <c r="I96" t="n">
        <v>1.4</v>
      </c>
      <c r="J96" t="n">
        <v>0</v>
      </c>
      <c r="K96" t="n">
        <v>0</v>
      </c>
      <c r="L96" t="n">
        <v>0</v>
      </c>
      <c r="M96" t="n">
        <v>0</v>
      </c>
      <c r="N96" t="n">
        <v>1</v>
      </c>
      <c r="O96" t="n">
        <v>0</v>
      </c>
      <c r="P96" t="n">
        <v>0</v>
      </c>
      <c r="Q96" t="n">
        <v>1</v>
      </c>
      <c r="R96" t="n">
        <v>1</v>
      </c>
      <c r="S96" t="n">
        <v>1</v>
      </c>
      <c r="T96" t="n">
        <v>1</v>
      </c>
      <c r="U96" t="n">
        <v>0</v>
      </c>
      <c r="V96" s="2" t="inlineStr">
        <is>
          <t>Ask</t>
        </is>
      </c>
      <c r="W96">
        <f>HYPERLINK("https://klasma.github.io/Logging_0885/artfynd/A 9905-2026 artfynd.xlsx", "A 9905-2026")</f>
        <v/>
      </c>
      <c r="X96">
        <f>HYPERLINK("https://klasma.github.io/Logging_0885/kartor/A 9905-2026 karta.png", "A 9905-2026")</f>
        <v/>
      </c>
      <c r="Y96">
        <f>HYPERLINK("https://klasma.github.io/Logging_0885/kartor_geotiff/A 9905-2026 georefererad karta.tif", "A 9905-2026")</f>
        <v/>
      </c>
      <c r="AA96">
        <f>HYPERLINK("https://klasma.github.io/Logging_0885/klagomål/A 9905-2026 FSC-klagomål.docx", "A 9905-2026")</f>
        <v/>
      </c>
      <c r="AB96">
        <f>HYPERLINK("https://klasma.github.io/Logging_0885/klagomålsmail/A 9905-2026 FSC-klagomål mail.docx", "A 9905-2026")</f>
        <v/>
      </c>
      <c r="AC96">
        <f>HYPERLINK("https://klasma.github.io/Logging_0885/tillsyn/A 9905-2026 tillsynsbegäran.docx", "A 9905-2026")</f>
        <v/>
      </c>
      <c r="AD96">
        <f>HYPERLINK("https://klasma.github.io/Logging_0885/tillsynsmail/A 9905-2026 tillsynsbegäran mail.docx", "A 9905-2026")</f>
        <v/>
      </c>
    </row>
    <row r="97" ht="15" customHeight="1">
      <c r="A97" t="inlineStr">
        <is>
          <t>A 63276-2023</t>
        </is>
      </c>
      <c r="B97" t="inlineStr">
        <is>
          <t>avverkningsanmälan</t>
        </is>
      </c>
      <c r="C97" t="inlineStr">
        <is>
          <t>Föryngringsavverkning</t>
        </is>
      </c>
      <c r="D97" s="1" t="n">
        <v>45273</v>
      </c>
      <c r="E97" s="1" t="n">
        <v>46303</v>
      </c>
      <c r="F97" t="inlineStr">
        <is>
          <t>KALMAR LÄN</t>
        </is>
      </c>
      <c r="G97" t="inlineStr">
        <is>
          <t>BORGHOLM</t>
        </is>
      </c>
      <c r="I97" t="n">
        <v>5</v>
      </c>
      <c r="J97" t="n">
        <v>0</v>
      </c>
      <c r="K97" t="n">
        <v>0</v>
      </c>
      <c r="L97" t="n">
        <v>0</v>
      </c>
      <c r="M97" t="n">
        <v>1</v>
      </c>
      <c r="N97" t="n">
        <v>0</v>
      </c>
      <c r="O97" t="n">
        <v>0</v>
      </c>
      <c r="P97" t="n">
        <v>0</v>
      </c>
      <c r="Q97" t="n">
        <v>1</v>
      </c>
      <c r="R97" t="n">
        <v>1</v>
      </c>
      <c r="S97" t="n">
        <v>1</v>
      </c>
      <c r="T97" t="n">
        <v>1</v>
      </c>
      <c r="U97" t="n">
        <v>0</v>
      </c>
      <c r="V97" s="2" t="inlineStr">
        <is>
          <t>Elaphomyces barrioi</t>
        </is>
      </c>
      <c r="W97">
        <f>HYPERLINK("https://klasma.github.io/Logging_0885/artfynd/A 63276-2023 artfynd.xlsx", "A 63276-2023")</f>
        <v/>
      </c>
      <c r="X97">
        <f>HYPERLINK("https://klasma.github.io/Logging_0885/kartor/A 63276-2023 karta.png", "A 63276-2023")</f>
        <v/>
      </c>
      <c r="Y97">
        <f>HYPERLINK("https://klasma.github.io/Logging_0885/kartor_geotiff/A 63276-2023 georefererad karta.tif", "A 63276-2023")</f>
        <v/>
      </c>
      <c r="AA97">
        <f>HYPERLINK("https://klasma.github.io/Logging_0885/klagomål/A 63276-2023 FSC-klagomål.docx", "A 63276-2023")</f>
        <v/>
      </c>
      <c r="AB97">
        <f>HYPERLINK("https://klasma.github.io/Logging_0885/klagomålsmail/A 63276-2023 FSC-klagomål mail.docx", "A 63276-2023")</f>
        <v/>
      </c>
      <c r="AC97">
        <f>HYPERLINK("https://klasma.github.io/Logging_0885/tillsyn/A 63276-2023 tillsynsbegäran.docx", "A 63276-2023")</f>
        <v/>
      </c>
      <c r="AD97">
        <f>HYPERLINK("https://klasma.github.io/Logging_0885/tillsynsmail/A 63276-2023 tillsynsbegäran mail.docx", "A 63276-2023")</f>
        <v/>
      </c>
    </row>
    <row r="98" ht="15" customHeight="1">
      <c r="A98" t="inlineStr">
        <is>
          <t>A 33293-2026</t>
        </is>
      </c>
      <c r="B98" t="inlineStr">
        <is>
          <t>avverkningsanmälan</t>
        </is>
      </c>
      <c r="C98" t="inlineStr">
        <is>
          <t>Avverkning för att bevara och utveckla /försöksver</t>
        </is>
      </c>
      <c r="D98" s="1" t="n">
        <v>46246</v>
      </c>
      <c r="E98" s="1" t="n">
        <v>46303</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S 2390-2023</t>
        </is>
      </c>
      <c r="B99" t="inlineStr">
        <is>
          <t>samrådsanmälan</t>
        </is>
      </c>
      <c r="C99" t="inlineStr">
        <is>
          <t>Annan skogsbruksåtgärd</t>
        </is>
      </c>
      <c r="D99" s="1" t="n">
        <v>45111</v>
      </c>
      <c r="E99" s="1" t="n">
        <v>46303</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46303</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46303</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1813-2026</t>
        </is>
      </c>
      <c r="B102" t="inlineStr">
        <is>
          <t>samrådsanmälan</t>
        </is>
      </c>
      <c r="C102" t="inlineStr">
        <is>
          <t>Annan skogsbruksåtgärd</t>
        </is>
      </c>
      <c r="D102" s="1" t="n">
        <v>46197</v>
      </c>
      <c r="E102" s="1" t="n">
        <v>46303</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S 1803-2026</t>
        </is>
      </c>
      <c r="B103" t="inlineStr">
        <is>
          <t>samrådsanmälan</t>
        </is>
      </c>
      <c r="C103" t="inlineStr">
        <is>
          <t>Annan skogsbruksåtgärd</t>
        </is>
      </c>
      <c r="D103" s="1" t="n">
        <v>46196</v>
      </c>
      <c r="E103" s="1" t="n">
        <v>46303</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2140-2026</t>
        </is>
      </c>
      <c r="B104" t="inlineStr">
        <is>
          <t>samrådsanmälan</t>
        </is>
      </c>
      <c r="C104" t="inlineStr">
        <is>
          <t>Annan skogsbruksåtgärd</t>
        </is>
      </c>
      <c r="D104" s="1" t="n">
        <v>46246</v>
      </c>
      <c r="E104" s="1" t="n">
        <v>46303</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46303</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46303</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46303</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46303</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46303</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46303</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46303</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46303</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46303</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22785-2025</t>
        </is>
      </c>
      <c r="B114" t="inlineStr">
        <is>
          <t>avverkningsanmälan</t>
        </is>
      </c>
      <c r="C114" t="inlineStr">
        <is>
          <t>Föryngringsavverkning</t>
        </is>
      </c>
      <c r="D114" s="1" t="n">
        <v>45789</v>
      </c>
      <c r="E114" s="1" t="n">
        <v>46303</v>
      </c>
      <c r="F114" t="inlineStr">
        <is>
          <t>KALMAR LÄN</t>
        </is>
      </c>
      <c r="G114" t="inlineStr">
        <is>
          <t>BORGHOLM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64303-2023</t>
        </is>
      </c>
      <c r="B115" t="inlineStr">
        <is>
          <t>avverkningsanmälan</t>
        </is>
      </c>
      <c r="C115" t="inlineStr">
        <is>
          <t>Avverkning för annat ändamål</t>
        </is>
      </c>
      <c r="D115" s="1" t="n">
        <v>45280</v>
      </c>
      <c r="E115" s="1" t="n">
        <v>46303</v>
      </c>
      <c r="F115" t="inlineStr">
        <is>
          <t>KALMAR LÄN</t>
        </is>
      </c>
      <c r="G115" t="inlineStr">
        <is>
          <t>BORGHOLM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26160-2024</t>
        </is>
      </c>
      <c r="B116" t="inlineStr">
        <is>
          <t>avverkningsanmälan</t>
        </is>
      </c>
      <c r="C116" t="inlineStr">
        <is>
          <t>Avverkning för annat ändamål</t>
        </is>
      </c>
      <c r="D116" s="1" t="n">
        <v>45468</v>
      </c>
      <c r="E116" s="1" t="n">
        <v>46303</v>
      </c>
      <c r="F116" t="inlineStr">
        <is>
          <t>KALMAR LÄN</t>
        </is>
      </c>
      <c r="G116" t="inlineStr">
        <is>
          <t>BORGHOLM</t>
        </is>
      </c>
      <c r="I116" t="n">
        <v>0.4</v>
      </c>
      <c r="J116" t="n">
        <v>0</v>
      </c>
      <c r="K116" t="n">
        <v>0</v>
      </c>
      <c r="L116" t="n">
        <v>0</v>
      </c>
      <c r="M116" t="n">
        <v>0</v>
      </c>
      <c r="N116" t="n">
        <v>0</v>
      </c>
      <c r="O116" t="n">
        <v>0</v>
      </c>
      <c r="P116" t="n">
        <v>0</v>
      </c>
      <c r="Q116" t="n">
        <v>0</v>
      </c>
      <c r="R116" t="n">
        <v>0</v>
      </c>
      <c r="S116" t="n">
        <v>0</v>
      </c>
      <c r="T116" t="n">
        <v>0</v>
      </c>
      <c r="U116" t="n">
        <v>0</v>
      </c>
      <c r="V116" s="2" t="inlineStr"/>
      <c r="X116">
        <f>HYPERLINK("https://klasma.github.io/Logging_0885/kartor/A 26160-2024 karta.png", "A 26160-2024")</f>
        <v/>
      </c>
      <c r="Y116">
        <f>HYPERLINK("https://klasma.github.io/Logging_0885/kartor_geotiff/A 26160-2024 georefererad karta.tif", "A 26160-2024")</f>
        <v/>
      </c>
      <c r="AA116">
        <f>HYPERLINK("https://klasma.github.io/Logging_0885/klagomål/A 26160-2024 FSC-klagomål.docx", "A 26160-2024")</f>
        <v/>
      </c>
      <c r="AB116">
        <f>HYPERLINK("https://klasma.github.io/Logging_0885/klagomålsmail/A 26160-2024 FSC-klagomål mail.docx", "A 26160-2024")</f>
        <v/>
      </c>
      <c r="AC116">
        <f>HYPERLINK("https://klasma.github.io/Logging_0885/tillsyn/A 26160-2024 tillsynsbegäran.docx", "A 26160-2024")</f>
        <v/>
      </c>
      <c r="AD116">
        <f>HYPERLINK("https://klasma.github.io/Logging_0885/tillsynsmail/A 26160-2024 tillsynsbegäran mail.docx", "A 26160-2024")</f>
        <v/>
      </c>
    </row>
    <row r="117" ht="15" customHeight="1">
      <c r="A117" t="inlineStr">
        <is>
          <t>A 41950-2025</t>
        </is>
      </c>
      <c r="B117" t="inlineStr">
        <is>
          <t>avverkningsanmälan</t>
        </is>
      </c>
      <c r="C117" t="inlineStr">
        <is>
          <t>Föryngringsavverkning</t>
        </is>
      </c>
      <c r="D117" s="1" t="n">
        <v>45903</v>
      </c>
      <c r="E117" s="1" t="n">
        <v>46303</v>
      </c>
      <c r="F117" t="inlineStr">
        <is>
          <t>KALMAR LÄN</t>
        </is>
      </c>
      <c r="G117" t="inlineStr">
        <is>
          <t>BORGHOLM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43603-2024</t>
        </is>
      </c>
      <c r="B118" t="inlineStr">
        <is>
          <t>avverkningsanmälan</t>
        </is>
      </c>
      <c r="C118" t="inlineStr">
        <is>
          <t>Föryngringsavverkning</t>
        </is>
      </c>
      <c r="D118" s="1" t="n">
        <v>45569</v>
      </c>
      <c r="E118" s="1" t="n">
        <v>46303</v>
      </c>
      <c r="F118" t="inlineStr">
        <is>
          <t>KALMAR LÄN</t>
        </is>
      </c>
      <c r="G118" t="inlineStr">
        <is>
          <t>BORGHOLM</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40339-2023</t>
        </is>
      </c>
      <c r="B119" t="inlineStr">
        <is>
          <t>avverkningsanmälan</t>
        </is>
      </c>
      <c r="C119" t="inlineStr">
        <is>
          <t>Föryngringsavverkning</t>
        </is>
      </c>
      <c r="D119" s="1" t="n">
        <v>45169</v>
      </c>
      <c r="E119" s="1" t="n">
        <v>46303</v>
      </c>
      <c r="F119" t="inlineStr">
        <is>
          <t>KALMAR LÄN</t>
        </is>
      </c>
      <c r="G119" t="inlineStr">
        <is>
          <t>BORGHOLM</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63075-2023</t>
        </is>
      </c>
      <c r="B120" t="inlineStr">
        <is>
          <t>avverkningsanmälan</t>
        </is>
      </c>
      <c r="C120" t="inlineStr">
        <is>
          <t>Avverkning för annat ändamål</t>
        </is>
      </c>
      <c r="D120" s="1" t="n">
        <v>45273</v>
      </c>
      <c r="E120" s="1" t="n">
        <v>46303</v>
      </c>
      <c r="F120" t="inlineStr">
        <is>
          <t>KALMAR LÄN</t>
        </is>
      </c>
      <c r="G120" t="inlineStr">
        <is>
          <t>BORGHOLM</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26190-2025</t>
        </is>
      </c>
      <c r="B121" t="inlineStr">
        <is>
          <t>avverkningsanmälan</t>
        </is>
      </c>
      <c r="C121" t="inlineStr">
        <is>
          <t>Föryngringsavverkning</t>
        </is>
      </c>
      <c r="D121" s="1" t="n">
        <v>45805</v>
      </c>
      <c r="E121" s="1" t="n">
        <v>46303</v>
      </c>
      <c r="F121" t="inlineStr">
        <is>
          <t>KALMAR LÄN</t>
        </is>
      </c>
      <c r="G121" t="inlineStr">
        <is>
          <t>BORGHOLM</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45869-2025</t>
        </is>
      </c>
      <c r="B122" t="inlineStr">
        <is>
          <t>avverkningsanmälan</t>
        </is>
      </c>
      <c r="C122" t="inlineStr">
        <is>
          <t>Föryngringsavverkning</t>
        </is>
      </c>
      <c r="D122" s="1" t="n">
        <v>45923</v>
      </c>
      <c r="E122" s="1" t="n">
        <v>46303</v>
      </c>
      <c r="F122" t="inlineStr">
        <is>
          <t>KALMAR LÄN</t>
        </is>
      </c>
      <c r="G122" t="inlineStr">
        <is>
          <t>BORGHOLM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46845-2025</t>
        </is>
      </c>
      <c r="B123" t="inlineStr">
        <is>
          <t>avverkningsanmälan</t>
        </is>
      </c>
      <c r="C123" t="inlineStr">
        <is>
          <t>Avverkning för annat ändamål</t>
        </is>
      </c>
      <c r="D123" s="1" t="n">
        <v>45928</v>
      </c>
      <c r="E123" s="1" t="n">
        <v>46303</v>
      </c>
      <c r="F123" t="inlineStr">
        <is>
          <t>KALMAR LÄN</t>
        </is>
      </c>
      <c r="G123" t="inlineStr">
        <is>
          <t>BORGHOLM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1757-2025</t>
        </is>
      </c>
      <c r="B124" t="inlineStr">
        <is>
          <t>avverkningsanmälan</t>
        </is>
      </c>
      <c r="C124" t="inlineStr">
        <is>
          <t>Föryngringsavverkning</t>
        </is>
      </c>
      <c r="D124" s="1" t="n">
        <v>45671</v>
      </c>
      <c r="E124" s="1" t="n">
        <v>46303</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4159-2024</t>
        </is>
      </c>
      <c r="B125" t="inlineStr">
        <is>
          <t>avverkningsanmälan</t>
        </is>
      </c>
      <c r="C125" t="inlineStr">
        <is>
          <t>Föryngringsavverkning</t>
        </is>
      </c>
      <c r="D125" s="1" t="n">
        <v>45323</v>
      </c>
      <c r="E125" s="1" t="n">
        <v>46303</v>
      </c>
      <c r="F125" t="inlineStr">
        <is>
          <t>KALMAR LÄN</t>
        </is>
      </c>
      <c r="G125" t="inlineStr">
        <is>
          <t>BORGHOLM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34780-2022</t>
        </is>
      </c>
      <c r="B126" t="inlineStr">
        <is>
          <t>avverkningsanmälan</t>
        </is>
      </c>
      <c r="C126" t="inlineStr">
        <is>
          <t>Föryngringsavverkning</t>
        </is>
      </c>
      <c r="D126" s="1" t="n">
        <v>44795</v>
      </c>
      <c r="E126" s="1" t="n">
        <v>46303</v>
      </c>
      <c r="F126" t="inlineStr">
        <is>
          <t>KALMAR LÄN</t>
        </is>
      </c>
      <c r="G126" t="inlineStr">
        <is>
          <t>BORGHOLM</t>
        </is>
      </c>
      <c r="H126" t="inlineStr">
        <is>
          <t>Sveaskog</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55367-2024</t>
        </is>
      </c>
      <c r="B127" t="inlineStr">
        <is>
          <t>avverkningsanmälan</t>
        </is>
      </c>
      <c r="C127" t="inlineStr">
        <is>
          <t>Föryngringsavverkning</t>
        </is>
      </c>
      <c r="D127" s="1" t="n">
        <v>45621</v>
      </c>
      <c r="E127" s="1" t="n">
        <v>46303</v>
      </c>
      <c r="F127" t="inlineStr">
        <is>
          <t>KALMAR LÄN</t>
        </is>
      </c>
      <c r="G127" t="inlineStr">
        <is>
          <t>BORGHOLM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20287-2025</t>
        </is>
      </c>
      <c r="B128" t="inlineStr">
        <is>
          <t>avverkningsanmälan</t>
        </is>
      </c>
      <c r="C128" t="inlineStr">
        <is>
          <t>Avverkning för att bevara och utveckla /försöksver</t>
        </is>
      </c>
      <c r="D128" s="1" t="n">
        <v>45774</v>
      </c>
      <c r="E128" s="1" t="n">
        <v>46303</v>
      </c>
      <c r="F128" t="inlineStr">
        <is>
          <t>KALMAR LÄN</t>
        </is>
      </c>
      <c r="G128" t="inlineStr">
        <is>
          <t>BORGHOLM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36269-2025</t>
        </is>
      </c>
      <c r="B129" t="inlineStr">
        <is>
          <t>avverkningsanmälan</t>
        </is>
      </c>
      <c r="C129" t="inlineStr">
        <is>
          <t>Föryngringsavverkning</t>
        </is>
      </c>
      <c r="D129" s="1" t="n">
        <v>45867</v>
      </c>
      <c r="E129" s="1" t="n">
        <v>46303</v>
      </c>
      <c r="F129" t="inlineStr">
        <is>
          <t>KALMAR LÄN</t>
        </is>
      </c>
      <c r="G129" t="inlineStr">
        <is>
          <t>BORGHOLM</t>
        </is>
      </c>
      <c r="H129" t="inlineStr">
        <is>
          <t>Sveaskog</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9076-2025</t>
        </is>
      </c>
      <c r="B130" t="inlineStr">
        <is>
          <t>avverkningsanmälan</t>
        </is>
      </c>
      <c r="C130" t="inlineStr">
        <is>
          <t>Föryngringsavverkning</t>
        </is>
      </c>
      <c r="D130" s="1" t="n">
        <v>45713</v>
      </c>
      <c r="E130" s="1" t="n">
        <v>46303</v>
      </c>
      <c r="F130" t="inlineStr">
        <is>
          <t>KALMAR LÄN</t>
        </is>
      </c>
      <c r="G130" t="inlineStr">
        <is>
          <t>BORGHOLM</t>
        </is>
      </c>
      <c r="H130" t="inlineStr">
        <is>
          <t>Sveaskog</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32919-2023</t>
        </is>
      </c>
      <c r="B131" t="inlineStr">
        <is>
          <t>avverkningsanmälan</t>
        </is>
      </c>
      <c r="C131" t="inlineStr">
        <is>
          <t>Föryngringsavverkning</t>
        </is>
      </c>
      <c r="D131" s="1" t="n">
        <v>45125</v>
      </c>
      <c r="E131" s="1" t="n">
        <v>46303</v>
      </c>
      <c r="F131" t="inlineStr">
        <is>
          <t>KALMAR LÄN</t>
        </is>
      </c>
      <c r="G131" t="inlineStr">
        <is>
          <t>BORGHOLM</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27357-2025</t>
        </is>
      </c>
      <c r="B132" t="inlineStr">
        <is>
          <t>avverkningsanmälan</t>
        </is>
      </c>
      <c r="C132" t="inlineStr">
        <is>
          <t>Avverkning för att bevara och utveckla /försöksver</t>
        </is>
      </c>
      <c r="D132" s="1" t="n">
        <v>45812</v>
      </c>
      <c r="E132" s="1" t="n">
        <v>46303</v>
      </c>
      <c r="F132" t="inlineStr">
        <is>
          <t>KALMAR LÄN</t>
        </is>
      </c>
      <c r="G132" t="inlineStr">
        <is>
          <t>BORGHOLM</t>
        </is>
      </c>
      <c r="H132" t="inlineStr">
        <is>
          <t>Sveaskog</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4165-2023</t>
        </is>
      </c>
      <c r="B133" t="inlineStr">
        <is>
          <t>avverkningsanmälan</t>
        </is>
      </c>
      <c r="C133" t="inlineStr">
        <is>
          <t>Föryngringsavverkning</t>
        </is>
      </c>
      <c r="D133" s="1" t="n">
        <v>44953</v>
      </c>
      <c r="E133" s="1" t="n">
        <v>46303</v>
      </c>
      <c r="F133" t="inlineStr">
        <is>
          <t>KALMAR LÄN</t>
        </is>
      </c>
      <c r="G133" t="inlineStr">
        <is>
          <t>BORGHOLM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7669-2024</t>
        </is>
      </c>
      <c r="B134" t="inlineStr">
        <is>
          <t>avverkningsanmälan</t>
        </is>
      </c>
      <c r="C134" t="inlineStr">
        <is>
          <t>Föryngringsavverkning</t>
        </is>
      </c>
      <c r="D134" s="1" t="n">
        <v>45348</v>
      </c>
      <c r="E134" s="1" t="n">
        <v>46303</v>
      </c>
      <c r="F134" t="inlineStr">
        <is>
          <t>KALMAR LÄN</t>
        </is>
      </c>
      <c r="G134" t="inlineStr">
        <is>
          <t>BORGHOLM</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34951-2022</t>
        </is>
      </c>
      <c r="B135" t="inlineStr">
        <is>
          <t>avverkningsanmälan</t>
        </is>
      </c>
      <c r="C135" t="inlineStr">
        <is>
          <t>Avverkning för att bevara och utveckla /försöksver</t>
        </is>
      </c>
      <c r="D135" s="1" t="n">
        <v>44796</v>
      </c>
      <c r="E135" s="1" t="n">
        <v>46303</v>
      </c>
      <c r="F135" t="inlineStr">
        <is>
          <t>KALMAR LÄN</t>
        </is>
      </c>
      <c r="G135" t="inlineStr">
        <is>
          <t>BORGHOLM</t>
        </is>
      </c>
      <c r="H135" t="inlineStr">
        <is>
          <t>Sveaskog</t>
        </is>
      </c>
      <c r="I135" t="n">
        <v>4.6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24323-2026</t>
        </is>
      </c>
      <c r="B136" t="inlineStr">
        <is>
          <t>avverkningsanmälan</t>
        </is>
      </c>
      <c r="C136" t="inlineStr">
        <is>
          <t>Föryngringsavverkning</t>
        </is>
      </c>
      <c r="D136" s="1" t="n">
        <v>46169</v>
      </c>
      <c r="E136" s="1" t="n">
        <v>46303</v>
      </c>
      <c r="F136" t="inlineStr">
        <is>
          <t>KALMAR LÄN</t>
        </is>
      </c>
      <c r="G136" t="inlineStr">
        <is>
          <t>BORGHOLM</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5175-2024</t>
        </is>
      </c>
      <c r="B137" t="inlineStr">
        <is>
          <t>avverkningsanmälan</t>
        </is>
      </c>
      <c r="C137" t="inlineStr">
        <is>
          <t>Föryngringsavverkning</t>
        </is>
      </c>
      <c r="D137" s="1" t="n">
        <v>45330</v>
      </c>
      <c r="E137" s="1" t="n">
        <v>46303</v>
      </c>
      <c r="F137" t="inlineStr">
        <is>
          <t>KALMAR LÄN</t>
        </is>
      </c>
      <c r="G137" t="inlineStr">
        <is>
          <t>BORGHOLM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32921-2023</t>
        </is>
      </c>
      <c r="B138" t="inlineStr">
        <is>
          <t>avverkningsanmälan</t>
        </is>
      </c>
      <c r="C138" t="inlineStr">
        <is>
          <t>Föryngringsavverkning</t>
        </is>
      </c>
      <c r="D138" s="1" t="n">
        <v>45125</v>
      </c>
      <c r="E138" s="1" t="n">
        <v>46303</v>
      </c>
      <c r="F138" t="inlineStr">
        <is>
          <t>KALMAR LÄN</t>
        </is>
      </c>
      <c r="G138" t="inlineStr">
        <is>
          <t>BORGHOLM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3878-2023</t>
        </is>
      </c>
      <c r="B139" t="inlineStr">
        <is>
          <t>avverkningsanmälan</t>
        </is>
      </c>
      <c r="C139" t="inlineStr">
        <is>
          <t>Föryngringsavverkning</t>
        </is>
      </c>
      <c r="D139" s="1" t="n">
        <v>44951</v>
      </c>
      <c r="E139" s="1" t="n">
        <v>46303</v>
      </c>
      <c r="F139" t="inlineStr">
        <is>
          <t>KALMAR LÄN</t>
        </is>
      </c>
      <c r="G139" t="inlineStr">
        <is>
          <t>BORGHOLM</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9259-2026</t>
        </is>
      </c>
      <c r="B140" t="inlineStr">
        <is>
          <t>avverkningsanmälan</t>
        </is>
      </c>
      <c r="C140" t="inlineStr">
        <is>
          <t>Föryngringsavverkning</t>
        </is>
      </c>
      <c r="D140" s="1" t="n">
        <v>46070</v>
      </c>
      <c r="E140" s="1" t="n">
        <v>46303</v>
      </c>
      <c r="F140" t="inlineStr">
        <is>
          <t>KALMAR LÄN</t>
        </is>
      </c>
      <c r="G140" t="inlineStr">
        <is>
          <t>BORGHOLM</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28380-2026</t>
        </is>
      </c>
      <c r="B141" t="inlineStr">
        <is>
          <t>avverkningsanmälan</t>
        </is>
      </c>
      <c r="C141" t="inlineStr">
        <is>
          <t>Avverkning för att bevara och utveckla /försöksver</t>
        </is>
      </c>
      <c r="D141" s="1" t="n">
        <v>46196</v>
      </c>
      <c r="E141" s="1" t="n">
        <v>46303</v>
      </c>
      <c r="F141" t="inlineStr">
        <is>
          <t>KALMAR LÄN</t>
        </is>
      </c>
      <c r="G141" t="inlineStr">
        <is>
          <t>BORGHOLM</t>
        </is>
      </c>
      <c r="H141" t="inlineStr">
        <is>
          <t>Sveaskog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28381-2026</t>
        </is>
      </c>
      <c r="B142" t="inlineStr">
        <is>
          <t>avverkningsanmälan</t>
        </is>
      </c>
      <c r="C142" t="inlineStr">
        <is>
          <t>Avverkning för att bevara och utveckla /försöksver</t>
        </is>
      </c>
      <c r="D142" s="1" t="n">
        <v>46196</v>
      </c>
      <c r="E142" s="1" t="n">
        <v>46303</v>
      </c>
      <c r="F142" t="inlineStr">
        <is>
          <t>KALMAR LÄN</t>
        </is>
      </c>
      <c r="G142" t="inlineStr">
        <is>
          <t>BORGHOLM</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13383-2023</t>
        </is>
      </c>
      <c r="B143" t="inlineStr">
        <is>
          <t>avverkningsanmälan</t>
        </is>
      </c>
      <c r="C143" t="inlineStr">
        <is>
          <t>Föryngringsavverkning</t>
        </is>
      </c>
      <c r="D143" s="1" t="n">
        <v>45005</v>
      </c>
      <c r="E143" s="1" t="n">
        <v>46303</v>
      </c>
      <c r="F143" t="inlineStr">
        <is>
          <t>KALMAR LÄN</t>
        </is>
      </c>
      <c r="G143" t="inlineStr">
        <is>
          <t>BORGHOLM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28411-2026</t>
        </is>
      </c>
      <c r="B144" t="inlineStr">
        <is>
          <t>avverkningsanmälan</t>
        </is>
      </c>
      <c r="C144" t="inlineStr">
        <is>
          <t>Avverkning för att bevara och utveckla /försöksver</t>
        </is>
      </c>
      <c r="D144" s="1" t="n">
        <v>46197</v>
      </c>
      <c r="E144" s="1" t="n">
        <v>46303</v>
      </c>
      <c r="F144" t="inlineStr">
        <is>
          <t>KALMAR LÄN</t>
        </is>
      </c>
      <c r="G144" t="inlineStr">
        <is>
          <t>BORGHOLM</t>
        </is>
      </c>
      <c r="H144" t="inlineStr">
        <is>
          <t>Sveaskog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29413-2026</t>
        </is>
      </c>
      <c r="B145" t="inlineStr">
        <is>
          <t>avverkningsanmälan</t>
        </is>
      </c>
      <c r="C145" t="inlineStr">
        <is>
          <t>Avverkning för att bevara och utveckla /försöksver</t>
        </is>
      </c>
      <c r="D145" s="1" t="n">
        <v>46203</v>
      </c>
      <c r="E145" s="1" t="n">
        <v>46303</v>
      </c>
      <c r="F145" t="inlineStr">
        <is>
          <t>KALMAR LÄN</t>
        </is>
      </c>
      <c r="G145" t="inlineStr">
        <is>
          <t>BORGHOLM</t>
        </is>
      </c>
      <c r="H145" t="inlineStr">
        <is>
          <t>Sveaskog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29414-2026</t>
        </is>
      </c>
      <c r="B146" t="inlineStr">
        <is>
          <t>avverkningsanmälan</t>
        </is>
      </c>
      <c r="C146" t="inlineStr">
        <is>
          <t>Avverkning för att bevara och utveckla /försöksver</t>
        </is>
      </c>
      <c r="D146" s="1" t="n">
        <v>46203</v>
      </c>
      <c r="E146" s="1" t="n">
        <v>46303</v>
      </c>
      <c r="F146" t="inlineStr">
        <is>
          <t>KALMAR LÄN</t>
        </is>
      </c>
      <c r="G146" t="inlineStr">
        <is>
          <t>BORGHOLM</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29431-2026</t>
        </is>
      </c>
      <c r="B147" t="inlineStr">
        <is>
          <t>avverkningsanmälan</t>
        </is>
      </c>
      <c r="C147" t="inlineStr">
        <is>
          <t>Avverkning för att bevara och utveckla /försöksver</t>
        </is>
      </c>
      <c r="D147" s="1" t="n">
        <v>46203</v>
      </c>
      <c r="E147" s="1" t="n">
        <v>46303</v>
      </c>
      <c r="F147" t="inlineStr">
        <is>
          <t>KALMAR LÄN</t>
        </is>
      </c>
      <c r="G147" t="inlineStr">
        <is>
          <t>BORGHOLM</t>
        </is>
      </c>
      <c r="H147" t="inlineStr">
        <is>
          <t>Sveaskog</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29410-2026</t>
        </is>
      </c>
      <c r="B148" t="inlineStr">
        <is>
          <t>avverkningsanmälan</t>
        </is>
      </c>
      <c r="C148" t="inlineStr">
        <is>
          <t>Avverkning för att bevara och utveckla /försöksver</t>
        </is>
      </c>
      <c r="D148" s="1" t="n">
        <v>46203</v>
      </c>
      <c r="E148" s="1" t="n">
        <v>46303</v>
      </c>
      <c r="F148" t="inlineStr">
        <is>
          <t>KALMAR LÄN</t>
        </is>
      </c>
      <c r="G148" t="inlineStr">
        <is>
          <t>BORGHOLM</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12937-2022</t>
        </is>
      </c>
      <c r="B149" t="inlineStr">
        <is>
          <t>avverkningsanmälan</t>
        </is>
      </c>
      <c r="C149" t="inlineStr">
        <is>
          <t>Föryngringsavverkning</t>
        </is>
      </c>
      <c r="D149" s="1" t="n">
        <v>44642</v>
      </c>
      <c r="E149" s="1" t="n">
        <v>46303</v>
      </c>
      <c r="F149" t="inlineStr">
        <is>
          <t>KALMAR LÄN</t>
        </is>
      </c>
      <c r="G149" t="inlineStr">
        <is>
          <t>BORGHOLM</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15272-2026</t>
        </is>
      </c>
      <c r="B150" t="inlineStr">
        <is>
          <t>avverkningsanmälan</t>
        </is>
      </c>
      <c r="C150" t="inlineStr">
        <is>
          <t>Avverkning för att bevara och utveckla /försöksver</t>
        </is>
      </c>
      <c r="D150" s="1" t="n">
        <v>46105</v>
      </c>
      <c r="E150" s="1" t="n">
        <v>46303</v>
      </c>
      <c r="F150" t="inlineStr">
        <is>
          <t>KALMAR LÄN</t>
        </is>
      </c>
      <c r="G150" t="inlineStr">
        <is>
          <t>BORGHOLM</t>
        </is>
      </c>
      <c r="H150" t="inlineStr">
        <is>
          <t>Sveaskog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15279-2026</t>
        </is>
      </c>
      <c r="B151" t="inlineStr">
        <is>
          <t>avverkningsanmälan</t>
        </is>
      </c>
      <c r="C151" t="inlineStr">
        <is>
          <t>Avverkning för att bevara och utveckla /försöksver</t>
        </is>
      </c>
      <c r="D151" s="1" t="n">
        <v>46105</v>
      </c>
      <c r="E151" s="1" t="n">
        <v>46303</v>
      </c>
      <c r="F151" t="inlineStr">
        <is>
          <t>KALMAR LÄN</t>
        </is>
      </c>
      <c r="G151" t="inlineStr">
        <is>
          <t>BORGHOLM</t>
        </is>
      </c>
      <c r="H151" t="inlineStr">
        <is>
          <t>Sveaskog</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15264-2026</t>
        </is>
      </c>
      <c r="B152" t="inlineStr">
        <is>
          <t>avverkningsanmälan</t>
        </is>
      </c>
      <c r="C152" t="inlineStr">
        <is>
          <t>Avverkning för att bevara och utveckla /försöksver</t>
        </is>
      </c>
      <c r="D152" s="1" t="n">
        <v>46105</v>
      </c>
      <c r="E152" s="1" t="n">
        <v>46303</v>
      </c>
      <c r="F152" t="inlineStr">
        <is>
          <t>KALMAR LÄN</t>
        </is>
      </c>
      <c r="G152" t="inlineStr">
        <is>
          <t>BORGHOLM</t>
        </is>
      </c>
      <c r="H152" t="inlineStr">
        <is>
          <t>Sveaskog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61438-2023</t>
        </is>
      </c>
      <c r="B153" t="inlineStr">
        <is>
          <t>avverkningsanmälan</t>
        </is>
      </c>
      <c r="C153" t="inlineStr">
        <is>
          <t>Avverkning för annat ändamål</t>
        </is>
      </c>
      <c r="D153" s="1" t="n">
        <v>45264</v>
      </c>
      <c r="E153" s="1" t="n">
        <v>46303</v>
      </c>
      <c r="F153" t="inlineStr">
        <is>
          <t>KALMAR LÄN</t>
        </is>
      </c>
      <c r="G153" t="inlineStr">
        <is>
          <t>BORGHOLM</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13041-2024</t>
        </is>
      </c>
      <c r="B154" t="inlineStr">
        <is>
          <t>avverkningsanmälan</t>
        </is>
      </c>
      <c r="C154" t="inlineStr">
        <is>
          <t>Föryngringsavverkning</t>
        </is>
      </c>
      <c r="D154" s="1" t="n">
        <v>45385</v>
      </c>
      <c r="E154" s="1" t="n">
        <v>46303</v>
      </c>
      <c r="F154" t="inlineStr">
        <is>
          <t>KALMAR LÄN</t>
        </is>
      </c>
      <c r="G154" t="inlineStr">
        <is>
          <t>BORGHOLM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1614-2025</t>
        </is>
      </c>
      <c r="B155" t="inlineStr">
        <is>
          <t>avverkningsanmälan</t>
        </is>
      </c>
      <c r="C155" t="inlineStr">
        <is>
          <t>Föryngringsavverkning</t>
        </is>
      </c>
      <c r="D155" s="1" t="n">
        <v>45670</v>
      </c>
      <c r="E155" s="1" t="n">
        <v>46303</v>
      </c>
      <c r="F155" t="inlineStr">
        <is>
          <t>KALMAR LÄN</t>
        </is>
      </c>
      <c r="G155" t="inlineStr">
        <is>
          <t>BORGHOLM</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9050-2025</t>
        </is>
      </c>
      <c r="B156" t="inlineStr">
        <is>
          <t>avverkningsanmälan</t>
        </is>
      </c>
      <c r="C156" t="inlineStr">
        <is>
          <t>Avverkning för att bevara och utveckla /försöksver</t>
        </is>
      </c>
      <c r="D156" s="1" t="n">
        <v>45713</v>
      </c>
      <c r="E156" s="1" t="n">
        <v>46303</v>
      </c>
      <c r="F156" t="inlineStr">
        <is>
          <t>KALMAR LÄN</t>
        </is>
      </c>
      <c r="G156" t="inlineStr">
        <is>
          <t>BORGHOLM</t>
        </is>
      </c>
      <c r="H156" t="inlineStr">
        <is>
          <t>Sveaskog</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24338-2026</t>
        </is>
      </c>
      <c r="B157" t="inlineStr">
        <is>
          <t>avverkningsanmälan</t>
        </is>
      </c>
      <c r="C157" t="inlineStr">
        <is>
          <t>Avverkning för att bevara och utveckla /försöksver</t>
        </is>
      </c>
      <c r="D157" s="1" t="n">
        <v>46169</v>
      </c>
      <c r="E157" s="1" t="n">
        <v>46303</v>
      </c>
      <c r="F157" t="inlineStr">
        <is>
          <t>KALMAR LÄN</t>
        </is>
      </c>
      <c r="G157" t="inlineStr">
        <is>
          <t>BORGHOLM</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4035-2022</t>
        </is>
      </c>
      <c r="B158" t="inlineStr">
        <is>
          <t>samrådsanmälan</t>
        </is>
      </c>
      <c r="C158" t="inlineStr">
        <is>
          <t>Annan skogsbruksåtgärd</t>
        </is>
      </c>
      <c r="D158" s="1" t="n">
        <v>44756</v>
      </c>
      <c r="E158" s="1" t="n">
        <v>46303</v>
      </c>
      <c r="F158" t="inlineStr">
        <is>
          <t>KALMAR LÄN</t>
        </is>
      </c>
      <c r="G158" t="inlineStr">
        <is>
          <t>BORGHOLM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605-2025</t>
        </is>
      </c>
      <c r="B159" t="inlineStr">
        <is>
          <t>samrådsanmälan</t>
        </is>
      </c>
      <c r="C159" t="inlineStr">
        <is>
          <t>Annan skogsbruksåtgärd</t>
        </is>
      </c>
      <c r="D159" s="1" t="n">
        <v>45713</v>
      </c>
      <c r="E159" s="1" t="n">
        <v>46303</v>
      </c>
      <c r="F159" t="inlineStr">
        <is>
          <t>KALMAR LÄN</t>
        </is>
      </c>
      <c r="G159" t="inlineStr">
        <is>
          <t>BORGHOLM</t>
        </is>
      </c>
      <c r="H159" t="inlineStr">
        <is>
          <t>Sveaskog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1762-2025</t>
        </is>
      </c>
      <c r="B160" t="inlineStr">
        <is>
          <t>samrådsanmälan</t>
        </is>
      </c>
      <c r="C160" t="inlineStr">
        <is>
          <t>Annan skogsbruksåtgärd</t>
        </is>
      </c>
      <c r="D160" s="1" t="n">
        <v>45812</v>
      </c>
      <c r="E160" s="1" t="n">
        <v>46303</v>
      </c>
      <c r="F160" t="inlineStr">
        <is>
          <t>KALMAR LÄN</t>
        </is>
      </c>
      <c r="G160" t="inlineStr">
        <is>
          <t>BORGHOLM</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1760-2025</t>
        </is>
      </c>
      <c r="B161" t="inlineStr">
        <is>
          <t>samrådsanmälan</t>
        </is>
      </c>
      <c r="C161" t="inlineStr">
        <is>
          <t>Annan skogsbruksåtgärd</t>
        </is>
      </c>
      <c r="D161" s="1" t="n">
        <v>45812</v>
      </c>
      <c r="E161" s="1" t="n">
        <v>46303</v>
      </c>
      <c r="F161" t="inlineStr">
        <is>
          <t>KALMAR LÄN</t>
        </is>
      </c>
      <c r="G161" t="inlineStr">
        <is>
          <t>BORGHOLM</t>
        </is>
      </c>
      <c r="H161" t="inlineStr">
        <is>
          <t>Sveaskog</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1123-2025</t>
        </is>
      </c>
      <c r="B162" t="inlineStr">
        <is>
          <t>samrådsanmälan</t>
        </is>
      </c>
      <c r="C162" t="inlineStr">
        <is>
          <t>Annan skogsbruksåtgärd</t>
        </is>
      </c>
      <c r="D162" s="1" t="n">
        <v>45754</v>
      </c>
      <c r="E162" s="1" t="n">
        <v>46303</v>
      </c>
      <c r="F162" t="inlineStr">
        <is>
          <t>KALMAR LÄN</t>
        </is>
      </c>
      <c r="G162" t="inlineStr">
        <is>
          <t>BORGHOLM</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842-2026</t>
        </is>
      </c>
      <c r="B163" t="inlineStr">
        <is>
          <t>samrådsanmälan</t>
        </is>
      </c>
      <c r="C163" t="inlineStr">
        <is>
          <t>Annan skogsbruksåtgärd</t>
        </is>
      </c>
      <c r="D163" s="1" t="n">
        <v>46105</v>
      </c>
      <c r="E163" s="1" t="n">
        <v>46303</v>
      </c>
      <c r="F163" t="inlineStr">
        <is>
          <t>KALMAR LÄN</t>
        </is>
      </c>
      <c r="G163" t="inlineStr">
        <is>
          <t>BORGHOLM</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843-2026</t>
        </is>
      </c>
      <c r="B164" t="inlineStr">
        <is>
          <t>samrådsanmälan</t>
        </is>
      </c>
      <c r="C164" t="inlineStr">
        <is>
          <t>Annan skogsbruksåtgärd</t>
        </is>
      </c>
      <c r="D164" s="1" t="n">
        <v>46105</v>
      </c>
      <c r="E164" s="1" t="n">
        <v>46303</v>
      </c>
      <c r="F164" t="inlineStr">
        <is>
          <t>KALMAR LÄN</t>
        </is>
      </c>
      <c r="G164" t="inlineStr">
        <is>
          <t>BORGHOLM</t>
        </is>
      </c>
      <c r="H164" t="inlineStr">
        <is>
          <t>Sveaskog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1556-2026</t>
        </is>
      </c>
      <c r="B165" t="inlineStr">
        <is>
          <t>samrådsanmälan</t>
        </is>
      </c>
      <c r="C165" t="inlineStr">
        <is>
          <t>Annan skogsbruksåtgärd</t>
        </is>
      </c>
      <c r="D165" s="1" t="n">
        <v>46169</v>
      </c>
      <c r="E165" s="1" t="n">
        <v>46303</v>
      </c>
      <c r="F165" t="inlineStr">
        <is>
          <t>KALMAR LÄN</t>
        </is>
      </c>
      <c r="G165" t="inlineStr">
        <is>
          <t>BORGHOLM</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1812-2026</t>
        </is>
      </c>
      <c r="B166" t="inlineStr">
        <is>
          <t>samrådsanmälan</t>
        </is>
      </c>
      <c r="C166" t="inlineStr">
        <is>
          <t>Annan skogsbruksåtgärd</t>
        </is>
      </c>
      <c r="D166" s="1" t="n">
        <v>46197</v>
      </c>
      <c r="E166" s="1" t="n">
        <v>46303</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1806-2026</t>
        </is>
      </c>
      <c r="B167" t="inlineStr">
        <is>
          <t>samrådsanmälan</t>
        </is>
      </c>
      <c r="C167" t="inlineStr">
        <is>
          <t>Annan skogsbruksåtgärd</t>
        </is>
      </c>
      <c r="D167" s="1" t="n">
        <v>46196</v>
      </c>
      <c r="E167" s="1" t="n">
        <v>46303</v>
      </c>
      <c r="F167" t="inlineStr">
        <is>
          <t>KALMAR LÄN</t>
        </is>
      </c>
      <c r="G167" t="inlineStr">
        <is>
          <t>BORGHOLM</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1807-2026</t>
        </is>
      </c>
      <c r="B168" t="inlineStr">
        <is>
          <t>samrådsanmälan</t>
        </is>
      </c>
      <c r="C168" t="inlineStr">
        <is>
          <t>Annan skogsbruksåtgärd</t>
        </is>
      </c>
      <c r="D168" s="1" t="n">
        <v>46196</v>
      </c>
      <c r="E168" s="1" t="n">
        <v>46303</v>
      </c>
      <c r="F168" t="inlineStr">
        <is>
          <t>KALMAR LÄN</t>
        </is>
      </c>
      <c r="G168" t="inlineStr">
        <is>
          <t>BORGHOLM</t>
        </is>
      </c>
      <c r="H168" t="inlineStr">
        <is>
          <t>Sveaskog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1891-2026</t>
        </is>
      </c>
      <c r="B169" t="inlineStr">
        <is>
          <t>samrådsanmälan</t>
        </is>
      </c>
      <c r="C169" t="inlineStr">
        <is>
          <t>Annan skogsbruksåtgärd</t>
        </is>
      </c>
      <c r="D169" s="1" t="n">
        <v>46203</v>
      </c>
      <c r="E169" s="1" t="n">
        <v>46303</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1885-2026</t>
        </is>
      </c>
      <c r="B170" t="inlineStr">
        <is>
          <t>samrådsanmälan</t>
        </is>
      </c>
      <c r="C170" t="inlineStr">
        <is>
          <t>Annan skogsbruksåtgärd</t>
        </is>
      </c>
      <c r="D170" s="1" t="n">
        <v>46203</v>
      </c>
      <c r="E170" s="1" t="n">
        <v>46303</v>
      </c>
      <c r="F170" t="inlineStr">
        <is>
          <t>KALMAR LÄN</t>
        </is>
      </c>
      <c r="G170" t="inlineStr">
        <is>
          <t>BORGHOLM</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1887-2026</t>
        </is>
      </c>
      <c r="B171" t="inlineStr">
        <is>
          <t>samrådsanmälan</t>
        </is>
      </c>
      <c r="C171" t="inlineStr">
        <is>
          <t>Annan skogsbruksåtgärd</t>
        </is>
      </c>
      <c r="D171" s="1" t="n">
        <v>46203</v>
      </c>
      <c r="E171" s="1" t="n">
        <v>46303</v>
      </c>
      <c r="F171" t="inlineStr">
        <is>
          <t>KALMAR LÄN</t>
        </is>
      </c>
      <c r="G171" t="inlineStr">
        <is>
          <t>BORGHOLM</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c r="A172" t="inlineStr">
        <is>
          <t>S 1888-2026</t>
        </is>
      </c>
      <c r="B172" t="inlineStr">
        <is>
          <t>samrådsanmälan</t>
        </is>
      </c>
      <c r="C172" t="inlineStr">
        <is>
          <t>Annan skogsbruksåtgärd</t>
        </is>
      </c>
      <c r="D172" s="1" t="n">
        <v>46203</v>
      </c>
      <c r="E172" s="1" t="n">
        <v>46303</v>
      </c>
      <c r="F172" t="inlineStr">
        <is>
          <t>KALMAR LÄN</t>
        </is>
      </c>
      <c r="G172" t="inlineStr">
        <is>
          <t>BORGHOLM</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2026-10-08T02:07:33Z</dcterms:created>
  <dcterms:modified xmlns:dcterms="http://purl.org/dc/terms/" xmlns:xsi="http://www.w3.org/2001/XMLSchema-instance" xsi:type="dcterms:W3CDTF">2026-10-08T02:07:33Z</dcterms:modified>
</cp:coreProperties>
</file>