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46267</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46267</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46267</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46267</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46267</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46267</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46267</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46267</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46267</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46267</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46267</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46267</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46267</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46267</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46267</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46267</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31515-2026</t>
        </is>
      </c>
      <c r="B25" t="inlineStr">
        <is>
          <t>avverkningsanmälan</t>
        </is>
      </c>
      <c r="C25" t="inlineStr">
        <is>
          <t>Avverkning för att bevara och utveckla /försöksver</t>
        </is>
      </c>
      <c r="D25" s="1" t="n">
        <v>46223</v>
      </c>
      <c r="E25" s="1" t="n">
        <v>46267</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46267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46267</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46267</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46267</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46267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46267</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46267</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46267</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46267</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46267</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46267</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46267</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46267</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46267</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46267</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46267</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46267</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46267</v>
      </c>
      <c r="F43" t="inlineStr">
        <is>
          <t>KALMAR LÄN</t>
        </is>
      </c>
      <c r="G43" t="inlineStr">
        <is>
          <t>BORGHOLM</t>
        </is>
      </c>
      <c r="I43" t="n">
        <v>1.4</v>
      </c>
      <c r="J43" t="n">
        <v>2</v>
      </c>
      <c r="K43" t="n">
        <v>2</v>
      </c>
      <c r="L43" t="n">
        <v>1</v>
      </c>
      <c r="M43" t="n">
        <v>0</v>
      </c>
      <c r="N43" t="n">
        <v>0</v>
      </c>
      <c r="O43" t="n">
        <v>0</v>
      </c>
      <c r="P43" t="n">
        <v>0</v>
      </c>
      <c r="Q43" t="n">
        <v>1</v>
      </c>
      <c r="R43" t="n">
        <v>0</v>
      </c>
      <c r="S43" t="n">
        <v>4</v>
      </c>
      <c r="T43" t="n">
        <v>11</v>
      </c>
      <c r="U43" t="n">
        <v>6</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4164-2023</t>
        </is>
      </c>
      <c r="B44" t="inlineStr">
        <is>
          <t>avverkningsanmälan</t>
        </is>
      </c>
      <c r="C44" t="inlineStr">
        <is>
          <t>Föryngringsavverkning</t>
        </is>
      </c>
      <c r="D44" s="1" t="n">
        <v>44953</v>
      </c>
      <c r="E44" s="1" t="n">
        <v>46267</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27290-2026</t>
        </is>
      </c>
      <c r="B45" t="inlineStr">
        <is>
          <t>avverkningsanmälan</t>
        </is>
      </c>
      <c r="C45" t="inlineStr">
        <is>
          <t>Avverkning för att bevara och utveckla /försöksver</t>
        </is>
      </c>
      <c r="D45" s="1" t="n">
        <v>46188</v>
      </c>
      <c r="E45" s="1" t="n">
        <v>46267</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7960-2023</t>
        </is>
      </c>
      <c r="B46" t="inlineStr">
        <is>
          <t>avverkningsanmälan</t>
        </is>
      </c>
      <c r="C46" t="inlineStr">
        <is>
          <t>Föryngringsavverkning</t>
        </is>
      </c>
      <c r="D46" s="1" t="n">
        <v>44973</v>
      </c>
      <c r="E46" s="1" t="n">
        <v>46267</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2740-2022</t>
        </is>
      </c>
      <c r="B47" t="inlineStr">
        <is>
          <t>samrådsanmälan</t>
        </is>
      </c>
      <c r="C47" t="inlineStr">
        <is>
          <t>Annan skogsbruksåtgärd</t>
        </is>
      </c>
      <c r="D47" s="1" t="n">
        <v>44704</v>
      </c>
      <c r="E47" s="1" t="n">
        <v>46267</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46267</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46267</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46267</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46267</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32174-2022</t>
        </is>
      </c>
      <c r="B52" t="inlineStr">
        <is>
          <t>avverkningsanmälan</t>
        </is>
      </c>
      <c r="C52" t="inlineStr">
        <is>
          <t>Avverkning för att bevara och utveckla /försöksver</t>
        </is>
      </c>
      <c r="D52" s="1" t="n">
        <v>44781</v>
      </c>
      <c r="E52" s="1" t="n">
        <v>46267</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15285-2026</t>
        </is>
      </c>
      <c r="B53" t="inlineStr">
        <is>
          <t>avverkningsanmälan</t>
        </is>
      </c>
      <c r="C53" t="inlineStr">
        <is>
          <t>Avverkning för att bevara och utveckla /försöksver</t>
        </is>
      </c>
      <c r="D53" s="1" t="n">
        <v>46105</v>
      </c>
      <c r="E53" s="1" t="n">
        <v>46267</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43756-2022</t>
        </is>
      </c>
      <c r="B54" t="inlineStr">
        <is>
          <t>avverkningsanmälan</t>
        </is>
      </c>
      <c r="C54" t="inlineStr">
        <is>
          <t>Föryngringsavverkning</t>
        </is>
      </c>
      <c r="D54" s="1" t="n">
        <v>44837</v>
      </c>
      <c r="E54" s="1" t="n">
        <v>46267</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26849-2026</t>
        </is>
      </c>
      <c r="B55" t="inlineStr">
        <is>
          <t>avverkningsanmälan</t>
        </is>
      </c>
      <c r="C55" t="inlineStr">
        <is>
          <t>Föryngringsavverkning</t>
        </is>
      </c>
      <c r="D55" s="1" t="n">
        <v>46185</v>
      </c>
      <c r="E55" s="1" t="n">
        <v>46267</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46267</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24048-2025</t>
        </is>
      </c>
      <c r="B57" t="inlineStr">
        <is>
          <t>avverkningsanmälan</t>
        </is>
      </c>
      <c r="C57" t="inlineStr">
        <is>
          <t>Föryngringsavverkning</t>
        </is>
      </c>
      <c r="D57" s="1" t="n">
        <v>45796</v>
      </c>
      <c r="E57" s="1" t="n">
        <v>46267</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A 31520-2026</t>
        </is>
      </c>
      <c r="B58" t="inlineStr">
        <is>
          <t>avverkningsanmälan</t>
        </is>
      </c>
      <c r="C58" t="inlineStr">
        <is>
          <t>Avverkning för att bevara och utveckla /försöksver</t>
        </is>
      </c>
      <c r="D58" s="1" t="n">
        <v>46223</v>
      </c>
      <c r="E58" s="1" t="n">
        <v>46267</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S 846-2026</t>
        </is>
      </c>
      <c r="B59" t="inlineStr">
        <is>
          <t>samrådsanmälan</t>
        </is>
      </c>
      <c r="C59" t="inlineStr">
        <is>
          <t>Annan skogsbruksåtgärd</t>
        </is>
      </c>
      <c r="D59" s="1" t="n">
        <v>46105</v>
      </c>
      <c r="E59" s="1" t="n">
        <v>46267</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46267</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46267</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46267</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9253-2026</t>
        </is>
      </c>
      <c r="B63" t="inlineStr">
        <is>
          <t>avverkningsanmälan</t>
        </is>
      </c>
      <c r="C63" t="inlineStr">
        <is>
          <t>Föryngringsavverkning</t>
        </is>
      </c>
      <c r="D63" s="1" t="n">
        <v>46070</v>
      </c>
      <c r="E63" s="1" t="n">
        <v>46267</v>
      </c>
      <c r="F63" t="inlineStr">
        <is>
          <t>KALMAR LÄN</t>
        </is>
      </c>
      <c r="G63" t="inlineStr">
        <is>
          <t>BORGHOLM</t>
        </is>
      </c>
      <c r="I63" t="n">
        <v>1.1</v>
      </c>
      <c r="J63" t="n">
        <v>1</v>
      </c>
      <c r="K63" t="n">
        <v>1</v>
      </c>
      <c r="L63" t="n">
        <v>0</v>
      </c>
      <c r="M63" t="n">
        <v>0</v>
      </c>
      <c r="N63" t="n">
        <v>0</v>
      </c>
      <c r="O63" t="n">
        <v>0</v>
      </c>
      <c r="P63" t="n">
        <v>0</v>
      </c>
      <c r="Q63" t="n">
        <v>0</v>
      </c>
      <c r="R63" t="n">
        <v>0</v>
      </c>
      <c r="S63" t="n">
        <v>2</v>
      </c>
      <c r="T63" t="n">
        <v>2</v>
      </c>
      <c r="U63" t="n">
        <v>0</v>
      </c>
      <c r="V63" s="2" t="inlineStr">
        <is>
          <t>Murgröna
Gullviva</t>
        </is>
      </c>
      <c r="W63">
        <f>HYPERLINK("https://klasma.github.io/Logging_0885/artfynd/A 9253-2026 artfynd.xlsx", "A 9253-2026")</f>
        <v/>
      </c>
      <c r="X63">
        <f>HYPERLINK("https://klasma.github.io/Logging_0885/kartor/A 9253-2026 karta.png", "A 9253-2026")</f>
        <v/>
      </c>
      <c r="Y63">
        <f>HYPERLINK("https://klasma.github.io/Logging_0885/kartor_geotiff/A 9253-2026 georefererad karta.tif", "A 9253-2026")</f>
        <v/>
      </c>
      <c r="AA63">
        <f>HYPERLINK("https://klasma.github.io/Logging_0885/klagomål/A 9253-2026 FSC-klagomål.docx", "A 9253-2026")</f>
        <v/>
      </c>
      <c r="AB63">
        <f>HYPERLINK("https://klasma.github.io/Logging_0885/klagomålsmail/A 9253-2026 FSC-klagomål mail.docx", "A 9253-2026")</f>
        <v/>
      </c>
      <c r="AC63">
        <f>HYPERLINK("https://klasma.github.io/Logging_0885/tillsyn/A 9253-2026 tillsynsbegäran.docx", "A 9253-2026")</f>
        <v/>
      </c>
      <c r="AD63">
        <f>HYPERLINK("https://klasma.github.io/Logging_0885/tillsynsmail/A 9253-2026 tillsynsbegäran mail.docx", "A 9253-2026")</f>
        <v/>
      </c>
    </row>
    <row r="64" ht="15" customHeight="1">
      <c r="A64" t="inlineStr">
        <is>
          <t>A 44678-2022</t>
        </is>
      </c>
      <c r="B64" t="inlineStr">
        <is>
          <t>avverkningsanmälan</t>
        </is>
      </c>
      <c r="C64" t="inlineStr">
        <is>
          <t>Föryngringsavverkning</t>
        </is>
      </c>
      <c r="D64" s="1" t="n">
        <v>44840</v>
      </c>
      <c r="E64" s="1" t="n">
        <v>46267</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60141-2025</t>
        </is>
      </c>
      <c r="B65" t="inlineStr">
        <is>
          <t>avverkningsanmälan</t>
        </is>
      </c>
      <c r="C65" t="inlineStr">
        <is>
          <t>Föryngringsavverkning</t>
        </is>
      </c>
      <c r="D65" s="1" t="n">
        <v>45994</v>
      </c>
      <c r="E65" s="1" t="n">
        <v>46267</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46267</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50129-2021</t>
        </is>
      </c>
      <c r="B67" t="inlineStr">
        <is>
          <t>avverkningsanmälan</t>
        </is>
      </c>
      <c r="C67" t="inlineStr">
        <is>
          <t>Avverkning för annat ändamål</t>
        </is>
      </c>
      <c r="D67" s="1" t="n">
        <v>44456</v>
      </c>
      <c r="E67" s="1" t="n">
        <v>46267</v>
      </c>
      <c r="F67" t="inlineStr">
        <is>
          <t>KALMAR LÄN</t>
        </is>
      </c>
      <c r="G67" t="inlineStr">
        <is>
          <t>BORGHOLM</t>
        </is>
      </c>
      <c r="I67" t="n">
        <v>1.6</v>
      </c>
      <c r="J67" t="n">
        <v>1</v>
      </c>
      <c r="K67" t="n">
        <v>1</v>
      </c>
      <c r="L67" t="n">
        <v>0</v>
      </c>
      <c r="M67" t="n">
        <v>0</v>
      </c>
      <c r="N67" t="n">
        <v>0</v>
      </c>
      <c r="O67" t="n">
        <v>0</v>
      </c>
      <c r="P67" t="n">
        <v>0</v>
      </c>
      <c r="Q67" t="n">
        <v>0</v>
      </c>
      <c r="R67" t="n">
        <v>0</v>
      </c>
      <c r="S67" t="n">
        <v>2</v>
      </c>
      <c r="T67" t="n">
        <v>2</v>
      </c>
      <c r="U67" t="n">
        <v>2</v>
      </c>
      <c r="V67" s="2" t="inlineStr">
        <is>
          <t>Murgröna
Blåsippa</t>
        </is>
      </c>
      <c r="W67">
        <f>HYPERLINK("https://klasma.github.io/Logging_0885/artfynd/A 50129-2021 artfynd.xlsx", "A 50129-2021")</f>
        <v/>
      </c>
      <c r="X67">
        <f>HYPERLINK("https://klasma.github.io/Logging_0885/kartor/A 50129-2021 karta.png", "A 50129-2021")</f>
        <v/>
      </c>
      <c r="Y67">
        <f>HYPERLINK("https://klasma.github.io/Logging_0885/kartor_geotiff/A 50129-2021 georefererad karta.tif", "A 50129-2021")</f>
        <v/>
      </c>
      <c r="AA67">
        <f>HYPERLINK("https://klasma.github.io/Logging_0885/klagomål/A 50129-2021 FSC-klagomål.docx", "A 50129-2021")</f>
        <v/>
      </c>
      <c r="AB67">
        <f>HYPERLINK("https://klasma.github.io/Logging_0885/klagomålsmail/A 50129-2021 FSC-klagomål mail.docx", "A 50129-2021")</f>
        <v/>
      </c>
      <c r="AC67">
        <f>HYPERLINK("https://klasma.github.io/Logging_0885/tillsyn/A 50129-2021 tillsynsbegäran.docx", "A 50129-2021")</f>
        <v/>
      </c>
      <c r="AD67">
        <f>HYPERLINK("https://klasma.github.io/Logging_0885/tillsynsmail/A 50129-2021 tillsynsbegäran mail.docx", "A 50129-2021")</f>
        <v/>
      </c>
    </row>
    <row r="68" ht="15" customHeight="1">
      <c r="A68" t="inlineStr">
        <is>
          <t>A 17699-2025</t>
        </is>
      </c>
      <c r="B68" t="inlineStr">
        <is>
          <t>avverkningsanmälan</t>
        </is>
      </c>
      <c r="C68" t="inlineStr">
        <is>
          <t>Föryngringsavverkning</t>
        </is>
      </c>
      <c r="D68" s="1" t="n">
        <v>45758</v>
      </c>
      <c r="E68" s="1" t="n">
        <v>46267</v>
      </c>
      <c r="F68" t="inlineStr">
        <is>
          <t>KALMAR LÄN</t>
        </is>
      </c>
      <c r="G68" t="inlineStr">
        <is>
          <t>BORGHOLM</t>
        </is>
      </c>
      <c r="I68" t="n">
        <v>0.7</v>
      </c>
      <c r="J68" t="n">
        <v>0</v>
      </c>
      <c r="K68" t="n">
        <v>0</v>
      </c>
      <c r="L68" t="n">
        <v>2</v>
      </c>
      <c r="M68" t="n">
        <v>0</v>
      </c>
      <c r="N68" t="n">
        <v>0</v>
      </c>
      <c r="O68" t="n">
        <v>0</v>
      </c>
      <c r="P68" t="n">
        <v>0</v>
      </c>
      <c r="Q68" t="n">
        <v>2</v>
      </c>
      <c r="R68" t="n">
        <v>0</v>
      </c>
      <c r="S68" t="n">
        <v>2</v>
      </c>
      <c r="T68" t="n">
        <v>2</v>
      </c>
      <c r="U68" t="n">
        <v>2</v>
      </c>
      <c r="V68" s="2" t="inlineStr">
        <is>
          <t>Backtimjan
Klibbveronika</t>
        </is>
      </c>
      <c r="W68">
        <f>HYPERLINK("https://klasma.github.io/Logging_0885/artfynd/A 17699-2025 artfynd.xlsx", "A 17699-2025")</f>
        <v/>
      </c>
      <c r="X68">
        <f>HYPERLINK("https://klasma.github.io/Logging_0885/kartor/A 17699-2025 karta.png", "A 17699-2025")</f>
        <v/>
      </c>
      <c r="Y68">
        <f>HYPERLINK("https://klasma.github.io/Logging_0885/kartor_geotiff/A 17699-2025 georefererad karta.tif", "A 17699-2025")</f>
        <v/>
      </c>
      <c r="AA68">
        <f>HYPERLINK("https://klasma.github.io/Logging_0885/klagomål/A 17699-2025 FSC-klagomål.docx", "A 17699-2025")</f>
        <v/>
      </c>
      <c r="AB68">
        <f>HYPERLINK("https://klasma.github.io/Logging_0885/klagomålsmail/A 17699-2025 FSC-klagomål mail.docx", "A 17699-2025")</f>
        <v/>
      </c>
      <c r="AC68">
        <f>HYPERLINK("https://klasma.github.io/Logging_0885/tillsyn/A 17699-2025 tillsynsbegäran.docx", "A 17699-2025")</f>
        <v/>
      </c>
      <c r="AD68">
        <f>HYPERLINK("https://klasma.github.io/Logging_0885/tillsynsmail/A 17699-2025 tillsynsbegäran mail.docx", "A 17699-2025")</f>
        <v/>
      </c>
    </row>
    <row r="69" ht="15" customHeight="1">
      <c r="A69" t="inlineStr">
        <is>
          <t>A 21908-2022</t>
        </is>
      </c>
      <c r="B69" t="inlineStr">
        <is>
          <t>avverkningsanmälan</t>
        </is>
      </c>
      <c r="C69" t="inlineStr">
        <is>
          <t>Föryngringsavverkning</t>
        </is>
      </c>
      <c r="D69" s="1" t="n">
        <v>44711</v>
      </c>
      <c r="E69" s="1" t="n">
        <v>46267</v>
      </c>
      <c r="F69" t="inlineStr">
        <is>
          <t>KALMAR LÄN</t>
        </is>
      </c>
      <c r="G69" t="inlineStr">
        <is>
          <t>BORGHOLM</t>
        </is>
      </c>
      <c r="I69" t="n">
        <v>4.7</v>
      </c>
      <c r="J69" t="n">
        <v>1</v>
      </c>
      <c r="K69" t="n">
        <v>2</v>
      </c>
      <c r="L69" t="n">
        <v>0</v>
      </c>
      <c r="M69" t="n">
        <v>0</v>
      </c>
      <c r="N69" t="n">
        <v>0</v>
      </c>
      <c r="O69" t="n">
        <v>0</v>
      </c>
      <c r="P69" t="n">
        <v>0</v>
      </c>
      <c r="Q69" t="n">
        <v>0</v>
      </c>
      <c r="R69" t="n">
        <v>0</v>
      </c>
      <c r="S69" t="n">
        <v>2</v>
      </c>
      <c r="T69" t="n">
        <v>2</v>
      </c>
      <c r="U69" t="n">
        <v>2</v>
      </c>
      <c r="V69" s="2" t="inlineStr">
        <is>
          <t>Myskmadra
Skogsknipprot</t>
        </is>
      </c>
      <c r="W69">
        <f>HYPERLINK("https://klasma.github.io/Logging_0885/artfynd/A 21908-2022 artfynd.xlsx", "A 21908-2022")</f>
        <v/>
      </c>
      <c r="X69">
        <f>HYPERLINK("https://klasma.github.io/Logging_0885/kartor/A 21908-2022 karta.png", "A 21908-2022")</f>
        <v/>
      </c>
      <c r="Y69">
        <f>HYPERLINK("https://klasma.github.io/Logging_0885/kartor_geotiff/A 21908-2022 georefererad karta.tif", "A 21908-2022")</f>
        <v/>
      </c>
      <c r="AA69">
        <f>HYPERLINK("https://klasma.github.io/Logging_0885/klagomål/A 21908-2022 FSC-klagomål.docx", "A 21908-2022")</f>
        <v/>
      </c>
      <c r="AB69">
        <f>HYPERLINK("https://klasma.github.io/Logging_0885/klagomålsmail/A 21908-2022 FSC-klagomål mail.docx", "A 21908-2022")</f>
        <v/>
      </c>
      <c r="AC69">
        <f>HYPERLINK("https://klasma.github.io/Logging_0885/tillsyn/A 21908-2022 tillsynsbegäran.docx", "A 21908-2022")</f>
        <v/>
      </c>
      <c r="AD69">
        <f>HYPERLINK("https://klasma.github.io/Logging_0885/tillsynsmail/A 21908-2022 tillsynsbegäran mail.docx", "A 21908-2022")</f>
        <v/>
      </c>
    </row>
    <row r="70" ht="15" customHeight="1">
      <c r="A70" t="inlineStr">
        <is>
          <t>A 24322-2026</t>
        </is>
      </c>
      <c r="B70" t="inlineStr">
        <is>
          <t>avverkningsanmälan</t>
        </is>
      </c>
      <c r="C70" t="inlineStr">
        <is>
          <t>Föryngringsavverkning</t>
        </is>
      </c>
      <c r="D70" s="1" t="n">
        <v>46169</v>
      </c>
      <c r="E70" s="1" t="n">
        <v>46267</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29411-2026</t>
        </is>
      </c>
      <c r="B71" t="inlineStr">
        <is>
          <t>avverkningsanmälan</t>
        </is>
      </c>
      <c r="C71" t="inlineStr">
        <is>
          <t>Avverkning för att bevara och utveckla /försöksver</t>
        </is>
      </c>
      <c r="D71" s="1" t="n">
        <v>46203</v>
      </c>
      <c r="E71" s="1" t="n">
        <v>46267</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24166-2022</t>
        </is>
      </c>
      <c r="B72" t="inlineStr">
        <is>
          <t>avverkningsanmälan</t>
        </is>
      </c>
      <c r="C72" t="inlineStr">
        <is>
          <t>Avverkning för annat ändamål</t>
        </is>
      </c>
      <c r="D72" s="1" t="n">
        <v>44725</v>
      </c>
      <c r="E72" s="1" t="n">
        <v>46267</v>
      </c>
      <c r="F72" t="inlineStr">
        <is>
          <t>KALMAR LÄN</t>
        </is>
      </c>
      <c r="G72" t="inlineStr">
        <is>
          <t>BORGHOLM</t>
        </is>
      </c>
      <c r="I72" t="n">
        <v>10.7</v>
      </c>
      <c r="J72" t="n">
        <v>0</v>
      </c>
      <c r="K72" t="n">
        <v>0</v>
      </c>
      <c r="L72" t="n">
        <v>1</v>
      </c>
      <c r="M72" t="n">
        <v>1</v>
      </c>
      <c r="N72" t="n">
        <v>0</v>
      </c>
      <c r="O72" t="n">
        <v>0</v>
      </c>
      <c r="P72" t="n">
        <v>0</v>
      </c>
      <c r="Q72" t="n">
        <v>2</v>
      </c>
      <c r="R72" t="n">
        <v>1</v>
      </c>
      <c r="S72" t="n">
        <v>2</v>
      </c>
      <c r="T72" t="n">
        <v>2</v>
      </c>
      <c r="U72" t="n">
        <v>1</v>
      </c>
      <c r="V72" s="2" t="inlineStr">
        <is>
          <t>Plattsäv
Jungfrulin</t>
        </is>
      </c>
      <c r="W72">
        <f>HYPERLINK("https://klasma.github.io/Logging_0885/artfynd/A 24166-2022 artfynd.xlsx", "A 24166-2022")</f>
        <v/>
      </c>
      <c r="X72">
        <f>HYPERLINK("https://klasma.github.io/Logging_0885/kartor/A 24166-2022 karta.png", "A 24166-2022")</f>
        <v/>
      </c>
      <c r="Y72">
        <f>HYPERLINK("https://klasma.github.io/Logging_0885/kartor_geotiff/A 24166-2022 georefererad karta.tif", "A 24166-2022")</f>
        <v/>
      </c>
      <c r="AA72">
        <f>HYPERLINK("https://klasma.github.io/Logging_0885/klagomål/A 24166-2022 FSC-klagomål.docx", "A 24166-2022")</f>
        <v/>
      </c>
      <c r="AB72">
        <f>HYPERLINK("https://klasma.github.io/Logging_0885/klagomålsmail/A 24166-2022 FSC-klagomål mail.docx", "A 24166-2022")</f>
        <v/>
      </c>
      <c r="AC72">
        <f>HYPERLINK("https://klasma.github.io/Logging_0885/tillsyn/A 24166-2022 tillsynsbegäran.docx", "A 24166-2022")</f>
        <v/>
      </c>
      <c r="AD72">
        <f>HYPERLINK("https://klasma.github.io/Logging_0885/tillsynsmail/A 24166-2022 tillsynsbegäran mail.docx", "A 24166-2022")</f>
        <v/>
      </c>
    </row>
    <row r="73" ht="15" customHeight="1">
      <c r="A73" t="inlineStr">
        <is>
          <t>A 29434-2026</t>
        </is>
      </c>
      <c r="B73" t="inlineStr">
        <is>
          <t>avverkningsanmälan</t>
        </is>
      </c>
      <c r="C73" t="inlineStr">
        <is>
          <t>Avverkning för att bevara och utveckla /försöksver</t>
        </is>
      </c>
      <c r="D73" s="1" t="n">
        <v>46203</v>
      </c>
      <c r="E73" s="1" t="n">
        <v>46267</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46267</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46267</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46267</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46267</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46267</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46267</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9745-2023</t>
        </is>
      </c>
      <c r="B80" t="inlineStr">
        <is>
          <t>avverkningsanmälan</t>
        </is>
      </c>
      <c r="C80" t="inlineStr">
        <is>
          <t>Föryngringsavverkning</t>
        </is>
      </c>
      <c r="D80" s="1" t="n">
        <v>44984</v>
      </c>
      <c r="E80" s="1" t="n">
        <v>46267</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t="n">
        <v>1</v>
      </c>
      <c r="V80" s="2" t="inlineStr">
        <is>
          <t>Skogsknipprot</t>
        </is>
      </c>
      <c r="W80">
        <f>HYPERLINK("https://klasma.github.io/Logging_0885/artfynd/A 9745-2023 artfynd.xlsx", "A 9745-2023")</f>
        <v/>
      </c>
      <c r="X80">
        <f>HYPERLINK("https://klasma.github.io/Logging_0885/kartor/A 9745-2023 karta.png", "A 9745-2023")</f>
        <v/>
      </c>
      <c r="Y80">
        <f>HYPERLINK("https://klasma.github.io/Logging_0885/kartor_geotiff/A 9745-2023 georefererad karta.tif", "A 9745-2023")</f>
        <v/>
      </c>
      <c r="AA80">
        <f>HYPERLINK("https://klasma.github.io/Logging_0885/klagomål/A 9745-2023 FSC-klagomål.docx", "A 9745-2023")</f>
        <v/>
      </c>
      <c r="AB80">
        <f>HYPERLINK("https://klasma.github.io/Logging_0885/klagomålsmail/A 9745-2023 FSC-klagomål mail.docx", "A 9745-2023")</f>
        <v/>
      </c>
      <c r="AC80">
        <f>HYPERLINK("https://klasma.github.io/Logging_0885/tillsyn/A 9745-2023 tillsynsbegäran.docx", "A 9745-2023")</f>
        <v/>
      </c>
      <c r="AD80">
        <f>HYPERLINK("https://klasma.github.io/Logging_0885/tillsynsmail/A 9745-2023 tillsynsbegäran mail.docx", "A 9745-2023")</f>
        <v/>
      </c>
    </row>
    <row r="81" ht="15" customHeight="1">
      <c r="A81" t="inlineStr">
        <is>
          <t>A 20878-2024</t>
        </is>
      </c>
      <c r="B81" t="inlineStr">
        <is>
          <t>avverkningsanmälan</t>
        </is>
      </c>
      <c r="C81" t="inlineStr">
        <is>
          <t>Föryngringsavverkning</t>
        </is>
      </c>
      <c r="D81" s="1" t="n">
        <v>45439</v>
      </c>
      <c r="E81" s="1" t="n">
        <v>46267</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3302-2026</t>
        </is>
      </c>
      <c r="B82" t="inlineStr">
        <is>
          <t>avverkningsanmälan</t>
        </is>
      </c>
      <c r="C82" t="inlineStr">
        <is>
          <t>Avverkning för annat ändamål</t>
        </is>
      </c>
      <c r="D82" s="1" t="n">
        <v>46041</v>
      </c>
      <c r="E82" s="1" t="n">
        <v>46267</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28782-2025</t>
        </is>
      </c>
      <c r="B83" t="inlineStr">
        <is>
          <t>avverkningsanmälan</t>
        </is>
      </c>
      <c r="C83" t="inlineStr">
        <is>
          <t>Avverkning för att bevara och utveckla /försöksver</t>
        </is>
      </c>
      <c r="D83" s="1" t="n">
        <v>45820</v>
      </c>
      <c r="E83" s="1" t="n">
        <v>46267</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46267</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41831-2025</t>
        </is>
      </c>
      <c r="B85" t="inlineStr">
        <is>
          <t>avverkningsanmälan</t>
        </is>
      </c>
      <c r="C85" t="inlineStr">
        <is>
          <t>Föryngringsavverkning</t>
        </is>
      </c>
      <c r="D85" s="1" t="n">
        <v>45902</v>
      </c>
      <c r="E85" s="1" t="n">
        <v>46267</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31720-2022</t>
        </is>
      </c>
      <c r="B86" t="inlineStr">
        <is>
          <t>avverkningsanmälan</t>
        </is>
      </c>
      <c r="C86" t="inlineStr">
        <is>
          <t>Föryngringsavverkning</t>
        </is>
      </c>
      <c r="D86" s="1" t="n">
        <v>44776</v>
      </c>
      <c r="E86" s="1" t="n">
        <v>46267</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7481-2026</t>
        </is>
      </c>
      <c r="B87" t="inlineStr">
        <is>
          <t>avverkningsanmälan</t>
        </is>
      </c>
      <c r="C87" t="inlineStr">
        <is>
          <t>Föryngringsavverkning</t>
        </is>
      </c>
      <c r="D87" s="1" t="n">
        <v>46059</v>
      </c>
      <c r="E87" s="1" t="n">
        <v>46267</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46267</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46267</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24701-2023</t>
        </is>
      </c>
      <c r="B90" t="inlineStr">
        <is>
          <t>avverkningsanmälan</t>
        </is>
      </c>
      <c r="C90" t="inlineStr">
        <is>
          <t>Föryngringsavverkning</t>
        </is>
      </c>
      <c r="D90" s="1" t="n">
        <v>45084</v>
      </c>
      <c r="E90" s="1" t="n">
        <v>46267</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46267</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19867-2024</t>
        </is>
      </c>
      <c r="B92" t="inlineStr">
        <is>
          <t>avverkningsanmälan</t>
        </is>
      </c>
      <c r="C92" t="inlineStr">
        <is>
          <t>Föryngringsavverkning</t>
        </is>
      </c>
      <c r="D92" s="1" t="n">
        <v>45433</v>
      </c>
      <c r="E92" s="1" t="n">
        <v>46267</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46267</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28430-2026</t>
        </is>
      </c>
      <c r="B94" t="inlineStr">
        <is>
          <t>avverkningsanmälan</t>
        </is>
      </c>
      <c r="C94" t="inlineStr">
        <is>
          <t>Avverkning för att bevara och utveckla /försöksver</t>
        </is>
      </c>
      <c r="D94" s="1" t="n">
        <v>46197</v>
      </c>
      <c r="E94" s="1" t="n">
        <v>46267</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28374-2026</t>
        </is>
      </c>
      <c r="B95" t="inlineStr">
        <is>
          <t>avverkningsanmälan</t>
        </is>
      </c>
      <c r="C95" t="inlineStr">
        <is>
          <t>Avverkning för att bevara och utveckla /försöksver</t>
        </is>
      </c>
      <c r="D95" s="1" t="n">
        <v>46196</v>
      </c>
      <c r="E95" s="1" t="n">
        <v>46267</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33293-2026</t>
        </is>
      </c>
      <c r="B96" t="inlineStr">
        <is>
          <t>avverkningsanmälan</t>
        </is>
      </c>
      <c r="C96" t="inlineStr">
        <is>
          <t>Avverkning för att bevara och utveckla /försöksver</t>
        </is>
      </c>
      <c r="D96" s="1" t="n">
        <v>46246</v>
      </c>
      <c r="E96" s="1" t="n">
        <v>46267</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63276-2023</t>
        </is>
      </c>
      <c r="B97" t="inlineStr">
        <is>
          <t>avverkningsanmälan</t>
        </is>
      </c>
      <c r="C97" t="inlineStr">
        <is>
          <t>Föryngringsavverkning</t>
        </is>
      </c>
      <c r="D97" s="1" t="n">
        <v>45273</v>
      </c>
      <c r="E97" s="1" t="n">
        <v>46267</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46267</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46267</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46267</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46267</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46267</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46267</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46267</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46267</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46267</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46267</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46267</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46267</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46267</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46267</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46267</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46267</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46267</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26190-2025</t>
        </is>
      </c>
      <c r="B115" t="inlineStr">
        <is>
          <t>avverkningsanmälan</t>
        </is>
      </c>
      <c r="C115" t="inlineStr">
        <is>
          <t>Föryngringsavverkning</t>
        </is>
      </c>
      <c r="D115" s="1" t="n">
        <v>45805</v>
      </c>
      <c r="E115" s="1" t="n">
        <v>46267</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46267</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53050-2021</t>
        </is>
      </c>
      <c r="B117" t="inlineStr">
        <is>
          <t>avverkningsanmälan</t>
        </is>
      </c>
      <c r="C117" t="inlineStr">
        <is>
          <t>Föryngringsavverkning</t>
        </is>
      </c>
      <c r="D117" s="1" t="n">
        <v>44467</v>
      </c>
      <c r="E117" s="1" t="n">
        <v>46267</v>
      </c>
      <c r="F117" t="inlineStr">
        <is>
          <t>KALMAR LÄN</t>
        </is>
      </c>
      <c r="G117" t="inlineStr">
        <is>
          <t>BORGHOLM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46267</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36269-2025</t>
        </is>
      </c>
      <c r="B119" t="inlineStr">
        <is>
          <t>avverkningsanmälan</t>
        </is>
      </c>
      <c r="C119" t="inlineStr">
        <is>
          <t>Föryngringsavverkning</t>
        </is>
      </c>
      <c r="D119" s="1" t="n">
        <v>45867</v>
      </c>
      <c r="E119" s="1" t="n">
        <v>46267</v>
      </c>
      <c r="F119" t="inlineStr">
        <is>
          <t>KALMAR LÄN</t>
        </is>
      </c>
      <c r="G119" t="inlineStr">
        <is>
          <t>BORGHOLM</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46267</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46267</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46267</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32921-2023</t>
        </is>
      </c>
      <c r="B123" t="inlineStr">
        <is>
          <t>avverkningsanmälan</t>
        </is>
      </c>
      <c r="C123" t="inlineStr">
        <is>
          <t>Föryngringsavverkning</t>
        </is>
      </c>
      <c r="D123" s="1" t="n">
        <v>45125</v>
      </c>
      <c r="E123" s="1" t="n">
        <v>46267</v>
      </c>
      <c r="F123" t="inlineStr">
        <is>
          <t>KALMAR LÄN</t>
        </is>
      </c>
      <c r="G123" t="inlineStr">
        <is>
          <t>BORGHOLM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9259-2026</t>
        </is>
      </c>
      <c r="B124" t="inlineStr">
        <is>
          <t>avverkningsanmälan</t>
        </is>
      </c>
      <c r="C124" t="inlineStr">
        <is>
          <t>Föryngringsavverkning</t>
        </is>
      </c>
      <c r="D124" s="1" t="n">
        <v>46070</v>
      </c>
      <c r="E124" s="1" t="n">
        <v>46267</v>
      </c>
      <c r="F124" t="inlineStr">
        <is>
          <t>KALMAR LÄN</t>
        </is>
      </c>
      <c r="G124" t="inlineStr">
        <is>
          <t>BORGHOLM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64303-2023</t>
        </is>
      </c>
      <c r="B125" t="inlineStr">
        <is>
          <t>avverkningsanmälan</t>
        </is>
      </c>
      <c r="C125" t="inlineStr">
        <is>
          <t>Avverkning för annat ändamål</t>
        </is>
      </c>
      <c r="D125" s="1" t="n">
        <v>45280</v>
      </c>
      <c r="E125" s="1" t="n">
        <v>46267</v>
      </c>
      <c r="F125" t="inlineStr">
        <is>
          <t>KALMAR LÄN</t>
        </is>
      </c>
      <c r="G125" t="inlineStr">
        <is>
          <t>BORGHOLM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43603-2024</t>
        </is>
      </c>
      <c r="B126" t="inlineStr">
        <is>
          <t>avverkningsanmälan</t>
        </is>
      </c>
      <c r="C126" t="inlineStr">
        <is>
          <t>Föryngringsavverkning</t>
        </is>
      </c>
      <c r="D126" s="1" t="n">
        <v>45569</v>
      </c>
      <c r="E126" s="1" t="n">
        <v>46267</v>
      </c>
      <c r="F126" t="inlineStr">
        <is>
          <t>KALMAR LÄN</t>
        </is>
      </c>
      <c r="G126" t="inlineStr">
        <is>
          <t>BORGHOLM</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63075-2023</t>
        </is>
      </c>
      <c r="B127" t="inlineStr">
        <is>
          <t>avverkningsanmälan</t>
        </is>
      </c>
      <c r="C127" t="inlineStr">
        <is>
          <t>Avverkning för annat ändamål</t>
        </is>
      </c>
      <c r="D127" s="1" t="n">
        <v>45273</v>
      </c>
      <c r="E127" s="1" t="n">
        <v>46267</v>
      </c>
      <c r="F127" t="inlineStr">
        <is>
          <t>KALMAR LÄN</t>
        </is>
      </c>
      <c r="G127" t="inlineStr">
        <is>
          <t>BORGHOLM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15272-2026</t>
        </is>
      </c>
      <c r="B128" t="inlineStr">
        <is>
          <t>avverkningsanmälan</t>
        </is>
      </c>
      <c r="C128" t="inlineStr">
        <is>
          <t>Avverkning för att bevara och utveckla /försöksver</t>
        </is>
      </c>
      <c r="D128" s="1" t="n">
        <v>46105</v>
      </c>
      <c r="E128" s="1" t="n">
        <v>46267</v>
      </c>
      <c r="F128" t="inlineStr">
        <is>
          <t>KALMAR LÄN</t>
        </is>
      </c>
      <c r="G128" t="inlineStr">
        <is>
          <t>BORGHOLM</t>
        </is>
      </c>
      <c r="H128" t="inlineStr">
        <is>
          <t>Sveaskog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15279-2026</t>
        </is>
      </c>
      <c r="B129" t="inlineStr">
        <is>
          <t>avverkningsanmälan</t>
        </is>
      </c>
      <c r="C129" t="inlineStr">
        <is>
          <t>Avverkning för att bevara och utveckla /försöksver</t>
        </is>
      </c>
      <c r="D129" s="1" t="n">
        <v>46105</v>
      </c>
      <c r="E129" s="1" t="n">
        <v>46267</v>
      </c>
      <c r="F129" t="inlineStr">
        <is>
          <t>KALMAR LÄN</t>
        </is>
      </c>
      <c r="G129" t="inlineStr">
        <is>
          <t>BORGHOLM</t>
        </is>
      </c>
      <c r="H129" t="inlineStr">
        <is>
          <t>Sveaskog</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15264-2026</t>
        </is>
      </c>
      <c r="B130" t="inlineStr">
        <is>
          <t>avverkningsanmälan</t>
        </is>
      </c>
      <c r="C130" t="inlineStr">
        <is>
          <t>Avverkning för att bevara och utveckla /försöksver</t>
        </is>
      </c>
      <c r="D130" s="1" t="n">
        <v>46105</v>
      </c>
      <c r="E130" s="1" t="n">
        <v>46267</v>
      </c>
      <c r="F130" t="inlineStr">
        <is>
          <t>KALMAR LÄN</t>
        </is>
      </c>
      <c r="G130" t="inlineStr">
        <is>
          <t>BORGHOLM</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1757-2025</t>
        </is>
      </c>
      <c r="B131" t="inlineStr">
        <is>
          <t>avverkningsanmälan</t>
        </is>
      </c>
      <c r="C131" t="inlineStr">
        <is>
          <t>Föryngringsavverkning</t>
        </is>
      </c>
      <c r="D131" s="1" t="n">
        <v>45671</v>
      </c>
      <c r="E131" s="1" t="n">
        <v>46267</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34780-2022</t>
        </is>
      </c>
      <c r="B132" t="inlineStr">
        <is>
          <t>avverkningsanmälan</t>
        </is>
      </c>
      <c r="C132" t="inlineStr">
        <is>
          <t>Föryngringsavverkning</t>
        </is>
      </c>
      <c r="D132" s="1" t="n">
        <v>44795</v>
      </c>
      <c r="E132" s="1" t="n">
        <v>46267</v>
      </c>
      <c r="F132" t="inlineStr">
        <is>
          <t>KALMAR LÄN</t>
        </is>
      </c>
      <c r="G132" t="inlineStr">
        <is>
          <t>BORGHOLM</t>
        </is>
      </c>
      <c r="H132" t="inlineStr">
        <is>
          <t>Sveaskog</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55367-2024</t>
        </is>
      </c>
      <c r="B133" t="inlineStr">
        <is>
          <t>avverkningsanmälan</t>
        </is>
      </c>
      <c r="C133" t="inlineStr">
        <is>
          <t>Föryngringsavverkning</t>
        </is>
      </c>
      <c r="D133" s="1" t="n">
        <v>45621</v>
      </c>
      <c r="E133" s="1" t="n">
        <v>46267</v>
      </c>
      <c r="F133" t="inlineStr">
        <is>
          <t>KALMAR LÄN</t>
        </is>
      </c>
      <c r="G133" t="inlineStr">
        <is>
          <t>BORGHOLM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20287-2025</t>
        </is>
      </c>
      <c r="B134" t="inlineStr">
        <is>
          <t>avverkningsanmälan</t>
        </is>
      </c>
      <c r="C134" t="inlineStr">
        <is>
          <t>Avverkning för att bevara och utveckla /försöksver</t>
        </is>
      </c>
      <c r="D134" s="1" t="n">
        <v>45774</v>
      </c>
      <c r="E134" s="1" t="n">
        <v>46267</v>
      </c>
      <c r="F134" t="inlineStr">
        <is>
          <t>KALMAR LÄN</t>
        </is>
      </c>
      <c r="G134" t="inlineStr">
        <is>
          <t>BORGHOLM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9076-2025</t>
        </is>
      </c>
      <c r="B135" t="inlineStr">
        <is>
          <t>avverkningsanmälan</t>
        </is>
      </c>
      <c r="C135" t="inlineStr">
        <is>
          <t>Föryngringsavverkning</t>
        </is>
      </c>
      <c r="D135" s="1" t="n">
        <v>45713</v>
      </c>
      <c r="E135" s="1" t="n">
        <v>46267</v>
      </c>
      <c r="F135" t="inlineStr">
        <is>
          <t>KALMAR LÄN</t>
        </is>
      </c>
      <c r="G135" t="inlineStr">
        <is>
          <t>BORGHOLM</t>
        </is>
      </c>
      <c r="H135" t="inlineStr">
        <is>
          <t>Sveaskog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46267</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34951-2022</t>
        </is>
      </c>
      <c r="B137" t="inlineStr">
        <is>
          <t>avverkningsanmälan</t>
        </is>
      </c>
      <c r="C137" t="inlineStr">
        <is>
          <t>Avverkning för att bevara och utveckla /försöksver</t>
        </is>
      </c>
      <c r="D137" s="1" t="n">
        <v>44796</v>
      </c>
      <c r="E137" s="1" t="n">
        <v>46267</v>
      </c>
      <c r="F137" t="inlineStr">
        <is>
          <t>KALMAR LÄN</t>
        </is>
      </c>
      <c r="G137" t="inlineStr">
        <is>
          <t>BORGHOLM</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5175-2024</t>
        </is>
      </c>
      <c r="B138" t="inlineStr">
        <is>
          <t>avverkningsanmälan</t>
        </is>
      </c>
      <c r="C138" t="inlineStr">
        <is>
          <t>Föryngringsavverkning</t>
        </is>
      </c>
      <c r="D138" s="1" t="n">
        <v>45330</v>
      </c>
      <c r="E138" s="1" t="n">
        <v>46267</v>
      </c>
      <c r="F138" t="inlineStr">
        <is>
          <t>KALMAR LÄN</t>
        </is>
      </c>
      <c r="G138" t="inlineStr">
        <is>
          <t>BORGHOLM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27357-2025</t>
        </is>
      </c>
      <c r="B139" t="inlineStr">
        <is>
          <t>avverkningsanmälan</t>
        </is>
      </c>
      <c r="C139" t="inlineStr">
        <is>
          <t>Avverkning för att bevara och utveckla /försöksver</t>
        </is>
      </c>
      <c r="D139" s="1" t="n">
        <v>45812</v>
      </c>
      <c r="E139" s="1" t="n">
        <v>46267</v>
      </c>
      <c r="F139" t="inlineStr">
        <is>
          <t>KALMAR LÄN</t>
        </is>
      </c>
      <c r="G139" t="inlineStr">
        <is>
          <t>BORGHOLM</t>
        </is>
      </c>
      <c r="H139" t="inlineStr">
        <is>
          <t>Sveaskog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7669-2024</t>
        </is>
      </c>
      <c r="B140" t="inlineStr">
        <is>
          <t>avverkningsanmälan</t>
        </is>
      </c>
      <c r="C140" t="inlineStr">
        <is>
          <t>Föryngringsavverkning</t>
        </is>
      </c>
      <c r="D140" s="1" t="n">
        <v>45348</v>
      </c>
      <c r="E140" s="1" t="n">
        <v>46267</v>
      </c>
      <c r="F140" t="inlineStr">
        <is>
          <t>KALMAR LÄN</t>
        </is>
      </c>
      <c r="G140" t="inlineStr">
        <is>
          <t>BORGHOLM</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46267</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24338-2026</t>
        </is>
      </c>
      <c r="B142" t="inlineStr">
        <is>
          <t>avverkningsanmälan</t>
        </is>
      </c>
      <c r="C142" t="inlineStr">
        <is>
          <t>Avverkning för att bevara och utveckla /försöksver</t>
        </is>
      </c>
      <c r="D142" s="1" t="n">
        <v>46169</v>
      </c>
      <c r="E142" s="1" t="n">
        <v>46267</v>
      </c>
      <c r="F142" t="inlineStr">
        <is>
          <t>KALMAR LÄN</t>
        </is>
      </c>
      <c r="G142" t="inlineStr">
        <is>
          <t>BORGHOLM</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24345-2026</t>
        </is>
      </c>
      <c r="B143" t="inlineStr">
        <is>
          <t>avverkningsanmälan</t>
        </is>
      </c>
      <c r="C143" t="inlineStr">
        <is>
          <t>Avverkning för att bevara och utveckla /försöksver</t>
        </is>
      </c>
      <c r="D143" s="1" t="n">
        <v>46169</v>
      </c>
      <c r="E143" s="1" t="n">
        <v>46267</v>
      </c>
      <c r="F143" t="inlineStr">
        <is>
          <t>KALMAR LÄN</t>
        </is>
      </c>
      <c r="G143" t="inlineStr">
        <is>
          <t>BORGHOLM</t>
        </is>
      </c>
      <c r="H143" t="inlineStr">
        <is>
          <t>Sveaskog</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24323-2026</t>
        </is>
      </c>
      <c r="B144" t="inlineStr">
        <is>
          <t>avverkningsanmälan</t>
        </is>
      </c>
      <c r="C144" t="inlineStr">
        <is>
          <t>Föryngringsavverkning</t>
        </is>
      </c>
      <c r="D144" s="1" t="n">
        <v>46169</v>
      </c>
      <c r="E144" s="1" t="n">
        <v>46267</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13383-2023</t>
        </is>
      </c>
      <c r="B145" t="inlineStr">
        <is>
          <t>avverkningsanmälan</t>
        </is>
      </c>
      <c r="C145" t="inlineStr">
        <is>
          <t>Föryngringsavverkning</t>
        </is>
      </c>
      <c r="D145" s="1" t="n">
        <v>45005</v>
      </c>
      <c r="E145" s="1" t="n">
        <v>46267</v>
      </c>
      <c r="F145" t="inlineStr">
        <is>
          <t>KALMAR LÄN</t>
        </is>
      </c>
      <c r="G145" t="inlineStr">
        <is>
          <t>BORGHOLM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12937-2022</t>
        </is>
      </c>
      <c r="B146" t="inlineStr">
        <is>
          <t>avverkningsanmälan</t>
        </is>
      </c>
      <c r="C146" t="inlineStr">
        <is>
          <t>Föryngringsavverkning</t>
        </is>
      </c>
      <c r="D146" s="1" t="n">
        <v>44642</v>
      </c>
      <c r="E146" s="1" t="n">
        <v>46267</v>
      </c>
      <c r="F146" t="inlineStr">
        <is>
          <t>KALMAR LÄN</t>
        </is>
      </c>
      <c r="G146" t="inlineStr">
        <is>
          <t>BORGHOLM</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46267</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46267</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28380-2026</t>
        </is>
      </c>
      <c r="B149" t="inlineStr">
        <is>
          <t>avverkningsanmälan</t>
        </is>
      </c>
      <c r="C149" t="inlineStr">
        <is>
          <t>Avverkning för att bevara och utveckla /försöksver</t>
        </is>
      </c>
      <c r="D149" s="1" t="n">
        <v>46196</v>
      </c>
      <c r="E149" s="1" t="n">
        <v>46267</v>
      </c>
      <c r="F149" t="inlineStr">
        <is>
          <t>KALMAR LÄN</t>
        </is>
      </c>
      <c r="G149" t="inlineStr">
        <is>
          <t>BORGHOLM</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28381-2026</t>
        </is>
      </c>
      <c r="B150" t="inlineStr">
        <is>
          <t>avverkningsanmälan</t>
        </is>
      </c>
      <c r="C150" t="inlineStr">
        <is>
          <t>Avverkning för att bevara och utveckla /försöksver</t>
        </is>
      </c>
      <c r="D150" s="1" t="n">
        <v>46196</v>
      </c>
      <c r="E150" s="1" t="n">
        <v>46267</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28411-2026</t>
        </is>
      </c>
      <c r="B151" t="inlineStr">
        <is>
          <t>avverkningsanmälan</t>
        </is>
      </c>
      <c r="C151" t="inlineStr">
        <is>
          <t>Avverkning för att bevara och utveckla /försöksver</t>
        </is>
      </c>
      <c r="D151" s="1" t="n">
        <v>46197</v>
      </c>
      <c r="E151" s="1" t="n">
        <v>46267</v>
      </c>
      <c r="F151" t="inlineStr">
        <is>
          <t>KALMAR LÄN</t>
        </is>
      </c>
      <c r="G151" t="inlineStr">
        <is>
          <t>BORGHOLM</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1614-2025</t>
        </is>
      </c>
      <c r="B152" t="inlineStr">
        <is>
          <t>avverkningsanmälan</t>
        </is>
      </c>
      <c r="C152" t="inlineStr">
        <is>
          <t>Föryngringsavverkning</t>
        </is>
      </c>
      <c r="D152" s="1" t="n">
        <v>45670</v>
      </c>
      <c r="E152" s="1" t="n">
        <v>46267</v>
      </c>
      <c r="F152" t="inlineStr">
        <is>
          <t>KALMAR LÄN</t>
        </is>
      </c>
      <c r="G152" t="inlineStr">
        <is>
          <t>BORGHOLM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29413-2026</t>
        </is>
      </c>
      <c r="B153" t="inlineStr">
        <is>
          <t>avverkningsanmälan</t>
        </is>
      </c>
      <c r="C153" t="inlineStr">
        <is>
          <t>Avverkning för att bevara och utveckla /försöksver</t>
        </is>
      </c>
      <c r="D153" s="1" t="n">
        <v>46203</v>
      </c>
      <c r="E153" s="1" t="n">
        <v>46267</v>
      </c>
      <c r="F153" t="inlineStr">
        <is>
          <t>KALMAR LÄN</t>
        </is>
      </c>
      <c r="G153" t="inlineStr">
        <is>
          <t>BORGHOLM</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29414-2026</t>
        </is>
      </c>
      <c r="B154" t="inlineStr">
        <is>
          <t>avverkningsanmälan</t>
        </is>
      </c>
      <c r="C154" t="inlineStr">
        <is>
          <t>Avverkning för att bevara och utveckla /försöksver</t>
        </is>
      </c>
      <c r="D154" s="1" t="n">
        <v>46203</v>
      </c>
      <c r="E154" s="1" t="n">
        <v>46267</v>
      </c>
      <c r="F154" t="inlineStr">
        <is>
          <t>KALMAR LÄN</t>
        </is>
      </c>
      <c r="G154" t="inlineStr">
        <is>
          <t>BORGHOLM</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29431-2026</t>
        </is>
      </c>
      <c r="B155" t="inlineStr">
        <is>
          <t>avverkningsanmälan</t>
        </is>
      </c>
      <c r="C155" t="inlineStr">
        <is>
          <t>Avverkning för att bevara och utveckla /försöksver</t>
        </is>
      </c>
      <c r="D155" s="1" t="n">
        <v>46203</v>
      </c>
      <c r="E155" s="1" t="n">
        <v>46267</v>
      </c>
      <c r="F155" t="inlineStr">
        <is>
          <t>KALMAR LÄN</t>
        </is>
      </c>
      <c r="G155" t="inlineStr">
        <is>
          <t>BORGHOLM</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29410-2026</t>
        </is>
      </c>
      <c r="B156" t="inlineStr">
        <is>
          <t>avverkningsanmälan</t>
        </is>
      </c>
      <c r="C156" t="inlineStr">
        <is>
          <t>Avverkning för att bevara och utveckla /försöksver</t>
        </is>
      </c>
      <c r="D156" s="1" t="n">
        <v>46203</v>
      </c>
      <c r="E156" s="1" t="n">
        <v>46267</v>
      </c>
      <c r="F156" t="inlineStr">
        <is>
          <t>KALMAR LÄN</t>
        </is>
      </c>
      <c r="G156" t="inlineStr">
        <is>
          <t>BORGHOLM</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9050-2025</t>
        </is>
      </c>
      <c r="B157" t="inlineStr">
        <is>
          <t>avverkningsanmälan</t>
        </is>
      </c>
      <c r="C157" t="inlineStr">
        <is>
          <t>Avverkning för att bevara och utveckla /försöksver</t>
        </is>
      </c>
      <c r="D157" s="1" t="n">
        <v>45713</v>
      </c>
      <c r="E157" s="1" t="n">
        <v>46267</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46267</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46267</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46267</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46267</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46267</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46267</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46267</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46267</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46267</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46267</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46267</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46267</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46267</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46267</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46267</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46267</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46267</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46267</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2026-09-02T02:08:04Z</dcterms:created>
  <dcterms:modified xmlns:dcterms="http://purl.org/dc/terms/" xmlns:xsi="http://www.w3.org/2001/XMLSchema-instance" xsi:type="dcterms:W3CDTF">2026-09-02T02:08:04Z</dcterms:modified>
</cp:coreProperties>
</file>