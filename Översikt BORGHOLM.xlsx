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46035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46035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46035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46035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46035</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46035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45006-2025</t>
        </is>
      </c>
      <c r="B8" s="1" t="n">
        <v>45918</v>
      </c>
      <c r="C8" s="1" t="n">
        <v>46035</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46035</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46035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46035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46035</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46035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46035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46035</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46035</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46035</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46035</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46035</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46035</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46035</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60140-2025</t>
        </is>
      </c>
      <c r="B22" s="1" t="n">
        <v>45994.36274305556</v>
      </c>
      <c r="C22" s="1" t="n">
        <v>46035</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32174-2022</t>
        </is>
      </c>
      <c r="B23" s="1" t="n">
        <v>44781</v>
      </c>
      <c r="C23" s="1" t="n">
        <v>46035</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46035</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34944-2022</t>
        </is>
      </c>
      <c r="B25" s="1" t="n">
        <v>44796</v>
      </c>
      <c r="C25" s="1" t="n">
        <v>46035</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46035</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46035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46035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46035</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46035</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46035</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46035</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46035</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9745-2023</t>
        </is>
      </c>
      <c r="B34" s="1" t="n">
        <v>44984</v>
      </c>
      <c r="C34" s="1" t="n">
        <v>46035</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41640-2023</t>
        </is>
      </c>
      <c r="B35" s="1" t="n">
        <v>45175</v>
      </c>
      <c r="C35" s="1" t="n">
        <v>46035</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45693-2025</t>
        </is>
      </c>
      <c r="B36" s="1" t="n">
        <v>45923</v>
      </c>
      <c r="C36" s="1" t="n">
        <v>46035</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28785-2025</t>
        </is>
      </c>
      <c r="B37" s="1" t="n">
        <v>45820.46159722222</v>
      </c>
      <c r="C37" s="1" t="n">
        <v>46035</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46035</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12785-2021</t>
        </is>
      </c>
      <c r="B39" s="1" t="n">
        <v>44270</v>
      </c>
      <c r="C39" s="1" t="n">
        <v>46035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34885-2025</t>
        </is>
      </c>
      <c r="B40" s="1" t="n">
        <v>45849.47128472223</v>
      </c>
      <c r="C40" s="1" t="n">
        <v>46035</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13558-2025</t>
        </is>
      </c>
      <c r="B41" s="1" t="n">
        <v>45736.54974537037</v>
      </c>
      <c r="C41" s="1" t="n">
        <v>46035</v>
      </c>
      <c r="D41" t="inlineStr">
        <is>
          <t>KALMAR LÄN</t>
        </is>
      </c>
      <c r="E41" t="inlineStr">
        <is>
          <t>BORGHOLM</t>
        </is>
      </c>
      <c r="G41" t="n">
        <v>0.7</v>
      </c>
      <c r="H41" t="n">
        <v>0</v>
      </c>
      <c r="I41" t="n">
        <v>0</v>
      </c>
      <c r="J41" t="n">
        <v>1</v>
      </c>
      <c r="K41" t="n">
        <v>0</v>
      </c>
      <c r="L41" t="n">
        <v>0</v>
      </c>
      <c r="M41" t="n">
        <v>0</v>
      </c>
      <c r="N41" t="n">
        <v>0</v>
      </c>
      <c r="O41" t="n">
        <v>1</v>
      </c>
      <c r="P41" t="n">
        <v>0</v>
      </c>
      <c r="Q41" t="n">
        <v>1</v>
      </c>
      <c r="R41" s="2" t="inlineStr">
        <is>
          <t>Backruta</t>
        </is>
      </c>
      <c r="S41">
        <f>HYPERLINK("https://klasma.github.io/Logging_0885/artfynd/A 13558-2025 artfynd.xlsx", "A 13558-2025")</f>
        <v/>
      </c>
      <c r="T41">
        <f>HYPERLINK("https://klasma.github.io/Logging_0885/kartor/A 13558-2025 karta.png", "A 13558-2025")</f>
        <v/>
      </c>
      <c r="V41">
        <f>HYPERLINK("https://klasma.github.io/Logging_0885/klagomål/A 13558-2025 FSC-klagomål.docx", "A 13558-2025")</f>
        <v/>
      </c>
      <c r="W41">
        <f>HYPERLINK("https://klasma.github.io/Logging_0885/klagomålsmail/A 13558-2025 FSC-klagomål mail.docx", "A 13558-2025")</f>
        <v/>
      </c>
      <c r="X41">
        <f>HYPERLINK("https://klasma.github.io/Logging_0885/tillsyn/A 13558-2025 tillsynsbegäran.docx", "A 13558-2025")</f>
        <v/>
      </c>
      <c r="Y41">
        <f>HYPERLINK("https://klasma.github.io/Logging_0885/tillsynsmail/A 13558-2025 tillsynsbegäran mail.docx", "A 13558-2025")</f>
        <v/>
      </c>
    </row>
    <row r="42" ht="15" customHeight="1">
      <c r="A42" t="inlineStr">
        <is>
          <t>A 24701-2023</t>
        </is>
      </c>
      <c r="B42" s="1" t="n">
        <v>45084</v>
      </c>
      <c r="C42" s="1" t="n">
        <v>46035</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46035</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46035</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46035</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46035</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46035</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46035</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46035</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46035</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46035</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46035</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46035</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46035</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46035</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46035</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46035</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46035</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46035</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46035</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46035</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13043-2024</t>
        </is>
      </c>
      <c r="B62" s="1" t="n">
        <v>45385.60111111111</v>
      </c>
      <c r="C62" s="1" t="n">
        <v>46035</v>
      </c>
      <c r="D62" t="inlineStr">
        <is>
          <t>KALMAR LÄN</t>
        </is>
      </c>
      <c r="E62" t="inlineStr">
        <is>
          <t>BORGHOLM</t>
        </is>
      </c>
      <c r="G62" t="n">
        <v>0.4</v>
      </c>
      <c r="H62" t="n">
        <v>0</v>
      </c>
      <c r="I62" t="n">
        <v>0</v>
      </c>
      <c r="J62" t="n">
        <v>0</v>
      </c>
      <c r="K62" t="n">
        <v>0</v>
      </c>
      <c r="L62" t="n">
        <v>0</v>
      </c>
      <c r="M62" t="n">
        <v>0</v>
      </c>
      <c r="N62" t="n">
        <v>0</v>
      </c>
      <c r="O62" t="n">
        <v>0</v>
      </c>
      <c r="P62" t="n">
        <v>0</v>
      </c>
      <c r="Q62" t="n">
        <v>0</v>
      </c>
      <c r="R62" s="2" t="inlineStr"/>
    </row>
    <row r="63" ht="15" customHeight="1">
      <c r="A63" t="inlineStr">
        <is>
          <t>A 17978-2021</t>
        </is>
      </c>
      <c r="B63" s="1" t="n">
        <v>44301</v>
      </c>
      <c r="C63" s="1" t="n">
        <v>46035</v>
      </c>
      <c r="D63" t="inlineStr">
        <is>
          <t>KALMAR LÄN</t>
        </is>
      </c>
      <c r="E63" t="inlineStr">
        <is>
          <t>BORGHOLM</t>
        </is>
      </c>
      <c r="G63" t="n">
        <v>6</v>
      </c>
      <c r="H63" t="n">
        <v>0</v>
      </c>
      <c r="I63" t="n">
        <v>0</v>
      </c>
      <c r="J63" t="n">
        <v>0</v>
      </c>
      <c r="K63" t="n">
        <v>0</v>
      </c>
      <c r="L63" t="n">
        <v>0</v>
      </c>
      <c r="M63" t="n">
        <v>0</v>
      </c>
      <c r="N63" t="n">
        <v>0</v>
      </c>
      <c r="O63" t="n">
        <v>0</v>
      </c>
      <c r="P63" t="n">
        <v>0</v>
      </c>
      <c r="Q63" t="n">
        <v>0</v>
      </c>
      <c r="R63" s="2" t="inlineStr"/>
    </row>
    <row r="64" ht="15" customHeight="1">
      <c r="A64" t="inlineStr">
        <is>
          <t>A 26160-2024</t>
        </is>
      </c>
      <c r="B64" s="1" t="n">
        <v>45468</v>
      </c>
      <c r="C64" s="1" t="n">
        <v>46035</v>
      </c>
      <c r="D64" t="inlineStr">
        <is>
          <t>KALMAR LÄN</t>
        </is>
      </c>
      <c r="E64" t="inlineStr">
        <is>
          <t>BORGHOLM</t>
        </is>
      </c>
      <c r="G64" t="n">
        <v>0.4</v>
      </c>
      <c r="H64" t="n">
        <v>0</v>
      </c>
      <c r="I64" t="n">
        <v>0</v>
      </c>
      <c r="J64" t="n">
        <v>0</v>
      </c>
      <c r="K64" t="n">
        <v>0</v>
      </c>
      <c r="L64" t="n">
        <v>0</v>
      </c>
      <c r="M64" t="n">
        <v>0</v>
      </c>
      <c r="N64" t="n">
        <v>0</v>
      </c>
      <c r="O64" t="n">
        <v>0</v>
      </c>
      <c r="P64" t="n">
        <v>0</v>
      </c>
      <c r="Q64" t="n">
        <v>0</v>
      </c>
      <c r="R64" s="2" t="inlineStr"/>
      <c r="T64">
        <f>HYPERLINK("https://klasma.github.io/Logging_0885/kartor/A 26160-2024 karta.png", "A 26160-2024")</f>
        <v/>
      </c>
      <c r="V64">
        <f>HYPERLINK("https://klasma.github.io/Logging_0885/klagomål/A 26160-2024 FSC-klagomål.docx", "A 26160-2024")</f>
        <v/>
      </c>
      <c r="W64">
        <f>HYPERLINK("https://klasma.github.io/Logging_0885/klagomålsmail/A 26160-2024 FSC-klagomål mail.docx", "A 26160-2024")</f>
        <v/>
      </c>
      <c r="X64">
        <f>HYPERLINK("https://klasma.github.io/Logging_0885/tillsyn/A 26160-2024 tillsynsbegäran.docx", "A 26160-2024")</f>
        <v/>
      </c>
      <c r="Y64">
        <f>HYPERLINK("https://klasma.github.io/Logging_0885/tillsynsmail/A 26160-2024 tillsynsbegäran mail.docx", "A 26160-2024")</f>
        <v/>
      </c>
    </row>
    <row r="65" ht="15" customHeight="1">
      <c r="A65" t="inlineStr">
        <is>
          <t>A 22785-2025</t>
        </is>
      </c>
      <c r="B65" s="1" t="n">
        <v>45789.64186342592</v>
      </c>
      <c r="C65" s="1" t="n">
        <v>46035</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46035</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46035</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46035</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12534-2022</t>
        </is>
      </c>
      <c r="B69" s="1" t="n">
        <v>44638</v>
      </c>
      <c r="C69" s="1" t="n">
        <v>46035</v>
      </c>
      <c r="D69" t="inlineStr">
        <is>
          <t>KALMAR LÄN</t>
        </is>
      </c>
      <c r="E69" t="inlineStr">
        <is>
          <t>BORGHOLM</t>
        </is>
      </c>
      <c r="G69" t="n">
        <v>8.6</v>
      </c>
      <c r="H69" t="n">
        <v>0</v>
      </c>
      <c r="I69" t="n">
        <v>0</v>
      </c>
      <c r="J69" t="n">
        <v>0</v>
      </c>
      <c r="K69" t="n">
        <v>0</v>
      </c>
      <c r="L69" t="n">
        <v>0</v>
      </c>
      <c r="M69" t="n">
        <v>0</v>
      </c>
      <c r="N69" t="n">
        <v>0</v>
      </c>
      <c r="O69" t="n">
        <v>0</v>
      </c>
      <c r="P69" t="n">
        <v>0</v>
      </c>
      <c r="Q69" t="n">
        <v>0</v>
      </c>
      <c r="R69" s="2" t="inlineStr"/>
    </row>
    <row r="70" ht="15" customHeight="1">
      <c r="A70" t="inlineStr">
        <is>
          <t>A 20878-2024</t>
        </is>
      </c>
      <c r="B70" s="1" t="n">
        <v>45439.44748842593</v>
      </c>
      <c r="C70" s="1" t="n">
        <v>46035</v>
      </c>
      <c r="D70" t="inlineStr">
        <is>
          <t>KALMAR LÄN</t>
        </is>
      </c>
      <c r="E70" t="inlineStr">
        <is>
          <t>BORGHOLM</t>
        </is>
      </c>
      <c r="G70" t="n">
        <v>1.9</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46035</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40339-2023</t>
        </is>
      </c>
      <c r="B72" s="1" t="n">
        <v>45169.62733796296</v>
      </c>
      <c r="C72" s="1" t="n">
        <v>46035</v>
      </c>
      <c r="D72" t="inlineStr">
        <is>
          <t>KALMAR LÄN</t>
        </is>
      </c>
      <c r="E72" t="inlineStr">
        <is>
          <t>BORGHOLM</t>
        </is>
      </c>
      <c r="G72" t="n">
        <v>3.8</v>
      </c>
      <c r="H72" t="n">
        <v>0</v>
      </c>
      <c r="I72" t="n">
        <v>0</v>
      </c>
      <c r="J72" t="n">
        <v>0</v>
      </c>
      <c r="K72" t="n">
        <v>0</v>
      </c>
      <c r="L72" t="n">
        <v>0</v>
      </c>
      <c r="M72" t="n">
        <v>0</v>
      </c>
      <c r="N72" t="n">
        <v>0</v>
      </c>
      <c r="O72" t="n">
        <v>0</v>
      </c>
      <c r="P72" t="n">
        <v>0</v>
      </c>
      <c r="Q72" t="n">
        <v>0</v>
      </c>
      <c r="R72" s="2" t="inlineStr"/>
    </row>
    <row r="73" ht="15" customHeight="1">
      <c r="A73" t="inlineStr">
        <is>
          <t>A 24166-2022</t>
        </is>
      </c>
      <c r="B73" s="1" t="n">
        <v>44725</v>
      </c>
      <c r="C73" s="1" t="n">
        <v>46035</v>
      </c>
      <c r="D73" t="inlineStr">
        <is>
          <t>KALMAR LÄN</t>
        </is>
      </c>
      <c r="E73" t="inlineStr">
        <is>
          <t>BORGHOLM</t>
        </is>
      </c>
      <c r="G73" t="n">
        <v>10.7</v>
      </c>
      <c r="H73" t="n">
        <v>0</v>
      </c>
      <c r="I73" t="n">
        <v>0</v>
      </c>
      <c r="J73" t="n">
        <v>0</v>
      </c>
      <c r="K73" t="n">
        <v>0</v>
      </c>
      <c r="L73" t="n">
        <v>0</v>
      </c>
      <c r="M73" t="n">
        <v>0</v>
      </c>
      <c r="N73" t="n">
        <v>0</v>
      </c>
      <c r="O73" t="n">
        <v>0</v>
      </c>
      <c r="P73" t="n">
        <v>0</v>
      </c>
      <c r="Q73" t="n">
        <v>0</v>
      </c>
      <c r="R73" s="2" t="inlineStr"/>
    </row>
    <row r="74" ht="15" customHeight="1">
      <c r="A74" t="inlineStr">
        <is>
          <t>A 44224-2025</t>
        </is>
      </c>
      <c r="B74" s="1" t="n">
        <v>45915</v>
      </c>
      <c r="C74" s="1" t="n">
        <v>46035</v>
      </c>
      <c r="D74" t="inlineStr">
        <is>
          <t>KALMAR LÄN</t>
        </is>
      </c>
      <c r="E74" t="inlineStr">
        <is>
          <t>BORGHOLM</t>
        </is>
      </c>
      <c r="G74" t="n">
        <v>1.3</v>
      </c>
      <c r="H74" t="n">
        <v>0</v>
      </c>
      <c r="I74" t="n">
        <v>0</v>
      </c>
      <c r="J74" t="n">
        <v>0</v>
      </c>
      <c r="K74" t="n">
        <v>0</v>
      </c>
      <c r="L74" t="n">
        <v>0</v>
      </c>
      <c r="M74" t="n">
        <v>0</v>
      </c>
      <c r="N74" t="n">
        <v>0</v>
      </c>
      <c r="O74" t="n">
        <v>0</v>
      </c>
      <c r="P74" t="n">
        <v>0</v>
      </c>
      <c r="Q74" t="n">
        <v>0</v>
      </c>
      <c r="R74" s="2" t="inlineStr"/>
    </row>
    <row r="75" ht="15" customHeight="1">
      <c r="A75" t="inlineStr">
        <is>
          <t>A 26160-2025</t>
        </is>
      </c>
      <c r="B75" s="1" t="n">
        <v>45805.4490162037</v>
      </c>
      <c r="C75" s="1" t="n">
        <v>46035</v>
      </c>
      <c r="D75" t="inlineStr">
        <is>
          <t>KALMAR LÄN</t>
        </is>
      </c>
      <c r="E75" t="inlineStr">
        <is>
          <t>BORGHOLM</t>
        </is>
      </c>
      <c r="G75" t="n">
        <v>3.7</v>
      </c>
      <c r="H75" t="n">
        <v>0</v>
      </c>
      <c r="I75" t="n">
        <v>0</v>
      </c>
      <c r="J75" t="n">
        <v>0</v>
      </c>
      <c r="K75" t="n">
        <v>0</v>
      </c>
      <c r="L75" t="n">
        <v>0</v>
      </c>
      <c r="M75" t="n">
        <v>0</v>
      </c>
      <c r="N75" t="n">
        <v>0</v>
      </c>
      <c r="O75" t="n">
        <v>0</v>
      </c>
      <c r="P75" t="n">
        <v>0</v>
      </c>
      <c r="Q75" t="n">
        <v>0</v>
      </c>
      <c r="R75" s="2" t="inlineStr"/>
    </row>
    <row r="76" ht="15" customHeight="1">
      <c r="A76" t="inlineStr">
        <is>
          <t>A 26190-2025</t>
        </is>
      </c>
      <c r="B76" s="1" t="n">
        <v>45805.48349537037</v>
      </c>
      <c r="C76" s="1" t="n">
        <v>46035</v>
      </c>
      <c r="D76" t="inlineStr">
        <is>
          <t>KALMAR LÄN</t>
        </is>
      </c>
      <c r="E76" t="inlineStr">
        <is>
          <t>BORGHOLM</t>
        </is>
      </c>
      <c r="G76" t="n">
        <v>3.2</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46035</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46035</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46035</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27357-2025</t>
        </is>
      </c>
      <c r="B80" s="1" t="n">
        <v>45812.63650462963</v>
      </c>
      <c r="C80" s="1" t="n">
        <v>46035</v>
      </c>
      <c r="D80" t="inlineStr">
        <is>
          <t>KALMAR LÄN</t>
        </is>
      </c>
      <c r="E80" t="inlineStr">
        <is>
          <t>BORGHOLM</t>
        </is>
      </c>
      <c r="F80" t="inlineStr">
        <is>
          <t>Sveaskog</t>
        </is>
      </c>
      <c r="G80" t="n">
        <v>4.5</v>
      </c>
      <c r="H80" t="n">
        <v>0</v>
      </c>
      <c r="I80" t="n">
        <v>0</v>
      </c>
      <c r="J80" t="n">
        <v>0</v>
      </c>
      <c r="K80" t="n">
        <v>0</v>
      </c>
      <c r="L80" t="n">
        <v>0</v>
      </c>
      <c r="M80" t="n">
        <v>0</v>
      </c>
      <c r="N80" t="n">
        <v>0</v>
      </c>
      <c r="O80" t="n">
        <v>0</v>
      </c>
      <c r="P80" t="n">
        <v>0</v>
      </c>
      <c r="Q80" t="n">
        <v>0</v>
      </c>
      <c r="R80" s="2" t="inlineStr"/>
    </row>
    <row r="81" ht="15" customHeight="1">
      <c r="A81" t="inlineStr">
        <is>
          <t>A 27366-2025</t>
        </is>
      </c>
      <c r="B81" s="1" t="n">
        <v>45812.64475694444</v>
      </c>
      <c r="C81" s="1" t="n">
        <v>46035</v>
      </c>
      <c r="D81" t="inlineStr">
        <is>
          <t>KALMAR LÄN</t>
        </is>
      </c>
      <c r="E81" t="inlineStr">
        <is>
          <t>BORGHOLM</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46035</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28782-2025</t>
        </is>
      </c>
      <c r="B83" s="1" t="n">
        <v>45820.45572916666</v>
      </c>
      <c r="C83" s="1" t="n">
        <v>46035</v>
      </c>
      <c r="D83" t="inlineStr">
        <is>
          <t>KALMAR LÄN</t>
        </is>
      </c>
      <c r="E83" t="inlineStr">
        <is>
          <t>BORGHOLM</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53050-2021</t>
        </is>
      </c>
      <c r="B84" s="1" t="n">
        <v>44467</v>
      </c>
      <c r="C84" s="1" t="n">
        <v>46035</v>
      </c>
      <c r="D84" t="inlineStr">
        <is>
          <t>KALMAR LÄN</t>
        </is>
      </c>
      <c r="E84" t="inlineStr">
        <is>
          <t>BORGHOLM</t>
        </is>
      </c>
      <c r="G84" t="n">
        <v>3.6</v>
      </c>
      <c r="H84" t="n">
        <v>0</v>
      </c>
      <c r="I84" t="n">
        <v>0</v>
      </c>
      <c r="J84" t="n">
        <v>0</v>
      </c>
      <c r="K84" t="n">
        <v>0</v>
      </c>
      <c r="L84" t="n">
        <v>0</v>
      </c>
      <c r="M84" t="n">
        <v>0</v>
      </c>
      <c r="N84" t="n">
        <v>0</v>
      </c>
      <c r="O84" t="n">
        <v>0</v>
      </c>
      <c r="P84" t="n">
        <v>0</v>
      </c>
      <c r="Q84" t="n">
        <v>0</v>
      </c>
      <c r="R84" s="2" t="inlineStr"/>
    </row>
    <row r="85" ht="15" customHeight="1">
      <c r="A85" t="inlineStr">
        <is>
          <t>A 31720-2022</t>
        </is>
      </c>
      <c r="B85" s="1" t="n">
        <v>44776</v>
      </c>
      <c r="C85" s="1" t="n">
        <v>46035</v>
      </c>
      <c r="D85" t="inlineStr">
        <is>
          <t>KALMAR LÄN</t>
        </is>
      </c>
      <c r="E85" t="inlineStr">
        <is>
          <t>BORGHOLM</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29656-2023</t>
        </is>
      </c>
      <c r="B86" s="1" t="n">
        <v>45107</v>
      </c>
      <c r="C86" s="1" t="n">
        <v>46035</v>
      </c>
      <c r="D86" t="inlineStr">
        <is>
          <t>KALMAR LÄN</t>
        </is>
      </c>
      <c r="E86" t="inlineStr">
        <is>
          <t>BORGHOLM</t>
        </is>
      </c>
      <c r="G86" t="n">
        <v>4.1</v>
      </c>
      <c r="H86" t="n">
        <v>0</v>
      </c>
      <c r="I86" t="n">
        <v>0</v>
      </c>
      <c r="J86" t="n">
        <v>0</v>
      </c>
      <c r="K86" t="n">
        <v>0</v>
      </c>
      <c r="L86" t="n">
        <v>0</v>
      </c>
      <c r="M86" t="n">
        <v>0</v>
      </c>
      <c r="N86" t="n">
        <v>0</v>
      </c>
      <c r="O86" t="n">
        <v>0</v>
      </c>
      <c r="P86" t="n">
        <v>0</v>
      </c>
      <c r="Q86" t="n">
        <v>0</v>
      </c>
      <c r="R86" s="2" t="inlineStr"/>
    </row>
    <row r="87" ht="15" customHeight="1">
      <c r="A87" t="inlineStr">
        <is>
          <t>A 4165-2023</t>
        </is>
      </c>
      <c r="B87" s="1" t="n">
        <v>44953</v>
      </c>
      <c r="C87" s="1" t="n">
        <v>46035</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60141-2025</t>
        </is>
      </c>
      <c r="B88" s="1" t="n">
        <v>45994.36873842592</v>
      </c>
      <c r="C88" s="1" t="n">
        <v>46035</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13548-2025</t>
        </is>
      </c>
      <c r="B89" s="1" t="n">
        <v>45736.53827546296</v>
      </c>
      <c r="C89" s="1" t="n">
        <v>46035</v>
      </c>
      <c r="D89" t="inlineStr">
        <is>
          <t>KALMAR LÄN</t>
        </is>
      </c>
      <c r="E89" t="inlineStr">
        <is>
          <t>BORGHOLM</t>
        </is>
      </c>
      <c r="G89" t="n">
        <v>1</v>
      </c>
      <c r="H89" t="n">
        <v>0</v>
      </c>
      <c r="I89" t="n">
        <v>0</v>
      </c>
      <c r="J89" t="n">
        <v>0</v>
      </c>
      <c r="K89" t="n">
        <v>0</v>
      </c>
      <c r="L89" t="n">
        <v>0</v>
      </c>
      <c r="M89" t="n">
        <v>0</v>
      </c>
      <c r="N89" t="n">
        <v>0</v>
      </c>
      <c r="O89" t="n">
        <v>0</v>
      </c>
      <c r="P89" t="n">
        <v>0</v>
      </c>
      <c r="Q89" t="n">
        <v>0</v>
      </c>
      <c r="R89" s="2" t="inlineStr"/>
    </row>
    <row r="90" ht="15" customHeight="1">
      <c r="A90" t="inlineStr">
        <is>
          <t>A 36269-2025</t>
        </is>
      </c>
      <c r="B90" s="1" t="n">
        <v>45867.61736111111</v>
      </c>
      <c r="C90" s="1" t="n">
        <v>46035</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32921-2023</t>
        </is>
      </c>
      <c r="B91" s="1" t="n">
        <v>45125</v>
      </c>
      <c r="C91" s="1" t="n">
        <v>46035</v>
      </c>
      <c r="D91" t="inlineStr">
        <is>
          <t>KALMAR LÄN</t>
        </is>
      </c>
      <c r="E91" t="inlineStr">
        <is>
          <t>BORGHOLM</t>
        </is>
      </c>
      <c r="G91" t="n">
        <v>2.9</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46035</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44678-2022</t>
        </is>
      </c>
      <c r="B93" s="1" t="n">
        <v>44840.65100694444</v>
      </c>
      <c r="C93" s="1" t="n">
        <v>46035</v>
      </c>
      <c r="D93" t="inlineStr">
        <is>
          <t>KALMAR LÄN</t>
        </is>
      </c>
      <c r="E93" t="inlineStr">
        <is>
          <t>BORGHOLM</t>
        </is>
      </c>
      <c r="G93" t="n">
        <v>2.4</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46035</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64303-2023</t>
        </is>
      </c>
      <c r="B95" s="1" t="n">
        <v>45280</v>
      </c>
      <c r="C95" s="1" t="n">
        <v>46035</v>
      </c>
      <c r="D95" t="inlineStr">
        <is>
          <t>KALMAR LÄN</t>
        </is>
      </c>
      <c r="E95" t="inlineStr">
        <is>
          <t>BORGHOLM</t>
        </is>
      </c>
      <c r="G95" t="n">
        <v>1.2</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46035</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63075-2023</t>
        </is>
      </c>
      <c r="B97" s="1" t="n">
        <v>45273</v>
      </c>
      <c r="C97" s="1" t="n">
        <v>46035</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50129-2021</t>
        </is>
      </c>
      <c r="B98" s="1" t="n">
        <v>44456</v>
      </c>
      <c r="C98" s="1" t="n">
        <v>46035</v>
      </c>
      <c r="D98" t="inlineStr">
        <is>
          <t>KALMAR LÄN</t>
        </is>
      </c>
      <c r="E98" t="inlineStr">
        <is>
          <t>BORGHOLM</t>
        </is>
      </c>
      <c r="G98" t="n">
        <v>1.6</v>
      </c>
      <c r="H98" t="n">
        <v>0</v>
      </c>
      <c r="I98" t="n">
        <v>0</v>
      </c>
      <c r="J98" t="n">
        <v>0</v>
      </c>
      <c r="K98" t="n">
        <v>0</v>
      </c>
      <c r="L98" t="n">
        <v>0</v>
      </c>
      <c r="M98" t="n">
        <v>0</v>
      </c>
      <c r="N98" t="n">
        <v>0</v>
      </c>
      <c r="O98" t="n">
        <v>0</v>
      </c>
      <c r="P98" t="n">
        <v>0</v>
      </c>
      <c r="Q98" t="n">
        <v>0</v>
      </c>
      <c r="R98" s="2" t="inlineStr"/>
    </row>
    <row r="99" ht="15" customHeight="1">
      <c r="A99" t="inlineStr">
        <is>
          <t>A 1757-2025</t>
        </is>
      </c>
      <c r="B99" s="1" t="n">
        <v>45671.42195601852</v>
      </c>
      <c r="C99" s="1" t="n">
        <v>46035</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17699-2025</t>
        </is>
      </c>
      <c r="B100" s="1" t="n">
        <v>45758.41846064815</v>
      </c>
      <c r="C100" s="1" t="n">
        <v>46035</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7669-2024</t>
        </is>
      </c>
      <c r="B101" s="1" t="n">
        <v>45348.82498842593</v>
      </c>
      <c r="C101" s="1" t="n">
        <v>46035</v>
      </c>
      <c r="D101" t="inlineStr">
        <is>
          <t>KALMAR LÄN</t>
        </is>
      </c>
      <c r="E101" t="inlineStr">
        <is>
          <t>BORGHOLM</t>
        </is>
      </c>
      <c r="G101" t="n">
        <v>2.3</v>
      </c>
      <c r="H101" t="n">
        <v>0</v>
      </c>
      <c r="I101" t="n">
        <v>0</v>
      </c>
      <c r="J101" t="n">
        <v>0</v>
      </c>
      <c r="K101" t="n">
        <v>0</v>
      </c>
      <c r="L101" t="n">
        <v>0</v>
      </c>
      <c r="M101" t="n">
        <v>0</v>
      </c>
      <c r="N101" t="n">
        <v>0</v>
      </c>
      <c r="O101" t="n">
        <v>0</v>
      </c>
      <c r="P101" t="n">
        <v>0</v>
      </c>
      <c r="Q101" t="n">
        <v>0</v>
      </c>
      <c r="R101" s="2" t="inlineStr"/>
    </row>
    <row r="102" ht="15" customHeight="1">
      <c r="A102" t="inlineStr">
        <is>
          <t>A 34780-2022</t>
        </is>
      </c>
      <c r="B102" s="1" t="n">
        <v>44795</v>
      </c>
      <c r="C102" s="1" t="n">
        <v>46035</v>
      </c>
      <c r="D102" t="inlineStr">
        <is>
          <t>KALMAR LÄN</t>
        </is>
      </c>
      <c r="E102" t="inlineStr">
        <is>
          <t>BORGHOLM</t>
        </is>
      </c>
      <c r="F102" t="inlineStr">
        <is>
          <t>Sveaskog</t>
        </is>
      </c>
      <c r="G102" t="n">
        <v>6.7</v>
      </c>
      <c r="H102" t="n">
        <v>0</v>
      </c>
      <c r="I102" t="n">
        <v>0</v>
      </c>
      <c r="J102" t="n">
        <v>0</v>
      </c>
      <c r="K102" t="n">
        <v>0</v>
      </c>
      <c r="L102" t="n">
        <v>0</v>
      </c>
      <c r="M102" t="n">
        <v>0</v>
      </c>
      <c r="N102" t="n">
        <v>0</v>
      </c>
      <c r="O102" t="n">
        <v>0</v>
      </c>
      <c r="P102" t="n">
        <v>0</v>
      </c>
      <c r="Q102" t="n">
        <v>0</v>
      </c>
      <c r="R102" s="2" t="inlineStr"/>
    </row>
    <row r="103" ht="15" customHeight="1">
      <c r="A103" t="inlineStr">
        <is>
          <t>A 55367-2024</t>
        </is>
      </c>
      <c r="B103" s="1" t="n">
        <v>45621.87075231481</v>
      </c>
      <c r="C103" s="1" t="n">
        <v>46035</v>
      </c>
      <c r="D103" t="inlineStr">
        <is>
          <t>KALMAR LÄN</t>
        </is>
      </c>
      <c r="E103" t="inlineStr">
        <is>
          <t>BORGHOLM</t>
        </is>
      </c>
      <c r="G103" t="n">
        <v>0.7</v>
      </c>
      <c r="H103" t="n">
        <v>0</v>
      </c>
      <c r="I103" t="n">
        <v>0</v>
      </c>
      <c r="J103" t="n">
        <v>0</v>
      </c>
      <c r="K103" t="n">
        <v>0</v>
      </c>
      <c r="L103" t="n">
        <v>0</v>
      </c>
      <c r="M103" t="n">
        <v>0</v>
      </c>
      <c r="N103" t="n">
        <v>0</v>
      </c>
      <c r="O103" t="n">
        <v>0</v>
      </c>
      <c r="P103" t="n">
        <v>0</v>
      </c>
      <c r="Q103" t="n">
        <v>0</v>
      </c>
      <c r="R103" s="2" t="inlineStr"/>
    </row>
    <row r="104" ht="15" customHeight="1">
      <c r="A104" t="inlineStr">
        <is>
          <t>A 20287-2025</t>
        </is>
      </c>
      <c r="B104" s="1" t="n">
        <v>45774.60741898148</v>
      </c>
      <c r="C104" s="1" t="n">
        <v>46035</v>
      </c>
      <c r="D104" t="inlineStr">
        <is>
          <t>KALMAR LÄN</t>
        </is>
      </c>
      <c r="E104" t="inlineStr">
        <is>
          <t>BORGHOLM</t>
        </is>
      </c>
      <c r="G104" t="n">
        <v>0.6</v>
      </c>
      <c r="H104" t="n">
        <v>0</v>
      </c>
      <c r="I104" t="n">
        <v>0</v>
      </c>
      <c r="J104" t="n">
        <v>0</v>
      </c>
      <c r="K104" t="n">
        <v>0</v>
      </c>
      <c r="L104" t="n">
        <v>0</v>
      </c>
      <c r="M104" t="n">
        <v>0</v>
      </c>
      <c r="N104" t="n">
        <v>0</v>
      </c>
      <c r="O104" t="n">
        <v>0</v>
      </c>
      <c r="P104" t="n">
        <v>0</v>
      </c>
      <c r="Q104" t="n">
        <v>0</v>
      </c>
      <c r="R104" s="2" t="inlineStr"/>
    </row>
    <row r="105" ht="15" customHeight="1">
      <c r="A105" t="inlineStr">
        <is>
          <t>A 9076-2025</t>
        </is>
      </c>
      <c r="B105" s="1" t="n">
        <v>45713.6596875</v>
      </c>
      <c r="C105" s="1" t="n">
        <v>46035</v>
      </c>
      <c r="D105" t="inlineStr">
        <is>
          <t>KALMAR LÄN</t>
        </is>
      </c>
      <c r="E105" t="inlineStr">
        <is>
          <t>BORGHOLM</t>
        </is>
      </c>
      <c r="F105" t="inlineStr">
        <is>
          <t>Sveaskog</t>
        </is>
      </c>
      <c r="G105" t="n">
        <v>4.2</v>
      </c>
      <c r="H105" t="n">
        <v>0</v>
      </c>
      <c r="I105" t="n">
        <v>0</v>
      </c>
      <c r="J105" t="n">
        <v>0</v>
      </c>
      <c r="K105" t="n">
        <v>0</v>
      </c>
      <c r="L105" t="n">
        <v>0</v>
      </c>
      <c r="M105" t="n">
        <v>0</v>
      </c>
      <c r="N105" t="n">
        <v>0</v>
      </c>
      <c r="O105" t="n">
        <v>0</v>
      </c>
      <c r="P105" t="n">
        <v>0</v>
      </c>
      <c r="Q105" t="n">
        <v>0</v>
      </c>
      <c r="R105" s="2" t="inlineStr"/>
    </row>
    <row r="106" ht="15" customHeight="1">
      <c r="A106" t="inlineStr">
        <is>
          <t>A 32919-2023</t>
        </is>
      </c>
      <c r="B106" s="1" t="n">
        <v>45125</v>
      </c>
      <c r="C106" s="1" t="n">
        <v>46035</v>
      </c>
      <c r="D106" t="inlineStr">
        <is>
          <t>KALMAR LÄN</t>
        </is>
      </c>
      <c r="E106" t="inlineStr">
        <is>
          <t>BORGHOLM</t>
        </is>
      </c>
      <c r="G106" t="n">
        <v>2.7</v>
      </c>
      <c r="H106" t="n">
        <v>0</v>
      </c>
      <c r="I106" t="n">
        <v>0</v>
      </c>
      <c r="J106" t="n">
        <v>0</v>
      </c>
      <c r="K106" t="n">
        <v>0</v>
      </c>
      <c r="L106" t="n">
        <v>0</v>
      </c>
      <c r="M106" t="n">
        <v>0</v>
      </c>
      <c r="N106" t="n">
        <v>0</v>
      </c>
      <c r="O106" t="n">
        <v>0</v>
      </c>
      <c r="P106" t="n">
        <v>0</v>
      </c>
      <c r="Q106" t="n">
        <v>0</v>
      </c>
      <c r="R106" s="2" t="inlineStr"/>
    </row>
    <row r="107" ht="15" customHeight="1">
      <c r="A107" t="inlineStr">
        <is>
          <t>A 21908-2022</t>
        </is>
      </c>
      <c r="B107" s="1" t="n">
        <v>44711</v>
      </c>
      <c r="C107" s="1" t="n">
        <v>46035</v>
      </c>
      <c r="D107" t="inlineStr">
        <is>
          <t>KALMAR LÄN</t>
        </is>
      </c>
      <c r="E107" t="inlineStr">
        <is>
          <t>BORGHOLM</t>
        </is>
      </c>
      <c r="G107" t="n">
        <v>4.7</v>
      </c>
      <c r="H107" t="n">
        <v>0</v>
      </c>
      <c r="I107" t="n">
        <v>0</v>
      </c>
      <c r="J107" t="n">
        <v>0</v>
      </c>
      <c r="K107" t="n">
        <v>0</v>
      </c>
      <c r="L107" t="n">
        <v>0</v>
      </c>
      <c r="M107" t="n">
        <v>0</v>
      </c>
      <c r="N107" t="n">
        <v>0</v>
      </c>
      <c r="O107" t="n">
        <v>0</v>
      </c>
      <c r="P107" t="n">
        <v>0</v>
      </c>
      <c r="Q107" t="n">
        <v>0</v>
      </c>
      <c r="R107" s="2" t="inlineStr"/>
    </row>
    <row r="108" ht="15" customHeight="1">
      <c r="A108" t="inlineStr">
        <is>
          <t>A 4878-2021</t>
        </is>
      </c>
      <c r="B108" s="1" t="n">
        <v>44225</v>
      </c>
      <c r="C108" s="1" t="n">
        <v>46035</v>
      </c>
      <c r="D108" t="inlineStr">
        <is>
          <t>KALMAR LÄN</t>
        </is>
      </c>
      <c r="E108" t="inlineStr">
        <is>
          <t>BORGHOLM</t>
        </is>
      </c>
      <c r="G108" t="n">
        <v>3</v>
      </c>
      <c r="H108" t="n">
        <v>0</v>
      </c>
      <c r="I108" t="n">
        <v>0</v>
      </c>
      <c r="J108" t="n">
        <v>0</v>
      </c>
      <c r="K108" t="n">
        <v>0</v>
      </c>
      <c r="L108" t="n">
        <v>0</v>
      </c>
      <c r="M108" t="n">
        <v>0</v>
      </c>
      <c r="N108" t="n">
        <v>0</v>
      </c>
      <c r="O108" t="n">
        <v>0</v>
      </c>
      <c r="P108" t="n">
        <v>0</v>
      </c>
      <c r="Q108" t="n">
        <v>0</v>
      </c>
      <c r="R108" s="2" t="inlineStr"/>
    </row>
    <row r="109" ht="15" customHeight="1">
      <c r="A109" t="inlineStr">
        <is>
          <t>A 34951-2022</t>
        </is>
      </c>
      <c r="B109" s="1" t="n">
        <v>44796</v>
      </c>
      <c r="C109" s="1" t="n">
        <v>46035</v>
      </c>
      <c r="D109" t="inlineStr">
        <is>
          <t>KALMAR LÄN</t>
        </is>
      </c>
      <c r="E109" t="inlineStr">
        <is>
          <t>BORGHOLM</t>
        </is>
      </c>
      <c r="F109" t="inlineStr">
        <is>
          <t>Sveaskog</t>
        </is>
      </c>
      <c r="G109" t="n">
        <v>4.6</v>
      </c>
      <c r="H109" t="n">
        <v>0</v>
      </c>
      <c r="I109" t="n">
        <v>0</v>
      </c>
      <c r="J109" t="n">
        <v>0</v>
      </c>
      <c r="K109" t="n">
        <v>0</v>
      </c>
      <c r="L109" t="n">
        <v>0</v>
      </c>
      <c r="M109" t="n">
        <v>0</v>
      </c>
      <c r="N109" t="n">
        <v>0</v>
      </c>
      <c r="O109" t="n">
        <v>0</v>
      </c>
      <c r="P109" t="n">
        <v>0</v>
      </c>
      <c r="Q109" t="n">
        <v>0</v>
      </c>
      <c r="R109" s="2" t="inlineStr"/>
    </row>
    <row r="110" ht="15" customHeight="1">
      <c r="A110" t="inlineStr">
        <is>
          <t>A 9034-2025</t>
        </is>
      </c>
      <c r="B110" s="1" t="n">
        <v>45713</v>
      </c>
      <c r="C110" s="1" t="n">
        <v>46035</v>
      </c>
      <c r="D110" t="inlineStr">
        <is>
          <t>KALMAR LÄN</t>
        </is>
      </c>
      <c r="E110" t="inlineStr">
        <is>
          <t>BORGHOLM</t>
        </is>
      </c>
      <c r="F110" t="inlineStr">
        <is>
          <t>Sveaskog</t>
        </is>
      </c>
      <c r="G110" t="n">
        <v>6.8</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46035</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3878-2023</t>
        </is>
      </c>
      <c r="B112" s="1" t="n">
        <v>44951</v>
      </c>
      <c r="C112" s="1" t="n">
        <v>46035</v>
      </c>
      <c r="D112" t="inlineStr">
        <is>
          <t>KALMAR LÄN</t>
        </is>
      </c>
      <c r="E112" t="inlineStr">
        <is>
          <t>BORGHOLM</t>
        </is>
      </c>
      <c r="G112" t="n">
        <v>1.7</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46035</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13383-2023</t>
        </is>
      </c>
      <c r="B114" s="1" t="n">
        <v>45005</v>
      </c>
      <c r="C114" s="1" t="n">
        <v>46035</v>
      </c>
      <c r="D114" t="inlineStr">
        <is>
          <t>KALMAR LÄN</t>
        </is>
      </c>
      <c r="E114" t="inlineStr">
        <is>
          <t>BORGHOLM</t>
        </is>
      </c>
      <c r="G114" t="n">
        <v>0.8</v>
      </c>
      <c r="H114" t="n">
        <v>0</v>
      </c>
      <c r="I114" t="n">
        <v>0</v>
      </c>
      <c r="J114" t="n">
        <v>0</v>
      </c>
      <c r="K114" t="n">
        <v>0</v>
      </c>
      <c r="L114" t="n">
        <v>0</v>
      </c>
      <c r="M114" t="n">
        <v>0</v>
      </c>
      <c r="N114" t="n">
        <v>0</v>
      </c>
      <c r="O114" t="n">
        <v>0</v>
      </c>
      <c r="P114" t="n">
        <v>0</v>
      </c>
      <c r="Q114" t="n">
        <v>0</v>
      </c>
      <c r="R114" s="2" t="inlineStr"/>
    </row>
    <row r="115" ht="15" customHeight="1">
      <c r="A115" t="inlineStr">
        <is>
          <t>A 12937-2022</t>
        </is>
      </c>
      <c r="B115" s="1" t="n">
        <v>44642</v>
      </c>
      <c r="C115" s="1" t="n">
        <v>46035</v>
      </c>
      <c r="D115" t="inlineStr">
        <is>
          <t>KALMAR LÄN</t>
        </is>
      </c>
      <c r="E115" t="inlineStr">
        <is>
          <t>BORGHOLM</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7960-2023</t>
        </is>
      </c>
      <c r="B116" s="1" t="n">
        <v>44973</v>
      </c>
      <c r="C116" s="1" t="n">
        <v>46035</v>
      </c>
      <c r="D116" t="inlineStr">
        <is>
          <t>KALMAR LÄN</t>
        </is>
      </c>
      <c r="E116" t="inlineStr">
        <is>
          <t>BORGHOLM</t>
        </is>
      </c>
      <c r="G116" t="n">
        <v>2.1</v>
      </c>
      <c r="H116" t="n">
        <v>0</v>
      </c>
      <c r="I116" t="n">
        <v>0</v>
      </c>
      <c r="J116" t="n">
        <v>0</v>
      </c>
      <c r="K116" t="n">
        <v>0</v>
      </c>
      <c r="L116" t="n">
        <v>0</v>
      </c>
      <c r="M116" t="n">
        <v>0</v>
      </c>
      <c r="N116" t="n">
        <v>0</v>
      </c>
      <c r="O116" t="n">
        <v>0</v>
      </c>
      <c r="P116" t="n">
        <v>0</v>
      </c>
      <c r="Q116" t="n">
        <v>0</v>
      </c>
      <c r="R116" s="2" t="inlineStr"/>
    </row>
    <row r="117" ht="15" customHeight="1">
      <c r="A117" t="inlineStr">
        <is>
          <t>A 61438-2023</t>
        </is>
      </c>
      <c r="B117" s="1" t="n">
        <v>45264</v>
      </c>
      <c r="C117" s="1" t="n">
        <v>46035</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46035</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1614-2025</t>
        </is>
      </c>
      <c r="B119" s="1" t="n">
        <v>45670.60094907408</v>
      </c>
      <c r="C119" s="1" t="n">
        <v>46035</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63276-2023</t>
        </is>
      </c>
      <c r="B120" s="1" t="n">
        <v>45273.82195601852</v>
      </c>
      <c r="C120" s="1" t="n">
        <v>46035</v>
      </c>
      <c r="D120" t="inlineStr">
        <is>
          <t>KALMAR LÄN</t>
        </is>
      </c>
      <c r="E120" t="inlineStr">
        <is>
          <t>BORGHOLM</t>
        </is>
      </c>
      <c r="G120" t="n">
        <v>5</v>
      </c>
      <c r="H120" t="n">
        <v>0</v>
      </c>
      <c r="I120" t="n">
        <v>0</v>
      </c>
      <c r="J120" t="n">
        <v>0</v>
      </c>
      <c r="K120" t="n">
        <v>0</v>
      </c>
      <c r="L120" t="n">
        <v>0</v>
      </c>
      <c r="M120" t="n">
        <v>0</v>
      </c>
      <c r="N120" t="n">
        <v>0</v>
      </c>
      <c r="O120" t="n">
        <v>0</v>
      </c>
      <c r="P120" t="n">
        <v>0</v>
      </c>
      <c r="Q120" t="n">
        <v>0</v>
      </c>
      <c r="R120" s="2" t="inlineStr"/>
    </row>
    <row r="121">
      <c r="A121" t="inlineStr">
        <is>
          <t>A 9050-2025</t>
        </is>
      </c>
      <c r="B121" s="1" t="n">
        <v>45713.63512731482</v>
      </c>
      <c r="C121" s="1" t="n">
        <v>46035</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2026-01-13T10:51:13Z</dcterms:created>
  <dcterms:modified xmlns:dcterms="http://purl.org/dc/terms/" xmlns:xsi="http://www.w3.org/2001/XMLSchema-instance" xsi:type="dcterms:W3CDTF">2026-01-13T10:51:13Z</dcterms:modified>
</cp:coreProperties>
</file>