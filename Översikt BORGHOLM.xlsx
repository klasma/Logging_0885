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46112</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46112</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46112</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46112</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46112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46112</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46112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46112</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15285-2026</t>
        </is>
      </c>
      <c r="B27" s="1" t="n">
        <v>46105.6156712963</v>
      </c>
      <c r="C27" s="1" t="n">
        <v>46112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9253-2026</t>
        </is>
      </c>
      <c r="B28" s="1" t="n">
        <v>46070.51003472223</v>
      </c>
      <c r="C28" s="1" t="n">
        <v>46112</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4164-2023</t>
        </is>
      </c>
      <c r="B29" s="1" t="n">
        <v>44953</v>
      </c>
      <c r="C29" s="1" t="n">
        <v>46112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46112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46112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46112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28785-2025</t>
        </is>
      </c>
      <c r="B34" s="1" t="n">
        <v>45820.46159722222</v>
      </c>
      <c r="C34" s="1" t="n">
        <v>46112</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46112</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3302-2026</t>
        </is>
      </c>
      <c r="B36" s="1" t="n">
        <v>46041</v>
      </c>
      <c r="C36" s="1" t="n">
        <v>46112</v>
      </c>
      <c r="D36" t="inlineStr">
        <is>
          <t>KALMAR LÄN</t>
        </is>
      </c>
      <c r="E36" t="inlineStr">
        <is>
          <t>BORGHOLM</t>
        </is>
      </c>
      <c r="G36" t="n">
        <v>3.9</v>
      </c>
      <c r="H36" t="n">
        <v>1</v>
      </c>
      <c r="I36" t="n">
        <v>0</v>
      </c>
      <c r="J36" t="n">
        <v>0</v>
      </c>
      <c r="K36" t="n">
        <v>0</v>
      </c>
      <c r="L36" t="n">
        <v>0</v>
      </c>
      <c r="M36" t="n">
        <v>0</v>
      </c>
      <c r="N36" t="n">
        <v>0</v>
      </c>
      <c r="O36" t="n">
        <v>0</v>
      </c>
      <c r="P36" t="n">
        <v>0</v>
      </c>
      <c r="Q36" t="n">
        <v>1</v>
      </c>
      <c r="R36" s="2" t="inlineStr">
        <is>
          <t>Blåsippa</t>
        </is>
      </c>
      <c r="S36">
        <f>HYPERLINK("https://klasma.github.io/Logging_0885/artfynd/A 3302-2026 artfynd.xlsx", "A 3302-2026")</f>
        <v/>
      </c>
      <c r="T36">
        <f>HYPERLINK("https://klasma.github.io/Logging_0885/kartor/A 3302-2026 karta.png", "A 3302-2026")</f>
        <v/>
      </c>
      <c r="V36">
        <f>HYPERLINK("https://klasma.github.io/Logging_0885/klagomål/A 3302-2026 FSC-klagomål.docx", "A 3302-2026")</f>
        <v/>
      </c>
      <c r="W36">
        <f>HYPERLINK("https://klasma.github.io/Logging_0885/klagomålsmail/A 3302-2026 FSC-klagomål mail.docx", "A 3302-2026")</f>
        <v/>
      </c>
      <c r="X36">
        <f>HYPERLINK("https://klasma.github.io/Logging_0885/tillsyn/A 3302-2026 tillsynsbegäran.docx", "A 3302-2026")</f>
        <v/>
      </c>
      <c r="Y36">
        <f>HYPERLINK("https://klasma.github.io/Logging_0885/tillsynsmail/A 3302-2026 tillsynsbegäran mail.docx", "A 3302-2026")</f>
        <v/>
      </c>
    </row>
    <row r="37" ht="15" customHeight="1">
      <c r="A37" t="inlineStr">
        <is>
          <t>A 34885-2025</t>
        </is>
      </c>
      <c r="B37" s="1" t="n">
        <v>45849.47128472223</v>
      </c>
      <c r="C37" s="1" t="n">
        <v>46112</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24704-2023</t>
        </is>
      </c>
      <c r="B38" s="1" t="n">
        <v>45084</v>
      </c>
      <c r="C38" s="1" t="n">
        <v>46112</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45693-2025</t>
        </is>
      </c>
      <c r="B39" s="1" t="n">
        <v>45923</v>
      </c>
      <c r="C39" s="1" t="n">
        <v>46112</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9745-2023</t>
        </is>
      </c>
      <c r="B40" s="1" t="n">
        <v>44984</v>
      </c>
      <c r="C40" s="1" t="n">
        <v>46112</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46112</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24048-2025</t>
        </is>
      </c>
      <c r="B42" s="1" t="n">
        <v>45796.4959375</v>
      </c>
      <c r="C42" s="1" t="n">
        <v>46112</v>
      </c>
      <c r="D42" t="inlineStr">
        <is>
          <t>KALMAR LÄN</t>
        </is>
      </c>
      <c r="E42" t="inlineStr">
        <is>
          <t>BORGHOLM</t>
        </is>
      </c>
      <c r="G42" t="n">
        <v>2</v>
      </c>
      <c r="H42" t="n">
        <v>0</v>
      </c>
      <c r="I42" t="n">
        <v>0</v>
      </c>
      <c r="J42" t="n">
        <v>1</v>
      </c>
      <c r="K42" t="n">
        <v>0</v>
      </c>
      <c r="L42" t="n">
        <v>0</v>
      </c>
      <c r="M42" t="n">
        <v>0</v>
      </c>
      <c r="N42" t="n">
        <v>0</v>
      </c>
      <c r="O42" t="n">
        <v>1</v>
      </c>
      <c r="P42" t="n">
        <v>0</v>
      </c>
      <c r="Q42" t="n">
        <v>1</v>
      </c>
      <c r="R42" s="2" t="inlineStr">
        <is>
          <t>Loppstarr</t>
        </is>
      </c>
      <c r="S42">
        <f>HYPERLINK("https://klasma.github.io/Logging_0885/artfynd/A 24048-2025 artfynd.xlsx", "A 24048-2025")</f>
        <v/>
      </c>
      <c r="T42">
        <f>HYPERLINK("https://klasma.github.io/Logging_0885/kartor/A 24048-2025 karta.png", "A 24048-2025")</f>
        <v/>
      </c>
      <c r="V42">
        <f>HYPERLINK("https://klasma.github.io/Logging_0885/klagomål/A 24048-2025 FSC-klagomål.docx", "A 24048-2025")</f>
        <v/>
      </c>
      <c r="W42">
        <f>HYPERLINK("https://klasma.github.io/Logging_0885/klagomålsmail/A 24048-2025 FSC-klagomål mail.docx", "A 24048-2025")</f>
        <v/>
      </c>
      <c r="X42">
        <f>HYPERLINK("https://klasma.github.io/Logging_0885/tillsyn/A 24048-2025 tillsynsbegäran.docx", "A 24048-2025")</f>
        <v/>
      </c>
      <c r="Y42">
        <f>HYPERLINK("https://klasma.github.io/Logging_0885/tillsynsmail/A 24048-2025 tillsynsbegäran mail.docx", "A 24048-2025")</f>
        <v/>
      </c>
    </row>
    <row r="43" ht="15" customHeight="1">
      <c r="A43" t="inlineStr">
        <is>
          <t>A 41640-2023</t>
        </is>
      </c>
      <c r="B43" s="1" t="n">
        <v>45175</v>
      </c>
      <c r="C43" s="1" t="n">
        <v>46112</v>
      </c>
      <c r="D43" t="inlineStr">
        <is>
          <t>KALMAR LÄN</t>
        </is>
      </c>
      <c r="E43" t="inlineStr">
        <is>
          <t>BORGHOLM</t>
        </is>
      </c>
      <c r="G43" t="n">
        <v>5</v>
      </c>
      <c r="H43" t="n">
        <v>1</v>
      </c>
      <c r="I43" t="n">
        <v>0</v>
      </c>
      <c r="J43" t="n">
        <v>0</v>
      </c>
      <c r="K43" t="n">
        <v>0</v>
      </c>
      <c r="L43" t="n">
        <v>0</v>
      </c>
      <c r="M43" t="n">
        <v>0</v>
      </c>
      <c r="N43" t="n">
        <v>0</v>
      </c>
      <c r="O43" t="n">
        <v>0</v>
      </c>
      <c r="P43" t="n">
        <v>0</v>
      </c>
      <c r="Q43" t="n">
        <v>1</v>
      </c>
      <c r="R43" s="2" t="inlineStr">
        <is>
          <t>Johannesnycklar</t>
        </is>
      </c>
      <c r="S43">
        <f>HYPERLINK("https://klasma.github.io/Logging_0885/artfynd/A 41640-2023 artfynd.xlsx", "A 41640-2023")</f>
        <v/>
      </c>
      <c r="T43">
        <f>HYPERLINK("https://klasma.github.io/Logging_0885/kartor/A 41640-2023 karta.png", "A 41640-2023")</f>
        <v/>
      </c>
      <c r="V43">
        <f>HYPERLINK("https://klasma.github.io/Logging_0885/klagomål/A 41640-2023 FSC-klagomål.docx", "A 41640-2023")</f>
        <v/>
      </c>
      <c r="W43">
        <f>HYPERLINK("https://klasma.github.io/Logging_0885/klagomålsmail/A 41640-2023 FSC-klagomål mail.docx", "A 41640-2023")</f>
        <v/>
      </c>
      <c r="X43">
        <f>HYPERLINK("https://klasma.github.io/Logging_0885/tillsyn/A 41640-2023 tillsynsbegäran.docx", "A 41640-2023")</f>
        <v/>
      </c>
      <c r="Y43">
        <f>HYPERLINK("https://klasma.github.io/Logging_0885/tillsynsmail/A 41640-2023 tillsynsbegäran mail.docx", "A 41640-2023")</f>
        <v/>
      </c>
    </row>
    <row r="44" ht="15" customHeight="1">
      <c r="A44" t="inlineStr">
        <is>
          <t>A 42761-2021</t>
        </is>
      </c>
      <c r="B44" s="1" t="n">
        <v>44428</v>
      </c>
      <c r="C44" s="1" t="n">
        <v>46112</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46112</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46112</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46112</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46112</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46112</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46112</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46112</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46112</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46112</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46112</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46112</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46112</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46112</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46112</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46112</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21908-2022</t>
        </is>
      </c>
      <c r="B62" s="1" t="n">
        <v>44711</v>
      </c>
      <c r="C62" s="1" t="n">
        <v>46112</v>
      </c>
      <c r="D62" t="inlineStr">
        <is>
          <t>KALMAR LÄN</t>
        </is>
      </c>
      <c r="E62" t="inlineStr">
        <is>
          <t>BORGHOLM</t>
        </is>
      </c>
      <c r="G62" t="n">
        <v>4.7</v>
      </c>
      <c r="H62" t="n">
        <v>0</v>
      </c>
      <c r="I62" t="n">
        <v>0</v>
      </c>
      <c r="J62" t="n">
        <v>0</v>
      </c>
      <c r="K62" t="n">
        <v>0</v>
      </c>
      <c r="L62" t="n">
        <v>0</v>
      </c>
      <c r="M62" t="n">
        <v>0</v>
      </c>
      <c r="N62" t="n">
        <v>0</v>
      </c>
      <c r="O62" t="n">
        <v>0</v>
      </c>
      <c r="P62" t="n">
        <v>0</v>
      </c>
      <c r="Q62" t="n">
        <v>0</v>
      </c>
      <c r="R62" s="2" t="inlineStr"/>
    </row>
    <row r="63" ht="15" customHeight="1">
      <c r="A63" t="inlineStr">
        <is>
          <t>A 55367-2024</t>
        </is>
      </c>
      <c r="B63" s="1" t="n">
        <v>45621.87075231481</v>
      </c>
      <c r="C63" s="1" t="n">
        <v>46112</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27357-2025</t>
        </is>
      </c>
      <c r="B64" s="1" t="n">
        <v>45812.63650462963</v>
      </c>
      <c r="C64" s="1" t="n">
        <v>46112</v>
      </c>
      <c r="D64" t="inlineStr">
        <is>
          <t>KALMAR LÄN</t>
        </is>
      </c>
      <c r="E64" t="inlineStr">
        <is>
          <t>BORGHOLM</t>
        </is>
      </c>
      <c r="F64" t="inlineStr">
        <is>
          <t>Sveaskog</t>
        </is>
      </c>
      <c r="G64" t="n">
        <v>4.5</v>
      </c>
      <c r="H64" t="n">
        <v>0</v>
      </c>
      <c r="I64" t="n">
        <v>0</v>
      </c>
      <c r="J64" t="n">
        <v>0</v>
      </c>
      <c r="K64" t="n">
        <v>0</v>
      </c>
      <c r="L64" t="n">
        <v>0</v>
      </c>
      <c r="M64" t="n">
        <v>0</v>
      </c>
      <c r="N64" t="n">
        <v>0</v>
      </c>
      <c r="O64" t="n">
        <v>0</v>
      </c>
      <c r="P64" t="n">
        <v>0</v>
      </c>
      <c r="Q64" t="n">
        <v>0</v>
      </c>
      <c r="R64" s="2" t="inlineStr"/>
    </row>
    <row r="65" ht="15" customHeight="1">
      <c r="A65" t="inlineStr">
        <is>
          <t>A 27366-2025</t>
        </is>
      </c>
      <c r="B65" s="1" t="n">
        <v>45812.64475694444</v>
      </c>
      <c r="C65" s="1" t="n">
        <v>46112</v>
      </c>
      <c r="D65" t="inlineStr">
        <is>
          <t>KALMAR LÄN</t>
        </is>
      </c>
      <c r="E65" t="inlineStr">
        <is>
          <t>BORGHOLM</t>
        </is>
      </c>
      <c r="F65" t="inlineStr">
        <is>
          <t>Sveaskog</t>
        </is>
      </c>
      <c r="G65" t="n">
        <v>2.5</v>
      </c>
      <c r="H65" t="n">
        <v>0</v>
      </c>
      <c r="I65" t="n">
        <v>0</v>
      </c>
      <c r="J65" t="n">
        <v>0</v>
      </c>
      <c r="K65" t="n">
        <v>0</v>
      </c>
      <c r="L65" t="n">
        <v>0</v>
      </c>
      <c r="M65" t="n">
        <v>0</v>
      </c>
      <c r="N65" t="n">
        <v>0</v>
      </c>
      <c r="O65" t="n">
        <v>0</v>
      </c>
      <c r="P65" t="n">
        <v>0</v>
      </c>
      <c r="Q65" t="n">
        <v>0</v>
      </c>
      <c r="R65" s="2" t="inlineStr"/>
    </row>
    <row r="66" ht="15" customHeight="1">
      <c r="A66" t="inlineStr">
        <is>
          <t>A 28782-2025</t>
        </is>
      </c>
      <c r="B66" s="1" t="n">
        <v>45820.45572916666</v>
      </c>
      <c r="C66" s="1" t="n">
        <v>46112</v>
      </c>
      <c r="D66" t="inlineStr">
        <is>
          <t>KALMAR LÄN</t>
        </is>
      </c>
      <c r="E66" t="inlineStr">
        <is>
          <t>BORGHOLM</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4159-2024</t>
        </is>
      </c>
      <c r="B67" s="1" t="n">
        <v>45323</v>
      </c>
      <c r="C67" s="1" t="n">
        <v>46112</v>
      </c>
      <c r="D67" t="inlineStr">
        <is>
          <t>KALMAR LÄN</t>
        </is>
      </c>
      <c r="E67" t="inlineStr">
        <is>
          <t>BORGHOLM</t>
        </is>
      </c>
      <c r="G67" t="n">
        <v>0.5</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46112</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31699-2022</t>
        </is>
      </c>
      <c r="B69" s="1" t="n">
        <v>44776</v>
      </c>
      <c r="C69" s="1" t="n">
        <v>46112</v>
      </c>
      <c r="D69" t="inlineStr">
        <is>
          <t>KALMAR LÄN</t>
        </is>
      </c>
      <c r="E69" t="inlineStr">
        <is>
          <t>BORGHOLM</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46112</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46112</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63276-2023</t>
        </is>
      </c>
      <c r="B72" s="1" t="n">
        <v>45273.82195601852</v>
      </c>
      <c r="C72" s="1" t="n">
        <v>46112</v>
      </c>
      <c r="D72" t="inlineStr">
        <is>
          <t>KALMAR LÄN</t>
        </is>
      </c>
      <c r="E72" t="inlineStr">
        <is>
          <t>BORGHOLM</t>
        </is>
      </c>
      <c r="G72" t="n">
        <v>5</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46112</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46112</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1614-2025</t>
        </is>
      </c>
      <c r="B75" s="1" t="n">
        <v>45670.60094907408</v>
      </c>
      <c r="C75" s="1" t="n">
        <v>46112</v>
      </c>
      <c r="D75" t="inlineStr">
        <is>
          <t>KALMAR LÄN</t>
        </is>
      </c>
      <c r="E75" t="inlineStr">
        <is>
          <t>BORGHOLM</t>
        </is>
      </c>
      <c r="G75" t="n">
        <v>1.4</v>
      </c>
      <c r="H75" t="n">
        <v>0</v>
      </c>
      <c r="I75" t="n">
        <v>0</v>
      </c>
      <c r="J75" t="n">
        <v>0</v>
      </c>
      <c r="K75" t="n">
        <v>0</v>
      </c>
      <c r="L75" t="n">
        <v>0</v>
      </c>
      <c r="M75" t="n">
        <v>0</v>
      </c>
      <c r="N75" t="n">
        <v>0</v>
      </c>
      <c r="O75" t="n">
        <v>0</v>
      </c>
      <c r="P75" t="n">
        <v>0</v>
      </c>
      <c r="Q75" t="n">
        <v>0</v>
      </c>
      <c r="R75" s="2" t="inlineStr"/>
    </row>
    <row r="76" ht="15" customHeight="1">
      <c r="A76" t="inlineStr">
        <is>
          <t>A 36269-2025</t>
        </is>
      </c>
      <c r="B76" s="1" t="n">
        <v>45867.61736111111</v>
      </c>
      <c r="C76" s="1" t="n">
        <v>46112</v>
      </c>
      <c r="D76" t="inlineStr">
        <is>
          <t>KALMAR LÄN</t>
        </is>
      </c>
      <c r="E76" t="inlineStr">
        <is>
          <t>BORGHOLM</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46112</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46112</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46112</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9076-2025</t>
        </is>
      </c>
      <c r="B80" s="1" t="n">
        <v>45713.6596875</v>
      </c>
      <c r="C80" s="1" t="n">
        <v>46112</v>
      </c>
      <c r="D80" t="inlineStr">
        <is>
          <t>KALMAR LÄN</t>
        </is>
      </c>
      <c r="E80" t="inlineStr">
        <is>
          <t>BORGHOLM</t>
        </is>
      </c>
      <c r="F80" t="inlineStr">
        <is>
          <t>Sveaskog</t>
        </is>
      </c>
      <c r="G80" t="n">
        <v>4.2</v>
      </c>
      <c r="H80" t="n">
        <v>0</v>
      </c>
      <c r="I80" t="n">
        <v>0</v>
      </c>
      <c r="J80" t="n">
        <v>0</v>
      </c>
      <c r="K80" t="n">
        <v>0</v>
      </c>
      <c r="L80" t="n">
        <v>0</v>
      </c>
      <c r="M80" t="n">
        <v>0</v>
      </c>
      <c r="N80" t="n">
        <v>0</v>
      </c>
      <c r="O80" t="n">
        <v>0</v>
      </c>
      <c r="P80" t="n">
        <v>0</v>
      </c>
      <c r="Q80" t="n">
        <v>0</v>
      </c>
      <c r="R80" s="2" t="inlineStr"/>
    </row>
    <row r="81" ht="15" customHeight="1">
      <c r="A81" t="inlineStr">
        <is>
          <t>A 1757-2025</t>
        </is>
      </c>
      <c r="B81" s="1" t="n">
        <v>45671.42195601852</v>
      </c>
      <c r="C81" s="1" t="n">
        <v>46112</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7960-2023</t>
        </is>
      </c>
      <c r="B82" s="1" t="n">
        <v>44973</v>
      </c>
      <c r="C82" s="1" t="n">
        <v>46112</v>
      </c>
      <c r="D82" t="inlineStr">
        <is>
          <t>KALMAR LÄN</t>
        </is>
      </c>
      <c r="E82" t="inlineStr">
        <is>
          <t>BORGHOLM</t>
        </is>
      </c>
      <c r="G82" t="n">
        <v>2.1</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46112</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9050-2025</t>
        </is>
      </c>
      <c r="B84" s="1" t="n">
        <v>45713.63512731482</v>
      </c>
      <c r="C84" s="1" t="n">
        <v>46112</v>
      </c>
      <c r="D84" t="inlineStr">
        <is>
          <t>KALMAR LÄN</t>
        </is>
      </c>
      <c r="E84" t="inlineStr">
        <is>
          <t>BORGHOLM</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7669-2024</t>
        </is>
      </c>
      <c r="B85" s="1" t="n">
        <v>45348.82498842593</v>
      </c>
      <c r="C85" s="1" t="n">
        <v>46112</v>
      </c>
      <c r="D85" t="inlineStr">
        <is>
          <t>KALMAR LÄN</t>
        </is>
      </c>
      <c r="E85" t="inlineStr">
        <is>
          <t>BORGHOLM</t>
        </is>
      </c>
      <c r="G85" t="n">
        <v>2.3</v>
      </c>
      <c r="H85" t="n">
        <v>0</v>
      </c>
      <c r="I85" t="n">
        <v>0</v>
      </c>
      <c r="J85" t="n">
        <v>0</v>
      </c>
      <c r="K85" t="n">
        <v>0</v>
      </c>
      <c r="L85" t="n">
        <v>0</v>
      </c>
      <c r="M85" t="n">
        <v>0</v>
      </c>
      <c r="N85" t="n">
        <v>0</v>
      </c>
      <c r="O85" t="n">
        <v>0</v>
      </c>
      <c r="P85" t="n">
        <v>0</v>
      </c>
      <c r="Q85" t="n">
        <v>0</v>
      </c>
      <c r="R85" s="2" t="inlineStr"/>
    </row>
    <row r="86" ht="15" customHeight="1">
      <c r="A86" t="inlineStr">
        <is>
          <t>A 7481-2026</t>
        </is>
      </c>
      <c r="B86" s="1" t="n">
        <v>46059.51359953704</v>
      </c>
      <c r="C86" s="1" t="n">
        <v>46112</v>
      </c>
      <c r="D86" t="inlineStr">
        <is>
          <t>KALMAR LÄN</t>
        </is>
      </c>
      <c r="E86" t="inlineStr">
        <is>
          <t>BORGHOLM</t>
        </is>
      </c>
      <c r="G86" t="n">
        <v>1.9</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46112</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46112</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15272-2026</t>
        </is>
      </c>
      <c r="B89" s="1" t="n">
        <v>46105.60017361111</v>
      </c>
      <c r="C89" s="1" t="n">
        <v>46112</v>
      </c>
      <c r="D89" t="inlineStr">
        <is>
          <t>KALMAR LÄN</t>
        </is>
      </c>
      <c r="E89" t="inlineStr">
        <is>
          <t>BORGHOLM</t>
        </is>
      </c>
      <c r="F89" t="inlineStr">
        <is>
          <t>Sveaskog</t>
        </is>
      </c>
      <c r="G89" t="n">
        <v>2.9</v>
      </c>
      <c r="H89" t="n">
        <v>0</v>
      </c>
      <c r="I89" t="n">
        <v>0</v>
      </c>
      <c r="J89" t="n">
        <v>0</v>
      </c>
      <c r="K89" t="n">
        <v>0</v>
      </c>
      <c r="L89" t="n">
        <v>0</v>
      </c>
      <c r="M89" t="n">
        <v>0</v>
      </c>
      <c r="N89" t="n">
        <v>0</v>
      </c>
      <c r="O89" t="n">
        <v>0</v>
      </c>
      <c r="P89" t="n">
        <v>0</v>
      </c>
      <c r="Q89" t="n">
        <v>0</v>
      </c>
      <c r="R89" s="2" t="inlineStr"/>
    </row>
    <row r="90" ht="15" customHeight="1">
      <c r="A90" t="inlineStr">
        <is>
          <t>A 15264-2026</t>
        </is>
      </c>
      <c r="B90" s="1" t="n">
        <v>46105.59372685185</v>
      </c>
      <c r="C90" s="1" t="n">
        <v>46112</v>
      </c>
      <c r="D90" t="inlineStr">
        <is>
          <t>KALMAR LÄN</t>
        </is>
      </c>
      <c r="E90" t="inlineStr">
        <is>
          <t>BORGHOLM</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61723-2025</t>
        </is>
      </c>
      <c r="B91" s="1" t="n">
        <v>46002.58388888889</v>
      </c>
      <c r="C91" s="1" t="n">
        <v>46112</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15279-2026</t>
        </is>
      </c>
      <c r="B92" s="1" t="n">
        <v>46105.61030092592</v>
      </c>
      <c r="C92" s="1" t="n">
        <v>46112</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32919-2023</t>
        </is>
      </c>
      <c r="B93" s="1" t="n">
        <v>45125</v>
      </c>
      <c r="C93" s="1" t="n">
        <v>46112</v>
      </c>
      <c r="D93" t="inlineStr">
        <is>
          <t>KALMAR LÄN</t>
        </is>
      </c>
      <c r="E93" t="inlineStr">
        <is>
          <t>BORGHOLM</t>
        </is>
      </c>
      <c r="G93" t="n">
        <v>2.7</v>
      </c>
      <c r="H93" t="n">
        <v>0</v>
      </c>
      <c r="I93" t="n">
        <v>0</v>
      </c>
      <c r="J93" t="n">
        <v>0</v>
      </c>
      <c r="K93" t="n">
        <v>0</v>
      </c>
      <c r="L93" t="n">
        <v>0</v>
      </c>
      <c r="M93" t="n">
        <v>0</v>
      </c>
      <c r="N93" t="n">
        <v>0</v>
      </c>
      <c r="O93" t="n">
        <v>0</v>
      </c>
      <c r="P93" t="n">
        <v>0</v>
      </c>
      <c r="Q93" t="n">
        <v>0</v>
      </c>
      <c r="R93" s="2" t="inlineStr"/>
    </row>
    <row r="94" ht="15" customHeight="1">
      <c r="A94" t="inlineStr">
        <is>
          <t>A 44678-2022</t>
        </is>
      </c>
      <c r="B94" s="1" t="n">
        <v>44840.65100694444</v>
      </c>
      <c r="C94" s="1" t="n">
        <v>46112</v>
      </c>
      <c r="D94" t="inlineStr">
        <is>
          <t>KALMAR LÄN</t>
        </is>
      </c>
      <c r="E94" t="inlineStr">
        <is>
          <t>BORGHOLM</t>
        </is>
      </c>
      <c r="G94" t="n">
        <v>2.4</v>
      </c>
      <c r="H94" t="n">
        <v>0</v>
      </c>
      <c r="I94" t="n">
        <v>0</v>
      </c>
      <c r="J94" t="n">
        <v>0</v>
      </c>
      <c r="K94" t="n">
        <v>0</v>
      </c>
      <c r="L94" t="n">
        <v>0</v>
      </c>
      <c r="M94" t="n">
        <v>0</v>
      </c>
      <c r="N94" t="n">
        <v>0</v>
      </c>
      <c r="O94" t="n">
        <v>0</v>
      </c>
      <c r="P94" t="n">
        <v>0</v>
      </c>
      <c r="Q94" t="n">
        <v>0</v>
      </c>
      <c r="R94" s="2" t="inlineStr"/>
    </row>
    <row r="95" ht="15" customHeight="1">
      <c r="A95" t="inlineStr">
        <is>
          <t>A 9259-2026</t>
        </is>
      </c>
      <c r="B95" s="1" t="n">
        <v>46070.51917824074</v>
      </c>
      <c r="C95" s="1" t="n">
        <v>46112</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31720-2022</t>
        </is>
      </c>
      <c r="B96" s="1" t="n">
        <v>44776</v>
      </c>
      <c r="C96" s="1" t="n">
        <v>46112</v>
      </c>
      <c r="D96" t="inlineStr">
        <is>
          <t>KALMAR LÄN</t>
        </is>
      </c>
      <c r="E96" t="inlineStr">
        <is>
          <t>BORGHOLM</t>
        </is>
      </c>
      <c r="F96" t="inlineStr">
        <is>
          <t>Sveaskog</t>
        </is>
      </c>
      <c r="G96" t="n">
        <v>4.5</v>
      </c>
      <c r="H96" t="n">
        <v>0</v>
      </c>
      <c r="I96" t="n">
        <v>0</v>
      </c>
      <c r="J96" t="n">
        <v>0</v>
      </c>
      <c r="K96" t="n">
        <v>0</v>
      </c>
      <c r="L96" t="n">
        <v>0</v>
      </c>
      <c r="M96" t="n">
        <v>0</v>
      </c>
      <c r="N96" t="n">
        <v>0</v>
      </c>
      <c r="O96" t="n">
        <v>0</v>
      </c>
      <c r="P96" t="n">
        <v>0</v>
      </c>
      <c r="Q96" t="n">
        <v>0</v>
      </c>
      <c r="R96" s="2" t="inlineStr"/>
    </row>
    <row r="97" ht="15" customHeight="1">
      <c r="A97" t="inlineStr">
        <is>
          <t>A 9905-2026</t>
        </is>
      </c>
      <c r="B97" s="1" t="n">
        <v>46073.4108912037</v>
      </c>
      <c r="C97" s="1" t="n">
        <v>46112</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46112</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5175-2024</t>
        </is>
      </c>
      <c r="B99" s="1" t="n">
        <v>45330</v>
      </c>
      <c r="C99" s="1" t="n">
        <v>46112</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46112</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46112</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46112</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46112</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61438-2023</t>
        </is>
      </c>
      <c r="B104" s="1" t="n">
        <v>45264</v>
      </c>
      <c r="C104" s="1" t="n">
        <v>46112</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13041-2024</t>
        </is>
      </c>
      <c r="B105" s="1" t="n">
        <v>45385.60065972222</v>
      </c>
      <c r="C105" s="1" t="n">
        <v>46112</v>
      </c>
      <c r="D105" t="inlineStr">
        <is>
          <t>KALMAR LÄN</t>
        </is>
      </c>
      <c r="E105" t="inlineStr">
        <is>
          <t>BORGHOLM</t>
        </is>
      </c>
      <c r="G105" t="n">
        <v>0.5</v>
      </c>
      <c r="H105" t="n">
        <v>0</v>
      </c>
      <c r="I105" t="n">
        <v>0</v>
      </c>
      <c r="J105" t="n">
        <v>0</v>
      </c>
      <c r="K105" t="n">
        <v>0</v>
      </c>
      <c r="L105" t="n">
        <v>0</v>
      </c>
      <c r="M105" t="n">
        <v>0</v>
      </c>
      <c r="N105" t="n">
        <v>0</v>
      </c>
      <c r="O105" t="n">
        <v>0</v>
      </c>
      <c r="P105" t="n">
        <v>0</v>
      </c>
      <c r="Q105" t="n">
        <v>0</v>
      </c>
      <c r="R105" s="2" t="inlineStr"/>
    </row>
    <row r="106" ht="15" customHeight="1">
      <c r="A106" t="inlineStr">
        <is>
          <t>A 53050-2021</t>
        </is>
      </c>
      <c r="B106" s="1" t="n">
        <v>44467</v>
      </c>
      <c r="C106" s="1" t="n">
        <v>46112</v>
      </c>
      <c r="D106" t="inlineStr">
        <is>
          <t>KALMAR LÄN</t>
        </is>
      </c>
      <c r="E106" t="inlineStr">
        <is>
          <t>BORGHOLM</t>
        </is>
      </c>
      <c r="G106" t="n">
        <v>3.6</v>
      </c>
      <c r="H106" t="n">
        <v>0</v>
      </c>
      <c r="I106" t="n">
        <v>0</v>
      </c>
      <c r="J106" t="n">
        <v>0</v>
      </c>
      <c r="K106" t="n">
        <v>0</v>
      </c>
      <c r="L106" t="n">
        <v>0</v>
      </c>
      <c r="M106" t="n">
        <v>0</v>
      </c>
      <c r="N106" t="n">
        <v>0</v>
      </c>
      <c r="O106" t="n">
        <v>0</v>
      </c>
      <c r="P106" t="n">
        <v>0</v>
      </c>
      <c r="Q106" t="n">
        <v>0</v>
      </c>
      <c r="R106" s="2" t="inlineStr"/>
    </row>
    <row r="107" ht="15" customHeight="1">
      <c r="A107" t="inlineStr">
        <is>
          <t>A 4165-2023</t>
        </is>
      </c>
      <c r="B107" s="1" t="n">
        <v>44953</v>
      </c>
      <c r="C107" s="1" t="n">
        <v>46112</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50129-2021</t>
        </is>
      </c>
      <c r="B108" s="1" t="n">
        <v>44456</v>
      </c>
      <c r="C108" s="1" t="n">
        <v>46112</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13043-2024</t>
        </is>
      </c>
      <c r="B109" s="1" t="n">
        <v>45385.60111111111</v>
      </c>
      <c r="C109" s="1" t="n">
        <v>46112</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46112</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9044-2025</t>
        </is>
      </c>
      <c r="B111" s="1" t="n">
        <v>45713.6275</v>
      </c>
      <c r="C111" s="1" t="n">
        <v>46112</v>
      </c>
      <c r="D111" t="inlineStr">
        <is>
          <t>KALMAR LÄN</t>
        </is>
      </c>
      <c r="E111" t="inlineStr">
        <is>
          <t>BORGHOLM</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20878-2024</t>
        </is>
      </c>
      <c r="B112" s="1" t="n">
        <v>45439.44748842593</v>
      </c>
      <c r="C112" s="1" t="n">
        <v>46112</v>
      </c>
      <c r="D112" t="inlineStr">
        <is>
          <t>KALMAR LÄN</t>
        </is>
      </c>
      <c r="E112" t="inlineStr">
        <is>
          <t>BORGHOLM</t>
        </is>
      </c>
      <c r="G112" t="n">
        <v>1.9</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46112</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46112</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46112</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63075-2023</t>
        </is>
      </c>
      <c r="B116" s="1" t="n">
        <v>45273</v>
      </c>
      <c r="C116" s="1" t="n">
        <v>46112</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17978-2021</t>
        </is>
      </c>
      <c r="B117" s="1" t="n">
        <v>44301</v>
      </c>
      <c r="C117" s="1" t="n">
        <v>46112</v>
      </c>
      <c r="D117" t="inlineStr">
        <is>
          <t>KALMAR LÄN</t>
        </is>
      </c>
      <c r="E117" t="inlineStr">
        <is>
          <t>BORGHOLM</t>
        </is>
      </c>
      <c r="G117" t="n">
        <v>6</v>
      </c>
      <c r="H117" t="n">
        <v>0</v>
      </c>
      <c r="I117" t="n">
        <v>0</v>
      </c>
      <c r="J117" t="n">
        <v>0</v>
      </c>
      <c r="K117" t="n">
        <v>0</v>
      </c>
      <c r="L117" t="n">
        <v>0</v>
      </c>
      <c r="M117" t="n">
        <v>0</v>
      </c>
      <c r="N117" t="n">
        <v>0</v>
      </c>
      <c r="O117" t="n">
        <v>0</v>
      </c>
      <c r="P117" t="n">
        <v>0</v>
      </c>
      <c r="Q117" t="n">
        <v>0</v>
      </c>
      <c r="R117" s="2" t="inlineStr"/>
    </row>
    <row r="118" ht="15" customHeight="1">
      <c r="A118" t="inlineStr">
        <is>
          <t>A 22785-2025</t>
        </is>
      </c>
      <c r="B118" s="1" t="n">
        <v>45789.64186342592</v>
      </c>
      <c r="C118" s="1" t="n">
        <v>46112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12534-2022</t>
        </is>
      </c>
      <c r="B119" s="1" t="n">
        <v>44638</v>
      </c>
      <c r="C119" s="1" t="n">
        <v>46112</v>
      </c>
      <c r="D119" t="inlineStr">
        <is>
          <t>KALMAR LÄN</t>
        </is>
      </c>
      <c r="E119" t="inlineStr">
        <is>
          <t>BORGHOLM</t>
        </is>
      </c>
      <c r="G119" t="n">
        <v>8.6</v>
      </c>
      <c r="H119" t="n">
        <v>0</v>
      </c>
      <c r="I119" t="n">
        <v>0</v>
      </c>
      <c r="J119" t="n">
        <v>0</v>
      </c>
      <c r="K119" t="n">
        <v>0</v>
      </c>
      <c r="L119" t="n">
        <v>0</v>
      </c>
      <c r="M119" t="n">
        <v>0</v>
      </c>
      <c r="N119" t="n">
        <v>0</v>
      </c>
      <c r="O119" t="n">
        <v>0</v>
      </c>
      <c r="P119" t="n">
        <v>0</v>
      </c>
      <c r="Q119" t="n">
        <v>0</v>
      </c>
      <c r="R119" s="2" t="inlineStr"/>
    </row>
    <row r="120" ht="15" customHeight="1">
      <c r="A120" t="inlineStr">
        <is>
          <t>A 40339-2023</t>
        </is>
      </c>
      <c r="B120" s="1" t="n">
        <v>45169.62733796296</v>
      </c>
      <c r="C120" s="1" t="n">
        <v>46112</v>
      </c>
      <c r="D120" t="inlineStr">
        <is>
          <t>KALMAR LÄN</t>
        </is>
      </c>
      <c r="E120" t="inlineStr">
        <is>
          <t>BORGHOLM</t>
        </is>
      </c>
      <c r="G120" t="n">
        <v>3.8</v>
      </c>
      <c r="H120" t="n">
        <v>0</v>
      </c>
      <c r="I120" t="n">
        <v>0</v>
      </c>
      <c r="J120" t="n">
        <v>0</v>
      </c>
      <c r="K120" t="n">
        <v>0</v>
      </c>
      <c r="L120" t="n">
        <v>0</v>
      </c>
      <c r="M120" t="n">
        <v>0</v>
      </c>
      <c r="N120" t="n">
        <v>0</v>
      </c>
      <c r="O120" t="n">
        <v>0</v>
      </c>
      <c r="P120" t="n">
        <v>0</v>
      </c>
      <c r="Q120" t="n">
        <v>0</v>
      </c>
      <c r="R120" s="2" t="inlineStr"/>
    </row>
    <row r="121" ht="15" customHeight="1">
      <c r="A121" t="inlineStr">
        <is>
          <t>A 24166-2022</t>
        </is>
      </c>
      <c r="B121" s="1" t="n">
        <v>44725</v>
      </c>
      <c r="C121" s="1" t="n">
        <v>46112</v>
      </c>
      <c r="D121" t="inlineStr">
        <is>
          <t>KALMAR LÄN</t>
        </is>
      </c>
      <c r="E121" t="inlineStr">
        <is>
          <t>BORGHOLM</t>
        </is>
      </c>
      <c r="G121" t="n">
        <v>10.7</v>
      </c>
      <c r="H121" t="n">
        <v>0</v>
      </c>
      <c r="I121" t="n">
        <v>0</v>
      </c>
      <c r="J121" t="n">
        <v>0</v>
      </c>
      <c r="K121" t="n">
        <v>0</v>
      </c>
      <c r="L121" t="n">
        <v>0</v>
      </c>
      <c r="M121" t="n">
        <v>0</v>
      </c>
      <c r="N121" t="n">
        <v>0</v>
      </c>
      <c r="O121" t="n">
        <v>0</v>
      </c>
      <c r="P121" t="n">
        <v>0</v>
      </c>
      <c r="Q121" t="n">
        <v>0</v>
      </c>
      <c r="R121" s="2" t="inlineStr"/>
    </row>
    <row r="122" ht="15" customHeight="1">
      <c r="A122" t="inlineStr">
        <is>
          <t>A 26190-2025</t>
        </is>
      </c>
      <c r="B122" s="1" t="n">
        <v>45805.48349537037</v>
      </c>
      <c r="C122" s="1" t="n">
        <v>46112</v>
      </c>
      <c r="D122" t="inlineStr">
        <is>
          <t>KALMAR LÄN</t>
        </is>
      </c>
      <c r="E122" t="inlineStr">
        <is>
          <t>BORGHOLM</t>
        </is>
      </c>
      <c r="G122" t="n">
        <v>3.2</v>
      </c>
      <c r="H122" t="n">
        <v>0</v>
      </c>
      <c r="I122" t="n">
        <v>0</v>
      </c>
      <c r="J122" t="n">
        <v>0</v>
      </c>
      <c r="K122" t="n">
        <v>0</v>
      </c>
      <c r="L122" t="n">
        <v>0</v>
      </c>
      <c r="M122" t="n">
        <v>0</v>
      </c>
      <c r="N122" t="n">
        <v>0</v>
      </c>
      <c r="O122" t="n">
        <v>0</v>
      </c>
      <c r="P122" t="n">
        <v>0</v>
      </c>
      <c r="Q122" t="n">
        <v>0</v>
      </c>
      <c r="R122" s="2" t="inlineStr"/>
    </row>
    <row r="123">
      <c r="A123" t="inlineStr">
        <is>
          <t>A 26160-2025</t>
        </is>
      </c>
      <c r="B123" s="1" t="n">
        <v>45805.4490162037</v>
      </c>
      <c r="C123" s="1" t="n">
        <v>46112</v>
      </c>
      <c r="D123" t="inlineStr">
        <is>
          <t>KALMAR LÄN</t>
        </is>
      </c>
      <c r="E123" t="inlineStr">
        <is>
          <t>BORGHOLM</t>
        </is>
      </c>
      <c r="G123" t="n">
        <v>3.7</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2026-03-31T10:47:06Z</dcterms:created>
  <dcterms:modified xmlns:dcterms="http://purl.org/dc/terms/" xmlns:xsi="http://www.w3.org/2001/XMLSchema-instance" xsi:type="dcterms:W3CDTF">2026-03-31T10:47:06Z</dcterms:modified>
</cp:coreProperties>
</file>