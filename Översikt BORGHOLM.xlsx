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46087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46087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46087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46087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46087</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46087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45006-2025</t>
        </is>
      </c>
      <c r="B8" s="1" t="n">
        <v>45918</v>
      </c>
      <c r="C8" s="1" t="n">
        <v>46087</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46087</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46087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46087</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46087</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46087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46087</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46087</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46087</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46087</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46087</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46087</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60140-2025</t>
        </is>
      </c>
      <c r="B20" s="1" t="n">
        <v>45994.36274305556</v>
      </c>
      <c r="C20" s="1" t="n">
        <v>46087</v>
      </c>
      <c r="D20" t="inlineStr">
        <is>
          <t>KALMAR LÄN</t>
        </is>
      </c>
      <c r="E20" t="inlineStr">
        <is>
          <t>BORGHOLM</t>
        </is>
      </c>
      <c r="G20" t="n">
        <v>0.8</v>
      </c>
      <c r="H20" t="n">
        <v>1</v>
      </c>
      <c r="I20" t="n">
        <v>2</v>
      </c>
      <c r="J20" t="n">
        <v>0</v>
      </c>
      <c r="K20" t="n">
        <v>0</v>
      </c>
      <c r="L20" t="n">
        <v>0</v>
      </c>
      <c r="M20" t="n">
        <v>0</v>
      </c>
      <c r="N20" t="n">
        <v>0</v>
      </c>
      <c r="O20" t="n">
        <v>0</v>
      </c>
      <c r="P20" t="n">
        <v>0</v>
      </c>
      <c r="Q20" t="n">
        <v>2</v>
      </c>
      <c r="R20" s="2" t="inlineStr">
        <is>
          <t>Skogsknipprot
Strävlosta</t>
        </is>
      </c>
      <c r="S20">
        <f>HYPERLINK("https://klasma.github.io/Logging_0885/artfynd/A 60140-2025 artfynd.xlsx", "A 60140-2025")</f>
        <v/>
      </c>
      <c r="T20">
        <f>HYPERLINK("https://klasma.github.io/Logging_0885/kartor/A 60140-2025 karta.png", "A 60140-2025")</f>
        <v/>
      </c>
      <c r="V20">
        <f>HYPERLINK("https://klasma.github.io/Logging_0885/klagomål/A 60140-2025 FSC-klagomål.docx", "A 60140-2025")</f>
        <v/>
      </c>
      <c r="W20">
        <f>HYPERLINK("https://klasma.github.io/Logging_0885/klagomålsmail/A 60140-2025 FSC-klagomål mail.docx", "A 60140-2025")</f>
        <v/>
      </c>
      <c r="X20">
        <f>HYPERLINK("https://klasma.github.io/Logging_0885/tillsyn/A 60140-2025 tillsynsbegäran.docx", "A 60140-2025")</f>
        <v/>
      </c>
      <c r="Y20">
        <f>HYPERLINK("https://klasma.github.io/Logging_0885/tillsynsmail/A 60140-2025 tillsynsbegäran mail.docx", "A 60140-2025")</f>
        <v/>
      </c>
    </row>
    <row r="21" ht="15" customHeight="1">
      <c r="A21" t="inlineStr">
        <is>
          <t>A 28779-2025</t>
        </is>
      </c>
      <c r="B21" s="1" t="n">
        <v>45820.44920138889</v>
      </c>
      <c r="C21" s="1" t="n">
        <v>46087</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46087</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9253-2026</t>
        </is>
      </c>
      <c r="B23" s="1" t="n">
        <v>46070.51003472223</v>
      </c>
      <c r="C23" s="1" t="n">
        <v>46087</v>
      </c>
      <c r="D23" t="inlineStr">
        <is>
          <t>KALMAR LÄN</t>
        </is>
      </c>
      <c r="E23" t="inlineStr">
        <is>
          <t>BORGHOLM</t>
        </is>
      </c>
      <c r="G23" t="n">
        <v>1.1</v>
      </c>
      <c r="H23" t="n">
        <v>1</v>
      </c>
      <c r="I23" t="n">
        <v>1</v>
      </c>
      <c r="J23" t="n">
        <v>0</v>
      </c>
      <c r="K23" t="n">
        <v>0</v>
      </c>
      <c r="L23" t="n">
        <v>0</v>
      </c>
      <c r="M23" t="n">
        <v>0</v>
      </c>
      <c r="N23" t="n">
        <v>0</v>
      </c>
      <c r="O23" t="n">
        <v>0</v>
      </c>
      <c r="P23" t="n">
        <v>0</v>
      </c>
      <c r="Q23" t="n">
        <v>2</v>
      </c>
      <c r="R23" s="2" t="inlineStr">
        <is>
          <t>Murgröna
Gullviva</t>
        </is>
      </c>
      <c r="S23">
        <f>HYPERLINK("https://klasma.github.io/Logging_0885/artfynd/A 9253-2026 artfynd.xlsx", "A 9253-2026")</f>
        <v/>
      </c>
      <c r="T23">
        <f>HYPERLINK("https://klasma.github.io/Logging_0885/kartor/A 9253-2026 karta.png", "A 9253-2026")</f>
        <v/>
      </c>
      <c r="V23">
        <f>HYPERLINK("https://klasma.github.io/Logging_0885/klagomål/A 9253-2026 FSC-klagomål.docx", "A 9253-2026")</f>
        <v/>
      </c>
      <c r="W23">
        <f>HYPERLINK("https://klasma.github.io/Logging_0885/klagomålsmail/A 9253-2026 FSC-klagomål mail.docx", "A 9253-2026")</f>
        <v/>
      </c>
      <c r="X23">
        <f>HYPERLINK("https://klasma.github.io/Logging_0885/tillsyn/A 9253-2026 tillsynsbegäran.docx", "A 9253-2026")</f>
        <v/>
      </c>
      <c r="Y23">
        <f>HYPERLINK("https://klasma.github.io/Logging_0885/tillsynsmail/A 9253-2026 tillsynsbegäran mail.docx", "A 9253-2026")</f>
        <v/>
      </c>
    </row>
    <row r="24" ht="15" customHeight="1">
      <c r="A24" t="inlineStr">
        <is>
          <t>A 13556-2025</t>
        </is>
      </c>
      <c r="B24" s="1" t="n">
        <v>45736.54759259259</v>
      </c>
      <c r="C24" s="1" t="n">
        <v>46087</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34944-2022</t>
        </is>
      </c>
      <c r="B25" s="1" t="n">
        <v>44796</v>
      </c>
      <c r="C25" s="1" t="n">
        <v>46087</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46087</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46087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46087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31790-2021</t>
        </is>
      </c>
      <c r="B29" s="1" t="n">
        <v>44370</v>
      </c>
      <c r="C29" s="1" t="n">
        <v>46087</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46087</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46087</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45693-2025</t>
        </is>
      </c>
      <c r="B32" s="1" t="n">
        <v>45923</v>
      </c>
      <c r="C32" s="1" t="n">
        <v>46087</v>
      </c>
      <c r="D32" t="inlineStr">
        <is>
          <t>KALMAR LÄN</t>
        </is>
      </c>
      <c r="E32" t="inlineStr">
        <is>
          <t>BORGHOLM</t>
        </is>
      </c>
      <c r="G32" t="n">
        <v>4.8</v>
      </c>
      <c r="H32" t="n">
        <v>0</v>
      </c>
      <c r="I32" t="n">
        <v>0</v>
      </c>
      <c r="J32" t="n">
        <v>1</v>
      </c>
      <c r="K32" t="n">
        <v>0</v>
      </c>
      <c r="L32" t="n">
        <v>0</v>
      </c>
      <c r="M32" t="n">
        <v>0</v>
      </c>
      <c r="N32" t="n">
        <v>0</v>
      </c>
      <c r="O32" t="n">
        <v>1</v>
      </c>
      <c r="P32" t="n">
        <v>0</v>
      </c>
      <c r="Q32" t="n">
        <v>1</v>
      </c>
      <c r="R32" s="2" t="inlineStr">
        <is>
          <t>Stjälkröksvamp</t>
        </is>
      </c>
      <c r="S32">
        <f>HYPERLINK("https://klasma.github.io/Logging_0885/artfynd/A 45693-2025 artfynd.xlsx", "A 45693-2025")</f>
        <v/>
      </c>
      <c r="T32">
        <f>HYPERLINK("https://klasma.github.io/Logging_0885/kartor/A 45693-2025 karta.png", "A 45693-2025")</f>
        <v/>
      </c>
      <c r="V32">
        <f>HYPERLINK("https://klasma.github.io/Logging_0885/klagomål/A 45693-2025 FSC-klagomål.docx", "A 45693-2025")</f>
        <v/>
      </c>
      <c r="W32">
        <f>HYPERLINK("https://klasma.github.io/Logging_0885/klagomålsmail/A 45693-2025 FSC-klagomål mail.docx", "A 45693-2025")</f>
        <v/>
      </c>
      <c r="X32">
        <f>HYPERLINK("https://klasma.github.io/Logging_0885/tillsyn/A 45693-2025 tillsynsbegäran.docx", "A 45693-2025")</f>
        <v/>
      </c>
      <c r="Y32">
        <f>HYPERLINK("https://klasma.github.io/Logging_0885/tillsynsmail/A 45693-2025 tillsynsbegäran mail.docx", "A 45693-2025")</f>
        <v/>
      </c>
    </row>
    <row r="33" ht="15" customHeight="1">
      <c r="A33" t="inlineStr">
        <is>
          <t>A 9745-2023</t>
        </is>
      </c>
      <c r="B33" s="1" t="n">
        <v>44984</v>
      </c>
      <c r="C33" s="1" t="n">
        <v>46087</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24048-2025</t>
        </is>
      </c>
      <c r="B34" s="1" t="n">
        <v>45796.4959375</v>
      </c>
      <c r="C34" s="1" t="n">
        <v>46087</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46087</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12785-2021</t>
        </is>
      </c>
      <c r="B36" s="1" t="n">
        <v>44270</v>
      </c>
      <c r="C36" s="1" t="n">
        <v>46087</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13558-2025</t>
        </is>
      </c>
      <c r="B37" s="1" t="n">
        <v>45736.54974537037</v>
      </c>
      <c r="C37" s="1" t="n">
        <v>46087</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28785-2025</t>
        </is>
      </c>
      <c r="B38" s="1" t="n">
        <v>45820.46159722222</v>
      </c>
      <c r="C38" s="1" t="n">
        <v>46087</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29962-2025</t>
        </is>
      </c>
      <c r="B39" s="1" t="n">
        <v>45826.48184027777</v>
      </c>
      <c r="C39" s="1" t="n">
        <v>46087</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24701-2023</t>
        </is>
      </c>
      <c r="B40" s="1" t="n">
        <v>45084</v>
      </c>
      <c r="C40" s="1" t="n">
        <v>46087</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3302-2026</t>
        </is>
      </c>
      <c r="B41" s="1" t="n">
        <v>46041</v>
      </c>
      <c r="C41" s="1" t="n">
        <v>46087</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43603-2024</t>
        </is>
      </c>
      <c r="B42" s="1" t="n">
        <v>45569.44700231482</v>
      </c>
      <c r="C42" s="1" t="n">
        <v>46087</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34885-2025</t>
        </is>
      </c>
      <c r="B43" s="1" t="n">
        <v>45849.47128472223</v>
      </c>
      <c r="C43" s="1" t="n">
        <v>46087</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24704-2023</t>
        </is>
      </c>
      <c r="B44" s="1" t="n">
        <v>45084</v>
      </c>
      <c r="C44" s="1" t="n">
        <v>46087</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46087</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46087</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46087</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46087</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46087</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46087</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46087</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46087</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46087</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46087</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46087</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46087</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46087</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46087</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46087</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46087</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46087</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13043-2024</t>
        </is>
      </c>
      <c r="B62" s="1" t="n">
        <v>45385.60111111111</v>
      </c>
      <c r="C62" s="1" t="n">
        <v>46087</v>
      </c>
      <c r="D62" t="inlineStr">
        <is>
          <t>KALMAR LÄN</t>
        </is>
      </c>
      <c r="E62" t="inlineStr">
        <is>
          <t>BORGHOLM</t>
        </is>
      </c>
      <c r="G62" t="n">
        <v>0.4</v>
      </c>
      <c r="H62" t="n">
        <v>0</v>
      </c>
      <c r="I62" t="n">
        <v>0</v>
      </c>
      <c r="J62" t="n">
        <v>0</v>
      </c>
      <c r="K62" t="n">
        <v>0</v>
      </c>
      <c r="L62" t="n">
        <v>0</v>
      </c>
      <c r="M62" t="n">
        <v>0</v>
      </c>
      <c r="N62" t="n">
        <v>0</v>
      </c>
      <c r="O62" t="n">
        <v>0</v>
      </c>
      <c r="P62" t="n">
        <v>0</v>
      </c>
      <c r="Q62" t="n">
        <v>0</v>
      </c>
      <c r="R62" s="2" t="inlineStr"/>
    </row>
    <row r="63" ht="15" customHeight="1">
      <c r="A63" t="inlineStr">
        <is>
          <t>A 26160-2024</t>
        </is>
      </c>
      <c r="B63" s="1" t="n">
        <v>45468</v>
      </c>
      <c r="C63" s="1" t="n">
        <v>46087</v>
      </c>
      <c r="D63" t="inlineStr">
        <is>
          <t>KALMAR LÄN</t>
        </is>
      </c>
      <c r="E63" t="inlineStr">
        <is>
          <t>BORGHOLM</t>
        </is>
      </c>
      <c r="G63" t="n">
        <v>0.4</v>
      </c>
      <c r="H63" t="n">
        <v>0</v>
      </c>
      <c r="I63" t="n">
        <v>0</v>
      </c>
      <c r="J63" t="n">
        <v>0</v>
      </c>
      <c r="K63" t="n">
        <v>0</v>
      </c>
      <c r="L63" t="n">
        <v>0</v>
      </c>
      <c r="M63" t="n">
        <v>0</v>
      </c>
      <c r="N63" t="n">
        <v>0</v>
      </c>
      <c r="O63" t="n">
        <v>0</v>
      </c>
      <c r="P63" t="n">
        <v>0</v>
      </c>
      <c r="Q63" t="n">
        <v>0</v>
      </c>
      <c r="R63" s="2" t="inlineStr"/>
      <c r="T63">
        <f>HYPERLINK("https://klasma.github.io/Logging_0885/kartor/A 26160-2024 karta.png", "A 26160-2024")</f>
        <v/>
      </c>
      <c r="V63">
        <f>HYPERLINK("https://klasma.github.io/Logging_0885/klagomål/A 26160-2024 FSC-klagomål.docx", "A 26160-2024")</f>
        <v/>
      </c>
      <c r="W63">
        <f>HYPERLINK("https://klasma.github.io/Logging_0885/klagomålsmail/A 26160-2024 FSC-klagomål mail.docx", "A 26160-2024")</f>
        <v/>
      </c>
      <c r="X63">
        <f>HYPERLINK("https://klasma.github.io/Logging_0885/tillsyn/A 26160-2024 tillsynsbegäran.docx", "A 26160-2024")</f>
        <v/>
      </c>
      <c r="Y63">
        <f>HYPERLINK("https://klasma.github.io/Logging_0885/tillsynsmail/A 26160-2024 tillsynsbegäran mail.docx", "A 26160-2024")</f>
        <v/>
      </c>
    </row>
    <row r="64" ht="15" customHeight="1">
      <c r="A64" t="inlineStr">
        <is>
          <t>A 17978-2021</t>
        </is>
      </c>
      <c r="B64" s="1" t="n">
        <v>44301</v>
      </c>
      <c r="C64" s="1" t="n">
        <v>46087</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41831-2025</t>
        </is>
      </c>
      <c r="B65" s="1" t="n">
        <v>45902.67887731481</v>
      </c>
      <c r="C65" s="1" t="n">
        <v>46087</v>
      </c>
      <c r="D65" t="inlineStr">
        <is>
          <t>KALMAR LÄN</t>
        </is>
      </c>
      <c r="E65" t="inlineStr">
        <is>
          <t>BORGHOLM</t>
        </is>
      </c>
      <c r="G65" t="n">
        <v>1.5</v>
      </c>
      <c r="H65" t="n">
        <v>0</v>
      </c>
      <c r="I65" t="n">
        <v>0</v>
      </c>
      <c r="J65" t="n">
        <v>0</v>
      </c>
      <c r="K65" t="n">
        <v>0</v>
      </c>
      <c r="L65" t="n">
        <v>0</v>
      </c>
      <c r="M65" t="n">
        <v>0</v>
      </c>
      <c r="N65" t="n">
        <v>0</v>
      </c>
      <c r="O65" t="n">
        <v>0</v>
      </c>
      <c r="P65" t="n">
        <v>0</v>
      </c>
      <c r="Q65" t="n">
        <v>0</v>
      </c>
      <c r="R65" s="2" t="inlineStr"/>
    </row>
    <row r="66" ht="15" customHeight="1">
      <c r="A66" t="inlineStr">
        <is>
          <t>A 42232-2025</t>
        </is>
      </c>
      <c r="B66" s="1" t="n">
        <v>45904.55591435185</v>
      </c>
      <c r="C66" s="1" t="n">
        <v>46087</v>
      </c>
      <c r="D66" t="inlineStr">
        <is>
          <t>KALMAR LÄN</t>
        </is>
      </c>
      <c r="E66" t="inlineStr">
        <is>
          <t>BORGHOLM</t>
        </is>
      </c>
      <c r="F66" t="inlineStr">
        <is>
          <t>Sveaskog</t>
        </is>
      </c>
      <c r="G66" t="n">
        <v>1.7</v>
      </c>
      <c r="H66" t="n">
        <v>0</v>
      </c>
      <c r="I66" t="n">
        <v>0</v>
      </c>
      <c r="J66" t="n">
        <v>0</v>
      </c>
      <c r="K66" t="n">
        <v>0</v>
      </c>
      <c r="L66" t="n">
        <v>0</v>
      </c>
      <c r="M66" t="n">
        <v>0</v>
      </c>
      <c r="N66" t="n">
        <v>0</v>
      </c>
      <c r="O66" t="n">
        <v>0</v>
      </c>
      <c r="P66" t="n">
        <v>0</v>
      </c>
      <c r="Q66" t="n">
        <v>0</v>
      </c>
      <c r="R66" s="2" t="inlineStr"/>
    </row>
    <row r="67" ht="15" customHeight="1">
      <c r="A67" t="inlineStr">
        <is>
          <t>A 41950-2025</t>
        </is>
      </c>
      <c r="B67" s="1" t="n">
        <v>45903.45767361111</v>
      </c>
      <c r="C67" s="1" t="n">
        <v>46087</v>
      </c>
      <c r="D67" t="inlineStr">
        <is>
          <t>KALMAR LÄN</t>
        </is>
      </c>
      <c r="E67" t="inlineStr">
        <is>
          <t>BORGHOLM</t>
        </is>
      </c>
      <c r="G67" t="n">
        <v>1.8</v>
      </c>
      <c r="H67" t="n">
        <v>0</v>
      </c>
      <c r="I67" t="n">
        <v>0</v>
      </c>
      <c r="J67" t="n">
        <v>0</v>
      </c>
      <c r="K67" t="n">
        <v>0</v>
      </c>
      <c r="L67" t="n">
        <v>0</v>
      </c>
      <c r="M67" t="n">
        <v>0</v>
      </c>
      <c r="N67" t="n">
        <v>0</v>
      </c>
      <c r="O67" t="n">
        <v>0</v>
      </c>
      <c r="P67" t="n">
        <v>0</v>
      </c>
      <c r="Q67" t="n">
        <v>0</v>
      </c>
      <c r="R67" s="2" t="inlineStr"/>
    </row>
    <row r="68" ht="15" customHeight="1">
      <c r="A68" t="inlineStr">
        <is>
          <t>A 20878-2024</t>
        </is>
      </c>
      <c r="B68" s="1" t="n">
        <v>45439.44748842593</v>
      </c>
      <c r="C68" s="1" t="n">
        <v>46087</v>
      </c>
      <c r="D68" t="inlineStr">
        <is>
          <t>KALMAR LÄN</t>
        </is>
      </c>
      <c r="E68" t="inlineStr">
        <is>
          <t>BORGHOLM</t>
        </is>
      </c>
      <c r="G68" t="n">
        <v>1.9</v>
      </c>
      <c r="H68" t="n">
        <v>0</v>
      </c>
      <c r="I68" t="n">
        <v>0</v>
      </c>
      <c r="J68" t="n">
        <v>0</v>
      </c>
      <c r="K68" t="n">
        <v>0</v>
      </c>
      <c r="L68" t="n">
        <v>0</v>
      </c>
      <c r="M68" t="n">
        <v>0</v>
      </c>
      <c r="N68" t="n">
        <v>0</v>
      </c>
      <c r="O68" t="n">
        <v>0</v>
      </c>
      <c r="P68" t="n">
        <v>0</v>
      </c>
      <c r="Q68" t="n">
        <v>0</v>
      </c>
      <c r="R68" s="2" t="inlineStr"/>
    </row>
    <row r="69" ht="15" customHeight="1">
      <c r="A69" t="inlineStr">
        <is>
          <t>A 22785-2025</t>
        </is>
      </c>
      <c r="B69" s="1" t="n">
        <v>45789.64186342592</v>
      </c>
      <c r="C69" s="1" t="n">
        <v>46087</v>
      </c>
      <c r="D69" t="inlineStr">
        <is>
          <t>KALMAR LÄN</t>
        </is>
      </c>
      <c r="E69" t="inlineStr">
        <is>
          <t>BORGHOLM</t>
        </is>
      </c>
      <c r="G69" t="n">
        <v>0.6</v>
      </c>
      <c r="H69" t="n">
        <v>0</v>
      </c>
      <c r="I69" t="n">
        <v>0</v>
      </c>
      <c r="J69" t="n">
        <v>0</v>
      </c>
      <c r="K69" t="n">
        <v>0</v>
      </c>
      <c r="L69" t="n">
        <v>0</v>
      </c>
      <c r="M69" t="n">
        <v>0</v>
      </c>
      <c r="N69" t="n">
        <v>0</v>
      </c>
      <c r="O69" t="n">
        <v>0</v>
      </c>
      <c r="P69" t="n">
        <v>0</v>
      </c>
      <c r="Q69" t="n">
        <v>0</v>
      </c>
      <c r="R69" s="2" t="inlineStr"/>
    </row>
    <row r="70" ht="15" customHeight="1">
      <c r="A70" t="inlineStr">
        <is>
          <t>A 43542-2025</t>
        </is>
      </c>
      <c r="B70" s="1" t="n">
        <v>45911.61123842592</v>
      </c>
      <c r="C70" s="1" t="n">
        <v>46087</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12534-2022</t>
        </is>
      </c>
      <c r="B71" s="1" t="n">
        <v>44638</v>
      </c>
      <c r="C71" s="1" t="n">
        <v>46087</v>
      </c>
      <c r="D71" t="inlineStr">
        <is>
          <t>KALMAR LÄN</t>
        </is>
      </c>
      <c r="E71" t="inlineStr">
        <is>
          <t>BORGHOLM</t>
        </is>
      </c>
      <c r="G71" t="n">
        <v>8.6</v>
      </c>
      <c r="H71" t="n">
        <v>0</v>
      </c>
      <c r="I71" t="n">
        <v>0</v>
      </c>
      <c r="J71" t="n">
        <v>0</v>
      </c>
      <c r="K71" t="n">
        <v>0</v>
      </c>
      <c r="L71" t="n">
        <v>0</v>
      </c>
      <c r="M71" t="n">
        <v>0</v>
      </c>
      <c r="N71" t="n">
        <v>0</v>
      </c>
      <c r="O71" t="n">
        <v>0</v>
      </c>
      <c r="P71" t="n">
        <v>0</v>
      </c>
      <c r="Q71" t="n">
        <v>0</v>
      </c>
      <c r="R71" s="2" t="inlineStr"/>
    </row>
    <row r="72" ht="15" customHeight="1">
      <c r="A72" t="inlineStr">
        <is>
          <t>A 4159-2024</t>
        </is>
      </c>
      <c r="B72" s="1" t="n">
        <v>45323</v>
      </c>
      <c r="C72" s="1" t="n">
        <v>46087</v>
      </c>
      <c r="D72" t="inlineStr">
        <is>
          <t>KALMAR LÄN</t>
        </is>
      </c>
      <c r="E72" t="inlineStr">
        <is>
          <t>BORGHOLM</t>
        </is>
      </c>
      <c r="G72" t="n">
        <v>0.5</v>
      </c>
      <c r="H72" t="n">
        <v>0</v>
      </c>
      <c r="I72" t="n">
        <v>0</v>
      </c>
      <c r="J72" t="n">
        <v>0</v>
      </c>
      <c r="K72" t="n">
        <v>0</v>
      </c>
      <c r="L72" t="n">
        <v>0</v>
      </c>
      <c r="M72" t="n">
        <v>0</v>
      </c>
      <c r="N72" t="n">
        <v>0</v>
      </c>
      <c r="O72" t="n">
        <v>0</v>
      </c>
      <c r="P72" t="n">
        <v>0</v>
      </c>
      <c r="Q72" t="n">
        <v>0</v>
      </c>
      <c r="R72" s="2" t="inlineStr"/>
    </row>
    <row r="73" ht="15" customHeight="1">
      <c r="A73" t="inlineStr">
        <is>
          <t>A 45734-2025</t>
        </is>
      </c>
      <c r="B73" s="1" t="n">
        <v>45923.46512731481</v>
      </c>
      <c r="C73" s="1" t="n">
        <v>46087</v>
      </c>
      <c r="D73" t="inlineStr">
        <is>
          <t>KALMAR LÄN</t>
        </is>
      </c>
      <c r="E73" t="inlineStr">
        <is>
          <t>BORGHOLM</t>
        </is>
      </c>
      <c r="G73" t="n">
        <v>5</v>
      </c>
      <c r="H73" t="n">
        <v>0</v>
      </c>
      <c r="I73" t="n">
        <v>0</v>
      </c>
      <c r="J73" t="n">
        <v>0</v>
      </c>
      <c r="K73" t="n">
        <v>0</v>
      </c>
      <c r="L73" t="n">
        <v>0</v>
      </c>
      <c r="M73" t="n">
        <v>0</v>
      </c>
      <c r="N73" t="n">
        <v>0</v>
      </c>
      <c r="O73" t="n">
        <v>0</v>
      </c>
      <c r="P73" t="n">
        <v>0</v>
      </c>
      <c r="Q73" t="n">
        <v>0</v>
      </c>
      <c r="R73" s="2" t="inlineStr"/>
    </row>
    <row r="74" ht="15" customHeight="1">
      <c r="A74" t="inlineStr">
        <is>
          <t>A 45869-2025</t>
        </is>
      </c>
      <c r="B74" s="1" t="n">
        <v>45923.65313657407</v>
      </c>
      <c r="C74" s="1" t="n">
        <v>46087</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40339-2023</t>
        </is>
      </c>
      <c r="B75" s="1" t="n">
        <v>45169.62733796296</v>
      </c>
      <c r="C75" s="1" t="n">
        <v>46087</v>
      </c>
      <c r="D75" t="inlineStr">
        <is>
          <t>KALMAR LÄN</t>
        </is>
      </c>
      <c r="E75" t="inlineStr">
        <is>
          <t>BORGHOLM</t>
        </is>
      </c>
      <c r="G75" t="n">
        <v>3.8</v>
      </c>
      <c r="H75" t="n">
        <v>0</v>
      </c>
      <c r="I75" t="n">
        <v>0</v>
      </c>
      <c r="J75" t="n">
        <v>0</v>
      </c>
      <c r="K75" t="n">
        <v>0</v>
      </c>
      <c r="L75" t="n">
        <v>0</v>
      </c>
      <c r="M75" t="n">
        <v>0</v>
      </c>
      <c r="N75" t="n">
        <v>0</v>
      </c>
      <c r="O75" t="n">
        <v>0</v>
      </c>
      <c r="P75" t="n">
        <v>0</v>
      </c>
      <c r="Q75" t="n">
        <v>0</v>
      </c>
      <c r="R75" s="2" t="inlineStr"/>
    </row>
    <row r="76" ht="15" customHeight="1">
      <c r="A76" t="inlineStr">
        <is>
          <t>A 46845-2025</t>
        </is>
      </c>
      <c r="B76" s="1" t="n">
        <v>45928</v>
      </c>
      <c r="C76" s="1" t="n">
        <v>46087</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24166-2022</t>
        </is>
      </c>
      <c r="B77" s="1" t="n">
        <v>44725</v>
      </c>
      <c r="C77" s="1" t="n">
        <v>46087</v>
      </c>
      <c r="D77" t="inlineStr">
        <is>
          <t>KALMAR LÄN</t>
        </is>
      </c>
      <c r="E77" t="inlineStr">
        <is>
          <t>BORGHOLM</t>
        </is>
      </c>
      <c r="G77" t="n">
        <v>10.7</v>
      </c>
      <c r="H77" t="n">
        <v>0</v>
      </c>
      <c r="I77" t="n">
        <v>0</v>
      </c>
      <c r="J77" t="n">
        <v>0</v>
      </c>
      <c r="K77" t="n">
        <v>0</v>
      </c>
      <c r="L77" t="n">
        <v>0</v>
      </c>
      <c r="M77" t="n">
        <v>0</v>
      </c>
      <c r="N77" t="n">
        <v>0</v>
      </c>
      <c r="O77" t="n">
        <v>0</v>
      </c>
      <c r="P77" t="n">
        <v>0</v>
      </c>
      <c r="Q77" t="n">
        <v>0</v>
      </c>
      <c r="R77" s="2" t="inlineStr"/>
    </row>
    <row r="78" ht="15" customHeight="1">
      <c r="A78" t="inlineStr">
        <is>
          <t>A 53050-2021</t>
        </is>
      </c>
      <c r="B78" s="1" t="n">
        <v>44467</v>
      </c>
      <c r="C78" s="1" t="n">
        <v>46087</v>
      </c>
      <c r="D78" t="inlineStr">
        <is>
          <t>KALMAR LÄN</t>
        </is>
      </c>
      <c r="E78" t="inlineStr">
        <is>
          <t>BORGHOLM</t>
        </is>
      </c>
      <c r="G78" t="n">
        <v>3.6</v>
      </c>
      <c r="H78" t="n">
        <v>0</v>
      </c>
      <c r="I78" t="n">
        <v>0</v>
      </c>
      <c r="J78" t="n">
        <v>0</v>
      </c>
      <c r="K78" t="n">
        <v>0</v>
      </c>
      <c r="L78" t="n">
        <v>0</v>
      </c>
      <c r="M78" t="n">
        <v>0</v>
      </c>
      <c r="N78" t="n">
        <v>0</v>
      </c>
      <c r="O78" t="n">
        <v>0</v>
      </c>
      <c r="P78" t="n">
        <v>0</v>
      </c>
      <c r="Q78" t="n">
        <v>0</v>
      </c>
      <c r="R78" s="2" t="inlineStr"/>
    </row>
    <row r="79" ht="15" customHeight="1">
      <c r="A79" t="inlineStr">
        <is>
          <t>A 60141-2025</t>
        </is>
      </c>
      <c r="B79" s="1" t="n">
        <v>45994.36873842592</v>
      </c>
      <c r="C79" s="1" t="n">
        <v>46087</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26160-2025</t>
        </is>
      </c>
      <c r="B80" s="1" t="n">
        <v>45805.4490162037</v>
      </c>
      <c r="C80" s="1" t="n">
        <v>46087</v>
      </c>
      <c r="D80" t="inlineStr">
        <is>
          <t>KALMAR LÄN</t>
        </is>
      </c>
      <c r="E80" t="inlineStr">
        <is>
          <t>BORGHOLM</t>
        </is>
      </c>
      <c r="G80" t="n">
        <v>3.7</v>
      </c>
      <c r="H80" t="n">
        <v>0</v>
      </c>
      <c r="I80" t="n">
        <v>0</v>
      </c>
      <c r="J80" t="n">
        <v>0</v>
      </c>
      <c r="K80" t="n">
        <v>0</v>
      </c>
      <c r="L80" t="n">
        <v>0</v>
      </c>
      <c r="M80" t="n">
        <v>0</v>
      </c>
      <c r="N80" t="n">
        <v>0</v>
      </c>
      <c r="O80" t="n">
        <v>0</v>
      </c>
      <c r="P80" t="n">
        <v>0</v>
      </c>
      <c r="Q80" t="n">
        <v>0</v>
      </c>
      <c r="R80" s="2" t="inlineStr"/>
    </row>
    <row r="81" ht="15" customHeight="1">
      <c r="A81" t="inlineStr">
        <is>
          <t>A 26190-2025</t>
        </is>
      </c>
      <c r="B81" s="1" t="n">
        <v>45805.48349537037</v>
      </c>
      <c r="C81" s="1" t="n">
        <v>46087</v>
      </c>
      <c r="D81" t="inlineStr">
        <is>
          <t>KALMAR LÄN</t>
        </is>
      </c>
      <c r="E81" t="inlineStr">
        <is>
          <t>BORGHOLM</t>
        </is>
      </c>
      <c r="G81" t="n">
        <v>3.2</v>
      </c>
      <c r="H81" t="n">
        <v>0</v>
      </c>
      <c r="I81" t="n">
        <v>0</v>
      </c>
      <c r="J81" t="n">
        <v>0</v>
      </c>
      <c r="K81" t="n">
        <v>0</v>
      </c>
      <c r="L81" t="n">
        <v>0</v>
      </c>
      <c r="M81" t="n">
        <v>0</v>
      </c>
      <c r="N81" t="n">
        <v>0</v>
      </c>
      <c r="O81" t="n">
        <v>0</v>
      </c>
      <c r="P81" t="n">
        <v>0</v>
      </c>
      <c r="Q81" t="n">
        <v>0</v>
      </c>
      <c r="R81" s="2" t="inlineStr"/>
    </row>
    <row r="82" ht="15" customHeight="1">
      <c r="A82" t="inlineStr">
        <is>
          <t>A 61723-2025</t>
        </is>
      </c>
      <c r="B82" s="1" t="n">
        <v>46002.58388888889</v>
      </c>
      <c r="C82" s="1" t="n">
        <v>46087</v>
      </c>
      <c r="D82" t="inlineStr">
        <is>
          <t>KALMAR LÄN</t>
        </is>
      </c>
      <c r="E82" t="inlineStr">
        <is>
          <t>BORGHOLM</t>
        </is>
      </c>
      <c r="G82" t="n">
        <v>1.1</v>
      </c>
      <c r="H82" t="n">
        <v>0</v>
      </c>
      <c r="I82" t="n">
        <v>0</v>
      </c>
      <c r="J82" t="n">
        <v>0</v>
      </c>
      <c r="K82" t="n">
        <v>0</v>
      </c>
      <c r="L82" t="n">
        <v>0</v>
      </c>
      <c r="M82" t="n">
        <v>0</v>
      </c>
      <c r="N82" t="n">
        <v>0</v>
      </c>
      <c r="O82" t="n">
        <v>0</v>
      </c>
      <c r="P82" t="n">
        <v>0</v>
      </c>
      <c r="Q82" t="n">
        <v>0</v>
      </c>
      <c r="R82" s="2" t="inlineStr"/>
    </row>
    <row r="83" ht="15" customHeight="1">
      <c r="A83" t="inlineStr">
        <is>
          <t>A 31720-2022</t>
        </is>
      </c>
      <c r="B83" s="1" t="n">
        <v>44776</v>
      </c>
      <c r="C83" s="1" t="n">
        <v>46087</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46087</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27357-2025</t>
        </is>
      </c>
      <c r="B85" s="1" t="n">
        <v>45812.63650462963</v>
      </c>
      <c r="C85" s="1" t="n">
        <v>46087</v>
      </c>
      <c r="D85" t="inlineStr">
        <is>
          <t>KALMAR LÄN</t>
        </is>
      </c>
      <c r="E85" t="inlineStr">
        <is>
          <t>BORGHOLM</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4165-2023</t>
        </is>
      </c>
      <c r="B86" s="1" t="n">
        <v>44953</v>
      </c>
      <c r="C86" s="1" t="n">
        <v>46087</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27366-2025</t>
        </is>
      </c>
      <c r="B87" s="1" t="n">
        <v>45812.64475694444</v>
      </c>
      <c r="C87" s="1" t="n">
        <v>46087</v>
      </c>
      <c r="D87" t="inlineStr">
        <is>
          <t>KALMAR LÄN</t>
        </is>
      </c>
      <c r="E87" t="inlineStr">
        <is>
          <t>BORGHOLM</t>
        </is>
      </c>
      <c r="F87" t="inlineStr">
        <is>
          <t>Sveaskog</t>
        </is>
      </c>
      <c r="G87" t="n">
        <v>2.5</v>
      </c>
      <c r="H87" t="n">
        <v>0</v>
      </c>
      <c r="I87" t="n">
        <v>0</v>
      </c>
      <c r="J87" t="n">
        <v>0</v>
      </c>
      <c r="K87" t="n">
        <v>0</v>
      </c>
      <c r="L87" t="n">
        <v>0</v>
      </c>
      <c r="M87" t="n">
        <v>0</v>
      </c>
      <c r="N87" t="n">
        <v>0</v>
      </c>
      <c r="O87" t="n">
        <v>0</v>
      </c>
      <c r="P87" t="n">
        <v>0</v>
      </c>
      <c r="Q87" t="n">
        <v>0</v>
      </c>
      <c r="R87" s="2" t="inlineStr"/>
    </row>
    <row r="88" ht="15" customHeight="1">
      <c r="A88" t="inlineStr">
        <is>
          <t>A 7481-2026</t>
        </is>
      </c>
      <c r="B88" s="1" t="n">
        <v>46059.51359953704</v>
      </c>
      <c r="C88" s="1" t="n">
        <v>46087</v>
      </c>
      <c r="D88" t="inlineStr">
        <is>
          <t>KALMAR LÄN</t>
        </is>
      </c>
      <c r="E88" t="inlineStr">
        <is>
          <t>BORGHOLM</t>
        </is>
      </c>
      <c r="G88" t="n">
        <v>1.9</v>
      </c>
      <c r="H88" t="n">
        <v>0</v>
      </c>
      <c r="I88" t="n">
        <v>0</v>
      </c>
      <c r="J88" t="n">
        <v>0</v>
      </c>
      <c r="K88" t="n">
        <v>0</v>
      </c>
      <c r="L88" t="n">
        <v>0</v>
      </c>
      <c r="M88" t="n">
        <v>0</v>
      </c>
      <c r="N88" t="n">
        <v>0</v>
      </c>
      <c r="O88" t="n">
        <v>0</v>
      </c>
      <c r="P88" t="n">
        <v>0</v>
      </c>
      <c r="Q88" t="n">
        <v>0</v>
      </c>
      <c r="R88" s="2" t="inlineStr"/>
    </row>
    <row r="89" ht="15" customHeight="1">
      <c r="A89" t="inlineStr">
        <is>
          <t>A 13548-2025</t>
        </is>
      </c>
      <c r="B89" s="1" t="n">
        <v>45736.53827546296</v>
      </c>
      <c r="C89" s="1" t="n">
        <v>46087</v>
      </c>
      <c r="D89" t="inlineStr">
        <is>
          <t>KALMAR LÄN</t>
        </is>
      </c>
      <c r="E89" t="inlineStr">
        <is>
          <t>BORGHOLM</t>
        </is>
      </c>
      <c r="G89" t="n">
        <v>1</v>
      </c>
      <c r="H89" t="n">
        <v>0</v>
      </c>
      <c r="I89" t="n">
        <v>0</v>
      </c>
      <c r="J89" t="n">
        <v>0</v>
      </c>
      <c r="K89" t="n">
        <v>0</v>
      </c>
      <c r="L89" t="n">
        <v>0</v>
      </c>
      <c r="M89" t="n">
        <v>0</v>
      </c>
      <c r="N89" t="n">
        <v>0</v>
      </c>
      <c r="O89" t="n">
        <v>0</v>
      </c>
      <c r="P89" t="n">
        <v>0</v>
      </c>
      <c r="Q89" t="n">
        <v>0</v>
      </c>
      <c r="R89" s="2" t="inlineStr"/>
    </row>
    <row r="90" ht="15" customHeight="1">
      <c r="A90" t="inlineStr">
        <is>
          <t>A 32921-2023</t>
        </is>
      </c>
      <c r="B90" s="1" t="n">
        <v>45125</v>
      </c>
      <c r="C90" s="1" t="n">
        <v>46087</v>
      </c>
      <c r="D90" t="inlineStr">
        <is>
          <t>KALMAR LÄN</t>
        </is>
      </c>
      <c r="E90" t="inlineStr">
        <is>
          <t>BORGHOLM</t>
        </is>
      </c>
      <c r="G90" t="n">
        <v>2.9</v>
      </c>
      <c r="H90" t="n">
        <v>0</v>
      </c>
      <c r="I90" t="n">
        <v>0</v>
      </c>
      <c r="J90" t="n">
        <v>0</v>
      </c>
      <c r="K90" t="n">
        <v>0</v>
      </c>
      <c r="L90" t="n">
        <v>0</v>
      </c>
      <c r="M90" t="n">
        <v>0</v>
      </c>
      <c r="N90" t="n">
        <v>0</v>
      </c>
      <c r="O90" t="n">
        <v>0</v>
      </c>
      <c r="P90" t="n">
        <v>0</v>
      </c>
      <c r="Q90" t="n">
        <v>0</v>
      </c>
      <c r="R90" s="2" t="inlineStr"/>
    </row>
    <row r="91" ht="15" customHeight="1">
      <c r="A91" t="inlineStr">
        <is>
          <t>A 28782-2025</t>
        </is>
      </c>
      <c r="B91" s="1" t="n">
        <v>45820.45572916666</v>
      </c>
      <c r="C91" s="1" t="n">
        <v>46087</v>
      </c>
      <c r="D91" t="inlineStr">
        <is>
          <t>KALMAR LÄN</t>
        </is>
      </c>
      <c r="E91" t="inlineStr">
        <is>
          <t>BORGHOLM</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9259-2026</t>
        </is>
      </c>
      <c r="B92" s="1" t="n">
        <v>46070.51917824074</v>
      </c>
      <c r="C92" s="1" t="n">
        <v>46087</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46087</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9104-2026</t>
        </is>
      </c>
      <c r="B94" s="1" t="n">
        <v>46069</v>
      </c>
      <c r="C94" s="1" t="n">
        <v>46087</v>
      </c>
      <c r="D94" t="inlineStr">
        <is>
          <t>KALMAR LÄN</t>
        </is>
      </c>
      <c r="E94" t="inlineStr">
        <is>
          <t>BORGHOLM</t>
        </is>
      </c>
      <c r="G94" t="n">
        <v>1.3</v>
      </c>
      <c r="H94" t="n">
        <v>0</v>
      </c>
      <c r="I94" t="n">
        <v>0</v>
      </c>
      <c r="J94" t="n">
        <v>0</v>
      </c>
      <c r="K94" t="n">
        <v>0</v>
      </c>
      <c r="L94" t="n">
        <v>0</v>
      </c>
      <c r="M94" t="n">
        <v>0</v>
      </c>
      <c r="N94" t="n">
        <v>0</v>
      </c>
      <c r="O94" t="n">
        <v>0</v>
      </c>
      <c r="P94" t="n">
        <v>0</v>
      </c>
      <c r="Q94" t="n">
        <v>0</v>
      </c>
      <c r="R94" s="2" t="inlineStr"/>
    </row>
    <row r="95" ht="15" customHeight="1">
      <c r="A95" t="inlineStr">
        <is>
          <t>A 9905-2026</t>
        </is>
      </c>
      <c r="B95" s="1" t="n">
        <v>46073.4108912037</v>
      </c>
      <c r="C95" s="1" t="n">
        <v>46087</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44678-2022</t>
        </is>
      </c>
      <c r="B96" s="1" t="n">
        <v>44840.65100694444</v>
      </c>
      <c r="C96" s="1" t="n">
        <v>46087</v>
      </c>
      <c r="D96" t="inlineStr">
        <is>
          <t>KALMAR LÄN</t>
        </is>
      </c>
      <c r="E96" t="inlineStr">
        <is>
          <t>BORGHOLM</t>
        </is>
      </c>
      <c r="G96" t="n">
        <v>2.4</v>
      </c>
      <c r="H96" t="n">
        <v>0</v>
      </c>
      <c r="I96" t="n">
        <v>0</v>
      </c>
      <c r="J96" t="n">
        <v>0</v>
      </c>
      <c r="K96" t="n">
        <v>0</v>
      </c>
      <c r="L96" t="n">
        <v>0</v>
      </c>
      <c r="M96" t="n">
        <v>0</v>
      </c>
      <c r="N96" t="n">
        <v>0</v>
      </c>
      <c r="O96" t="n">
        <v>0</v>
      </c>
      <c r="P96" t="n">
        <v>0</v>
      </c>
      <c r="Q96" t="n">
        <v>0</v>
      </c>
      <c r="R96" s="2" t="inlineStr"/>
    </row>
    <row r="97" ht="15" customHeight="1">
      <c r="A97" t="inlineStr">
        <is>
          <t>A 64303-2023</t>
        </is>
      </c>
      <c r="B97" s="1" t="n">
        <v>45280</v>
      </c>
      <c r="C97" s="1" t="n">
        <v>46087</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46087</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63075-2023</t>
        </is>
      </c>
      <c r="B99" s="1" t="n">
        <v>45273</v>
      </c>
      <c r="C99" s="1" t="n">
        <v>46087</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46087</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1757-2025</t>
        </is>
      </c>
      <c r="B101" s="1" t="n">
        <v>45671.42195601852</v>
      </c>
      <c r="C101" s="1" t="n">
        <v>46087</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36269-2025</t>
        </is>
      </c>
      <c r="B102" s="1" t="n">
        <v>45867.61736111111</v>
      </c>
      <c r="C102" s="1" t="n">
        <v>46087</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17699-2025</t>
        </is>
      </c>
      <c r="B103" s="1" t="n">
        <v>45758.41846064815</v>
      </c>
      <c r="C103" s="1" t="n">
        <v>46087</v>
      </c>
      <c r="D103" t="inlineStr">
        <is>
          <t>KALMAR LÄN</t>
        </is>
      </c>
      <c r="E103" t="inlineStr">
        <is>
          <t>BORGHOLM</t>
        </is>
      </c>
      <c r="G103" t="n">
        <v>0.7</v>
      </c>
      <c r="H103" t="n">
        <v>0</v>
      </c>
      <c r="I103" t="n">
        <v>0</v>
      </c>
      <c r="J103" t="n">
        <v>0</v>
      </c>
      <c r="K103" t="n">
        <v>0</v>
      </c>
      <c r="L103" t="n">
        <v>0</v>
      </c>
      <c r="M103" t="n">
        <v>0</v>
      </c>
      <c r="N103" t="n">
        <v>0</v>
      </c>
      <c r="O103" t="n">
        <v>0</v>
      </c>
      <c r="P103" t="n">
        <v>0</v>
      </c>
      <c r="Q103" t="n">
        <v>0</v>
      </c>
      <c r="R103" s="2" t="inlineStr"/>
    </row>
    <row r="104" ht="15" customHeight="1">
      <c r="A104" t="inlineStr">
        <is>
          <t>A 7669-2024</t>
        </is>
      </c>
      <c r="B104" s="1" t="n">
        <v>45348.82498842593</v>
      </c>
      <c r="C104" s="1" t="n">
        <v>46087</v>
      </c>
      <c r="D104" t="inlineStr">
        <is>
          <t>KALMAR LÄN</t>
        </is>
      </c>
      <c r="E104" t="inlineStr">
        <is>
          <t>BORGHOLM</t>
        </is>
      </c>
      <c r="G104" t="n">
        <v>2.3</v>
      </c>
      <c r="H104" t="n">
        <v>0</v>
      </c>
      <c r="I104" t="n">
        <v>0</v>
      </c>
      <c r="J104" t="n">
        <v>0</v>
      </c>
      <c r="K104" t="n">
        <v>0</v>
      </c>
      <c r="L104" t="n">
        <v>0</v>
      </c>
      <c r="M104" t="n">
        <v>0</v>
      </c>
      <c r="N104" t="n">
        <v>0</v>
      </c>
      <c r="O104" t="n">
        <v>0</v>
      </c>
      <c r="P104" t="n">
        <v>0</v>
      </c>
      <c r="Q104" t="n">
        <v>0</v>
      </c>
      <c r="R104" s="2" t="inlineStr"/>
    </row>
    <row r="105" ht="15" customHeight="1">
      <c r="A105" t="inlineStr">
        <is>
          <t>A 34780-2022</t>
        </is>
      </c>
      <c r="B105" s="1" t="n">
        <v>44795</v>
      </c>
      <c r="C105" s="1" t="n">
        <v>46087</v>
      </c>
      <c r="D105" t="inlineStr">
        <is>
          <t>KALMAR LÄN</t>
        </is>
      </c>
      <c r="E105" t="inlineStr">
        <is>
          <t>BORGHOLM</t>
        </is>
      </c>
      <c r="F105" t="inlineStr">
        <is>
          <t>Sveaskog</t>
        </is>
      </c>
      <c r="G105" t="n">
        <v>6.7</v>
      </c>
      <c r="H105" t="n">
        <v>0</v>
      </c>
      <c r="I105" t="n">
        <v>0</v>
      </c>
      <c r="J105" t="n">
        <v>0</v>
      </c>
      <c r="K105" t="n">
        <v>0</v>
      </c>
      <c r="L105" t="n">
        <v>0</v>
      </c>
      <c r="M105" t="n">
        <v>0</v>
      </c>
      <c r="N105" t="n">
        <v>0</v>
      </c>
      <c r="O105" t="n">
        <v>0</v>
      </c>
      <c r="P105" t="n">
        <v>0</v>
      </c>
      <c r="Q105" t="n">
        <v>0</v>
      </c>
      <c r="R105" s="2" t="inlineStr"/>
    </row>
    <row r="106" ht="15" customHeight="1">
      <c r="A106" t="inlineStr">
        <is>
          <t>A 55367-2024</t>
        </is>
      </c>
      <c r="B106" s="1" t="n">
        <v>45621.87075231481</v>
      </c>
      <c r="C106" s="1" t="n">
        <v>46087</v>
      </c>
      <c r="D106" t="inlineStr">
        <is>
          <t>KALMAR LÄN</t>
        </is>
      </c>
      <c r="E106" t="inlineStr">
        <is>
          <t>BORGHOLM</t>
        </is>
      </c>
      <c r="G106" t="n">
        <v>0.7</v>
      </c>
      <c r="H106" t="n">
        <v>0</v>
      </c>
      <c r="I106" t="n">
        <v>0</v>
      </c>
      <c r="J106" t="n">
        <v>0</v>
      </c>
      <c r="K106" t="n">
        <v>0</v>
      </c>
      <c r="L106" t="n">
        <v>0</v>
      </c>
      <c r="M106" t="n">
        <v>0</v>
      </c>
      <c r="N106" t="n">
        <v>0</v>
      </c>
      <c r="O106" t="n">
        <v>0</v>
      </c>
      <c r="P106" t="n">
        <v>0</v>
      </c>
      <c r="Q106" t="n">
        <v>0</v>
      </c>
      <c r="R106" s="2" t="inlineStr"/>
    </row>
    <row r="107" ht="15" customHeight="1">
      <c r="A107" t="inlineStr">
        <is>
          <t>A 20287-2025</t>
        </is>
      </c>
      <c r="B107" s="1" t="n">
        <v>45774.60741898148</v>
      </c>
      <c r="C107" s="1" t="n">
        <v>46087</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9076-2025</t>
        </is>
      </c>
      <c r="B108" s="1" t="n">
        <v>45713.6596875</v>
      </c>
      <c r="C108" s="1" t="n">
        <v>46087</v>
      </c>
      <c r="D108" t="inlineStr">
        <is>
          <t>KALMAR LÄN</t>
        </is>
      </c>
      <c r="E108" t="inlineStr">
        <is>
          <t>BORGHOLM</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32919-2023</t>
        </is>
      </c>
      <c r="B109" s="1" t="n">
        <v>45125</v>
      </c>
      <c r="C109" s="1" t="n">
        <v>46087</v>
      </c>
      <c r="D109" t="inlineStr">
        <is>
          <t>KALMAR LÄN</t>
        </is>
      </c>
      <c r="E109" t="inlineStr">
        <is>
          <t>BORGHOLM</t>
        </is>
      </c>
      <c r="G109" t="n">
        <v>2.7</v>
      </c>
      <c r="H109" t="n">
        <v>0</v>
      </c>
      <c r="I109" t="n">
        <v>0</v>
      </c>
      <c r="J109" t="n">
        <v>0</v>
      </c>
      <c r="K109" t="n">
        <v>0</v>
      </c>
      <c r="L109" t="n">
        <v>0</v>
      </c>
      <c r="M109" t="n">
        <v>0</v>
      </c>
      <c r="N109" t="n">
        <v>0</v>
      </c>
      <c r="O109" t="n">
        <v>0</v>
      </c>
      <c r="P109" t="n">
        <v>0</v>
      </c>
      <c r="Q109" t="n">
        <v>0</v>
      </c>
      <c r="R109" s="2" t="inlineStr"/>
    </row>
    <row r="110" ht="15" customHeight="1">
      <c r="A110" t="inlineStr">
        <is>
          <t>A 21908-2022</t>
        </is>
      </c>
      <c r="B110" s="1" t="n">
        <v>44711</v>
      </c>
      <c r="C110" s="1" t="n">
        <v>46087</v>
      </c>
      <c r="D110" t="inlineStr">
        <is>
          <t>KALMAR LÄN</t>
        </is>
      </c>
      <c r="E110" t="inlineStr">
        <is>
          <t>BORGHOLM</t>
        </is>
      </c>
      <c r="G110" t="n">
        <v>4.7</v>
      </c>
      <c r="H110" t="n">
        <v>0</v>
      </c>
      <c r="I110" t="n">
        <v>0</v>
      </c>
      <c r="J110" t="n">
        <v>0</v>
      </c>
      <c r="K110" t="n">
        <v>0</v>
      </c>
      <c r="L110" t="n">
        <v>0</v>
      </c>
      <c r="M110" t="n">
        <v>0</v>
      </c>
      <c r="N110" t="n">
        <v>0</v>
      </c>
      <c r="O110" t="n">
        <v>0</v>
      </c>
      <c r="P110" t="n">
        <v>0</v>
      </c>
      <c r="Q110" t="n">
        <v>0</v>
      </c>
      <c r="R110" s="2" t="inlineStr"/>
    </row>
    <row r="111" ht="15" customHeight="1">
      <c r="A111" t="inlineStr">
        <is>
          <t>A 34951-2022</t>
        </is>
      </c>
      <c r="B111" s="1" t="n">
        <v>44796</v>
      </c>
      <c r="C111" s="1" t="n">
        <v>46087</v>
      </c>
      <c r="D111" t="inlineStr">
        <is>
          <t>KALMAR LÄN</t>
        </is>
      </c>
      <c r="E111" t="inlineStr">
        <is>
          <t>BORGHOLM</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9034-2025</t>
        </is>
      </c>
      <c r="B112" s="1" t="n">
        <v>45713</v>
      </c>
      <c r="C112" s="1" t="n">
        <v>46087</v>
      </c>
      <c r="D112" t="inlineStr">
        <is>
          <t>KALMAR LÄN</t>
        </is>
      </c>
      <c r="E112" t="inlineStr">
        <is>
          <t>BORGHOLM</t>
        </is>
      </c>
      <c r="F112" t="inlineStr">
        <is>
          <t>Sveaskog</t>
        </is>
      </c>
      <c r="G112" t="n">
        <v>6.8</v>
      </c>
      <c r="H112" t="n">
        <v>0</v>
      </c>
      <c r="I112" t="n">
        <v>0</v>
      </c>
      <c r="J112" t="n">
        <v>0</v>
      </c>
      <c r="K112" t="n">
        <v>0</v>
      </c>
      <c r="L112" t="n">
        <v>0</v>
      </c>
      <c r="M112" t="n">
        <v>0</v>
      </c>
      <c r="N112" t="n">
        <v>0</v>
      </c>
      <c r="O112" t="n">
        <v>0</v>
      </c>
      <c r="P112" t="n">
        <v>0</v>
      </c>
      <c r="Q112" t="n">
        <v>0</v>
      </c>
      <c r="R112" s="2" t="inlineStr"/>
    </row>
    <row r="113" ht="15" customHeight="1">
      <c r="A113" t="inlineStr">
        <is>
          <t>A 5175-2024</t>
        </is>
      </c>
      <c r="B113" s="1" t="n">
        <v>45330</v>
      </c>
      <c r="C113" s="1" t="n">
        <v>46087</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3878-2023</t>
        </is>
      </c>
      <c r="B114" s="1" t="n">
        <v>44951</v>
      </c>
      <c r="C114" s="1" t="n">
        <v>46087</v>
      </c>
      <c r="D114" t="inlineStr">
        <is>
          <t>KALMAR LÄN</t>
        </is>
      </c>
      <c r="E114" t="inlineStr">
        <is>
          <t>BORGHOLM</t>
        </is>
      </c>
      <c r="G114" t="n">
        <v>1.7</v>
      </c>
      <c r="H114" t="n">
        <v>0</v>
      </c>
      <c r="I114" t="n">
        <v>0</v>
      </c>
      <c r="J114" t="n">
        <v>0</v>
      </c>
      <c r="K114" t="n">
        <v>0</v>
      </c>
      <c r="L114" t="n">
        <v>0</v>
      </c>
      <c r="M114" t="n">
        <v>0</v>
      </c>
      <c r="N114" t="n">
        <v>0</v>
      </c>
      <c r="O114" t="n">
        <v>0</v>
      </c>
      <c r="P114" t="n">
        <v>0</v>
      </c>
      <c r="Q114" t="n">
        <v>0</v>
      </c>
      <c r="R114" s="2" t="inlineStr"/>
    </row>
    <row r="115" ht="15" customHeight="1">
      <c r="A115" t="inlineStr">
        <is>
          <t>A 19867-2024</t>
        </is>
      </c>
      <c r="B115" s="1" t="n">
        <v>45433</v>
      </c>
      <c r="C115" s="1" t="n">
        <v>46087</v>
      </c>
      <c r="D115" t="inlineStr">
        <is>
          <t>KALMAR LÄN</t>
        </is>
      </c>
      <c r="E115" t="inlineStr">
        <is>
          <t>BORGHOLM</t>
        </is>
      </c>
      <c r="G115" t="n">
        <v>3.9</v>
      </c>
      <c r="H115" t="n">
        <v>0</v>
      </c>
      <c r="I115" t="n">
        <v>0</v>
      </c>
      <c r="J115" t="n">
        <v>0</v>
      </c>
      <c r="K115" t="n">
        <v>0</v>
      </c>
      <c r="L115" t="n">
        <v>0</v>
      </c>
      <c r="M115" t="n">
        <v>0</v>
      </c>
      <c r="N115" t="n">
        <v>0</v>
      </c>
      <c r="O115" t="n">
        <v>0</v>
      </c>
      <c r="P115" t="n">
        <v>0</v>
      </c>
      <c r="Q115" t="n">
        <v>0</v>
      </c>
      <c r="R115" s="2" t="inlineStr"/>
    </row>
    <row r="116" ht="15" customHeight="1">
      <c r="A116" t="inlineStr">
        <is>
          <t>A 13383-2023</t>
        </is>
      </c>
      <c r="B116" s="1" t="n">
        <v>45005</v>
      </c>
      <c r="C116" s="1" t="n">
        <v>46087</v>
      </c>
      <c r="D116" t="inlineStr">
        <is>
          <t>KALMAR LÄN</t>
        </is>
      </c>
      <c r="E116" t="inlineStr">
        <is>
          <t>BORGHOLM</t>
        </is>
      </c>
      <c r="G116" t="n">
        <v>0.8</v>
      </c>
      <c r="H116" t="n">
        <v>0</v>
      </c>
      <c r="I116" t="n">
        <v>0</v>
      </c>
      <c r="J116" t="n">
        <v>0</v>
      </c>
      <c r="K116" t="n">
        <v>0</v>
      </c>
      <c r="L116" t="n">
        <v>0</v>
      </c>
      <c r="M116" t="n">
        <v>0</v>
      </c>
      <c r="N116" t="n">
        <v>0</v>
      </c>
      <c r="O116" t="n">
        <v>0</v>
      </c>
      <c r="P116" t="n">
        <v>0</v>
      </c>
      <c r="Q116" t="n">
        <v>0</v>
      </c>
      <c r="R116" s="2" t="inlineStr"/>
    </row>
    <row r="117" ht="15" customHeight="1">
      <c r="A117" t="inlineStr">
        <is>
          <t>A 12937-2022</t>
        </is>
      </c>
      <c r="B117" s="1" t="n">
        <v>44642</v>
      </c>
      <c r="C117" s="1" t="n">
        <v>46087</v>
      </c>
      <c r="D117" t="inlineStr">
        <is>
          <t>KALMAR LÄN</t>
        </is>
      </c>
      <c r="E117" t="inlineStr">
        <is>
          <t>BORGHOLM</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7960-2023</t>
        </is>
      </c>
      <c r="B118" s="1" t="n">
        <v>44973</v>
      </c>
      <c r="C118" s="1" t="n">
        <v>46087</v>
      </c>
      <c r="D118" t="inlineStr">
        <is>
          <t>KALMAR LÄN</t>
        </is>
      </c>
      <c r="E118" t="inlineStr">
        <is>
          <t>BORGHOLM</t>
        </is>
      </c>
      <c r="G118" t="n">
        <v>2.1</v>
      </c>
      <c r="H118" t="n">
        <v>0</v>
      </c>
      <c r="I118" t="n">
        <v>0</v>
      </c>
      <c r="J118" t="n">
        <v>0</v>
      </c>
      <c r="K118" t="n">
        <v>0</v>
      </c>
      <c r="L118" t="n">
        <v>0</v>
      </c>
      <c r="M118" t="n">
        <v>0</v>
      </c>
      <c r="N118" t="n">
        <v>0</v>
      </c>
      <c r="O118" t="n">
        <v>0</v>
      </c>
      <c r="P118" t="n">
        <v>0</v>
      </c>
      <c r="Q118" t="n">
        <v>0</v>
      </c>
      <c r="R118" s="2" t="inlineStr"/>
    </row>
    <row r="119" ht="15" customHeight="1">
      <c r="A119" t="inlineStr">
        <is>
          <t>A 61438-2023</t>
        </is>
      </c>
      <c r="B119" s="1" t="n">
        <v>45264</v>
      </c>
      <c r="C119" s="1" t="n">
        <v>46087</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13041-2024</t>
        </is>
      </c>
      <c r="B120" s="1" t="n">
        <v>45385.60065972222</v>
      </c>
      <c r="C120" s="1" t="n">
        <v>46087</v>
      </c>
      <c r="D120" t="inlineStr">
        <is>
          <t>KALMAR LÄN</t>
        </is>
      </c>
      <c r="E120" t="inlineStr">
        <is>
          <t>BORGHOLM</t>
        </is>
      </c>
      <c r="G120" t="n">
        <v>0.5</v>
      </c>
      <c r="H120" t="n">
        <v>0</v>
      </c>
      <c r="I120" t="n">
        <v>0</v>
      </c>
      <c r="J120" t="n">
        <v>0</v>
      </c>
      <c r="K120" t="n">
        <v>0</v>
      </c>
      <c r="L120" t="n">
        <v>0</v>
      </c>
      <c r="M120" t="n">
        <v>0</v>
      </c>
      <c r="N120" t="n">
        <v>0</v>
      </c>
      <c r="O120" t="n">
        <v>0</v>
      </c>
      <c r="P120" t="n">
        <v>0</v>
      </c>
      <c r="Q120" t="n">
        <v>0</v>
      </c>
      <c r="R120" s="2" t="inlineStr"/>
    </row>
    <row r="121" ht="15" customHeight="1">
      <c r="A121" t="inlineStr">
        <is>
          <t>A 1614-2025</t>
        </is>
      </c>
      <c r="B121" s="1" t="n">
        <v>45670.60094907408</v>
      </c>
      <c r="C121" s="1" t="n">
        <v>46087</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ht="15" customHeight="1">
      <c r="A122" t="inlineStr">
        <is>
          <t>A 63276-2023</t>
        </is>
      </c>
      <c r="B122" s="1" t="n">
        <v>45273.82195601852</v>
      </c>
      <c r="C122" s="1" t="n">
        <v>46087</v>
      </c>
      <c r="D122" t="inlineStr">
        <is>
          <t>KALMAR LÄN</t>
        </is>
      </c>
      <c r="E122" t="inlineStr">
        <is>
          <t>BORGHOLM</t>
        </is>
      </c>
      <c r="G122" t="n">
        <v>5</v>
      </c>
      <c r="H122" t="n">
        <v>0</v>
      </c>
      <c r="I122" t="n">
        <v>0</v>
      </c>
      <c r="J122" t="n">
        <v>0</v>
      </c>
      <c r="K122" t="n">
        <v>0</v>
      </c>
      <c r="L122" t="n">
        <v>0</v>
      </c>
      <c r="M122" t="n">
        <v>0</v>
      </c>
      <c r="N122" t="n">
        <v>0</v>
      </c>
      <c r="O122" t="n">
        <v>0</v>
      </c>
      <c r="P122" t="n">
        <v>0</v>
      </c>
      <c r="Q122" t="n">
        <v>0</v>
      </c>
      <c r="R122" s="2" t="inlineStr"/>
    </row>
    <row r="123">
      <c r="A123" t="inlineStr">
        <is>
          <t>A 9050-2025</t>
        </is>
      </c>
      <c r="B123" s="1" t="n">
        <v>45713.63512731482</v>
      </c>
      <c r="C123" s="1" t="n">
        <v>46087</v>
      </c>
      <c r="D123" t="inlineStr">
        <is>
          <t>KALMAR LÄN</t>
        </is>
      </c>
      <c r="E123" t="inlineStr">
        <is>
          <t>BORGHOLM</t>
        </is>
      </c>
      <c r="F123" t="inlineStr">
        <is>
          <t>Sveaskog</t>
        </is>
      </c>
      <c r="G123" t="n">
        <v>2.5</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2026-03-06T11:13:49Z</dcterms:created>
  <dcterms:modified xmlns:dcterms="http://purl.org/dc/terms/" xmlns:xsi="http://www.w3.org/2001/XMLSchema-instance" xsi:type="dcterms:W3CDTF">2026-03-06T11:13:49Z</dcterms:modified>
</cp:coreProperties>
</file>