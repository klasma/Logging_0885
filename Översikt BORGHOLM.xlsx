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46078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46078</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46078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46078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46078</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46078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46078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46078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46078</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46078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46078</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46078</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46078</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46078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46078</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46078</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46078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46078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46078</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46078</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46078</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34885-2025</t>
        </is>
      </c>
      <c r="B38" s="1" t="n">
        <v>45849.47128472223</v>
      </c>
      <c r="C38" s="1" t="n">
        <v>46078</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46078</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46078</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46078</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14789-2021</t>
        </is>
      </c>
      <c r="B42" s="1" t="n">
        <v>44280</v>
      </c>
      <c r="C42" s="1" t="n">
        <v>46078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3302-2026</t>
        </is>
      </c>
      <c r="B43" s="1" t="n">
        <v>46041</v>
      </c>
      <c r="C43" s="1" t="n">
        <v>46078</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12785-2021</t>
        </is>
      </c>
      <c r="B44" s="1" t="n">
        <v>44270</v>
      </c>
      <c r="C44" s="1" t="n">
        <v>46078</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46078</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46078</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46078</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46078</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46078</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46078</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46078</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46078</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46078</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46078</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46078</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46078</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46078</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46078</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46078</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46078</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46078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46078</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46078</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46078</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12534-2022</t>
        </is>
      </c>
      <c r="B67" s="1" t="n">
        <v>44638</v>
      </c>
      <c r="C67" s="1" t="n">
        <v>46078</v>
      </c>
      <c r="D67" t="inlineStr">
        <is>
          <t>KALMAR LÄN</t>
        </is>
      </c>
      <c r="E67" t="inlineStr">
        <is>
          <t>BORGHOLM</t>
        </is>
      </c>
      <c r="G67" t="n">
        <v>8.6</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46078</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64303-2023</t>
        </is>
      </c>
      <c r="B69" s="1" t="n">
        <v>45280</v>
      </c>
      <c r="C69" s="1" t="n">
        <v>46078</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46078</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40339-2023</t>
        </is>
      </c>
      <c r="B71" s="1" t="n">
        <v>45169.62733796296</v>
      </c>
      <c r="C71" s="1" t="n">
        <v>46078</v>
      </c>
      <c r="D71" t="inlineStr">
        <is>
          <t>KALMAR LÄN</t>
        </is>
      </c>
      <c r="E71" t="inlineStr">
        <is>
          <t>BORGHOLM</t>
        </is>
      </c>
      <c r="G71" t="n">
        <v>3.8</v>
      </c>
      <c r="H71" t="n">
        <v>0</v>
      </c>
      <c r="I71" t="n">
        <v>0</v>
      </c>
      <c r="J71" t="n">
        <v>0</v>
      </c>
      <c r="K71" t="n">
        <v>0</v>
      </c>
      <c r="L71" t="n">
        <v>0</v>
      </c>
      <c r="M71" t="n">
        <v>0</v>
      </c>
      <c r="N71" t="n">
        <v>0</v>
      </c>
      <c r="O71" t="n">
        <v>0</v>
      </c>
      <c r="P71" t="n">
        <v>0</v>
      </c>
      <c r="Q71" t="n">
        <v>0</v>
      </c>
      <c r="R71" s="2" t="inlineStr"/>
    </row>
    <row r="72" ht="15" customHeight="1">
      <c r="A72" t="inlineStr">
        <is>
          <t>A 24166-2022</t>
        </is>
      </c>
      <c r="B72" s="1" t="n">
        <v>44725</v>
      </c>
      <c r="C72" s="1" t="n">
        <v>46078</v>
      </c>
      <c r="D72" t="inlineStr">
        <is>
          <t>KALMAR LÄN</t>
        </is>
      </c>
      <c r="E72" t="inlineStr">
        <is>
          <t>BORGHOLM</t>
        </is>
      </c>
      <c r="G72" t="n">
        <v>10.7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46078</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46078</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21908-2022</t>
        </is>
      </c>
      <c r="B75" s="1" t="n">
        <v>44711</v>
      </c>
      <c r="C75" s="1" t="n">
        <v>46078</v>
      </c>
      <c r="D75" t="inlineStr">
        <is>
          <t>KALMAR LÄN</t>
        </is>
      </c>
      <c r="E75" t="inlineStr">
        <is>
          <t>BORGHOLM</t>
        </is>
      </c>
      <c r="G75" t="n">
        <v>4.7</v>
      </c>
      <c r="H75" t="n">
        <v>0</v>
      </c>
      <c r="I75" t="n">
        <v>0</v>
      </c>
      <c r="J75" t="n">
        <v>0</v>
      </c>
      <c r="K75" t="n">
        <v>0</v>
      </c>
      <c r="L75" t="n">
        <v>0</v>
      </c>
      <c r="M75" t="n">
        <v>0</v>
      </c>
      <c r="N75" t="n">
        <v>0</v>
      </c>
      <c r="O75" t="n">
        <v>0</v>
      </c>
      <c r="P75" t="n">
        <v>0</v>
      </c>
      <c r="Q75" t="n">
        <v>0</v>
      </c>
      <c r="R75" s="2" t="inlineStr"/>
    </row>
    <row r="76" ht="15" customHeight="1">
      <c r="A76" t="inlineStr">
        <is>
          <t>A 26160-2025</t>
        </is>
      </c>
      <c r="B76" s="1" t="n">
        <v>45805.4490162037</v>
      </c>
      <c r="C76" s="1" t="n">
        <v>46078</v>
      </c>
      <c r="D76" t="inlineStr">
        <is>
          <t>KALMAR LÄN</t>
        </is>
      </c>
      <c r="E76" t="inlineStr">
        <is>
          <t>BORGHOLM</t>
        </is>
      </c>
      <c r="G76" t="n">
        <v>3.7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46078</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27357-2025</t>
        </is>
      </c>
      <c r="B78" s="1" t="n">
        <v>45812.63650462963</v>
      </c>
      <c r="C78" s="1" t="n">
        <v>46078</v>
      </c>
      <c r="D78" t="inlineStr">
        <is>
          <t>KALMAR LÄN</t>
        </is>
      </c>
      <c r="E78" t="inlineStr">
        <is>
          <t>BORGHOLM</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46078</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46078</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27366-2025</t>
        </is>
      </c>
      <c r="B81" s="1" t="n">
        <v>45812.64475694444</v>
      </c>
      <c r="C81" s="1" t="n">
        <v>46078</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46078</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28782-2025</t>
        </is>
      </c>
      <c r="B83" s="1" t="n">
        <v>45820.45572916666</v>
      </c>
      <c r="C83" s="1" t="n">
        <v>46078</v>
      </c>
      <c r="D83" t="inlineStr">
        <is>
          <t>KALMAR LÄN</t>
        </is>
      </c>
      <c r="E83" t="inlineStr">
        <is>
          <t>BORGHOLM</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4159-2024</t>
        </is>
      </c>
      <c r="B84" s="1" t="n">
        <v>45323</v>
      </c>
      <c r="C84" s="1" t="n">
        <v>46078</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46078</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46078</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46078</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1614-2025</t>
        </is>
      </c>
      <c r="B88" s="1" t="n">
        <v>45670.60094907408</v>
      </c>
      <c r="C88" s="1" t="n">
        <v>46078</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36269-2025</t>
        </is>
      </c>
      <c r="B89" s="1" t="n">
        <v>45867.61736111111</v>
      </c>
      <c r="C89" s="1" t="n">
        <v>46078</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46078</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46078</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46078</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46078</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46078</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46078</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7669-2024</t>
        </is>
      </c>
      <c r="B96" s="1" t="n">
        <v>45348.82498842593</v>
      </c>
      <c r="C96" s="1" t="n">
        <v>46078</v>
      </c>
      <c r="D96" t="inlineStr">
        <is>
          <t>KALMAR LÄN</t>
        </is>
      </c>
      <c r="E96" t="inlineStr">
        <is>
          <t>BORGHOLM</t>
        </is>
      </c>
      <c r="G96" t="n">
        <v>2.3</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46078</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46078</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7481-2026</t>
        </is>
      </c>
      <c r="B99" s="1" t="n">
        <v>46059.51359953704</v>
      </c>
      <c r="C99" s="1" t="n">
        <v>46078</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46078</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46078</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46078</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46078</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46078</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46078</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46078</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9104-2026</t>
        </is>
      </c>
      <c r="B107" s="1" t="n">
        <v>46069</v>
      </c>
      <c r="C107" s="1" t="n">
        <v>46078</v>
      </c>
      <c r="D107" t="inlineStr">
        <is>
          <t>KALMAR LÄN</t>
        </is>
      </c>
      <c r="E107" t="inlineStr">
        <is>
          <t>BORGHOLM</t>
        </is>
      </c>
      <c r="G107" t="n">
        <v>1.3</v>
      </c>
      <c r="H107" t="n">
        <v>0</v>
      </c>
      <c r="I107" t="n">
        <v>0</v>
      </c>
      <c r="J107" t="n">
        <v>0</v>
      </c>
      <c r="K107" t="n">
        <v>0</v>
      </c>
      <c r="L107" t="n">
        <v>0</v>
      </c>
      <c r="M107" t="n">
        <v>0</v>
      </c>
      <c r="N107" t="n">
        <v>0</v>
      </c>
      <c r="O107" t="n">
        <v>0</v>
      </c>
      <c r="P107" t="n">
        <v>0</v>
      </c>
      <c r="Q107" t="n">
        <v>0</v>
      </c>
      <c r="R107" s="2" t="inlineStr"/>
    </row>
    <row r="108" ht="15" customHeight="1">
      <c r="A108" t="inlineStr">
        <is>
          <t>A 9259-2026</t>
        </is>
      </c>
      <c r="B108" s="1" t="n">
        <v>46070.51917824074</v>
      </c>
      <c r="C108" s="1" t="n">
        <v>46078</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46078</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9905-2026</t>
        </is>
      </c>
      <c r="B110" s="1" t="n">
        <v>46073.4108912037</v>
      </c>
      <c r="C110" s="1" t="n">
        <v>46078</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61438-2023</t>
        </is>
      </c>
      <c r="B111" s="1" t="n">
        <v>45264</v>
      </c>
      <c r="C111" s="1" t="n">
        <v>46078</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13041-2024</t>
        </is>
      </c>
      <c r="B112" s="1" t="n">
        <v>45385.60065972222</v>
      </c>
      <c r="C112" s="1" t="n">
        <v>46078</v>
      </c>
      <c r="D112" t="inlineStr">
        <is>
          <t>KALMAR LÄN</t>
        </is>
      </c>
      <c r="E112" t="inlineStr">
        <is>
          <t>BORGHOLM</t>
        </is>
      </c>
      <c r="G112" t="n">
        <v>0.5</v>
      </c>
      <c r="H112" t="n">
        <v>0</v>
      </c>
      <c r="I112" t="n">
        <v>0</v>
      </c>
      <c r="J112" t="n">
        <v>0</v>
      </c>
      <c r="K112" t="n">
        <v>0</v>
      </c>
      <c r="L112" t="n">
        <v>0</v>
      </c>
      <c r="M112" t="n">
        <v>0</v>
      </c>
      <c r="N112" t="n">
        <v>0</v>
      </c>
      <c r="O112" t="n">
        <v>0</v>
      </c>
      <c r="P112" t="n">
        <v>0</v>
      </c>
      <c r="Q112" t="n">
        <v>0</v>
      </c>
      <c r="R112" s="2" t="inlineStr"/>
    </row>
    <row r="113" ht="15" customHeight="1">
      <c r="A113" t="inlineStr">
        <is>
          <t>A 53050-2021</t>
        </is>
      </c>
      <c r="B113" s="1" t="n">
        <v>44467</v>
      </c>
      <c r="C113" s="1" t="n">
        <v>46078</v>
      </c>
      <c r="D113" t="inlineStr">
        <is>
          <t>KALMAR LÄN</t>
        </is>
      </c>
      <c r="E113" t="inlineStr">
        <is>
          <t>BORGHOLM</t>
        </is>
      </c>
      <c r="G113" t="n">
        <v>3.6</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46078</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46078</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46078</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46078</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46078</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20878-2024</t>
        </is>
      </c>
      <c r="B119" s="1" t="n">
        <v>45439.44748842593</v>
      </c>
      <c r="C119" s="1" t="n">
        <v>46078</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row r="120" ht="15" customHeight="1">
      <c r="A120" t="inlineStr">
        <is>
          <t>A 17699-2025</t>
        </is>
      </c>
      <c r="B120" s="1" t="n">
        <v>45758.41846064815</v>
      </c>
      <c r="C120" s="1" t="n">
        <v>46078</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46078</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26160-2024</t>
        </is>
      </c>
      <c r="B122" s="1" t="n">
        <v>45468</v>
      </c>
      <c r="C122" s="1" t="n">
        <v>46078</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c r="T122">
        <f>HYPERLINK("https://klasma.github.io/Logging_0885/kartor/A 26160-2024 karta.png", "A 26160-2024")</f>
        <v/>
      </c>
      <c r="V122">
        <f>HYPERLINK("https://klasma.github.io/Logging_0885/klagomål/A 26160-2024 FSC-klagomål.docx", "A 26160-2024")</f>
        <v/>
      </c>
      <c r="W122">
        <f>HYPERLINK("https://klasma.github.io/Logging_0885/klagomålsmail/A 26160-2024 FSC-klagomål mail.docx", "A 26160-2024")</f>
        <v/>
      </c>
      <c r="X122">
        <f>HYPERLINK("https://klasma.github.io/Logging_0885/tillsyn/A 26160-2024 tillsynsbegäran.docx", "A 26160-2024")</f>
        <v/>
      </c>
      <c r="Y122">
        <f>HYPERLINK("https://klasma.github.io/Logging_0885/tillsynsmail/A 26160-2024 tillsynsbegäran mail.docx", "A 26160-2024")</f>
        <v/>
      </c>
    </row>
    <row r="123">
      <c r="A123" t="inlineStr">
        <is>
          <t>A 63075-2023</t>
        </is>
      </c>
      <c r="B123" s="1" t="n">
        <v>45273</v>
      </c>
      <c r="C123" s="1" t="n">
        <v>46078</v>
      </c>
      <c r="D123" t="inlineStr">
        <is>
          <t>KALMAR LÄN</t>
        </is>
      </c>
      <c r="E123" t="inlineStr">
        <is>
          <t>BORGHOLM</t>
        </is>
      </c>
      <c r="G123" t="n">
        <v>1.1</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2026-02-25T11:19:09Z</dcterms:created>
  <dcterms:modified xmlns:dcterms="http://purl.org/dc/terms/" xmlns:xsi="http://www.w3.org/2001/XMLSchema-instance" xsi:type="dcterms:W3CDTF">2026-02-25T11:19:09Z</dcterms:modified>
</cp:coreProperties>
</file>