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46045</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46045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46045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46045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46045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46045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44008-2022</t>
        </is>
      </c>
      <c r="B20" s="1" t="n">
        <v>44838</v>
      </c>
      <c r="C20" s="1" t="n">
        <v>46045</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38860-2025</t>
        </is>
      </c>
      <c r="B21" s="1" t="n">
        <v>45887.5609375</v>
      </c>
      <c r="C21" s="1" t="n">
        <v>46045</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46045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46045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28779-2025</t>
        </is>
      </c>
      <c r="B24" s="1" t="n">
        <v>45820.44920138889</v>
      </c>
      <c r="C24" s="1" t="n">
        <v>46045</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60140-2025</t>
        </is>
      </c>
      <c r="B25" s="1" t="n">
        <v>45994.36274305556</v>
      </c>
      <c r="C25" s="1" t="n">
        <v>46045</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34944-2022</t>
        </is>
      </c>
      <c r="B26" s="1" t="n">
        <v>44796</v>
      </c>
      <c r="C26" s="1" t="n">
        <v>46045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46045</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46045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46045</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46045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12785-2021</t>
        </is>
      </c>
      <c r="B33" s="1" t="n">
        <v>44270</v>
      </c>
      <c r="C33" s="1" t="n">
        <v>46045</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9745-2023</t>
        </is>
      </c>
      <c r="B34" s="1" t="n">
        <v>44984</v>
      </c>
      <c r="C34" s="1" t="n">
        <v>46045</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13558-2025</t>
        </is>
      </c>
      <c r="B35" s="1" t="n">
        <v>45736.54974537037</v>
      </c>
      <c r="C35" s="1" t="n">
        <v>46045</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45693-2025</t>
        </is>
      </c>
      <c r="B36" s="1" t="n">
        <v>45923</v>
      </c>
      <c r="C36" s="1" t="n">
        <v>46045</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24048-2025</t>
        </is>
      </c>
      <c r="B37" s="1" t="n">
        <v>45796.4959375</v>
      </c>
      <c r="C37" s="1" t="n">
        <v>46045</v>
      </c>
      <c r="D37" t="inlineStr">
        <is>
          <t>KALMAR LÄN</t>
        </is>
      </c>
      <c r="E37" t="inlineStr">
        <is>
          <t>BORGHOLM</t>
        </is>
      </c>
      <c r="G37" t="n">
        <v>2</v>
      </c>
      <c r="H37" t="n">
        <v>0</v>
      </c>
      <c r="I37" t="n">
        <v>0</v>
      </c>
      <c r="J37" t="n">
        <v>1</v>
      </c>
      <c r="K37" t="n">
        <v>0</v>
      </c>
      <c r="L37" t="n">
        <v>0</v>
      </c>
      <c r="M37" t="n">
        <v>0</v>
      </c>
      <c r="N37" t="n">
        <v>0</v>
      </c>
      <c r="O37" t="n">
        <v>1</v>
      </c>
      <c r="P37" t="n">
        <v>0</v>
      </c>
      <c r="Q37" t="n">
        <v>1</v>
      </c>
      <c r="R37" s="2" t="inlineStr">
        <is>
          <t>Loppstarr</t>
        </is>
      </c>
      <c r="S37">
        <f>HYPERLINK("https://klasma.github.io/Logging_0885/artfynd/A 24048-2025 artfynd.xlsx", "A 24048-2025")</f>
        <v/>
      </c>
      <c r="T37">
        <f>HYPERLINK("https://klasma.github.io/Logging_0885/kartor/A 24048-2025 karta.png", "A 24048-2025")</f>
        <v/>
      </c>
      <c r="V37">
        <f>HYPERLINK("https://klasma.github.io/Logging_0885/klagomål/A 24048-2025 FSC-klagomål.docx", "A 24048-2025")</f>
        <v/>
      </c>
      <c r="W37">
        <f>HYPERLINK("https://klasma.github.io/Logging_0885/klagomålsmail/A 24048-2025 FSC-klagomål mail.docx", "A 24048-2025")</f>
        <v/>
      </c>
      <c r="X37">
        <f>HYPERLINK("https://klasma.github.io/Logging_0885/tillsyn/A 24048-2025 tillsynsbegäran.docx", "A 24048-2025")</f>
        <v/>
      </c>
      <c r="Y37">
        <f>HYPERLINK("https://klasma.github.io/Logging_0885/tillsynsmail/A 24048-2025 tillsynsbegäran mail.docx", "A 24048-2025")</f>
        <v/>
      </c>
    </row>
    <row r="38" ht="15" customHeight="1">
      <c r="A38" t="inlineStr">
        <is>
          <t>A 24701-2023</t>
        </is>
      </c>
      <c r="B38" s="1" t="n">
        <v>45084</v>
      </c>
      <c r="C38" s="1" t="n">
        <v>46045</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41640-2023</t>
        </is>
      </c>
      <c r="B39" s="1" t="n">
        <v>45175</v>
      </c>
      <c r="C39" s="1" t="n">
        <v>46045</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28785-2025</t>
        </is>
      </c>
      <c r="B40" s="1" t="n">
        <v>45820.46159722222</v>
      </c>
      <c r="C40" s="1" t="n">
        <v>46045</v>
      </c>
      <c r="D40" t="inlineStr">
        <is>
          <t>KALMAR LÄN</t>
        </is>
      </c>
      <c r="E40" t="inlineStr">
        <is>
          <t>BORGHOLM</t>
        </is>
      </c>
      <c r="F40" t="inlineStr">
        <is>
          <t>Sveaskog</t>
        </is>
      </c>
      <c r="G40" t="n">
        <v>2.3</v>
      </c>
      <c r="H40" t="n">
        <v>1</v>
      </c>
      <c r="I40" t="n">
        <v>0</v>
      </c>
      <c r="J40" t="n">
        <v>1</v>
      </c>
      <c r="K40" t="n">
        <v>0</v>
      </c>
      <c r="L40" t="n">
        <v>0</v>
      </c>
      <c r="M40" t="n">
        <v>0</v>
      </c>
      <c r="N40" t="n">
        <v>0</v>
      </c>
      <c r="O40" t="n">
        <v>1</v>
      </c>
      <c r="P40" t="n">
        <v>0</v>
      </c>
      <c r="Q40" t="n">
        <v>1</v>
      </c>
      <c r="R40" s="2" t="inlineStr">
        <is>
          <t>Havsörn</t>
        </is>
      </c>
      <c r="S40">
        <f>HYPERLINK("https://klasma.github.io/Logging_0885/artfynd/A 28785-2025 artfynd.xlsx", "A 28785-2025")</f>
        <v/>
      </c>
      <c r="T40">
        <f>HYPERLINK("https://klasma.github.io/Logging_0885/kartor/A 28785-2025 karta.png", "A 28785-2025")</f>
        <v/>
      </c>
      <c r="V40">
        <f>HYPERLINK("https://klasma.github.io/Logging_0885/klagomål/A 28785-2025 FSC-klagomål.docx", "A 28785-2025")</f>
        <v/>
      </c>
      <c r="W40">
        <f>HYPERLINK("https://klasma.github.io/Logging_0885/klagomålsmail/A 28785-2025 FSC-klagomål mail.docx", "A 28785-2025")</f>
        <v/>
      </c>
      <c r="X40">
        <f>HYPERLINK("https://klasma.github.io/Logging_0885/tillsyn/A 28785-2025 tillsynsbegäran.docx", "A 28785-2025")</f>
        <v/>
      </c>
      <c r="Y40">
        <f>HYPERLINK("https://klasma.github.io/Logging_0885/tillsynsmail/A 28785-2025 tillsynsbegäran mail.docx", "A 28785-2025")</f>
        <v/>
      </c>
      <c r="Z40">
        <f>HYPERLINK("https://klasma.github.io/Logging_0885/fåglar/A 28785-2025 prioriterade fågelarter.docx", "A 28785-2025")</f>
        <v/>
      </c>
    </row>
    <row r="41" ht="15" customHeight="1">
      <c r="A41" t="inlineStr">
        <is>
          <t>A 29962-2025</t>
        </is>
      </c>
      <c r="B41" s="1" t="n">
        <v>45826.48184027777</v>
      </c>
      <c r="C41" s="1" t="n">
        <v>46045</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43603-2024</t>
        </is>
      </c>
      <c r="B42" s="1" t="n">
        <v>45569.44700231482</v>
      </c>
      <c r="C42" s="1" t="n">
        <v>46045</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34885-2025</t>
        </is>
      </c>
      <c r="B43" s="1" t="n">
        <v>45849.47128472223</v>
      </c>
      <c r="C43" s="1" t="n">
        <v>46045</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24704-2023</t>
        </is>
      </c>
      <c r="B44" s="1" t="n">
        <v>45084</v>
      </c>
      <c r="C44" s="1" t="n">
        <v>46045</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3302-2026</t>
        </is>
      </c>
      <c r="B45" s="1" t="n">
        <v>46041</v>
      </c>
      <c r="C45" s="1" t="n">
        <v>46045</v>
      </c>
      <c r="D45" t="inlineStr">
        <is>
          <t>KALMAR LÄN</t>
        </is>
      </c>
      <c r="E45" t="inlineStr">
        <is>
          <t>BORGHOLM</t>
        </is>
      </c>
      <c r="G45" t="n">
        <v>3.9</v>
      </c>
      <c r="H45" t="n">
        <v>1</v>
      </c>
      <c r="I45" t="n">
        <v>0</v>
      </c>
      <c r="J45" t="n">
        <v>0</v>
      </c>
      <c r="K45" t="n">
        <v>0</v>
      </c>
      <c r="L45" t="n">
        <v>0</v>
      </c>
      <c r="M45" t="n">
        <v>0</v>
      </c>
      <c r="N45" t="n">
        <v>0</v>
      </c>
      <c r="O45" t="n">
        <v>0</v>
      </c>
      <c r="P45" t="n">
        <v>0</v>
      </c>
      <c r="Q45" t="n">
        <v>1</v>
      </c>
      <c r="R45" s="2" t="inlineStr">
        <is>
          <t>Blåsippa</t>
        </is>
      </c>
      <c r="S45">
        <f>HYPERLINK("https://klasma.github.io/Logging_0885/artfynd/A 3302-2026 artfynd.xlsx", "A 3302-2026")</f>
        <v/>
      </c>
      <c r="T45">
        <f>HYPERLINK("https://klasma.github.io/Logging_0885/kartor/A 3302-2026 karta.png", "A 3302-2026")</f>
        <v/>
      </c>
      <c r="V45">
        <f>HYPERLINK("https://klasma.github.io/Logging_0885/klagomål/A 3302-2026 FSC-klagomål.docx", "A 3302-2026")</f>
        <v/>
      </c>
      <c r="W45">
        <f>HYPERLINK("https://klasma.github.io/Logging_0885/klagomålsmail/A 3302-2026 FSC-klagomål mail.docx", "A 3302-2026")</f>
        <v/>
      </c>
      <c r="X45">
        <f>HYPERLINK("https://klasma.github.io/Logging_0885/tillsyn/A 3302-2026 tillsynsbegäran.docx", "A 3302-2026")</f>
        <v/>
      </c>
      <c r="Y45">
        <f>HYPERLINK("https://klasma.github.io/Logging_0885/tillsynsmail/A 3302-2026 tillsynsbegäran mail.docx", "A 3302-2026")</f>
        <v/>
      </c>
    </row>
    <row r="46" ht="15" customHeight="1">
      <c r="A46" t="inlineStr">
        <is>
          <t>A 12711-2021</t>
        </is>
      </c>
      <c r="B46" s="1" t="n">
        <v>44270</v>
      </c>
      <c r="C46" s="1" t="n">
        <v>46045</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46045</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46045</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46045</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46045</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46045</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46045</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46045</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46045</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46045</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46045</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46045</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46045</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46045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31720-2022</t>
        </is>
      </c>
      <c r="B60" s="1" t="n">
        <v>44776</v>
      </c>
      <c r="C60" s="1" t="n">
        <v>46045</v>
      </c>
      <c r="D60" t="inlineStr">
        <is>
          <t>KALMAR LÄN</t>
        </is>
      </c>
      <c r="E60" t="inlineStr">
        <is>
          <t>BORGHOLM</t>
        </is>
      </c>
      <c r="F60" t="inlineStr">
        <is>
          <t>Sveaskog</t>
        </is>
      </c>
      <c r="G60" t="n">
        <v>4.5</v>
      </c>
      <c r="H60" t="n">
        <v>0</v>
      </c>
      <c r="I60" t="n">
        <v>0</v>
      </c>
      <c r="J60" t="n">
        <v>0</v>
      </c>
      <c r="K60" t="n">
        <v>0</v>
      </c>
      <c r="L60" t="n">
        <v>0</v>
      </c>
      <c r="M60" t="n">
        <v>0</v>
      </c>
      <c r="N60" t="n">
        <v>0</v>
      </c>
      <c r="O60" t="n">
        <v>0</v>
      </c>
      <c r="P60" t="n">
        <v>0</v>
      </c>
      <c r="Q60" t="n">
        <v>0</v>
      </c>
      <c r="R60" s="2" t="inlineStr"/>
    </row>
    <row r="61" ht="15" customHeight="1">
      <c r="A61" t="inlineStr">
        <is>
          <t>A 32180-2022</t>
        </is>
      </c>
      <c r="B61" s="1" t="n">
        <v>44781</v>
      </c>
      <c r="C61" s="1" t="n">
        <v>46045</v>
      </c>
      <c r="D61" t="inlineStr">
        <is>
          <t>KALMAR LÄN</t>
        </is>
      </c>
      <c r="E61" t="inlineStr">
        <is>
          <t>BORGHOLM</t>
        </is>
      </c>
      <c r="F61" t="inlineStr">
        <is>
          <t>Sveaskog</t>
        </is>
      </c>
      <c r="G61" t="n">
        <v>0.9</v>
      </c>
      <c r="H61" t="n">
        <v>0</v>
      </c>
      <c r="I61" t="n">
        <v>0</v>
      </c>
      <c r="J61" t="n">
        <v>0</v>
      </c>
      <c r="K61" t="n">
        <v>0</v>
      </c>
      <c r="L61" t="n">
        <v>0</v>
      </c>
      <c r="M61" t="n">
        <v>0</v>
      </c>
      <c r="N61" t="n">
        <v>0</v>
      </c>
      <c r="O61" t="n">
        <v>0</v>
      </c>
      <c r="P61" t="n">
        <v>0</v>
      </c>
      <c r="Q61" t="n">
        <v>0</v>
      </c>
      <c r="R61" s="2" t="inlineStr"/>
    </row>
    <row r="62" ht="15" customHeight="1">
      <c r="A62" t="inlineStr">
        <is>
          <t>A 29656-2023</t>
        </is>
      </c>
      <c r="B62" s="1" t="n">
        <v>45107</v>
      </c>
      <c r="C62" s="1" t="n">
        <v>46045</v>
      </c>
      <c r="D62" t="inlineStr">
        <is>
          <t>KALMAR LÄN</t>
        </is>
      </c>
      <c r="E62" t="inlineStr">
        <is>
          <t>BORGHOLM</t>
        </is>
      </c>
      <c r="G62" t="n">
        <v>4.1</v>
      </c>
      <c r="H62" t="n">
        <v>0</v>
      </c>
      <c r="I62" t="n">
        <v>0</v>
      </c>
      <c r="J62" t="n">
        <v>0</v>
      </c>
      <c r="K62" t="n">
        <v>0</v>
      </c>
      <c r="L62" t="n">
        <v>0</v>
      </c>
      <c r="M62" t="n">
        <v>0</v>
      </c>
      <c r="N62" t="n">
        <v>0</v>
      </c>
      <c r="O62" t="n">
        <v>0</v>
      </c>
      <c r="P62" t="n">
        <v>0</v>
      </c>
      <c r="Q62" t="n">
        <v>0</v>
      </c>
      <c r="R62" s="2" t="inlineStr"/>
    </row>
    <row r="63" ht="15" customHeight="1">
      <c r="A63" t="inlineStr">
        <is>
          <t>A 31699-2022</t>
        </is>
      </c>
      <c r="B63" s="1" t="n">
        <v>44776</v>
      </c>
      <c r="C63" s="1" t="n">
        <v>46045</v>
      </c>
      <c r="D63" t="inlineStr">
        <is>
          <t>KALMAR LÄN</t>
        </is>
      </c>
      <c r="E63" t="inlineStr">
        <is>
          <t>BORGHOLM</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9044-2025</t>
        </is>
      </c>
      <c r="B64" s="1" t="n">
        <v>45713.6275</v>
      </c>
      <c r="C64" s="1" t="n">
        <v>46045</v>
      </c>
      <c r="D64" t="inlineStr">
        <is>
          <t>KALMAR LÄN</t>
        </is>
      </c>
      <c r="E64" t="inlineStr">
        <is>
          <t>BORGHOLM</t>
        </is>
      </c>
      <c r="F64" t="inlineStr">
        <is>
          <t>Sveaskog</t>
        </is>
      </c>
      <c r="G64" t="n">
        <v>4</v>
      </c>
      <c r="H64" t="n">
        <v>0</v>
      </c>
      <c r="I64" t="n">
        <v>0</v>
      </c>
      <c r="J64" t="n">
        <v>0</v>
      </c>
      <c r="K64" t="n">
        <v>0</v>
      </c>
      <c r="L64" t="n">
        <v>0</v>
      </c>
      <c r="M64" t="n">
        <v>0</v>
      </c>
      <c r="N64" t="n">
        <v>0</v>
      </c>
      <c r="O64" t="n">
        <v>0</v>
      </c>
      <c r="P64" t="n">
        <v>0</v>
      </c>
      <c r="Q64" t="n">
        <v>0</v>
      </c>
      <c r="R64" s="2" t="inlineStr"/>
    </row>
    <row r="65" ht="15" customHeight="1">
      <c r="A65" t="inlineStr">
        <is>
          <t>A 12937-2022</t>
        </is>
      </c>
      <c r="B65" s="1" t="n">
        <v>44642</v>
      </c>
      <c r="C65" s="1" t="n">
        <v>46045</v>
      </c>
      <c r="D65" t="inlineStr">
        <is>
          <t>KALMAR LÄN</t>
        </is>
      </c>
      <c r="E65" t="inlineStr">
        <is>
          <t>BORGHOLM</t>
        </is>
      </c>
      <c r="F65" t="inlineStr">
        <is>
          <t>Sveaskog</t>
        </is>
      </c>
      <c r="G65" t="n">
        <v>1.8</v>
      </c>
      <c r="H65" t="n">
        <v>0</v>
      </c>
      <c r="I65" t="n">
        <v>0</v>
      </c>
      <c r="J65" t="n">
        <v>0</v>
      </c>
      <c r="K65" t="n">
        <v>0</v>
      </c>
      <c r="L65" t="n">
        <v>0</v>
      </c>
      <c r="M65" t="n">
        <v>0</v>
      </c>
      <c r="N65" t="n">
        <v>0</v>
      </c>
      <c r="O65" t="n">
        <v>0</v>
      </c>
      <c r="P65" t="n">
        <v>0</v>
      </c>
      <c r="Q65" t="n">
        <v>0</v>
      </c>
      <c r="R65" s="2" t="inlineStr"/>
    </row>
    <row r="66" ht="15" customHeight="1">
      <c r="A66" t="inlineStr">
        <is>
          <t>A 7960-2023</t>
        </is>
      </c>
      <c r="B66" s="1" t="n">
        <v>44973</v>
      </c>
      <c r="C66" s="1" t="n">
        <v>46045</v>
      </c>
      <c r="D66" t="inlineStr">
        <is>
          <t>KALMAR LÄN</t>
        </is>
      </c>
      <c r="E66" t="inlineStr">
        <is>
          <t>BORGHOLM</t>
        </is>
      </c>
      <c r="G66" t="n">
        <v>2.1</v>
      </c>
      <c r="H66" t="n">
        <v>0</v>
      </c>
      <c r="I66" t="n">
        <v>0</v>
      </c>
      <c r="J66" t="n">
        <v>0</v>
      </c>
      <c r="K66" t="n">
        <v>0</v>
      </c>
      <c r="L66" t="n">
        <v>0</v>
      </c>
      <c r="M66" t="n">
        <v>0</v>
      </c>
      <c r="N66" t="n">
        <v>0</v>
      </c>
      <c r="O66" t="n">
        <v>0</v>
      </c>
      <c r="P66" t="n">
        <v>0</v>
      </c>
      <c r="Q66" t="n">
        <v>0</v>
      </c>
      <c r="R66" s="2" t="inlineStr"/>
    </row>
    <row r="67" ht="15" customHeight="1">
      <c r="A67" t="inlineStr">
        <is>
          <t>A 4165-2023</t>
        </is>
      </c>
      <c r="B67" s="1" t="n">
        <v>44953</v>
      </c>
      <c r="C67" s="1" t="n">
        <v>46045</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61438-2023</t>
        </is>
      </c>
      <c r="B68" s="1" t="n">
        <v>45264</v>
      </c>
      <c r="C68" s="1" t="n">
        <v>46045</v>
      </c>
      <c r="D68" t="inlineStr">
        <is>
          <t>KALMAR LÄN</t>
        </is>
      </c>
      <c r="E68" t="inlineStr">
        <is>
          <t>BORGHOLM</t>
        </is>
      </c>
      <c r="G68" t="n">
        <v>1.1</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46045</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13041-2024</t>
        </is>
      </c>
      <c r="B70" s="1" t="n">
        <v>45385.60065972222</v>
      </c>
      <c r="C70" s="1" t="n">
        <v>46045</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1614-2025</t>
        </is>
      </c>
      <c r="B71" s="1" t="n">
        <v>45670.60094907408</v>
      </c>
      <c r="C71" s="1" t="n">
        <v>46045</v>
      </c>
      <c r="D71" t="inlineStr">
        <is>
          <t>KALMAR LÄN</t>
        </is>
      </c>
      <c r="E71" t="inlineStr">
        <is>
          <t>BORGHOLM</t>
        </is>
      </c>
      <c r="G71" t="n">
        <v>1.4</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46045</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20878-2024</t>
        </is>
      </c>
      <c r="B73" s="1" t="n">
        <v>45439.44748842593</v>
      </c>
      <c r="C73" s="1" t="n">
        <v>46045</v>
      </c>
      <c r="D73" t="inlineStr">
        <is>
          <t>KALMAR LÄN</t>
        </is>
      </c>
      <c r="E73" t="inlineStr">
        <is>
          <t>BORGHOLM</t>
        </is>
      </c>
      <c r="G73" t="n">
        <v>1.9</v>
      </c>
      <c r="H73" t="n">
        <v>0</v>
      </c>
      <c r="I73" t="n">
        <v>0</v>
      </c>
      <c r="J73" t="n">
        <v>0</v>
      </c>
      <c r="K73" t="n">
        <v>0</v>
      </c>
      <c r="L73" t="n">
        <v>0</v>
      </c>
      <c r="M73" t="n">
        <v>0</v>
      </c>
      <c r="N73" t="n">
        <v>0</v>
      </c>
      <c r="O73" t="n">
        <v>0</v>
      </c>
      <c r="P73" t="n">
        <v>0</v>
      </c>
      <c r="Q73" t="n">
        <v>0</v>
      </c>
      <c r="R73" s="2" t="inlineStr"/>
    </row>
    <row r="74" ht="15" customHeight="1">
      <c r="A74" t="inlineStr">
        <is>
          <t>A 63276-2023</t>
        </is>
      </c>
      <c r="B74" s="1" t="n">
        <v>45273.82195601852</v>
      </c>
      <c r="C74" s="1" t="n">
        <v>46045</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46045</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46045</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46045</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46045</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9050-2025</t>
        </is>
      </c>
      <c r="B79" s="1" t="n">
        <v>45713.63512731482</v>
      </c>
      <c r="C79" s="1" t="n">
        <v>46045</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46045</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46045</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45734-2025</t>
        </is>
      </c>
      <c r="B82" s="1" t="n">
        <v>45923.46512731481</v>
      </c>
      <c r="C82" s="1" t="n">
        <v>46045</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13043-2024</t>
        </is>
      </c>
      <c r="B83" s="1" t="n">
        <v>45385.60111111111</v>
      </c>
      <c r="C83" s="1" t="n">
        <v>46045</v>
      </c>
      <c r="D83" t="inlineStr">
        <is>
          <t>KALMAR LÄN</t>
        </is>
      </c>
      <c r="E83" t="inlineStr">
        <is>
          <t>BORGHOLM</t>
        </is>
      </c>
      <c r="G83" t="n">
        <v>0.4</v>
      </c>
      <c r="H83" t="n">
        <v>0</v>
      </c>
      <c r="I83" t="n">
        <v>0</v>
      </c>
      <c r="J83" t="n">
        <v>0</v>
      </c>
      <c r="K83" t="n">
        <v>0</v>
      </c>
      <c r="L83" t="n">
        <v>0</v>
      </c>
      <c r="M83" t="n">
        <v>0</v>
      </c>
      <c r="N83" t="n">
        <v>0</v>
      </c>
      <c r="O83" t="n">
        <v>0</v>
      </c>
      <c r="P83" t="n">
        <v>0</v>
      </c>
      <c r="Q83" t="n">
        <v>0</v>
      </c>
      <c r="R83" s="2" t="inlineStr"/>
    </row>
    <row r="84" ht="15" customHeight="1">
      <c r="A84" t="inlineStr">
        <is>
          <t>A 45869-2025</t>
        </is>
      </c>
      <c r="B84" s="1" t="n">
        <v>45923.65313657407</v>
      </c>
      <c r="C84" s="1" t="n">
        <v>46045</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46045</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46845-2025</t>
        </is>
      </c>
      <c r="B86" s="1" t="n">
        <v>45928</v>
      </c>
      <c r="C86" s="1" t="n">
        <v>46045</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53050-2021</t>
        </is>
      </c>
      <c r="B87" s="1" t="n">
        <v>44467</v>
      </c>
      <c r="C87" s="1" t="n">
        <v>46045</v>
      </c>
      <c r="D87" t="inlineStr">
        <is>
          <t>KALMAR LÄN</t>
        </is>
      </c>
      <c r="E87" t="inlineStr">
        <is>
          <t>BORGHOLM</t>
        </is>
      </c>
      <c r="G87" t="n">
        <v>3.6</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46045</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22785-2025</t>
        </is>
      </c>
      <c r="B89" s="1" t="n">
        <v>45789.64186342592</v>
      </c>
      <c r="C89" s="1" t="n">
        <v>46045</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44678-2022</t>
        </is>
      </c>
      <c r="B90" s="1" t="n">
        <v>44840.65100694444</v>
      </c>
      <c r="C90" s="1" t="n">
        <v>46045</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12534-2022</t>
        </is>
      </c>
      <c r="B91" s="1" t="n">
        <v>44638</v>
      </c>
      <c r="C91" s="1" t="n">
        <v>46045</v>
      </c>
      <c r="D91" t="inlineStr">
        <is>
          <t>KALMAR LÄN</t>
        </is>
      </c>
      <c r="E91" t="inlineStr">
        <is>
          <t>BORGHOLM</t>
        </is>
      </c>
      <c r="G91" t="n">
        <v>8.6</v>
      </c>
      <c r="H91" t="n">
        <v>0</v>
      </c>
      <c r="I91" t="n">
        <v>0</v>
      </c>
      <c r="J91" t="n">
        <v>0</v>
      </c>
      <c r="K91" t="n">
        <v>0</v>
      </c>
      <c r="L91" t="n">
        <v>0</v>
      </c>
      <c r="M91" t="n">
        <v>0</v>
      </c>
      <c r="N91" t="n">
        <v>0</v>
      </c>
      <c r="O91" t="n">
        <v>0</v>
      </c>
      <c r="P91" t="n">
        <v>0</v>
      </c>
      <c r="Q91" t="n">
        <v>0</v>
      </c>
      <c r="R91" s="2" t="inlineStr"/>
    </row>
    <row r="92" ht="15" customHeight="1">
      <c r="A92" t="inlineStr">
        <is>
          <t>A 40339-2023</t>
        </is>
      </c>
      <c r="B92" s="1" t="n">
        <v>45169.62733796296</v>
      </c>
      <c r="C92" s="1" t="n">
        <v>46045</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46045</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26160-2025</t>
        </is>
      </c>
      <c r="B94" s="1" t="n">
        <v>45805.4490162037</v>
      </c>
      <c r="C94" s="1" t="n">
        <v>46045</v>
      </c>
      <c r="D94" t="inlineStr">
        <is>
          <t>KALMAR LÄN</t>
        </is>
      </c>
      <c r="E94" t="inlineStr">
        <is>
          <t>BORGHOLM</t>
        </is>
      </c>
      <c r="G94" t="n">
        <v>3.7</v>
      </c>
      <c r="H94" t="n">
        <v>0</v>
      </c>
      <c r="I94" t="n">
        <v>0</v>
      </c>
      <c r="J94" t="n">
        <v>0</v>
      </c>
      <c r="K94" t="n">
        <v>0</v>
      </c>
      <c r="L94" t="n">
        <v>0</v>
      </c>
      <c r="M94" t="n">
        <v>0</v>
      </c>
      <c r="N94" t="n">
        <v>0</v>
      </c>
      <c r="O94" t="n">
        <v>0</v>
      </c>
      <c r="P94" t="n">
        <v>0</v>
      </c>
      <c r="Q94" t="n">
        <v>0</v>
      </c>
      <c r="R94" s="2" t="inlineStr"/>
    </row>
    <row r="95" ht="15" customHeight="1">
      <c r="A95" t="inlineStr">
        <is>
          <t>A 26190-2025</t>
        </is>
      </c>
      <c r="B95" s="1" t="n">
        <v>45805.48349537037</v>
      </c>
      <c r="C95" s="1" t="n">
        <v>46045</v>
      </c>
      <c r="D95" t="inlineStr">
        <is>
          <t>KALMAR LÄN</t>
        </is>
      </c>
      <c r="E95" t="inlineStr">
        <is>
          <t>BORGHOLM</t>
        </is>
      </c>
      <c r="G95" t="n">
        <v>3.2</v>
      </c>
      <c r="H95" t="n">
        <v>0</v>
      </c>
      <c r="I95" t="n">
        <v>0</v>
      </c>
      <c r="J95" t="n">
        <v>0</v>
      </c>
      <c r="K95" t="n">
        <v>0</v>
      </c>
      <c r="L95" t="n">
        <v>0</v>
      </c>
      <c r="M95" t="n">
        <v>0</v>
      </c>
      <c r="N95" t="n">
        <v>0</v>
      </c>
      <c r="O95" t="n">
        <v>0</v>
      </c>
      <c r="P95" t="n">
        <v>0</v>
      </c>
      <c r="Q95" t="n">
        <v>0</v>
      </c>
      <c r="R95" s="2" t="inlineStr"/>
    </row>
    <row r="96" ht="15" customHeight="1">
      <c r="A96" t="inlineStr">
        <is>
          <t>A 27357-2025</t>
        </is>
      </c>
      <c r="B96" s="1" t="n">
        <v>45812.63650462963</v>
      </c>
      <c r="C96" s="1" t="n">
        <v>46045</v>
      </c>
      <c r="D96" t="inlineStr">
        <is>
          <t>KALMAR LÄN</t>
        </is>
      </c>
      <c r="E96" t="inlineStr">
        <is>
          <t>BORGHOLM</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27366-2025</t>
        </is>
      </c>
      <c r="B97" s="1" t="n">
        <v>45812.64475694444</v>
      </c>
      <c r="C97" s="1" t="n">
        <v>46045</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64303-2023</t>
        </is>
      </c>
      <c r="B98" s="1" t="n">
        <v>45280</v>
      </c>
      <c r="C98" s="1" t="n">
        <v>46045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28782-2025</t>
        </is>
      </c>
      <c r="B99" s="1" t="n">
        <v>45820.45572916666</v>
      </c>
      <c r="C99" s="1" t="n">
        <v>46045</v>
      </c>
      <c r="D99" t="inlineStr">
        <is>
          <t>KALMAR LÄN</t>
        </is>
      </c>
      <c r="E99" t="inlineStr">
        <is>
          <t>BORGHOLM</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46045</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63075-2023</t>
        </is>
      </c>
      <c r="B101" s="1" t="n">
        <v>45273</v>
      </c>
      <c r="C101" s="1" t="n">
        <v>46045</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46045</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60141-2025</t>
        </is>
      </c>
      <c r="B103" s="1" t="n">
        <v>45994.36873842592</v>
      </c>
      <c r="C103" s="1" t="n">
        <v>46045</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36269-2025</t>
        </is>
      </c>
      <c r="B104" s="1" t="n">
        <v>45867.61736111111</v>
      </c>
      <c r="C104" s="1" t="n">
        <v>46045</v>
      </c>
      <c r="D104" t="inlineStr">
        <is>
          <t>KALMAR LÄN</t>
        </is>
      </c>
      <c r="E104" t="inlineStr">
        <is>
          <t>BORGHOLM</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61723-2025</t>
        </is>
      </c>
      <c r="B105" s="1" t="n">
        <v>46002.58388888889</v>
      </c>
      <c r="C105" s="1" t="n">
        <v>46045</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44224-2025</t>
        </is>
      </c>
      <c r="B106" s="1" t="n">
        <v>45915</v>
      </c>
      <c r="C106" s="1" t="n">
        <v>46045</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1757-2025</t>
        </is>
      </c>
      <c r="B107" s="1" t="n">
        <v>45671.42195601852</v>
      </c>
      <c r="C107" s="1" t="n">
        <v>46045</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17699-2025</t>
        </is>
      </c>
      <c r="B108" s="1" t="n">
        <v>45758.41846064815</v>
      </c>
      <c r="C108" s="1" t="n">
        <v>46045</v>
      </c>
      <c r="D108" t="inlineStr">
        <is>
          <t>KALMAR LÄN</t>
        </is>
      </c>
      <c r="E108" t="inlineStr">
        <is>
          <t>BORGHOLM</t>
        </is>
      </c>
      <c r="G108" t="n">
        <v>0.7</v>
      </c>
      <c r="H108" t="n">
        <v>0</v>
      </c>
      <c r="I108" t="n">
        <v>0</v>
      </c>
      <c r="J108" t="n">
        <v>0</v>
      </c>
      <c r="K108" t="n">
        <v>0</v>
      </c>
      <c r="L108" t="n">
        <v>0</v>
      </c>
      <c r="M108" t="n">
        <v>0</v>
      </c>
      <c r="N108" t="n">
        <v>0</v>
      </c>
      <c r="O108" t="n">
        <v>0</v>
      </c>
      <c r="P108" t="n">
        <v>0</v>
      </c>
      <c r="Q108" t="n">
        <v>0</v>
      </c>
      <c r="R108" s="2" t="inlineStr"/>
    </row>
    <row r="109" ht="15" customHeight="1">
      <c r="A109" t="inlineStr">
        <is>
          <t>A 7669-2024</t>
        </is>
      </c>
      <c r="B109" s="1" t="n">
        <v>45348.82498842593</v>
      </c>
      <c r="C109" s="1" t="n">
        <v>46045</v>
      </c>
      <c r="D109" t="inlineStr">
        <is>
          <t>KALMAR LÄN</t>
        </is>
      </c>
      <c r="E109" t="inlineStr">
        <is>
          <t>BORGHOLM</t>
        </is>
      </c>
      <c r="G109" t="n">
        <v>2.3</v>
      </c>
      <c r="H109" t="n">
        <v>0</v>
      </c>
      <c r="I109" t="n">
        <v>0</v>
      </c>
      <c r="J109" t="n">
        <v>0</v>
      </c>
      <c r="K109" t="n">
        <v>0</v>
      </c>
      <c r="L109" t="n">
        <v>0</v>
      </c>
      <c r="M109" t="n">
        <v>0</v>
      </c>
      <c r="N109" t="n">
        <v>0</v>
      </c>
      <c r="O109" t="n">
        <v>0</v>
      </c>
      <c r="P109" t="n">
        <v>0</v>
      </c>
      <c r="Q109" t="n">
        <v>0</v>
      </c>
      <c r="R109" s="2" t="inlineStr"/>
    </row>
    <row r="110" ht="15" customHeight="1">
      <c r="A110" t="inlineStr">
        <is>
          <t>A 34780-2022</t>
        </is>
      </c>
      <c r="B110" s="1" t="n">
        <v>44795</v>
      </c>
      <c r="C110" s="1" t="n">
        <v>46045</v>
      </c>
      <c r="D110" t="inlineStr">
        <is>
          <t>KALMAR LÄN</t>
        </is>
      </c>
      <c r="E110" t="inlineStr">
        <is>
          <t>BORGHOLM</t>
        </is>
      </c>
      <c r="F110" t="inlineStr">
        <is>
          <t>Sveaskog</t>
        </is>
      </c>
      <c r="G110" t="n">
        <v>6.7</v>
      </c>
      <c r="H110" t="n">
        <v>0</v>
      </c>
      <c r="I110" t="n">
        <v>0</v>
      </c>
      <c r="J110" t="n">
        <v>0</v>
      </c>
      <c r="K110" t="n">
        <v>0</v>
      </c>
      <c r="L110" t="n">
        <v>0</v>
      </c>
      <c r="M110" t="n">
        <v>0</v>
      </c>
      <c r="N110" t="n">
        <v>0</v>
      </c>
      <c r="O110" t="n">
        <v>0</v>
      </c>
      <c r="P110" t="n">
        <v>0</v>
      </c>
      <c r="Q110" t="n">
        <v>0</v>
      </c>
      <c r="R110" s="2" t="inlineStr"/>
    </row>
    <row r="111" ht="15" customHeight="1">
      <c r="A111" t="inlineStr">
        <is>
          <t>A 55367-2024</t>
        </is>
      </c>
      <c r="B111" s="1" t="n">
        <v>45621.87075231481</v>
      </c>
      <c r="C111" s="1" t="n">
        <v>46045</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46045</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9076-2025</t>
        </is>
      </c>
      <c r="B113" s="1" t="n">
        <v>45713.6596875</v>
      </c>
      <c r="C113" s="1" t="n">
        <v>46045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32919-2023</t>
        </is>
      </c>
      <c r="B114" s="1" t="n">
        <v>45125</v>
      </c>
      <c r="C114" s="1" t="n">
        <v>46045</v>
      </c>
      <c r="D114" t="inlineStr">
        <is>
          <t>KALMAR LÄN</t>
        </is>
      </c>
      <c r="E114" t="inlineStr">
        <is>
          <t>BORGHOLM</t>
        </is>
      </c>
      <c r="G114" t="n">
        <v>2.7</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46045</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4878-2021</t>
        </is>
      </c>
      <c r="B116" s="1" t="n">
        <v>44225</v>
      </c>
      <c r="C116" s="1" t="n">
        <v>46045</v>
      </c>
      <c r="D116" t="inlineStr">
        <is>
          <t>KALMAR LÄN</t>
        </is>
      </c>
      <c r="E116" t="inlineStr">
        <is>
          <t>BORGHOLM</t>
        </is>
      </c>
      <c r="G116" t="n">
        <v>3</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46045</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9034-2025</t>
        </is>
      </c>
      <c r="B118" s="1" t="n">
        <v>45713</v>
      </c>
      <c r="C118" s="1" t="n">
        <v>46045</v>
      </c>
      <c r="D118" t="inlineStr">
        <is>
          <t>KALMAR LÄN</t>
        </is>
      </c>
      <c r="E118" t="inlineStr">
        <is>
          <t>BORGHOLM</t>
        </is>
      </c>
      <c r="F118" t="inlineStr">
        <is>
          <t>Sveaskog</t>
        </is>
      </c>
      <c r="G118" t="n">
        <v>6.8</v>
      </c>
      <c r="H118" t="n">
        <v>0</v>
      </c>
      <c r="I118" t="n">
        <v>0</v>
      </c>
      <c r="J118" t="n">
        <v>0</v>
      </c>
      <c r="K118" t="n">
        <v>0</v>
      </c>
      <c r="L118" t="n">
        <v>0</v>
      </c>
      <c r="M118" t="n">
        <v>0</v>
      </c>
      <c r="N118" t="n">
        <v>0</v>
      </c>
      <c r="O118" t="n">
        <v>0</v>
      </c>
      <c r="P118" t="n">
        <v>0</v>
      </c>
      <c r="Q118" t="n">
        <v>0</v>
      </c>
      <c r="R118" s="2" t="inlineStr"/>
    </row>
    <row r="119" ht="15" customHeight="1">
      <c r="A119" t="inlineStr">
        <is>
          <t>A 5175-2024</t>
        </is>
      </c>
      <c r="B119" s="1" t="n">
        <v>45330</v>
      </c>
      <c r="C119" s="1" t="n">
        <v>46045</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46045</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19867-2024</t>
        </is>
      </c>
      <c r="B121" s="1" t="n">
        <v>45433</v>
      </c>
      <c r="C121" s="1" t="n">
        <v>46045</v>
      </c>
      <c r="D121" t="inlineStr">
        <is>
          <t>KALMAR LÄN</t>
        </is>
      </c>
      <c r="E121" t="inlineStr">
        <is>
          <t>BORGHOLM</t>
        </is>
      </c>
      <c r="G121" t="n">
        <v>3.9</v>
      </c>
      <c r="H121" t="n">
        <v>0</v>
      </c>
      <c r="I121" t="n">
        <v>0</v>
      </c>
      <c r="J121" t="n">
        <v>0</v>
      </c>
      <c r="K121" t="n">
        <v>0</v>
      </c>
      <c r="L121" t="n">
        <v>0</v>
      </c>
      <c r="M121" t="n">
        <v>0</v>
      </c>
      <c r="N121" t="n">
        <v>0</v>
      </c>
      <c r="O121" t="n">
        <v>0</v>
      </c>
      <c r="P121" t="n">
        <v>0</v>
      </c>
      <c r="Q121" t="n">
        <v>0</v>
      </c>
      <c r="R121" s="2" t="inlineStr"/>
    </row>
    <row r="122">
      <c r="A122" t="inlineStr">
        <is>
          <t>A 13383-2023</t>
        </is>
      </c>
      <c r="B122" s="1" t="n">
        <v>45005</v>
      </c>
      <c r="C122" s="1" t="n">
        <v>46045</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2026-01-23T10:58:51Z</dcterms:created>
  <dcterms:modified xmlns:dcterms="http://purl.org/dc/terms/" xmlns:xsi="http://www.w3.org/2001/XMLSchema-instance" xsi:type="dcterms:W3CDTF">2026-01-23T10:58:51Z</dcterms:modified>
</cp:coreProperties>
</file>