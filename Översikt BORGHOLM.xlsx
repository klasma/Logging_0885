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46070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46070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46070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46070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46070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46070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46070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46070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46070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46070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46070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46070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46070</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46070</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46070</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46070</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46070</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46070</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46070</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46070</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44008-2022</t>
        </is>
      </c>
      <c r="B22" s="1" t="n">
        <v>44838</v>
      </c>
      <c r="C22" s="1" t="n">
        <v>46070</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60140-2025</t>
        </is>
      </c>
      <c r="B23" s="1" t="n">
        <v>45994.36274305556</v>
      </c>
      <c r="C23" s="1" t="n">
        <v>46070</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34944-2022</t>
        </is>
      </c>
      <c r="B24" s="1" t="n">
        <v>44796</v>
      </c>
      <c r="C24" s="1" t="n">
        <v>46070</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32174-2022</t>
        </is>
      </c>
      <c r="B25" s="1" t="n">
        <v>44781</v>
      </c>
      <c r="C25" s="1" t="n">
        <v>46070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46070</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4164-2023</t>
        </is>
      </c>
      <c r="B27" s="1" t="n">
        <v>44953</v>
      </c>
      <c r="C27" s="1" t="n">
        <v>46070</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31790-2021</t>
        </is>
      </c>
      <c r="B28" s="1" t="n">
        <v>44370</v>
      </c>
      <c r="C28" s="1" t="n">
        <v>46070</v>
      </c>
      <c r="D28" t="inlineStr">
        <is>
          <t>KALMAR LÄN</t>
        </is>
      </c>
      <c r="E28" t="inlineStr">
        <is>
          <t>BORGHOLM</t>
        </is>
      </c>
      <c r="F28" t="inlineStr">
        <is>
          <t>Sveaskog</t>
        </is>
      </c>
      <c r="G28" t="n">
        <v>3.3</v>
      </c>
      <c r="H28" t="n">
        <v>1</v>
      </c>
      <c r="I28" t="n">
        <v>1</v>
      </c>
      <c r="J28" t="n">
        <v>0</v>
      </c>
      <c r="K28" t="n">
        <v>0</v>
      </c>
      <c r="L28" t="n">
        <v>0</v>
      </c>
      <c r="M28" t="n">
        <v>0</v>
      </c>
      <c r="N28" t="n">
        <v>0</v>
      </c>
      <c r="O28" t="n">
        <v>0</v>
      </c>
      <c r="P28" t="n">
        <v>0</v>
      </c>
      <c r="Q28" t="n">
        <v>1</v>
      </c>
      <c r="R28" s="2" t="inlineStr">
        <is>
          <t>Skogsknipprot</t>
        </is>
      </c>
      <c r="S28">
        <f>HYPERLINK("https://klasma.github.io/Logging_0885/artfynd/A 31790-2021 artfynd.xlsx", "A 31790-2021")</f>
        <v/>
      </c>
      <c r="T28">
        <f>HYPERLINK("https://klasma.github.io/Logging_0885/kartor/A 31790-2021 karta.png", "A 31790-2021")</f>
        <v/>
      </c>
      <c r="V28">
        <f>HYPERLINK("https://klasma.github.io/Logging_0885/klagomål/A 31790-2021 FSC-klagomål.docx", "A 31790-2021")</f>
        <v/>
      </c>
      <c r="W28">
        <f>HYPERLINK("https://klasma.github.io/Logging_0885/klagomålsmail/A 31790-2021 FSC-klagomål mail.docx", "A 31790-2021")</f>
        <v/>
      </c>
      <c r="X28">
        <f>HYPERLINK("https://klasma.github.io/Logging_0885/tillsyn/A 31790-2021 tillsynsbegäran.docx", "A 31790-2021")</f>
        <v/>
      </c>
      <c r="Y28">
        <f>HYPERLINK("https://klasma.github.io/Logging_0885/tillsynsmail/A 31790-2021 tillsynsbegäran mail.docx", "A 31790-2021")</f>
        <v/>
      </c>
    </row>
    <row r="29" ht="15" customHeight="1">
      <c r="A29" t="inlineStr">
        <is>
          <t>A 31295-2022</t>
        </is>
      </c>
      <c r="B29" s="1" t="n">
        <v>44772</v>
      </c>
      <c r="C29" s="1" t="n">
        <v>46070</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24701-2023</t>
        </is>
      </c>
      <c r="B30" s="1" t="n">
        <v>45084</v>
      </c>
      <c r="C30" s="1" t="n">
        <v>46070</v>
      </c>
      <c r="D30" t="inlineStr">
        <is>
          <t>KALMAR LÄN</t>
        </is>
      </c>
      <c r="E30" t="inlineStr">
        <is>
          <t>BORGHOLM</t>
        </is>
      </c>
      <c r="G30" t="n">
        <v>3</v>
      </c>
      <c r="H30" t="n">
        <v>0</v>
      </c>
      <c r="I30" t="n">
        <v>0</v>
      </c>
      <c r="J30" t="n">
        <v>0</v>
      </c>
      <c r="K30" t="n">
        <v>0</v>
      </c>
      <c r="L30" t="n">
        <v>1</v>
      </c>
      <c r="M30" t="n">
        <v>0</v>
      </c>
      <c r="N30" t="n">
        <v>0</v>
      </c>
      <c r="O30" t="n">
        <v>1</v>
      </c>
      <c r="P30" t="n">
        <v>1</v>
      </c>
      <c r="Q30" t="n">
        <v>1</v>
      </c>
      <c r="R30" s="2" t="inlineStr">
        <is>
          <t>Ask</t>
        </is>
      </c>
      <c r="S30">
        <f>HYPERLINK("https://klasma.github.io/Logging_0885/artfynd/A 24701-2023 artfynd.xlsx", "A 24701-2023")</f>
        <v/>
      </c>
      <c r="T30">
        <f>HYPERLINK("https://klasma.github.io/Logging_0885/kartor/A 24701-2023 karta.png", "A 24701-2023")</f>
        <v/>
      </c>
      <c r="V30">
        <f>HYPERLINK("https://klasma.github.io/Logging_0885/klagomål/A 24701-2023 FSC-klagomål.docx", "A 24701-2023")</f>
        <v/>
      </c>
      <c r="W30">
        <f>HYPERLINK("https://klasma.github.io/Logging_0885/klagomålsmail/A 24701-2023 FSC-klagomål mail.docx", "A 24701-2023")</f>
        <v/>
      </c>
      <c r="X30">
        <f>HYPERLINK("https://klasma.github.io/Logging_0885/tillsyn/A 24701-2023 tillsynsbegäran.docx", "A 24701-2023")</f>
        <v/>
      </c>
      <c r="Y30">
        <f>HYPERLINK("https://klasma.github.io/Logging_0885/tillsynsmail/A 24701-2023 tillsynsbegäran mail.docx", "A 24701-2023")</f>
        <v/>
      </c>
    </row>
    <row r="31" ht="15" customHeight="1">
      <c r="A31" t="inlineStr">
        <is>
          <t>A 13558-2025</t>
        </is>
      </c>
      <c r="B31" s="1" t="n">
        <v>45736.54974537037</v>
      </c>
      <c r="C31" s="1" t="n">
        <v>46070</v>
      </c>
      <c r="D31" t="inlineStr">
        <is>
          <t>KALMAR LÄN</t>
        </is>
      </c>
      <c r="E31" t="inlineStr">
        <is>
          <t>BORGHOLM</t>
        </is>
      </c>
      <c r="G31" t="n">
        <v>0.7</v>
      </c>
      <c r="H31" t="n">
        <v>0</v>
      </c>
      <c r="I31" t="n">
        <v>0</v>
      </c>
      <c r="J31" t="n">
        <v>1</v>
      </c>
      <c r="K31" t="n">
        <v>0</v>
      </c>
      <c r="L31" t="n">
        <v>0</v>
      </c>
      <c r="M31" t="n">
        <v>0</v>
      </c>
      <c r="N31" t="n">
        <v>0</v>
      </c>
      <c r="O31" t="n">
        <v>1</v>
      </c>
      <c r="P31" t="n">
        <v>0</v>
      </c>
      <c r="Q31" t="n">
        <v>1</v>
      </c>
      <c r="R31" s="2" t="inlineStr">
        <is>
          <t>Backruta</t>
        </is>
      </c>
      <c r="S31">
        <f>HYPERLINK("https://klasma.github.io/Logging_0885/artfynd/A 13558-2025 artfynd.xlsx", "A 13558-2025")</f>
        <v/>
      </c>
      <c r="T31">
        <f>HYPERLINK("https://klasma.github.io/Logging_0885/kartor/A 13558-2025 karta.png", "A 13558-2025")</f>
        <v/>
      </c>
      <c r="V31">
        <f>HYPERLINK("https://klasma.github.io/Logging_0885/klagomål/A 13558-2025 FSC-klagomål.docx", "A 13558-2025")</f>
        <v/>
      </c>
      <c r="W31">
        <f>HYPERLINK("https://klasma.github.io/Logging_0885/klagomålsmail/A 13558-2025 FSC-klagomål mail.docx", "A 13558-2025")</f>
        <v/>
      </c>
      <c r="X31">
        <f>HYPERLINK("https://klasma.github.io/Logging_0885/tillsyn/A 13558-2025 tillsynsbegäran.docx", "A 13558-2025")</f>
        <v/>
      </c>
      <c r="Y31">
        <f>HYPERLINK("https://klasma.github.io/Logging_0885/tillsynsmail/A 13558-2025 tillsynsbegäran mail.docx", "A 13558-2025")</f>
        <v/>
      </c>
    </row>
    <row r="32" ht="15" customHeight="1">
      <c r="A32" t="inlineStr">
        <is>
          <t>A 24048-2025</t>
        </is>
      </c>
      <c r="B32" s="1" t="n">
        <v>45796.4959375</v>
      </c>
      <c r="C32" s="1" t="n">
        <v>46070</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41640-2023</t>
        </is>
      </c>
      <c r="B33" s="1" t="n">
        <v>45175</v>
      </c>
      <c r="C33" s="1" t="n">
        <v>46070</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28785-2025</t>
        </is>
      </c>
      <c r="B34" s="1" t="n">
        <v>45820.46159722222</v>
      </c>
      <c r="C34" s="1" t="n">
        <v>46070</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46070</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34885-2025</t>
        </is>
      </c>
      <c r="B36" s="1" t="n">
        <v>45849.47128472223</v>
      </c>
      <c r="C36" s="1" t="n">
        <v>46070</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45693-2025</t>
        </is>
      </c>
      <c r="B37" s="1" t="n">
        <v>45923</v>
      </c>
      <c r="C37" s="1" t="n">
        <v>46070</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24704-2023</t>
        </is>
      </c>
      <c r="B38" s="1" t="n">
        <v>45084</v>
      </c>
      <c r="C38" s="1" t="n">
        <v>46070</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3302-2026</t>
        </is>
      </c>
      <c r="B39" s="1" t="n">
        <v>46041</v>
      </c>
      <c r="C39" s="1" t="n">
        <v>46070</v>
      </c>
      <c r="D39" t="inlineStr">
        <is>
          <t>KALMAR LÄN</t>
        </is>
      </c>
      <c r="E39" t="inlineStr">
        <is>
          <t>BORGHOLM</t>
        </is>
      </c>
      <c r="G39" t="n">
        <v>3.9</v>
      </c>
      <c r="H39" t="n">
        <v>1</v>
      </c>
      <c r="I39" t="n">
        <v>0</v>
      </c>
      <c r="J39" t="n">
        <v>0</v>
      </c>
      <c r="K39" t="n">
        <v>0</v>
      </c>
      <c r="L39" t="n">
        <v>0</v>
      </c>
      <c r="M39" t="n">
        <v>0</v>
      </c>
      <c r="N39" t="n">
        <v>0</v>
      </c>
      <c r="O39" t="n">
        <v>0</v>
      </c>
      <c r="P39" t="n">
        <v>0</v>
      </c>
      <c r="Q39" t="n">
        <v>1</v>
      </c>
      <c r="R39" s="2" t="inlineStr">
        <is>
          <t>Blåsippa</t>
        </is>
      </c>
      <c r="S39">
        <f>HYPERLINK("https://klasma.github.io/Logging_0885/artfynd/A 3302-2026 artfynd.xlsx", "A 3302-2026")</f>
        <v/>
      </c>
      <c r="T39">
        <f>HYPERLINK("https://klasma.github.io/Logging_0885/kartor/A 3302-2026 karta.png", "A 3302-2026")</f>
        <v/>
      </c>
      <c r="V39">
        <f>HYPERLINK("https://klasma.github.io/Logging_0885/klagomål/A 3302-2026 FSC-klagomål.docx", "A 3302-2026")</f>
        <v/>
      </c>
      <c r="W39">
        <f>HYPERLINK("https://klasma.github.io/Logging_0885/klagomålsmail/A 3302-2026 FSC-klagomål mail.docx", "A 3302-2026")</f>
        <v/>
      </c>
      <c r="X39">
        <f>HYPERLINK("https://klasma.github.io/Logging_0885/tillsyn/A 3302-2026 tillsynsbegäran.docx", "A 3302-2026")</f>
        <v/>
      </c>
      <c r="Y39">
        <f>HYPERLINK("https://klasma.github.io/Logging_0885/tillsynsmail/A 3302-2026 tillsynsbegäran mail.docx", "A 3302-2026")</f>
        <v/>
      </c>
    </row>
    <row r="40" ht="15" customHeight="1">
      <c r="A40" t="inlineStr">
        <is>
          <t>A 9745-2023</t>
        </is>
      </c>
      <c r="B40" s="1" t="n">
        <v>44984</v>
      </c>
      <c r="C40" s="1" t="n">
        <v>46070</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43603-2024</t>
        </is>
      </c>
      <c r="B41" s="1" t="n">
        <v>45569.44700231482</v>
      </c>
      <c r="C41" s="1" t="n">
        <v>46070</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14789-2021</t>
        </is>
      </c>
      <c r="B42" s="1" t="n">
        <v>44280</v>
      </c>
      <c r="C42" s="1" t="n">
        <v>46070</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12785-2021</t>
        </is>
      </c>
      <c r="B43" s="1" t="n">
        <v>44270</v>
      </c>
      <c r="C43" s="1" t="n">
        <v>46070</v>
      </c>
      <c r="D43" t="inlineStr">
        <is>
          <t>KALMAR LÄN</t>
        </is>
      </c>
      <c r="E43" t="inlineStr">
        <is>
          <t>BORGHOLM</t>
        </is>
      </c>
      <c r="G43" t="n">
        <v>1.2</v>
      </c>
      <c r="H43" t="n">
        <v>0</v>
      </c>
      <c r="I43" t="n">
        <v>0</v>
      </c>
      <c r="J43" t="n">
        <v>0</v>
      </c>
      <c r="K43" t="n">
        <v>0</v>
      </c>
      <c r="L43" t="n">
        <v>1</v>
      </c>
      <c r="M43" t="n">
        <v>0</v>
      </c>
      <c r="N43" t="n">
        <v>0</v>
      </c>
      <c r="O43" t="n">
        <v>1</v>
      </c>
      <c r="P43" t="n">
        <v>1</v>
      </c>
      <c r="Q43" t="n">
        <v>1</v>
      </c>
      <c r="R43" s="2" t="inlineStr">
        <is>
          <t>Ask</t>
        </is>
      </c>
      <c r="S43">
        <f>HYPERLINK("https://klasma.github.io/Logging_0885/artfynd/A 12785-2021 artfynd.xlsx", "A 12785-2021")</f>
        <v/>
      </c>
      <c r="T43">
        <f>HYPERLINK("https://klasma.github.io/Logging_0885/kartor/A 12785-2021 karta.png", "A 12785-2021")</f>
        <v/>
      </c>
      <c r="V43">
        <f>HYPERLINK("https://klasma.github.io/Logging_0885/klagomål/A 12785-2021 FSC-klagomål.docx", "A 12785-2021")</f>
        <v/>
      </c>
      <c r="W43">
        <f>HYPERLINK("https://klasma.github.io/Logging_0885/klagomålsmail/A 12785-2021 FSC-klagomål mail.docx", "A 12785-2021")</f>
        <v/>
      </c>
      <c r="X43">
        <f>HYPERLINK("https://klasma.github.io/Logging_0885/tillsyn/A 12785-2021 tillsynsbegäran.docx", "A 12785-2021")</f>
        <v/>
      </c>
      <c r="Y43">
        <f>HYPERLINK("https://klasma.github.io/Logging_0885/tillsynsmail/A 12785-2021 tillsynsbegäran mail.docx", "A 12785-2021")</f>
        <v/>
      </c>
    </row>
    <row r="44" ht="15" customHeight="1">
      <c r="A44" t="inlineStr">
        <is>
          <t>A 12711-2021</t>
        </is>
      </c>
      <c r="B44" s="1" t="n">
        <v>44270</v>
      </c>
      <c r="C44" s="1" t="n">
        <v>46070</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42761-2021</t>
        </is>
      </c>
      <c r="B45" s="1" t="n">
        <v>44428</v>
      </c>
      <c r="C45" s="1" t="n">
        <v>46070</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13325-2021</t>
        </is>
      </c>
      <c r="B46" s="1" t="n">
        <v>44273</v>
      </c>
      <c r="C46" s="1" t="n">
        <v>46070</v>
      </c>
      <c r="D46" t="inlineStr">
        <is>
          <t>KALMAR LÄN</t>
        </is>
      </c>
      <c r="E46" t="inlineStr">
        <is>
          <t>BORGHOLM</t>
        </is>
      </c>
      <c r="G46" t="n">
        <v>0.7</v>
      </c>
      <c r="H46" t="n">
        <v>0</v>
      </c>
      <c r="I46" t="n">
        <v>0</v>
      </c>
      <c r="J46" t="n">
        <v>0</v>
      </c>
      <c r="K46" t="n">
        <v>0</v>
      </c>
      <c r="L46" t="n">
        <v>0</v>
      </c>
      <c r="M46" t="n">
        <v>0</v>
      </c>
      <c r="N46" t="n">
        <v>0</v>
      </c>
      <c r="O46" t="n">
        <v>0</v>
      </c>
      <c r="P46" t="n">
        <v>0</v>
      </c>
      <c r="Q46" t="n">
        <v>0</v>
      </c>
      <c r="R46" s="2" t="inlineStr"/>
    </row>
    <row r="47" ht="15" customHeight="1">
      <c r="A47" t="inlineStr">
        <is>
          <t>A 32665-2022</t>
        </is>
      </c>
      <c r="B47" s="1" t="n">
        <v>44783</v>
      </c>
      <c r="C47" s="1" t="n">
        <v>46070</v>
      </c>
      <c r="D47" t="inlineStr">
        <is>
          <t>KALMAR LÄN</t>
        </is>
      </c>
      <c r="E47" t="inlineStr">
        <is>
          <t>BORGHOLM</t>
        </is>
      </c>
      <c r="F47" t="inlineStr">
        <is>
          <t>Sveaskog</t>
        </is>
      </c>
      <c r="G47" t="n">
        <v>4.2</v>
      </c>
      <c r="H47" t="n">
        <v>0</v>
      </c>
      <c r="I47" t="n">
        <v>0</v>
      </c>
      <c r="J47" t="n">
        <v>0</v>
      </c>
      <c r="K47" t="n">
        <v>0</v>
      </c>
      <c r="L47" t="n">
        <v>0</v>
      </c>
      <c r="M47" t="n">
        <v>0</v>
      </c>
      <c r="N47" t="n">
        <v>0</v>
      </c>
      <c r="O47" t="n">
        <v>0</v>
      </c>
      <c r="P47" t="n">
        <v>0</v>
      </c>
      <c r="Q47" t="n">
        <v>0</v>
      </c>
      <c r="R47" s="2" t="inlineStr"/>
    </row>
    <row r="48" ht="15" customHeight="1">
      <c r="A48" t="inlineStr">
        <is>
          <t>A 10348-2022</t>
        </is>
      </c>
      <c r="B48" s="1" t="n">
        <v>44623</v>
      </c>
      <c r="C48" s="1" t="n">
        <v>46070</v>
      </c>
      <c r="D48" t="inlineStr">
        <is>
          <t>KALMAR LÄN</t>
        </is>
      </c>
      <c r="E48" t="inlineStr">
        <is>
          <t>BORGHOLM</t>
        </is>
      </c>
      <c r="G48" t="n">
        <v>0.4</v>
      </c>
      <c r="H48" t="n">
        <v>0</v>
      </c>
      <c r="I48" t="n">
        <v>0</v>
      </c>
      <c r="J48" t="n">
        <v>0</v>
      </c>
      <c r="K48" t="n">
        <v>0</v>
      </c>
      <c r="L48" t="n">
        <v>0</v>
      </c>
      <c r="M48" t="n">
        <v>0</v>
      </c>
      <c r="N48" t="n">
        <v>0</v>
      </c>
      <c r="O48" t="n">
        <v>0</v>
      </c>
      <c r="P48" t="n">
        <v>0</v>
      </c>
      <c r="Q48" t="n">
        <v>0</v>
      </c>
      <c r="R48" s="2" t="inlineStr"/>
    </row>
    <row r="49" ht="15" customHeight="1">
      <c r="A49" t="inlineStr">
        <is>
          <t>A 28345-2022</t>
        </is>
      </c>
      <c r="B49" s="1" t="n">
        <v>44747</v>
      </c>
      <c r="C49" s="1" t="n">
        <v>46070</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44681-2022</t>
        </is>
      </c>
      <c r="B50" s="1" t="n">
        <v>44840</v>
      </c>
      <c r="C50" s="1" t="n">
        <v>46070</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32608-2022</t>
        </is>
      </c>
      <c r="B51" s="1" t="n">
        <v>44783</v>
      </c>
      <c r="C51" s="1" t="n">
        <v>46070</v>
      </c>
      <c r="D51" t="inlineStr">
        <is>
          <t>KALMAR LÄN</t>
        </is>
      </c>
      <c r="E51" t="inlineStr">
        <is>
          <t>BORGHOLM</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61828-2021</t>
        </is>
      </c>
      <c r="B52" s="1" t="n">
        <v>44501</v>
      </c>
      <c r="C52" s="1" t="n">
        <v>46070</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56188-2021</t>
        </is>
      </c>
      <c r="B53" s="1" t="n">
        <v>44477.83525462963</v>
      </c>
      <c r="C53" s="1" t="n">
        <v>46070</v>
      </c>
      <c r="D53" t="inlineStr">
        <is>
          <t>KALMAR LÄN</t>
        </is>
      </c>
      <c r="E53" t="inlineStr">
        <is>
          <t>BORGHOLM</t>
        </is>
      </c>
      <c r="G53" t="n">
        <v>1.8</v>
      </c>
      <c r="H53" t="n">
        <v>0</v>
      </c>
      <c r="I53" t="n">
        <v>0</v>
      </c>
      <c r="J53" t="n">
        <v>0</v>
      </c>
      <c r="K53" t="n">
        <v>0</v>
      </c>
      <c r="L53" t="n">
        <v>0</v>
      </c>
      <c r="M53" t="n">
        <v>0</v>
      </c>
      <c r="N53" t="n">
        <v>0</v>
      </c>
      <c r="O53" t="n">
        <v>0</v>
      </c>
      <c r="P53" t="n">
        <v>0</v>
      </c>
      <c r="Q53" t="n">
        <v>0</v>
      </c>
      <c r="R53" s="2" t="inlineStr"/>
    </row>
    <row r="54" ht="15" customHeight="1">
      <c r="A54" t="inlineStr">
        <is>
          <t>A 56983-2021</t>
        </is>
      </c>
      <c r="B54" s="1" t="n">
        <v>44482</v>
      </c>
      <c r="C54" s="1" t="n">
        <v>46070</v>
      </c>
      <c r="D54" t="inlineStr">
        <is>
          <t>KALMAR LÄN</t>
        </is>
      </c>
      <c r="E54" t="inlineStr">
        <is>
          <t>BORGHOLM</t>
        </is>
      </c>
      <c r="G54" t="n">
        <v>1.2</v>
      </c>
      <c r="H54" t="n">
        <v>0</v>
      </c>
      <c r="I54" t="n">
        <v>0</v>
      </c>
      <c r="J54" t="n">
        <v>0</v>
      </c>
      <c r="K54" t="n">
        <v>0</v>
      </c>
      <c r="L54" t="n">
        <v>0</v>
      </c>
      <c r="M54" t="n">
        <v>0</v>
      </c>
      <c r="N54" t="n">
        <v>0</v>
      </c>
      <c r="O54" t="n">
        <v>0</v>
      </c>
      <c r="P54" t="n">
        <v>0</v>
      </c>
      <c r="Q54" t="n">
        <v>0</v>
      </c>
      <c r="R54" s="2" t="inlineStr"/>
    </row>
    <row r="55" ht="15" customHeight="1">
      <c r="A55" t="inlineStr">
        <is>
          <t>A 27437-2022</t>
        </is>
      </c>
      <c r="B55" s="1" t="n">
        <v>44742.55567129629</v>
      </c>
      <c r="C55" s="1" t="n">
        <v>46070</v>
      </c>
      <c r="D55" t="inlineStr">
        <is>
          <t>KALMAR LÄN</t>
        </is>
      </c>
      <c r="E55" t="inlineStr">
        <is>
          <t>BORGHOLM</t>
        </is>
      </c>
      <c r="G55" t="n">
        <v>0.6</v>
      </c>
      <c r="H55" t="n">
        <v>0</v>
      </c>
      <c r="I55" t="n">
        <v>0</v>
      </c>
      <c r="J55" t="n">
        <v>0</v>
      </c>
      <c r="K55" t="n">
        <v>0</v>
      </c>
      <c r="L55" t="n">
        <v>0</v>
      </c>
      <c r="M55" t="n">
        <v>0</v>
      </c>
      <c r="N55" t="n">
        <v>0</v>
      </c>
      <c r="O55" t="n">
        <v>0</v>
      </c>
      <c r="P55" t="n">
        <v>0</v>
      </c>
      <c r="Q55" t="n">
        <v>0</v>
      </c>
      <c r="R55" s="2" t="inlineStr"/>
    </row>
    <row r="56" ht="15" customHeight="1">
      <c r="A56" t="inlineStr">
        <is>
          <t>A 62631-2021</t>
        </is>
      </c>
      <c r="B56" s="1" t="n">
        <v>44503</v>
      </c>
      <c r="C56" s="1" t="n">
        <v>46070</v>
      </c>
      <c r="D56" t="inlineStr">
        <is>
          <t>KALMAR LÄN</t>
        </is>
      </c>
      <c r="E56" t="inlineStr">
        <is>
          <t>BORGHOLM</t>
        </is>
      </c>
      <c r="G56" t="n">
        <v>1</v>
      </c>
      <c r="H56" t="n">
        <v>0</v>
      </c>
      <c r="I56" t="n">
        <v>0</v>
      </c>
      <c r="J56" t="n">
        <v>0</v>
      </c>
      <c r="K56" t="n">
        <v>0</v>
      </c>
      <c r="L56" t="n">
        <v>0</v>
      </c>
      <c r="M56" t="n">
        <v>0</v>
      </c>
      <c r="N56" t="n">
        <v>0</v>
      </c>
      <c r="O56" t="n">
        <v>0</v>
      </c>
      <c r="P56" t="n">
        <v>0</v>
      </c>
      <c r="Q56" t="n">
        <v>0</v>
      </c>
      <c r="R56" s="2" t="inlineStr"/>
    </row>
    <row r="57" ht="15" customHeight="1">
      <c r="A57" t="inlineStr">
        <is>
          <t>A 32180-2022</t>
        </is>
      </c>
      <c r="B57" s="1" t="n">
        <v>44781</v>
      </c>
      <c r="C57" s="1" t="n">
        <v>46070</v>
      </c>
      <c r="D57" t="inlineStr">
        <is>
          <t>KALMAR LÄN</t>
        </is>
      </c>
      <c r="E57" t="inlineStr">
        <is>
          <t>BORGHOLM</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42785-2021</t>
        </is>
      </c>
      <c r="B58" s="1" t="n">
        <v>44428</v>
      </c>
      <c r="C58" s="1" t="n">
        <v>46070</v>
      </c>
      <c r="D58" t="inlineStr">
        <is>
          <t>KALMAR LÄN</t>
        </is>
      </c>
      <c r="E58" t="inlineStr">
        <is>
          <t>BORGHOLM</t>
        </is>
      </c>
      <c r="G58" t="n">
        <v>2.8</v>
      </c>
      <c r="H58" t="n">
        <v>0</v>
      </c>
      <c r="I58" t="n">
        <v>0</v>
      </c>
      <c r="J58" t="n">
        <v>0</v>
      </c>
      <c r="K58" t="n">
        <v>0</v>
      </c>
      <c r="L58" t="n">
        <v>0</v>
      </c>
      <c r="M58" t="n">
        <v>0</v>
      </c>
      <c r="N58" t="n">
        <v>0</v>
      </c>
      <c r="O58" t="n">
        <v>0</v>
      </c>
      <c r="P58" t="n">
        <v>0</v>
      </c>
      <c r="Q58" t="n">
        <v>0</v>
      </c>
      <c r="R58" s="2" t="inlineStr"/>
    </row>
    <row r="59" ht="15" customHeight="1">
      <c r="A59" t="inlineStr">
        <is>
          <t>A 3878-2023</t>
        </is>
      </c>
      <c r="B59" s="1" t="n">
        <v>44951</v>
      </c>
      <c r="C59" s="1" t="n">
        <v>46070</v>
      </c>
      <c r="D59" t="inlineStr">
        <is>
          <t>KALMAR LÄN</t>
        </is>
      </c>
      <c r="E59" t="inlineStr">
        <is>
          <t>BORGHOLM</t>
        </is>
      </c>
      <c r="G59" t="n">
        <v>1.7</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46070</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9034-2025</t>
        </is>
      </c>
      <c r="B61" s="1" t="n">
        <v>45713</v>
      </c>
      <c r="C61" s="1" t="n">
        <v>46070</v>
      </c>
      <c r="D61" t="inlineStr">
        <is>
          <t>KALMAR LÄN</t>
        </is>
      </c>
      <c r="E61" t="inlineStr">
        <is>
          <t>BORGHOLM</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13548-2025</t>
        </is>
      </c>
      <c r="B62" s="1" t="n">
        <v>45736.53827546296</v>
      </c>
      <c r="C62" s="1" t="n">
        <v>46070</v>
      </c>
      <c r="D62" t="inlineStr">
        <is>
          <t>KALMAR LÄN</t>
        </is>
      </c>
      <c r="E62" t="inlineStr">
        <is>
          <t>BORGHOLM</t>
        </is>
      </c>
      <c r="G62" t="n">
        <v>1</v>
      </c>
      <c r="H62" t="n">
        <v>0</v>
      </c>
      <c r="I62" t="n">
        <v>0</v>
      </c>
      <c r="J62" t="n">
        <v>0</v>
      </c>
      <c r="K62" t="n">
        <v>0</v>
      </c>
      <c r="L62" t="n">
        <v>0</v>
      </c>
      <c r="M62" t="n">
        <v>0</v>
      </c>
      <c r="N62" t="n">
        <v>0</v>
      </c>
      <c r="O62" t="n">
        <v>0</v>
      </c>
      <c r="P62" t="n">
        <v>0</v>
      </c>
      <c r="Q62" t="n">
        <v>0</v>
      </c>
      <c r="R62" s="2" t="inlineStr"/>
    </row>
    <row r="63" ht="15" customHeight="1">
      <c r="A63" t="inlineStr">
        <is>
          <t>A 22785-2025</t>
        </is>
      </c>
      <c r="B63" s="1" t="n">
        <v>45789.64186342592</v>
      </c>
      <c r="C63" s="1" t="n">
        <v>46070</v>
      </c>
      <c r="D63" t="inlineStr">
        <is>
          <t>KALMAR LÄN</t>
        </is>
      </c>
      <c r="E63" t="inlineStr">
        <is>
          <t>BORGHOLM</t>
        </is>
      </c>
      <c r="G63" t="n">
        <v>0.6</v>
      </c>
      <c r="H63" t="n">
        <v>0</v>
      </c>
      <c r="I63" t="n">
        <v>0</v>
      </c>
      <c r="J63" t="n">
        <v>0</v>
      </c>
      <c r="K63" t="n">
        <v>0</v>
      </c>
      <c r="L63" t="n">
        <v>0</v>
      </c>
      <c r="M63" t="n">
        <v>0</v>
      </c>
      <c r="N63" t="n">
        <v>0</v>
      </c>
      <c r="O63" t="n">
        <v>0</v>
      </c>
      <c r="P63" t="n">
        <v>0</v>
      </c>
      <c r="Q63" t="n">
        <v>0</v>
      </c>
      <c r="R63" s="2" t="inlineStr"/>
    </row>
    <row r="64" ht="15" customHeight="1">
      <c r="A64" t="inlineStr">
        <is>
          <t>A 12534-2022</t>
        </is>
      </c>
      <c r="B64" s="1" t="n">
        <v>44638</v>
      </c>
      <c r="C64" s="1" t="n">
        <v>46070</v>
      </c>
      <c r="D64" t="inlineStr">
        <is>
          <t>KALMAR LÄN</t>
        </is>
      </c>
      <c r="E64" t="inlineStr">
        <is>
          <t>BORGHOLM</t>
        </is>
      </c>
      <c r="G64" t="n">
        <v>8.6</v>
      </c>
      <c r="H64" t="n">
        <v>0</v>
      </c>
      <c r="I64" t="n">
        <v>0</v>
      </c>
      <c r="J64" t="n">
        <v>0</v>
      </c>
      <c r="K64" t="n">
        <v>0</v>
      </c>
      <c r="L64" t="n">
        <v>0</v>
      </c>
      <c r="M64" t="n">
        <v>0</v>
      </c>
      <c r="N64" t="n">
        <v>0</v>
      </c>
      <c r="O64" t="n">
        <v>0</v>
      </c>
      <c r="P64" t="n">
        <v>0</v>
      </c>
      <c r="Q64" t="n">
        <v>0</v>
      </c>
      <c r="R64" s="2" t="inlineStr"/>
    </row>
    <row r="65" ht="15" customHeight="1">
      <c r="A65" t="inlineStr">
        <is>
          <t>A 40339-2023</t>
        </is>
      </c>
      <c r="B65" s="1" t="n">
        <v>45169.62733796296</v>
      </c>
      <c r="C65" s="1" t="n">
        <v>46070</v>
      </c>
      <c r="D65" t="inlineStr">
        <is>
          <t>KALMAR LÄN</t>
        </is>
      </c>
      <c r="E65" t="inlineStr">
        <is>
          <t>BORGHOLM</t>
        </is>
      </c>
      <c r="G65" t="n">
        <v>3.8</v>
      </c>
      <c r="H65" t="n">
        <v>0</v>
      </c>
      <c r="I65" t="n">
        <v>0</v>
      </c>
      <c r="J65" t="n">
        <v>0</v>
      </c>
      <c r="K65" t="n">
        <v>0</v>
      </c>
      <c r="L65" t="n">
        <v>0</v>
      </c>
      <c r="M65" t="n">
        <v>0</v>
      </c>
      <c r="N65" t="n">
        <v>0</v>
      </c>
      <c r="O65" t="n">
        <v>0</v>
      </c>
      <c r="P65" t="n">
        <v>0</v>
      </c>
      <c r="Q65" t="n">
        <v>0</v>
      </c>
      <c r="R65" s="2" t="inlineStr"/>
    </row>
    <row r="66" ht="15" customHeight="1">
      <c r="A66" t="inlineStr">
        <is>
          <t>A 61723-2025</t>
        </is>
      </c>
      <c r="B66" s="1" t="n">
        <v>46002.58388888889</v>
      </c>
      <c r="C66" s="1" t="n">
        <v>46070</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24166-2022</t>
        </is>
      </c>
      <c r="B67" s="1" t="n">
        <v>44725</v>
      </c>
      <c r="C67" s="1" t="n">
        <v>46070</v>
      </c>
      <c r="D67" t="inlineStr">
        <is>
          <t>KALMAR LÄN</t>
        </is>
      </c>
      <c r="E67" t="inlineStr">
        <is>
          <t>BORGHOLM</t>
        </is>
      </c>
      <c r="G67" t="n">
        <v>10.7</v>
      </c>
      <c r="H67" t="n">
        <v>0</v>
      </c>
      <c r="I67" t="n">
        <v>0</v>
      </c>
      <c r="J67" t="n">
        <v>0</v>
      </c>
      <c r="K67" t="n">
        <v>0</v>
      </c>
      <c r="L67" t="n">
        <v>0</v>
      </c>
      <c r="M67" t="n">
        <v>0</v>
      </c>
      <c r="N67" t="n">
        <v>0</v>
      </c>
      <c r="O67" t="n">
        <v>0</v>
      </c>
      <c r="P67" t="n">
        <v>0</v>
      </c>
      <c r="Q67" t="n">
        <v>0</v>
      </c>
      <c r="R67" s="2" t="inlineStr"/>
    </row>
    <row r="68" ht="15" customHeight="1">
      <c r="A68" t="inlineStr">
        <is>
          <t>A 64303-2023</t>
        </is>
      </c>
      <c r="B68" s="1" t="n">
        <v>45280</v>
      </c>
      <c r="C68" s="1" t="n">
        <v>46070</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26190-2025</t>
        </is>
      </c>
      <c r="B69" s="1" t="n">
        <v>45805.48349537037</v>
      </c>
      <c r="C69" s="1" t="n">
        <v>46070</v>
      </c>
      <c r="D69" t="inlineStr">
        <is>
          <t>KALMAR LÄN</t>
        </is>
      </c>
      <c r="E69" t="inlineStr">
        <is>
          <t>BORGHOLM</t>
        </is>
      </c>
      <c r="G69" t="n">
        <v>3.2</v>
      </c>
      <c r="H69" t="n">
        <v>0</v>
      </c>
      <c r="I69" t="n">
        <v>0</v>
      </c>
      <c r="J69" t="n">
        <v>0</v>
      </c>
      <c r="K69" t="n">
        <v>0</v>
      </c>
      <c r="L69" t="n">
        <v>0</v>
      </c>
      <c r="M69" t="n">
        <v>0</v>
      </c>
      <c r="N69" t="n">
        <v>0</v>
      </c>
      <c r="O69" t="n">
        <v>0</v>
      </c>
      <c r="P69" t="n">
        <v>0</v>
      </c>
      <c r="Q69" t="n">
        <v>0</v>
      </c>
      <c r="R69" s="2" t="inlineStr"/>
    </row>
    <row r="70" ht="15" customHeight="1">
      <c r="A70" t="inlineStr">
        <is>
          <t>A 26160-2025</t>
        </is>
      </c>
      <c r="B70" s="1" t="n">
        <v>45805.4490162037</v>
      </c>
      <c r="C70" s="1" t="n">
        <v>46070</v>
      </c>
      <c r="D70" t="inlineStr">
        <is>
          <t>KALMAR LÄN</t>
        </is>
      </c>
      <c r="E70" t="inlineStr">
        <is>
          <t>BORGHOLM</t>
        </is>
      </c>
      <c r="G70" t="n">
        <v>3.7</v>
      </c>
      <c r="H70" t="n">
        <v>0</v>
      </c>
      <c r="I70" t="n">
        <v>0</v>
      </c>
      <c r="J70" t="n">
        <v>0</v>
      </c>
      <c r="K70" t="n">
        <v>0</v>
      </c>
      <c r="L70" t="n">
        <v>0</v>
      </c>
      <c r="M70" t="n">
        <v>0</v>
      </c>
      <c r="N70" t="n">
        <v>0</v>
      </c>
      <c r="O70" t="n">
        <v>0</v>
      </c>
      <c r="P70" t="n">
        <v>0</v>
      </c>
      <c r="Q70" t="n">
        <v>0</v>
      </c>
      <c r="R70" s="2" t="inlineStr"/>
    </row>
    <row r="71" ht="15" customHeight="1">
      <c r="A71" t="inlineStr">
        <is>
          <t>A 21908-2022</t>
        </is>
      </c>
      <c r="B71" s="1" t="n">
        <v>44711</v>
      </c>
      <c r="C71" s="1" t="n">
        <v>46070</v>
      </c>
      <c r="D71" t="inlineStr">
        <is>
          <t>KALMAR LÄN</t>
        </is>
      </c>
      <c r="E71" t="inlineStr">
        <is>
          <t>BORGHOLM</t>
        </is>
      </c>
      <c r="G71" t="n">
        <v>4.7</v>
      </c>
      <c r="H71" t="n">
        <v>0</v>
      </c>
      <c r="I71" t="n">
        <v>0</v>
      </c>
      <c r="J71" t="n">
        <v>0</v>
      </c>
      <c r="K71" t="n">
        <v>0</v>
      </c>
      <c r="L71" t="n">
        <v>0</v>
      </c>
      <c r="M71" t="n">
        <v>0</v>
      </c>
      <c r="N71" t="n">
        <v>0</v>
      </c>
      <c r="O71" t="n">
        <v>0</v>
      </c>
      <c r="P71" t="n">
        <v>0</v>
      </c>
      <c r="Q71" t="n">
        <v>0</v>
      </c>
      <c r="R71" s="2" t="inlineStr"/>
    </row>
    <row r="72" ht="15" customHeight="1">
      <c r="A72" t="inlineStr">
        <is>
          <t>A 27357-2025</t>
        </is>
      </c>
      <c r="B72" s="1" t="n">
        <v>45812.63650462963</v>
      </c>
      <c r="C72" s="1" t="n">
        <v>46070</v>
      </c>
      <c r="D72" t="inlineStr">
        <is>
          <t>KALMAR LÄN</t>
        </is>
      </c>
      <c r="E72" t="inlineStr">
        <is>
          <t>BORGHOLM</t>
        </is>
      </c>
      <c r="F72" t="inlineStr">
        <is>
          <t>Sveaskog</t>
        </is>
      </c>
      <c r="G72" t="n">
        <v>4.5</v>
      </c>
      <c r="H72" t="n">
        <v>0</v>
      </c>
      <c r="I72" t="n">
        <v>0</v>
      </c>
      <c r="J72" t="n">
        <v>0</v>
      </c>
      <c r="K72" t="n">
        <v>0</v>
      </c>
      <c r="L72" t="n">
        <v>0</v>
      </c>
      <c r="M72" t="n">
        <v>0</v>
      </c>
      <c r="N72" t="n">
        <v>0</v>
      </c>
      <c r="O72" t="n">
        <v>0</v>
      </c>
      <c r="P72" t="n">
        <v>0</v>
      </c>
      <c r="Q72" t="n">
        <v>0</v>
      </c>
      <c r="R72" s="2" t="inlineStr"/>
    </row>
    <row r="73" ht="15" customHeight="1">
      <c r="A73" t="inlineStr">
        <is>
          <t>A 27366-2025</t>
        </is>
      </c>
      <c r="B73" s="1" t="n">
        <v>45812.64475694444</v>
      </c>
      <c r="C73" s="1" t="n">
        <v>46070</v>
      </c>
      <c r="D73" t="inlineStr">
        <is>
          <t>KALMAR LÄN</t>
        </is>
      </c>
      <c r="E73" t="inlineStr">
        <is>
          <t>BORGHOLM</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41831-2025</t>
        </is>
      </c>
      <c r="B74" s="1" t="n">
        <v>45902.67887731481</v>
      </c>
      <c r="C74" s="1" t="n">
        <v>46070</v>
      </c>
      <c r="D74" t="inlineStr">
        <is>
          <t>KALMAR LÄN</t>
        </is>
      </c>
      <c r="E74" t="inlineStr">
        <is>
          <t>BORGHOLM</t>
        </is>
      </c>
      <c r="G74" t="n">
        <v>1.5</v>
      </c>
      <c r="H74" t="n">
        <v>0</v>
      </c>
      <c r="I74" t="n">
        <v>0</v>
      </c>
      <c r="J74" t="n">
        <v>0</v>
      </c>
      <c r="K74" t="n">
        <v>0</v>
      </c>
      <c r="L74" t="n">
        <v>0</v>
      </c>
      <c r="M74" t="n">
        <v>0</v>
      </c>
      <c r="N74" t="n">
        <v>0</v>
      </c>
      <c r="O74" t="n">
        <v>0</v>
      </c>
      <c r="P74" t="n">
        <v>0</v>
      </c>
      <c r="Q74" t="n">
        <v>0</v>
      </c>
      <c r="R74" s="2" t="inlineStr"/>
    </row>
    <row r="75" ht="15" customHeight="1">
      <c r="A75" t="inlineStr">
        <is>
          <t>A 55367-2024</t>
        </is>
      </c>
      <c r="B75" s="1" t="n">
        <v>45621.87075231481</v>
      </c>
      <c r="C75" s="1" t="n">
        <v>46070</v>
      </c>
      <c r="D75" t="inlineStr">
        <is>
          <t>KALMAR LÄN</t>
        </is>
      </c>
      <c r="E75" t="inlineStr">
        <is>
          <t>BORGHOLM</t>
        </is>
      </c>
      <c r="G75" t="n">
        <v>0.7</v>
      </c>
      <c r="H75" t="n">
        <v>0</v>
      </c>
      <c r="I75" t="n">
        <v>0</v>
      </c>
      <c r="J75" t="n">
        <v>0</v>
      </c>
      <c r="K75" t="n">
        <v>0</v>
      </c>
      <c r="L75" t="n">
        <v>0</v>
      </c>
      <c r="M75" t="n">
        <v>0</v>
      </c>
      <c r="N75" t="n">
        <v>0</v>
      </c>
      <c r="O75" t="n">
        <v>0</v>
      </c>
      <c r="P75" t="n">
        <v>0</v>
      </c>
      <c r="Q75" t="n">
        <v>0</v>
      </c>
      <c r="R75" s="2" t="inlineStr"/>
    </row>
    <row r="76" ht="15" customHeight="1">
      <c r="A76" t="inlineStr">
        <is>
          <t>A 41950-2025</t>
        </is>
      </c>
      <c r="B76" s="1" t="n">
        <v>45903.45767361111</v>
      </c>
      <c r="C76" s="1" t="n">
        <v>46070</v>
      </c>
      <c r="D76" t="inlineStr">
        <is>
          <t>KALMAR LÄN</t>
        </is>
      </c>
      <c r="E76" t="inlineStr">
        <is>
          <t>BORGHOLM</t>
        </is>
      </c>
      <c r="G76" t="n">
        <v>1.8</v>
      </c>
      <c r="H76" t="n">
        <v>0</v>
      </c>
      <c r="I76" t="n">
        <v>0</v>
      </c>
      <c r="J76" t="n">
        <v>0</v>
      </c>
      <c r="K76" t="n">
        <v>0</v>
      </c>
      <c r="L76" t="n">
        <v>0</v>
      </c>
      <c r="M76" t="n">
        <v>0</v>
      </c>
      <c r="N76" t="n">
        <v>0</v>
      </c>
      <c r="O76" t="n">
        <v>0</v>
      </c>
      <c r="P76" t="n">
        <v>0</v>
      </c>
      <c r="Q76" t="n">
        <v>0</v>
      </c>
      <c r="R76" s="2" t="inlineStr"/>
    </row>
    <row r="77" ht="15" customHeight="1">
      <c r="A77" t="inlineStr">
        <is>
          <t>A 42232-2025</t>
        </is>
      </c>
      <c r="B77" s="1" t="n">
        <v>45904.55591435185</v>
      </c>
      <c r="C77" s="1" t="n">
        <v>46070</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28782-2025</t>
        </is>
      </c>
      <c r="B78" s="1" t="n">
        <v>45820.45572916666</v>
      </c>
      <c r="C78" s="1" t="n">
        <v>46070</v>
      </c>
      <c r="D78" t="inlineStr">
        <is>
          <t>KALMAR LÄN</t>
        </is>
      </c>
      <c r="E78" t="inlineStr">
        <is>
          <t>BORGHOLM</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43542-2025</t>
        </is>
      </c>
      <c r="B79" s="1" t="n">
        <v>45911.61123842592</v>
      </c>
      <c r="C79" s="1" t="n">
        <v>46070</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45734-2025</t>
        </is>
      </c>
      <c r="B80" s="1" t="n">
        <v>45923.46512731481</v>
      </c>
      <c r="C80" s="1" t="n">
        <v>46070</v>
      </c>
      <c r="D80" t="inlineStr">
        <is>
          <t>KALMAR LÄN</t>
        </is>
      </c>
      <c r="E80" t="inlineStr">
        <is>
          <t>BORGHOLM</t>
        </is>
      </c>
      <c r="G80" t="n">
        <v>5</v>
      </c>
      <c r="H80" t="n">
        <v>0</v>
      </c>
      <c r="I80" t="n">
        <v>0</v>
      </c>
      <c r="J80" t="n">
        <v>0</v>
      </c>
      <c r="K80" t="n">
        <v>0</v>
      </c>
      <c r="L80" t="n">
        <v>0</v>
      </c>
      <c r="M80" t="n">
        <v>0</v>
      </c>
      <c r="N80" t="n">
        <v>0</v>
      </c>
      <c r="O80" t="n">
        <v>0</v>
      </c>
      <c r="P80" t="n">
        <v>0</v>
      </c>
      <c r="Q80" t="n">
        <v>0</v>
      </c>
      <c r="R80" s="2" t="inlineStr"/>
    </row>
    <row r="81" ht="15" customHeight="1">
      <c r="A81" t="inlineStr">
        <is>
          <t>A 45869-2025</t>
        </is>
      </c>
      <c r="B81" s="1" t="n">
        <v>45923.65313657407</v>
      </c>
      <c r="C81" s="1" t="n">
        <v>46070</v>
      </c>
      <c r="D81" t="inlineStr">
        <is>
          <t>KALMAR LÄN</t>
        </is>
      </c>
      <c r="E81" t="inlineStr">
        <is>
          <t>BORGHOLM</t>
        </is>
      </c>
      <c r="G81" t="n">
        <v>4.5</v>
      </c>
      <c r="H81" t="n">
        <v>0</v>
      </c>
      <c r="I81" t="n">
        <v>0</v>
      </c>
      <c r="J81" t="n">
        <v>0</v>
      </c>
      <c r="K81" t="n">
        <v>0</v>
      </c>
      <c r="L81" t="n">
        <v>0</v>
      </c>
      <c r="M81" t="n">
        <v>0</v>
      </c>
      <c r="N81" t="n">
        <v>0</v>
      </c>
      <c r="O81" t="n">
        <v>0</v>
      </c>
      <c r="P81" t="n">
        <v>0</v>
      </c>
      <c r="Q81" t="n">
        <v>0</v>
      </c>
      <c r="R81" s="2" t="inlineStr"/>
    </row>
    <row r="82" ht="15" customHeight="1">
      <c r="A82" t="inlineStr">
        <is>
          <t>A 4159-2024</t>
        </is>
      </c>
      <c r="B82" s="1" t="n">
        <v>45323</v>
      </c>
      <c r="C82" s="1" t="n">
        <v>46070</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46845-2025</t>
        </is>
      </c>
      <c r="B83" s="1" t="n">
        <v>45928</v>
      </c>
      <c r="C83" s="1" t="n">
        <v>46070</v>
      </c>
      <c r="D83" t="inlineStr">
        <is>
          <t>KALMAR LÄN</t>
        </is>
      </c>
      <c r="E83" t="inlineStr">
        <is>
          <t>BORGHOLM</t>
        </is>
      </c>
      <c r="G83" t="n">
        <v>2.7</v>
      </c>
      <c r="H83" t="n">
        <v>0</v>
      </c>
      <c r="I83" t="n">
        <v>0</v>
      </c>
      <c r="J83" t="n">
        <v>0</v>
      </c>
      <c r="K83" t="n">
        <v>0</v>
      </c>
      <c r="L83" t="n">
        <v>0</v>
      </c>
      <c r="M83" t="n">
        <v>0</v>
      </c>
      <c r="N83" t="n">
        <v>0</v>
      </c>
      <c r="O83" t="n">
        <v>0</v>
      </c>
      <c r="P83" t="n">
        <v>0</v>
      </c>
      <c r="Q83" t="n">
        <v>0</v>
      </c>
      <c r="R83" s="2" t="inlineStr"/>
    </row>
    <row r="84" ht="15" customHeight="1">
      <c r="A84" t="inlineStr">
        <is>
          <t>A 32921-2023</t>
        </is>
      </c>
      <c r="B84" s="1" t="n">
        <v>45125</v>
      </c>
      <c r="C84" s="1" t="n">
        <v>46070</v>
      </c>
      <c r="D84" t="inlineStr">
        <is>
          <t>KALMAR LÄN</t>
        </is>
      </c>
      <c r="E84" t="inlineStr">
        <is>
          <t>BORGHOLM</t>
        </is>
      </c>
      <c r="G84" t="n">
        <v>2.9</v>
      </c>
      <c r="H84" t="n">
        <v>0</v>
      </c>
      <c r="I84" t="n">
        <v>0</v>
      </c>
      <c r="J84" t="n">
        <v>0</v>
      </c>
      <c r="K84" t="n">
        <v>0</v>
      </c>
      <c r="L84" t="n">
        <v>0</v>
      </c>
      <c r="M84" t="n">
        <v>0</v>
      </c>
      <c r="N84" t="n">
        <v>0</v>
      </c>
      <c r="O84" t="n">
        <v>0</v>
      </c>
      <c r="P84" t="n">
        <v>0</v>
      </c>
      <c r="Q84" t="n">
        <v>0</v>
      </c>
      <c r="R84" s="2" t="inlineStr"/>
    </row>
    <row r="85" ht="15" customHeight="1">
      <c r="A85" t="inlineStr">
        <is>
          <t>A 31699-2022</t>
        </is>
      </c>
      <c r="B85" s="1" t="n">
        <v>44776</v>
      </c>
      <c r="C85" s="1" t="n">
        <v>46070</v>
      </c>
      <c r="D85" t="inlineStr">
        <is>
          <t>KALMAR LÄN</t>
        </is>
      </c>
      <c r="E85" t="inlineStr">
        <is>
          <t>BORGHOLM</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63276-2023</t>
        </is>
      </c>
      <c r="B86" s="1" t="n">
        <v>45273.82195601852</v>
      </c>
      <c r="C86" s="1" t="n">
        <v>46070</v>
      </c>
      <c r="D86" t="inlineStr">
        <is>
          <t>KALMAR LÄN</t>
        </is>
      </c>
      <c r="E86" t="inlineStr">
        <is>
          <t>BORGHOLM</t>
        </is>
      </c>
      <c r="G86" t="n">
        <v>5</v>
      </c>
      <c r="H86" t="n">
        <v>0</v>
      </c>
      <c r="I86" t="n">
        <v>0</v>
      </c>
      <c r="J86" t="n">
        <v>0</v>
      </c>
      <c r="K86" t="n">
        <v>0</v>
      </c>
      <c r="L86" t="n">
        <v>0</v>
      </c>
      <c r="M86" t="n">
        <v>0</v>
      </c>
      <c r="N86" t="n">
        <v>0</v>
      </c>
      <c r="O86" t="n">
        <v>0</v>
      </c>
      <c r="P86" t="n">
        <v>0</v>
      </c>
      <c r="Q86" t="n">
        <v>0</v>
      </c>
      <c r="R86" s="2" t="inlineStr"/>
    </row>
    <row r="87" ht="15" customHeight="1">
      <c r="A87" t="inlineStr">
        <is>
          <t>A 36269-2025</t>
        </is>
      </c>
      <c r="B87" s="1" t="n">
        <v>45867.61736111111</v>
      </c>
      <c r="C87" s="1" t="n">
        <v>46070</v>
      </c>
      <c r="D87" t="inlineStr">
        <is>
          <t>KALMAR LÄN</t>
        </is>
      </c>
      <c r="E87" t="inlineStr">
        <is>
          <t>BORGHOLM</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1614-2025</t>
        </is>
      </c>
      <c r="B88" s="1" t="n">
        <v>45670.60094907408</v>
      </c>
      <c r="C88" s="1" t="n">
        <v>46070</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7481-2026</t>
        </is>
      </c>
      <c r="B89" s="1" t="n">
        <v>46059.51359953704</v>
      </c>
      <c r="C89" s="1" t="n">
        <v>46070</v>
      </c>
      <c r="D89" t="inlineStr">
        <is>
          <t>KALMAR LÄN</t>
        </is>
      </c>
      <c r="E89" t="inlineStr">
        <is>
          <t>BORGHOLM</t>
        </is>
      </c>
      <c r="G89" t="n">
        <v>1.9</v>
      </c>
      <c r="H89" t="n">
        <v>0</v>
      </c>
      <c r="I89" t="n">
        <v>0</v>
      </c>
      <c r="J89" t="n">
        <v>0</v>
      </c>
      <c r="K89" t="n">
        <v>0</v>
      </c>
      <c r="L89" t="n">
        <v>0</v>
      </c>
      <c r="M89" t="n">
        <v>0</v>
      </c>
      <c r="N89" t="n">
        <v>0</v>
      </c>
      <c r="O89" t="n">
        <v>0</v>
      </c>
      <c r="P89" t="n">
        <v>0</v>
      </c>
      <c r="Q89" t="n">
        <v>0</v>
      </c>
      <c r="R89" s="2" t="inlineStr"/>
    </row>
    <row r="90" ht="15" customHeight="1">
      <c r="A90" t="inlineStr">
        <is>
          <t>A 9076-2025</t>
        </is>
      </c>
      <c r="B90" s="1" t="n">
        <v>45713.6596875</v>
      </c>
      <c r="C90" s="1" t="n">
        <v>46070</v>
      </c>
      <c r="D90" t="inlineStr">
        <is>
          <t>KALMAR LÄN</t>
        </is>
      </c>
      <c r="E90" t="inlineStr">
        <is>
          <t>BORGHOLM</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1757-2025</t>
        </is>
      </c>
      <c r="B91" s="1" t="n">
        <v>45671.42195601852</v>
      </c>
      <c r="C91" s="1" t="n">
        <v>46070</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7960-2023</t>
        </is>
      </c>
      <c r="B92" s="1" t="n">
        <v>44973</v>
      </c>
      <c r="C92" s="1" t="n">
        <v>46070</v>
      </c>
      <c r="D92" t="inlineStr">
        <is>
          <t>KALMAR LÄN</t>
        </is>
      </c>
      <c r="E92" t="inlineStr">
        <is>
          <t>BORGHOLM</t>
        </is>
      </c>
      <c r="G92" t="n">
        <v>2.1</v>
      </c>
      <c r="H92" t="n">
        <v>0</v>
      </c>
      <c r="I92" t="n">
        <v>0</v>
      </c>
      <c r="J92" t="n">
        <v>0</v>
      </c>
      <c r="K92" t="n">
        <v>0</v>
      </c>
      <c r="L92" t="n">
        <v>0</v>
      </c>
      <c r="M92" t="n">
        <v>0</v>
      </c>
      <c r="N92" t="n">
        <v>0</v>
      </c>
      <c r="O92" t="n">
        <v>0</v>
      </c>
      <c r="P92" t="n">
        <v>0</v>
      </c>
      <c r="Q92" t="n">
        <v>0</v>
      </c>
      <c r="R92" s="2" t="inlineStr"/>
    </row>
    <row r="93" ht="15" customHeight="1">
      <c r="A93" t="inlineStr">
        <is>
          <t>A 9104-2026</t>
        </is>
      </c>
      <c r="B93" s="1" t="n">
        <v>46069.65049768519</v>
      </c>
      <c r="C93" s="1" t="n">
        <v>46070</v>
      </c>
      <c r="D93" t="inlineStr">
        <is>
          <t>KALMAR LÄN</t>
        </is>
      </c>
      <c r="E93" t="inlineStr">
        <is>
          <t>BORGHOLM</t>
        </is>
      </c>
      <c r="G93" t="n">
        <v>1.3</v>
      </c>
      <c r="H93" t="n">
        <v>0</v>
      </c>
      <c r="I93" t="n">
        <v>0</v>
      </c>
      <c r="J93" t="n">
        <v>0</v>
      </c>
      <c r="K93" t="n">
        <v>0</v>
      </c>
      <c r="L93" t="n">
        <v>0</v>
      </c>
      <c r="M93" t="n">
        <v>0</v>
      </c>
      <c r="N93" t="n">
        <v>0</v>
      </c>
      <c r="O93" t="n">
        <v>0</v>
      </c>
      <c r="P93" t="n">
        <v>0</v>
      </c>
      <c r="Q93" t="n">
        <v>0</v>
      </c>
      <c r="R93" s="2" t="inlineStr"/>
    </row>
    <row r="94" ht="15" customHeight="1">
      <c r="A94" t="inlineStr">
        <is>
          <t>A 29656-2023</t>
        </is>
      </c>
      <c r="B94" s="1" t="n">
        <v>45107</v>
      </c>
      <c r="C94" s="1" t="n">
        <v>46070</v>
      </c>
      <c r="D94" t="inlineStr">
        <is>
          <t>KALMAR LÄN</t>
        </is>
      </c>
      <c r="E94" t="inlineStr">
        <is>
          <t>BORGHOLM</t>
        </is>
      </c>
      <c r="G94" t="n">
        <v>4.1</v>
      </c>
      <c r="H94" t="n">
        <v>0</v>
      </c>
      <c r="I94" t="n">
        <v>0</v>
      </c>
      <c r="J94" t="n">
        <v>0</v>
      </c>
      <c r="K94" t="n">
        <v>0</v>
      </c>
      <c r="L94" t="n">
        <v>0</v>
      </c>
      <c r="M94" t="n">
        <v>0</v>
      </c>
      <c r="N94" t="n">
        <v>0</v>
      </c>
      <c r="O94" t="n">
        <v>0</v>
      </c>
      <c r="P94" t="n">
        <v>0</v>
      </c>
      <c r="Q94" t="n">
        <v>0</v>
      </c>
      <c r="R94" s="2" t="inlineStr"/>
    </row>
    <row r="95" ht="15" customHeight="1">
      <c r="A95" t="inlineStr">
        <is>
          <t>A 60141-2025</t>
        </is>
      </c>
      <c r="B95" s="1" t="n">
        <v>45994.36873842592</v>
      </c>
      <c r="C95" s="1" t="n">
        <v>46070</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9050-2025</t>
        </is>
      </c>
      <c r="B96" s="1" t="n">
        <v>45713.63512731482</v>
      </c>
      <c r="C96" s="1" t="n">
        <v>46070</v>
      </c>
      <c r="D96" t="inlineStr">
        <is>
          <t>KALMAR LÄN</t>
        </is>
      </c>
      <c r="E96" t="inlineStr">
        <is>
          <t>BORGHOLM</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46070</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46070</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46070</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44678-2022</t>
        </is>
      </c>
      <c r="B100" s="1" t="n">
        <v>44840.65100694444</v>
      </c>
      <c r="C100" s="1" t="n">
        <v>46070</v>
      </c>
      <c r="D100" t="inlineStr">
        <is>
          <t>KALMAR LÄN</t>
        </is>
      </c>
      <c r="E100" t="inlineStr">
        <is>
          <t>BORGHOLM</t>
        </is>
      </c>
      <c r="G100" t="n">
        <v>2.4</v>
      </c>
      <c r="H100" t="n">
        <v>0</v>
      </c>
      <c r="I100" t="n">
        <v>0</v>
      </c>
      <c r="J100" t="n">
        <v>0</v>
      </c>
      <c r="K100" t="n">
        <v>0</v>
      </c>
      <c r="L100" t="n">
        <v>0</v>
      </c>
      <c r="M100" t="n">
        <v>0</v>
      </c>
      <c r="N100" t="n">
        <v>0</v>
      </c>
      <c r="O100" t="n">
        <v>0</v>
      </c>
      <c r="P100" t="n">
        <v>0</v>
      </c>
      <c r="Q100" t="n">
        <v>0</v>
      </c>
      <c r="R100" s="2" t="inlineStr"/>
    </row>
    <row r="101" ht="15" customHeight="1">
      <c r="A101" t="inlineStr">
        <is>
          <t>A 31720-2022</t>
        </is>
      </c>
      <c r="B101" s="1" t="n">
        <v>44776</v>
      </c>
      <c r="C101" s="1" t="n">
        <v>46070</v>
      </c>
      <c r="D101" t="inlineStr">
        <is>
          <t>KALMAR LÄN</t>
        </is>
      </c>
      <c r="E101" t="inlineStr">
        <is>
          <t>BORGHOLM</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46070</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5175-2024</t>
        </is>
      </c>
      <c r="B103" s="1" t="n">
        <v>45330</v>
      </c>
      <c r="C103" s="1" t="n">
        <v>46070</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34951-2022</t>
        </is>
      </c>
      <c r="B104" s="1" t="n">
        <v>44796</v>
      </c>
      <c r="C104" s="1" t="n">
        <v>46070</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19867-2024</t>
        </is>
      </c>
      <c r="B105" s="1" t="n">
        <v>45433</v>
      </c>
      <c r="C105" s="1" t="n">
        <v>46070</v>
      </c>
      <c r="D105" t="inlineStr">
        <is>
          <t>KALMAR LÄN</t>
        </is>
      </c>
      <c r="E105" t="inlineStr">
        <is>
          <t>BORGHOLM</t>
        </is>
      </c>
      <c r="G105" t="n">
        <v>3.9</v>
      </c>
      <c r="H105" t="n">
        <v>0</v>
      </c>
      <c r="I105" t="n">
        <v>0</v>
      </c>
      <c r="J105" t="n">
        <v>0</v>
      </c>
      <c r="K105" t="n">
        <v>0</v>
      </c>
      <c r="L105" t="n">
        <v>0</v>
      </c>
      <c r="M105" t="n">
        <v>0</v>
      </c>
      <c r="N105" t="n">
        <v>0</v>
      </c>
      <c r="O105" t="n">
        <v>0</v>
      </c>
      <c r="P105" t="n">
        <v>0</v>
      </c>
      <c r="Q105" t="n">
        <v>0</v>
      </c>
      <c r="R105" s="2" t="inlineStr"/>
    </row>
    <row r="106" ht="15" customHeight="1">
      <c r="A106" t="inlineStr">
        <is>
          <t>A 13383-2023</t>
        </is>
      </c>
      <c r="B106" s="1" t="n">
        <v>45005</v>
      </c>
      <c r="C106" s="1" t="n">
        <v>46070</v>
      </c>
      <c r="D106" t="inlineStr">
        <is>
          <t>KALMAR LÄN</t>
        </is>
      </c>
      <c r="E106" t="inlineStr">
        <is>
          <t>BORGHOLM</t>
        </is>
      </c>
      <c r="G106" t="n">
        <v>0.8</v>
      </c>
      <c r="H106" t="n">
        <v>0</v>
      </c>
      <c r="I106" t="n">
        <v>0</v>
      </c>
      <c r="J106" t="n">
        <v>0</v>
      </c>
      <c r="K106" t="n">
        <v>0</v>
      </c>
      <c r="L106" t="n">
        <v>0</v>
      </c>
      <c r="M106" t="n">
        <v>0</v>
      </c>
      <c r="N106" t="n">
        <v>0</v>
      </c>
      <c r="O106" t="n">
        <v>0</v>
      </c>
      <c r="P106" t="n">
        <v>0</v>
      </c>
      <c r="Q106" t="n">
        <v>0</v>
      </c>
      <c r="R106" s="2" t="inlineStr"/>
    </row>
    <row r="107" ht="15" customHeight="1">
      <c r="A107" t="inlineStr">
        <is>
          <t>A 61438-2023</t>
        </is>
      </c>
      <c r="B107" s="1" t="n">
        <v>45264</v>
      </c>
      <c r="C107" s="1" t="n">
        <v>46070</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13041-2024</t>
        </is>
      </c>
      <c r="B108" s="1" t="n">
        <v>45385.60065972222</v>
      </c>
      <c r="C108" s="1" t="n">
        <v>46070</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53050-2021</t>
        </is>
      </c>
      <c r="B109" s="1" t="n">
        <v>44467</v>
      </c>
      <c r="C109" s="1" t="n">
        <v>46070</v>
      </c>
      <c r="D109" t="inlineStr">
        <is>
          <t>KALMAR LÄN</t>
        </is>
      </c>
      <c r="E109" t="inlineStr">
        <is>
          <t>BORGHOLM</t>
        </is>
      </c>
      <c r="G109" t="n">
        <v>3.6</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46070</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46070</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13043-2024</t>
        </is>
      </c>
      <c r="B112" s="1" t="n">
        <v>45385.60111111111</v>
      </c>
      <c r="C112" s="1" t="n">
        <v>46070</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46070</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9044-2025</t>
        </is>
      </c>
      <c r="B114" s="1" t="n">
        <v>45713.6275</v>
      </c>
      <c r="C114" s="1" t="n">
        <v>46070</v>
      </c>
      <c r="D114" t="inlineStr">
        <is>
          <t>KALMAR LÄN</t>
        </is>
      </c>
      <c r="E114" t="inlineStr">
        <is>
          <t>BORGHOLM</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20878-2024</t>
        </is>
      </c>
      <c r="B115" s="1" t="n">
        <v>45439.44748842593</v>
      </c>
      <c r="C115" s="1" t="n">
        <v>46070</v>
      </c>
      <c r="D115" t="inlineStr">
        <is>
          <t>KALMAR LÄN</t>
        </is>
      </c>
      <c r="E115" t="inlineStr">
        <is>
          <t>BORGHOLM</t>
        </is>
      </c>
      <c r="G115" t="n">
        <v>1.9</v>
      </c>
      <c r="H115" t="n">
        <v>0</v>
      </c>
      <c r="I115" t="n">
        <v>0</v>
      </c>
      <c r="J115" t="n">
        <v>0</v>
      </c>
      <c r="K115" t="n">
        <v>0</v>
      </c>
      <c r="L115" t="n">
        <v>0</v>
      </c>
      <c r="M115" t="n">
        <v>0</v>
      </c>
      <c r="N115" t="n">
        <v>0</v>
      </c>
      <c r="O115" t="n">
        <v>0</v>
      </c>
      <c r="P115" t="n">
        <v>0</v>
      </c>
      <c r="Q115" t="n">
        <v>0</v>
      </c>
      <c r="R115" s="2" t="inlineStr"/>
    </row>
    <row r="116" ht="15" customHeight="1">
      <c r="A116" t="inlineStr">
        <is>
          <t>A 17699-2025</t>
        </is>
      </c>
      <c r="B116" s="1" t="n">
        <v>45758.41846064815</v>
      </c>
      <c r="C116" s="1" t="n">
        <v>46070</v>
      </c>
      <c r="D116" t="inlineStr">
        <is>
          <t>KALMAR LÄN</t>
        </is>
      </c>
      <c r="E116" t="inlineStr">
        <is>
          <t>BORGHOLM</t>
        </is>
      </c>
      <c r="G116" t="n">
        <v>0.7</v>
      </c>
      <c r="H116" t="n">
        <v>0</v>
      </c>
      <c r="I116" t="n">
        <v>0</v>
      </c>
      <c r="J116" t="n">
        <v>0</v>
      </c>
      <c r="K116" t="n">
        <v>0</v>
      </c>
      <c r="L116" t="n">
        <v>0</v>
      </c>
      <c r="M116" t="n">
        <v>0</v>
      </c>
      <c r="N116" t="n">
        <v>0</v>
      </c>
      <c r="O116" t="n">
        <v>0</v>
      </c>
      <c r="P116" t="n">
        <v>0</v>
      </c>
      <c r="Q116" t="n">
        <v>0</v>
      </c>
      <c r="R116" s="2" t="inlineStr"/>
    </row>
    <row r="117" ht="15" customHeight="1">
      <c r="A117" t="inlineStr">
        <is>
          <t>A 20287-2025</t>
        </is>
      </c>
      <c r="B117" s="1" t="n">
        <v>45774.60741898148</v>
      </c>
      <c r="C117" s="1" t="n">
        <v>46070</v>
      </c>
      <c r="D117" t="inlineStr">
        <is>
          <t>KALMAR LÄN</t>
        </is>
      </c>
      <c r="E117" t="inlineStr">
        <is>
          <t>BORGHOLM</t>
        </is>
      </c>
      <c r="G117" t="n">
        <v>0.6</v>
      </c>
      <c r="H117" t="n">
        <v>0</v>
      </c>
      <c r="I117" t="n">
        <v>0</v>
      </c>
      <c r="J117" t="n">
        <v>0</v>
      </c>
      <c r="K117" t="n">
        <v>0</v>
      </c>
      <c r="L117" t="n">
        <v>0</v>
      </c>
      <c r="M117" t="n">
        <v>0</v>
      </c>
      <c r="N117" t="n">
        <v>0</v>
      </c>
      <c r="O117" t="n">
        <v>0</v>
      </c>
      <c r="P117" t="n">
        <v>0</v>
      </c>
      <c r="Q117" t="n">
        <v>0</v>
      </c>
      <c r="R117" s="2" t="inlineStr"/>
    </row>
    <row r="118" ht="15" customHeight="1">
      <c r="A118" t="inlineStr">
        <is>
          <t>A 26160-2024</t>
        </is>
      </c>
      <c r="B118" s="1" t="n">
        <v>45468</v>
      </c>
      <c r="C118" s="1" t="n">
        <v>46070</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c r="T118">
        <f>HYPERLINK("https://klasma.github.io/Logging_0885/kartor/A 26160-2024 karta.png", "A 26160-2024")</f>
        <v/>
      </c>
      <c r="V118">
        <f>HYPERLINK("https://klasma.github.io/Logging_0885/klagomål/A 26160-2024 FSC-klagomål.docx", "A 26160-2024")</f>
        <v/>
      </c>
      <c r="W118">
        <f>HYPERLINK("https://klasma.github.io/Logging_0885/klagomålsmail/A 26160-2024 FSC-klagomål mail.docx", "A 26160-2024")</f>
        <v/>
      </c>
      <c r="X118">
        <f>HYPERLINK("https://klasma.github.io/Logging_0885/tillsyn/A 26160-2024 tillsynsbegäran.docx", "A 26160-2024")</f>
        <v/>
      </c>
      <c r="Y118">
        <f>HYPERLINK("https://klasma.github.io/Logging_0885/tillsynsmail/A 26160-2024 tillsynsbegäran mail.docx", "A 26160-2024")</f>
        <v/>
      </c>
    </row>
    <row r="119" ht="15" customHeight="1">
      <c r="A119" t="inlineStr">
        <is>
          <t>A 63075-2023</t>
        </is>
      </c>
      <c r="B119" s="1" t="n">
        <v>45273</v>
      </c>
      <c r="C119" s="1" t="n">
        <v>46070</v>
      </c>
      <c r="D119" t="inlineStr">
        <is>
          <t>KALMAR LÄN</t>
        </is>
      </c>
      <c r="E119" t="inlineStr">
        <is>
          <t>BORGHOLM</t>
        </is>
      </c>
      <c r="G119" t="n">
        <v>1.1</v>
      </c>
      <c r="H119" t="n">
        <v>0</v>
      </c>
      <c r="I119" t="n">
        <v>0</v>
      </c>
      <c r="J119" t="n">
        <v>0</v>
      </c>
      <c r="K119" t="n">
        <v>0</v>
      </c>
      <c r="L119" t="n">
        <v>0</v>
      </c>
      <c r="M119" t="n">
        <v>0</v>
      </c>
      <c r="N119" t="n">
        <v>0</v>
      </c>
      <c r="O119" t="n">
        <v>0</v>
      </c>
      <c r="P119" t="n">
        <v>0</v>
      </c>
      <c r="Q119" t="n">
        <v>0</v>
      </c>
      <c r="R119" s="2" t="inlineStr"/>
    </row>
    <row r="120">
      <c r="A120" t="inlineStr">
        <is>
          <t>A 17978-2021</t>
        </is>
      </c>
      <c r="B120" s="1" t="n">
        <v>44301</v>
      </c>
      <c r="C120" s="1" t="n">
        <v>46070</v>
      </c>
      <c r="D120" t="inlineStr">
        <is>
          <t>KALMAR LÄN</t>
        </is>
      </c>
      <c r="E120" t="inlineStr">
        <is>
          <t>BORGHOLM</t>
        </is>
      </c>
      <c r="G120" t="n">
        <v>6</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2026-02-17T11:40:39Z</dcterms:created>
  <dcterms:modified xmlns:dcterms="http://purl.org/dc/terms/" xmlns:xsi="http://www.w3.org/2001/XMLSchema-instance" xsi:type="dcterms:W3CDTF">2026-02-17T11:40:39Z</dcterms:modified>
</cp:coreProperties>
</file>