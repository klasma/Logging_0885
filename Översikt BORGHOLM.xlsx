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45889</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45889</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45889</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45889</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45889</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45889</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45889</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45889</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45889</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45889</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45889</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45889</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34944-2022</t>
        </is>
      </c>
      <c r="B19" s="1" t="n">
        <v>44796</v>
      </c>
      <c r="C19" s="1" t="n">
        <v>45889</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28779-2025</t>
        </is>
      </c>
      <c r="B20" s="1" t="n">
        <v>45820.44920138889</v>
      </c>
      <c r="C20" s="1" t="n">
        <v>45889</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45889</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45889</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45889</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38860-2025</t>
        </is>
      </c>
      <c r="B24" s="1" t="n">
        <v>45887.5609375</v>
      </c>
      <c r="C24" s="1" t="n">
        <v>45889</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44008-2022</t>
        </is>
      </c>
      <c r="B25" s="1" t="n">
        <v>44838</v>
      </c>
      <c r="C25" s="1" t="n">
        <v>45889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45889</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45889</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45889</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45889</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14789-2021</t>
        </is>
      </c>
      <c r="B30" s="1" t="n">
        <v>44280</v>
      </c>
      <c r="C30" s="1" t="n">
        <v>45889</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43603-2024</t>
        </is>
      </c>
      <c r="B31" s="1" t="n">
        <v>45569.44700231482</v>
      </c>
      <c r="C31" s="1" t="n">
        <v>45889</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9745-2023</t>
        </is>
      </c>
      <c r="B32" s="1" t="n">
        <v>44984</v>
      </c>
      <c r="C32" s="1" t="n">
        <v>45889</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24704-2023</t>
        </is>
      </c>
      <c r="B33" s="1" t="n">
        <v>45084</v>
      </c>
      <c r="C33" s="1" t="n">
        <v>45889</v>
      </c>
      <c r="D33" t="inlineStr">
        <is>
          <t>KALMAR LÄN</t>
        </is>
      </c>
      <c r="E33" t="inlineStr">
        <is>
          <t>BORGHOLM</t>
        </is>
      </c>
      <c r="G33" t="n">
        <v>3.5</v>
      </c>
      <c r="H33" t="n">
        <v>0</v>
      </c>
      <c r="I33" t="n">
        <v>0</v>
      </c>
      <c r="J33" t="n">
        <v>0</v>
      </c>
      <c r="K33" t="n">
        <v>0</v>
      </c>
      <c r="L33" t="n">
        <v>1</v>
      </c>
      <c r="M33" t="n">
        <v>0</v>
      </c>
      <c r="N33" t="n">
        <v>0</v>
      </c>
      <c r="O33" t="n">
        <v>1</v>
      </c>
      <c r="P33" t="n">
        <v>1</v>
      </c>
      <c r="Q33" t="n">
        <v>1</v>
      </c>
      <c r="R33" s="2" t="inlineStr">
        <is>
          <t>Ask</t>
        </is>
      </c>
      <c r="S33">
        <f>HYPERLINK("https://klasma.github.io/Logging_0885/artfynd/A 24704-2023 artfynd.xlsx", "A 24704-2023")</f>
        <v/>
      </c>
      <c r="T33">
        <f>HYPERLINK("https://klasma.github.io/Logging_0885/kartor/A 24704-2023 karta.png", "A 24704-2023")</f>
        <v/>
      </c>
      <c r="V33">
        <f>HYPERLINK("https://klasma.github.io/Logging_0885/klagomål/A 24704-2023 FSC-klagomål.docx", "A 24704-2023")</f>
        <v/>
      </c>
      <c r="W33">
        <f>HYPERLINK("https://klasma.github.io/Logging_0885/klagomålsmail/A 24704-2023 FSC-klagomål mail.docx", "A 24704-2023")</f>
        <v/>
      </c>
      <c r="X33">
        <f>HYPERLINK("https://klasma.github.io/Logging_0885/tillsyn/A 24704-2023 tillsynsbegäran.docx", "A 24704-2023")</f>
        <v/>
      </c>
      <c r="Y33">
        <f>HYPERLINK("https://klasma.github.io/Logging_0885/tillsynsmail/A 24704-2023 tillsynsbegäran mail.docx", "A 24704-2023")</f>
        <v/>
      </c>
    </row>
    <row r="34" ht="15" customHeight="1">
      <c r="A34" t="inlineStr">
        <is>
          <t>A 24048-2025</t>
        </is>
      </c>
      <c r="B34" s="1" t="n">
        <v>45796.4959375</v>
      </c>
      <c r="C34" s="1" t="n">
        <v>45889</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45889</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12785-2021</t>
        </is>
      </c>
      <c r="B36" s="1" t="n">
        <v>44270</v>
      </c>
      <c r="C36" s="1" t="n">
        <v>45889</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34885-2025</t>
        </is>
      </c>
      <c r="B37" s="1" t="n">
        <v>45849.47128472223</v>
      </c>
      <c r="C37" s="1" t="n">
        <v>45889</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28785-2025</t>
        </is>
      </c>
      <c r="B38" s="1" t="n">
        <v>45820.46159722222</v>
      </c>
      <c r="C38" s="1" t="n">
        <v>45889</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13558-2025</t>
        </is>
      </c>
      <c r="B39" s="1" t="n">
        <v>45736.54974537037</v>
      </c>
      <c r="C39" s="1" t="n">
        <v>45889</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29962-2025</t>
        </is>
      </c>
      <c r="B40" s="1" t="n">
        <v>45826.48184027777</v>
      </c>
      <c r="C40" s="1" t="n">
        <v>45889</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56499-2020</t>
        </is>
      </c>
      <c r="B41" s="1" t="n">
        <v>44137</v>
      </c>
      <c r="C41" s="1" t="n">
        <v>45889</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45889</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45889</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45889</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45889</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45889</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45889</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45889</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45889</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45889</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45889</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45889</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45889</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45889</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45889</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45889</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45889</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45889</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45889</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45889</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45889</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56479-2020</t>
        </is>
      </c>
      <c r="B62" s="1" t="n">
        <v>44137</v>
      </c>
      <c r="C62" s="1" t="n">
        <v>45889</v>
      </c>
      <c r="D62" t="inlineStr">
        <is>
          <t>KALMAR LÄN</t>
        </is>
      </c>
      <c r="E62" t="inlineStr">
        <is>
          <t>BORGHOLM</t>
        </is>
      </c>
      <c r="F62" t="inlineStr">
        <is>
          <t>Sveaskog</t>
        </is>
      </c>
      <c r="G62" t="n">
        <v>2.6</v>
      </c>
      <c r="H62" t="n">
        <v>0</v>
      </c>
      <c r="I62" t="n">
        <v>0</v>
      </c>
      <c r="J62" t="n">
        <v>0</v>
      </c>
      <c r="K62" t="n">
        <v>0</v>
      </c>
      <c r="L62" t="n">
        <v>0</v>
      </c>
      <c r="M62" t="n">
        <v>0</v>
      </c>
      <c r="N62" t="n">
        <v>0</v>
      </c>
      <c r="O62" t="n">
        <v>0</v>
      </c>
      <c r="P62" t="n">
        <v>0</v>
      </c>
      <c r="Q62" t="n">
        <v>0</v>
      </c>
      <c r="R62" s="2" t="inlineStr"/>
    </row>
    <row r="63" ht="15" customHeight="1">
      <c r="A63" t="inlineStr">
        <is>
          <t>A 58253-2020</t>
        </is>
      </c>
      <c r="B63" s="1" t="n">
        <v>44144</v>
      </c>
      <c r="C63" s="1" t="n">
        <v>45889</v>
      </c>
      <c r="D63" t="inlineStr">
        <is>
          <t>KALMAR LÄN</t>
        </is>
      </c>
      <c r="E63" t="inlineStr">
        <is>
          <t>BORGHOLM</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56495-2020</t>
        </is>
      </c>
      <c r="B64" s="1" t="n">
        <v>44137</v>
      </c>
      <c r="C64" s="1" t="n">
        <v>45889</v>
      </c>
      <c r="D64" t="inlineStr">
        <is>
          <t>KALMAR LÄN</t>
        </is>
      </c>
      <c r="E64" t="inlineStr">
        <is>
          <t>BORGHOLM</t>
        </is>
      </c>
      <c r="F64" t="inlineStr">
        <is>
          <t>Sveaskog</t>
        </is>
      </c>
      <c r="G64" t="n">
        <v>1.4</v>
      </c>
      <c r="H64" t="n">
        <v>0</v>
      </c>
      <c r="I64" t="n">
        <v>0</v>
      </c>
      <c r="J64" t="n">
        <v>0</v>
      </c>
      <c r="K64" t="n">
        <v>0</v>
      </c>
      <c r="L64" t="n">
        <v>0</v>
      </c>
      <c r="M64" t="n">
        <v>0</v>
      </c>
      <c r="N64" t="n">
        <v>0</v>
      </c>
      <c r="O64" t="n">
        <v>0</v>
      </c>
      <c r="P64" t="n">
        <v>0</v>
      </c>
      <c r="Q64" t="n">
        <v>0</v>
      </c>
      <c r="R64" s="2" t="inlineStr"/>
    </row>
    <row r="65" ht="15" customHeight="1">
      <c r="A65" t="inlineStr">
        <is>
          <t>A 56492-2020</t>
        </is>
      </c>
      <c r="B65" s="1" t="n">
        <v>44137</v>
      </c>
      <c r="C65" s="1" t="n">
        <v>45889</v>
      </c>
      <c r="D65" t="inlineStr">
        <is>
          <t>KALMAR LÄN</t>
        </is>
      </c>
      <c r="E65" t="inlineStr">
        <is>
          <t>BORGHOLM</t>
        </is>
      </c>
      <c r="F65" t="inlineStr">
        <is>
          <t>Sveaskog</t>
        </is>
      </c>
      <c r="G65" t="n">
        <v>10.9</v>
      </c>
      <c r="H65" t="n">
        <v>0</v>
      </c>
      <c r="I65" t="n">
        <v>0</v>
      </c>
      <c r="J65" t="n">
        <v>0</v>
      </c>
      <c r="K65" t="n">
        <v>0</v>
      </c>
      <c r="L65" t="n">
        <v>0</v>
      </c>
      <c r="M65" t="n">
        <v>0</v>
      </c>
      <c r="N65" t="n">
        <v>0</v>
      </c>
      <c r="O65" t="n">
        <v>0</v>
      </c>
      <c r="P65" t="n">
        <v>0</v>
      </c>
      <c r="Q65" t="n">
        <v>0</v>
      </c>
      <c r="R65" s="2" t="inlineStr"/>
    </row>
    <row r="66" ht="15" customHeight="1">
      <c r="A66" t="inlineStr">
        <is>
          <t>A 42785-2021</t>
        </is>
      </c>
      <c r="B66" s="1" t="n">
        <v>44428</v>
      </c>
      <c r="C66" s="1" t="n">
        <v>45889</v>
      </c>
      <c r="D66" t="inlineStr">
        <is>
          <t>KALMAR LÄN</t>
        </is>
      </c>
      <c r="E66" t="inlineStr">
        <is>
          <t>BORGHOLM</t>
        </is>
      </c>
      <c r="G66" t="n">
        <v>2.8</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45889</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45889</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45889</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44678-2022</t>
        </is>
      </c>
      <c r="B70" s="1" t="n">
        <v>44840.65100694444</v>
      </c>
      <c r="C70" s="1" t="n">
        <v>45889</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61438-2023</t>
        </is>
      </c>
      <c r="B71" s="1" t="n">
        <v>45264</v>
      </c>
      <c r="C71" s="1" t="n">
        <v>45889</v>
      </c>
      <c r="D71" t="inlineStr">
        <is>
          <t>KALMAR LÄN</t>
        </is>
      </c>
      <c r="E71" t="inlineStr">
        <is>
          <t>BORGHOLM</t>
        </is>
      </c>
      <c r="G71" t="n">
        <v>1.1</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45889</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9044-2025</t>
        </is>
      </c>
      <c r="B73" s="1" t="n">
        <v>45713.6275</v>
      </c>
      <c r="C73" s="1" t="n">
        <v>45889</v>
      </c>
      <c r="D73" t="inlineStr">
        <is>
          <t>KALMAR LÄN</t>
        </is>
      </c>
      <c r="E73" t="inlineStr">
        <is>
          <t>BORGHOLM</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13041-2024</t>
        </is>
      </c>
      <c r="B74" s="1" t="n">
        <v>45385.60065972222</v>
      </c>
      <c r="C74" s="1" t="n">
        <v>45889</v>
      </c>
      <c r="D74" t="inlineStr">
        <is>
          <t>KALMAR LÄN</t>
        </is>
      </c>
      <c r="E74" t="inlineStr">
        <is>
          <t>BORGHOLM</t>
        </is>
      </c>
      <c r="G74" t="n">
        <v>0.5</v>
      </c>
      <c r="H74" t="n">
        <v>0</v>
      </c>
      <c r="I74" t="n">
        <v>0</v>
      </c>
      <c r="J74" t="n">
        <v>0</v>
      </c>
      <c r="K74" t="n">
        <v>0</v>
      </c>
      <c r="L74" t="n">
        <v>0</v>
      </c>
      <c r="M74" t="n">
        <v>0</v>
      </c>
      <c r="N74" t="n">
        <v>0</v>
      </c>
      <c r="O74" t="n">
        <v>0</v>
      </c>
      <c r="P74" t="n">
        <v>0</v>
      </c>
      <c r="Q74" t="n">
        <v>0</v>
      </c>
      <c r="R74" s="2" t="inlineStr"/>
    </row>
    <row r="75" ht="15" customHeight="1">
      <c r="A75" t="inlineStr">
        <is>
          <t>A 1614-2025</t>
        </is>
      </c>
      <c r="B75" s="1" t="n">
        <v>45670.60094907408</v>
      </c>
      <c r="C75" s="1" t="n">
        <v>45889</v>
      </c>
      <c r="D75" t="inlineStr">
        <is>
          <t>KALMAR LÄN</t>
        </is>
      </c>
      <c r="E75" t="inlineStr">
        <is>
          <t>BORGHOLM</t>
        </is>
      </c>
      <c r="G75" t="n">
        <v>1.4</v>
      </c>
      <c r="H75" t="n">
        <v>0</v>
      </c>
      <c r="I75" t="n">
        <v>0</v>
      </c>
      <c r="J75" t="n">
        <v>0</v>
      </c>
      <c r="K75" t="n">
        <v>0</v>
      </c>
      <c r="L75" t="n">
        <v>0</v>
      </c>
      <c r="M75" t="n">
        <v>0</v>
      </c>
      <c r="N75" t="n">
        <v>0</v>
      </c>
      <c r="O75" t="n">
        <v>0</v>
      </c>
      <c r="P75" t="n">
        <v>0</v>
      </c>
      <c r="Q75" t="n">
        <v>0</v>
      </c>
      <c r="R75" s="2" t="inlineStr"/>
    </row>
    <row r="76" ht="15" customHeight="1">
      <c r="A76" t="inlineStr">
        <is>
          <t>A 64303-2023</t>
        </is>
      </c>
      <c r="B76" s="1" t="n">
        <v>45280</v>
      </c>
      <c r="C76" s="1" t="n">
        <v>45889</v>
      </c>
      <c r="D76" t="inlineStr">
        <is>
          <t>KALMAR LÄN</t>
        </is>
      </c>
      <c r="E76" t="inlineStr">
        <is>
          <t>BORGHOLM</t>
        </is>
      </c>
      <c r="G76" t="n">
        <v>1.2</v>
      </c>
      <c r="H76" t="n">
        <v>0</v>
      </c>
      <c r="I76" t="n">
        <v>0</v>
      </c>
      <c r="J76" t="n">
        <v>0</v>
      </c>
      <c r="K76" t="n">
        <v>0</v>
      </c>
      <c r="L76" t="n">
        <v>0</v>
      </c>
      <c r="M76" t="n">
        <v>0</v>
      </c>
      <c r="N76" t="n">
        <v>0</v>
      </c>
      <c r="O76" t="n">
        <v>0</v>
      </c>
      <c r="P76" t="n">
        <v>0</v>
      </c>
      <c r="Q76" t="n">
        <v>0</v>
      </c>
      <c r="R76" s="2" t="inlineStr"/>
    </row>
    <row r="77" ht="15" customHeight="1">
      <c r="A77" t="inlineStr">
        <is>
          <t>A 44547-2021</t>
        </is>
      </c>
      <c r="B77" s="1" t="n">
        <v>44435</v>
      </c>
      <c r="C77" s="1" t="n">
        <v>45889</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63276-2023</t>
        </is>
      </c>
      <c r="B78" s="1" t="n">
        <v>45273.82195601852</v>
      </c>
      <c r="C78" s="1" t="n">
        <v>45889</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26160-2024</t>
        </is>
      </c>
      <c r="B79" s="1" t="n">
        <v>45468</v>
      </c>
      <c r="C79" s="1" t="n">
        <v>45889</v>
      </c>
      <c r="D79" t="inlineStr">
        <is>
          <t>KALMAR LÄN</t>
        </is>
      </c>
      <c r="E79" t="inlineStr">
        <is>
          <t>BORGHOLM</t>
        </is>
      </c>
      <c r="G79" t="n">
        <v>0.4</v>
      </c>
      <c r="H79" t="n">
        <v>0</v>
      </c>
      <c r="I79" t="n">
        <v>0</v>
      </c>
      <c r="J79" t="n">
        <v>0</v>
      </c>
      <c r="K79" t="n">
        <v>0</v>
      </c>
      <c r="L79" t="n">
        <v>0</v>
      </c>
      <c r="M79" t="n">
        <v>0</v>
      </c>
      <c r="N79" t="n">
        <v>0</v>
      </c>
      <c r="O79" t="n">
        <v>0</v>
      </c>
      <c r="P79" t="n">
        <v>0</v>
      </c>
      <c r="Q79" t="n">
        <v>0</v>
      </c>
      <c r="R79" s="2" t="inlineStr"/>
      <c r="T79">
        <f>HYPERLINK("https://klasma.github.io/Logging_0885/kartor/A 26160-2024 karta.png", "A 26160-2024")</f>
        <v/>
      </c>
      <c r="V79">
        <f>HYPERLINK("https://klasma.github.io/Logging_0885/klagomål/A 26160-2024 FSC-klagomål.docx", "A 26160-2024")</f>
        <v/>
      </c>
      <c r="W79">
        <f>HYPERLINK("https://klasma.github.io/Logging_0885/klagomålsmail/A 26160-2024 FSC-klagomål mail.docx", "A 26160-2024")</f>
        <v/>
      </c>
      <c r="X79">
        <f>HYPERLINK("https://klasma.github.io/Logging_0885/tillsyn/A 26160-2024 tillsynsbegäran.docx", "A 26160-2024")</f>
        <v/>
      </c>
      <c r="Y79">
        <f>HYPERLINK("https://klasma.github.io/Logging_0885/tillsynsmail/A 26160-2024 tillsynsbegäran mail.docx", "A 26160-2024")</f>
        <v/>
      </c>
    </row>
    <row r="80" ht="15" customHeight="1">
      <c r="A80" t="inlineStr">
        <is>
          <t>A 9028-2025</t>
        </is>
      </c>
      <c r="B80" s="1" t="n">
        <v>45713</v>
      </c>
      <c r="C80" s="1" t="n">
        <v>45889</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63075-2023</t>
        </is>
      </c>
      <c r="B81" s="1" t="n">
        <v>45273</v>
      </c>
      <c r="C81" s="1" t="n">
        <v>45889</v>
      </c>
      <c r="D81" t="inlineStr">
        <is>
          <t>KALMAR LÄN</t>
        </is>
      </c>
      <c r="E81" t="inlineStr">
        <is>
          <t>BORGHOLM</t>
        </is>
      </c>
      <c r="G81" t="n">
        <v>1.1</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45889</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9050-2025</t>
        </is>
      </c>
      <c r="B83" s="1" t="n">
        <v>45713.63512731482</v>
      </c>
      <c r="C83" s="1" t="n">
        <v>45889</v>
      </c>
      <c r="D83" t="inlineStr">
        <is>
          <t>KALMAR LÄN</t>
        </is>
      </c>
      <c r="E83" t="inlineStr">
        <is>
          <t>BORGHOLM</t>
        </is>
      </c>
      <c r="F83" t="inlineStr">
        <is>
          <t>Sveaskog</t>
        </is>
      </c>
      <c r="G83" t="n">
        <v>2.5</v>
      </c>
      <c r="H83" t="n">
        <v>0</v>
      </c>
      <c r="I83" t="n">
        <v>0</v>
      </c>
      <c r="J83" t="n">
        <v>0</v>
      </c>
      <c r="K83" t="n">
        <v>0</v>
      </c>
      <c r="L83" t="n">
        <v>0</v>
      </c>
      <c r="M83" t="n">
        <v>0</v>
      </c>
      <c r="N83" t="n">
        <v>0</v>
      </c>
      <c r="O83" t="n">
        <v>0</v>
      </c>
      <c r="P83" t="n">
        <v>0</v>
      </c>
      <c r="Q83" t="n">
        <v>0</v>
      </c>
      <c r="R83" s="2" t="inlineStr"/>
    </row>
    <row r="84" ht="15" customHeight="1">
      <c r="A84" t="inlineStr">
        <is>
          <t>A 12481-2025</t>
        </is>
      </c>
      <c r="B84" s="1" t="n">
        <v>45730.57878472222</v>
      </c>
      <c r="C84" s="1" t="n">
        <v>45889</v>
      </c>
      <c r="D84" t="inlineStr">
        <is>
          <t>KALMAR LÄN</t>
        </is>
      </c>
      <c r="E84" t="inlineStr">
        <is>
          <t>BORGHOLM</t>
        </is>
      </c>
      <c r="G84" t="n">
        <v>7.2</v>
      </c>
      <c r="H84" t="n">
        <v>0</v>
      </c>
      <c r="I84" t="n">
        <v>0</v>
      </c>
      <c r="J84" t="n">
        <v>0</v>
      </c>
      <c r="K84" t="n">
        <v>0</v>
      </c>
      <c r="L84" t="n">
        <v>0</v>
      </c>
      <c r="M84" t="n">
        <v>0</v>
      </c>
      <c r="N84" t="n">
        <v>0</v>
      </c>
      <c r="O84" t="n">
        <v>0</v>
      </c>
      <c r="P84" t="n">
        <v>0</v>
      </c>
      <c r="Q84" t="n">
        <v>0</v>
      </c>
      <c r="R84" s="2" t="inlineStr"/>
    </row>
    <row r="85" ht="15" customHeight="1">
      <c r="A85" t="inlineStr">
        <is>
          <t>A 13043-2024</t>
        </is>
      </c>
      <c r="B85" s="1" t="n">
        <v>45385.60111111111</v>
      </c>
      <c r="C85" s="1" t="n">
        <v>45889</v>
      </c>
      <c r="D85" t="inlineStr">
        <is>
          <t>KALMAR LÄN</t>
        </is>
      </c>
      <c r="E85" t="inlineStr">
        <is>
          <t>BORGHOLM</t>
        </is>
      </c>
      <c r="G85" t="n">
        <v>0.4</v>
      </c>
      <c r="H85" t="n">
        <v>0</v>
      </c>
      <c r="I85" t="n">
        <v>0</v>
      </c>
      <c r="J85" t="n">
        <v>0</v>
      </c>
      <c r="K85" t="n">
        <v>0</v>
      </c>
      <c r="L85" t="n">
        <v>0</v>
      </c>
      <c r="M85" t="n">
        <v>0</v>
      </c>
      <c r="N85" t="n">
        <v>0</v>
      </c>
      <c r="O85" t="n">
        <v>0</v>
      </c>
      <c r="P85" t="n">
        <v>0</v>
      </c>
      <c r="Q85" t="n">
        <v>0</v>
      </c>
      <c r="R85" s="2" t="inlineStr"/>
    </row>
    <row r="86" ht="15" customHeight="1">
      <c r="A86" t="inlineStr">
        <is>
          <t>A 20878-2024</t>
        </is>
      </c>
      <c r="B86" s="1" t="n">
        <v>45439.44748842593</v>
      </c>
      <c r="C86" s="1" t="n">
        <v>45889</v>
      </c>
      <c r="D86" t="inlineStr">
        <is>
          <t>KALMAR LÄN</t>
        </is>
      </c>
      <c r="E86" t="inlineStr">
        <is>
          <t>BORGHOLM</t>
        </is>
      </c>
      <c r="G86" t="n">
        <v>1.9</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45889</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17699-2025</t>
        </is>
      </c>
      <c r="B88" s="1" t="n">
        <v>45758.41846064815</v>
      </c>
      <c r="C88" s="1" t="n">
        <v>45889</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7669-2024</t>
        </is>
      </c>
      <c r="B89" s="1" t="n">
        <v>45348.82498842593</v>
      </c>
      <c r="C89" s="1" t="n">
        <v>45889</v>
      </c>
      <c r="D89" t="inlineStr">
        <is>
          <t>KALMAR LÄN</t>
        </is>
      </c>
      <c r="E89" t="inlineStr">
        <is>
          <t>BORGHOLM</t>
        </is>
      </c>
      <c r="G89" t="n">
        <v>2.3</v>
      </c>
      <c r="H89" t="n">
        <v>0</v>
      </c>
      <c r="I89" t="n">
        <v>0</v>
      </c>
      <c r="J89" t="n">
        <v>0</v>
      </c>
      <c r="K89" t="n">
        <v>0</v>
      </c>
      <c r="L89" t="n">
        <v>0</v>
      </c>
      <c r="M89" t="n">
        <v>0</v>
      </c>
      <c r="N89" t="n">
        <v>0</v>
      </c>
      <c r="O89" t="n">
        <v>0</v>
      </c>
      <c r="P89" t="n">
        <v>0</v>
      </c>
      <c r="Q89" t="n">
        <v>0</v>
      </c>
      <c r="R89" s="2" t="inlineStr"/>
    </row>
    <row r="90" ht="15" customHeight="1">
      <c r="A90" t="inlineStr">
        <is>
          <t>A 34780-2022</t>
        </is>
      </c>
      <c r="B90" s="1" t="n">
        <v>44795</v>
      </c>
      <c r="C90" s="1" t="n">
        <v>45889</v>
      </c>
      <c r="D90" t="inlineStr">
        <is>
          <t>KALMAR LÄN</t>
        </is>
      </c>
      <c r="E90" t="inlineStr">
        <is>
          <t>BORGHOLM</t>
        </is>
      </c>
      <c r="F90" t="inlineStr">
        <is>
          <t>Sveaskog</t>
        </is>
      </c>
      <c r="G90" t="n">
        <v>6.7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45889</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55367-2024</t>
        </is>
      </c>
      <c r="B92" s="1" t="n">
        <v>45621.87075231481</v>
      </c>
      <c r="C92" s="1" t="n">
        <v>45889</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20287-2025</t>
        </is>
      </c>
      <c r="B93" s="1" t="n">
        <v>45774.60741898148</v>
      </c>
      <c r="C93" s="1" t="n">
        <v>45889</v>
      </c>
      <c r="D93" t="inlineStr">
        <is>
          <t>KALMAR LÄN</t>
        </is>
      </c>
      <c r="E93" t="inlineStr">
        <is>
          <t>BORGHOLM</t>
        </is>
      </c>
      <c r="G93" t="n">
        <v>0.6</v>
      </c>
      <c r="H93" t="n">
        <v>0</v>
      </c>
      <c r="I93" t="n">
        <v>0</v>
      </c>
      <c r="J93" t="n">
        <v>0</v>
      </c>
      <c r="K93" t="n">
        <v>0</v>
      </c>
      <c r="L93" t="n">
        <v>0</v>
      </c>
      <c r="M93" t="n">
        <v>0</v>
      </c>
      <c r="N93" t="n">
        <v>0</v>
      </c>
      <c r="O93" t="n">
        <v>0</v>
      </c>
      <c r="P93" t="n">
        <v>0</v>
      </c>
      <c r="Q93" t="n">
        <v>0</v>
      </c>
      <c r="R93" s="2" t="inlineStr"/>
    </row>
    <row r="94" ht="15" customHeight="1">
      <c r="A94" t="inlineStr">
        <is>
          <t>A 4159-2024</t>
        </is>
      </c>
      <c r="B94" s="1" t="n">
        <v>45323</v>
      </c>
      <c r="C94" s="1" t="n">
        <v>45889</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9076-2025</t>
        </is>
      </c>
      <c r="B95" s="1" t="n">
        <v>45713.6596875</v>
      </c>
      <c r="C95" s="1" t="n">
        <v>45889</v>
      </c>
      <c r="D95" t="inlineStr">
        <is>
          <t>KALMAR LÄN</t>
        </is>
      </c>
      <c r="E95" t="inlineStr">
        <is>
          <t>BORGHOLM</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22785-2025</t>
        </is>
      </c>
      <c r="B96" s="1" t="n">
        <v>45789.64186342592</v>
      </c>
      <c r="C96" s="1" t="n">
        <v>45889</v>
      </c>
      <c r="D96" t="inlineStr">
        <is>
          <t>KALMAR LÄN</t>
        </is>
      </c>
      <c r="E96" t="inlineStr">
        <is>
          <t>BORGHOLM</t>
        </is>
      </c>
      <c r="G96" t="n">
        <v>0.6</v>
      </c>
      <c r="H96" t="n">
        <v>0</v>
      </c>
      <c r="I96" t="n">
        <v>0</v>
      </c>
      <c r="J96" t="n">
        <v>0</v>
      </c>
      <c r="K96" t="n">
        <v>0</v>
      </c>
      <c r="L96" t="n">
        <v>0</v>
      </c>
      <c r="M96" t="n">
        <v>0</v>
      </c>
      <c r="N96" t="n">
        <v>0</v>
      </c>
      <c r="O96" t="n">
        <v>0</v>
      </c>
      <c r="P96" t="n">
        <v>0</v>
      </c>
      <c r="Q96" t="n">
        <v>0</v>
      </c>
      <c r="R96" s="2" t="inlineStr"/>
    </row>
    <row r="97" ht="15" customHeight="1">
      <c r="A97" t="inlineStr">
        <is>
          <t>A 65144-2020</t>
        </is>
      </c>
      <c r="B97" s="1" t="n">
        <v>44172</v>
      </c>
      <c r="C97" s="1" t="n">
        <v>45889</v>
      </c>
      <c r="D97" t="inlineStr">
        <is>
          <t>KALMAR LÄN</t>
        </is>
      </c>
      <c r="E97" t="inlineStr">
        <is>
          <t>BORGHOLM</t>
        </is>
      </c>
      <c r="G97" t="n">
        <v>1.7</v>
      </c>
      <c r="H97" t="n">
        <v>0</v>
      </c>
      <c r="I97" t="n">
        <v>0</v>
      </c>
      <c r="J97" t="n">
        <v>0</v>
      </c>
      <c r="K97" t="n">
        <v>0</v>
      </c>
      <c r="L97" t="n">
        <v>0</v>
      </c>
      <c r="M97" t="n">
        <v>0</v>
      </c>
      <c r="N97" t="n">
        <v>0</v>
      </c>
      <c r="O97" t="n">
        <v>0</v>
      </c>
      <c r="P97" t="n">
        <v>0</v>
      </c>
      <c r="Q97" t="n">
        <v>0</v>
      </c>
      <c r="R97" s="2" t="inlineStr"/>
    </row>
    <row r="98" ht="15" customHeight="1">
      <c r="A98" t="inlineStr">
        <is>
          <t>A 12534-2022</t>
        </is>
      </c>
      <c r="B98" s="1" t="n">
        <v>44638</v>
      </c>
      <c r="C98" s="1" t="n">
        <v>45889</v>
      </c>
      <c r="D98" t="inlineStr">
        <is>
          <t>KALMAR LÄN</t>
        </is>
      </c>
      <c r="E98" t="inlineStr">
        <is>
          <t>BORGHOLM</t>
        </is>
      </c>
      <c r="G98" t="n">
        <v>8.6</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45889</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45889</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40339-2023</t>
        </is>
      </c>
      <c r="B101" s="1" t="n">
        <v>45169.62733796296</v>
      </c>
      <c r="C101" s="1" t="n">
        <v>45889</v>
      </c>
      <c r="D101" t="inlineStr">
        <is>
          <t>KALMAR LÄN</t>
        </is>
      </c>
      <c r="E101" t="inlineStr">
        <is>
          <t>BORGHOLM</t>
        </is>
      </c>
      <c r="G101" t="n">
        <v>3.8</v>
      </c>
      <c r="H101" t="n">
        <v>0</v>
      </c>
      <c r="I101" t="n">
        <v>0</v>
      </c>
      <c r="J101" t="n">
        <v>0</v>
      </c>
      <c r="K101" t="n">
        <v>0</v>
      </c>
      <c r="L101" t="n">
        <v>0</v>
      </c>
      <c r="M101" t="n">
        <v>0</v>
      </c>
      <c r="N101" t="n">
        <v>0</v>
      </c>
      <c r="O101" t="n">
        <v>0</v>
      </c>
      <c r="P101" t="n">
        <v>0</v>
      </c>
      <c r="Q101" t="n">
        <v>0</v>
      </c>
      <c r="R101" s="2" t="inlineStr"/>
    </row>
    <row r="102" ht="15" customHeight="1">
      <c r="A102" t="inlineStr">
        <is>
          <t>A 24166-2022</t>
        </is>
      </c>
      <c r="B102" s="1" t="n">
        <v>44725</v>
      </c>
      <c r="C102" s="1" t="n">
        <v>45889</v>
      </c>
      <c r="D102" t="inlineStr">
        <is>
          <t>KALMAR LÄN</t>
        </is>
      </c>
      <c r="E102" t="inlineStr">
        <is>
          <t>BORGHOLM</t>
        </is>
      </c>
      <c r="G102" t="n">
        <v>10.7</v>
      </c>
      <c r="H102" t="n">
        <v>0</v>
      </c>
      <c r="I102" t="n">
        <v>0</v>
      </c>
      <c r="J102" t="n">
        <v>0</v>
      </c>
      <c r="K102" t="n">
        <v>0</v>
      </c>
      <c r="L102" t="n">
        <v>0</v>
      </c>
      <c r="M102" t="n">
        <v>0</v>
      </c>
      <c r="N102" t="n">
        <v>0</v>
      </c>
      <c r="O102" t="n">
        <v>0</v>
      </c>
      <c r="P102" t="n">
        <v>0</v>
      </c>
      <c r="Q102" t="n">
        <v>0</v>
      </c>
      <c r="R102" s="2" t="inlineStr"/>
    </row>
    <row r="103" ht="15" customHeight="1">
      <c r="A103" t="inlineStr">
        <is>
          <t>A 26160-2025</t>
        </is>
      </c>
      <c r="B103" s="1" t="n">
        <v>45805.4490162037</v>
      </c>
      <c r="C103" s="1" t="n">
        <v>45889</v>
      </c>
      <c r="D103" t="inlineStr">
        <is>
          <t>KALMAR LÄN</t>
        </is>
      </c>
      <c r="E103" t="inlineStr">
        <is>
          <t>BORGHOLM</t>
        </is>
      </c>
      <c r="G103" t="n">
        <v>3.7</v>
      </c>
      <c r="H103" t="n">
        <v>0</v>
      </c>
      <c r="I103" t="n">
        <v>0</v>
      </c>
      <c r="J103" t="n">
        <v>0</v>
      </c>
      <c r="K103" t="n">
        <v>0</v>
      </c>
      <c r="L103" t="n">
        <v>0</v>
      </c>
      <c r="M103" t="n">
        <v>0</v>
      </c>
      <c r="N103" t="n">
        <v>0</v>
      </c>
      <c r="O103" t="n">
        <v>0</v>
      </c>
      <c r="P103" t="n">
        <v>0</v>
      </c>
      <c r="Q103" t="n">
        <v>0</v>
      </c>
      <c r="R103" s="2" t="inlineStr"/>
    </row>
    <row r="104" ht="15" customHeight="1">
      <c r="A104" t="inlineStr">
        <is>
          <t>A 31720-2022</t>
        </is>
      </c>
      <c r="B104" s="1" t="n">
        <v>44776</v>
      </c>
      <c r="C104" s="1" t="n">
        <v>45889</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26190-2025</t>
        </is>
      </c>
      <c r="B105" s="1" t="n">
        <v>45805.48349537037</v>
      </c>
      <c r="C105" s="1" t="n">
        <v>45889</v>
      </c>
      <c r="D105" t="inlineStr">
        <is>
          <t>KALMAR LÄN</t>
        </is>
      </c>
      <c r="E105" t="inlineStr">
        <is>
          <t>BORGHOLM</t>
        </is>
      </c>
      <c r="G105" t="n">
        <v>3.2</v>
      </c>
      <c r="H105" t="n">
        <v>0</v>
      </c>
      <c r="I105" t="n">
        <v>0</v>
      </c>
      <c r="J105" t="n">
        <v>0</v>
      </c>
      <c r="K105" t="n">
        <v>0</v>
      </c>
      <c r="L105" t="n">
        <v>0</v>
      </c>
      <c r="M105" t="n">
        <v>0</v>
      </c>
      <c r="N105" t="n">
        <v>0</v>
      </c>
      <c r="O105" t="n">
        <v>0</v>
      </c>
      <c r="P105" t="n">
        <v>0</v>
      </c>
      <c r="Q105" t="n">
        <v>0</v>
      </c>
      <c r="R105" s="2" t="inlineStr"/>
    </row>
    <row r="106" ht="15" customHeight="1">
      <c r="A106" t="inlineStr">
        <is>
          <t>A 29656-2023</t>
        </is>
      </c>
      <c r="B106" s="1" t="n">
        <v>45107</v>
      </c>
      <c r="C106" s="1" t="n">
        <v>45889</v>
      </c>
      <c r="D106" t="inlineStr">
        <is>
          <t>KALMAR LÄN</t>
        </is>
      </c>
      <c r="E106" t="inlineStr">
        <is>
          <t>BORGHOLM</t>
        </is>
      </c>
      <c r="G106" t="n">
        <v>4.1</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45889</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4878-2021</t>
        </is>
      </c>
      <c r="B108" s="1" t="n">
        <v>44225</v>
      </c>
      <c r="C108" s="1" t="n">
        <v>45889</v>
      </c>
      <c r="D108" t="inlineStr">
        <is>
          <t>KALMAR LÄN</t>
        </is>
      </c>
      <c r="E108" t="inlineStr">
        <is>
          <t>BORGHOLM</t>
        </is>
      </c>
      <c r="G108" t="n">
        <v>3</v>
      </c>
      <c r="H108" t="n">
        <v>0</v>
      </c>
      <c r="I108" t="n">
        <v>0</v>
      </c>
      <c r="J108" t="n">
        <v>0</v>
      </c>
      <c r="K108" t="n">
        <v>0</v>
      </c>
      <c r="L108" t="n">
        <v>0</v>
      </c>
      <c r="M108" t="n">
        <v>0</v>
      </c>
      <c r="N108" t="n">
        <v>0</v>
      </c>
      <c r="O108" t="n">
        <v>0</v>
      </c>
      <c r="P108" t="n">
        <v>0</v>
      </c>
      <c r="Q108" t="n">
        <v>0</v>
      </c>
      <c r="R108" s="2" t="inlineStr"/>
    </row>
    <row r="109" ht="15" customHeight="1">
      <c r="A109" t="inlineStr">
        <is>
          <t>A 4165-2023</t>
        </is>
      </c>
      <c r="B109" s="1" t="n">
        <v>44953</v>
      </c>
      <c r="C109" s="1" t="n">
        <v>45889</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27357-2025</t>
        </is>
      </c>
      <c r="B110" s="1" t="n">
        <v>45812.63650462963</v>
      </c>
      <c r="C110" s="1" t="n">
        <v>45889</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27366-2025</t>
        </is>
      </c>
      <c r="B111" s="1" t="n">
        <v>45812.64475694444</v>
      </c>
      <c r="C111" s="1" t="n">
        <v>45889</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34951-2022</t>
        </is>
      </c>
      <c r="B112" s="1" t="n">
        <v>44796</v>
      </c>
      <c r="C112" s="1" t="n">
        <v>45889</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9034-2025</t>
        </is>
      </c>
      <c r="B113" s="1" t="n">
        <v>45713</v>
      </c>
      <c r="C113" s="1" t="n">
        <v>45889</v>
      </c>
      <c r="D113" t="inlineStr">
        <is>
          <t>KALMAR LÄN</t>
        </is>
      </c>
      <c r="E113" t="inlineStr">
        <is>
          <t>BORGHOLM</t>
        </is>
      </c>
      <c r="F113" t="inlineStr">
        <is>
          <t>Sveaskog</t>
        </is>
      </c>
      <c r="G113" t="n">
        <v>6.8</v>
      </c>
      <c r="H113" t="n">
        <v>0</v>
      </c>
      <c r="I113" t="n">
        <v>0</v>
      </c>
      <c r="J113" t="n">
        <v>0</v>
      </c>
      <c r="K113" t="n">
        <v>0</v>
      </c>
      <c r="L113" t="n">
        <v>0</v>
      </c>
      <c r="M113" t="n">
        <v>0</v>
      </c>
      <c r="N113" t="n">
        <v>0</v>
      </c>
      <c r="O113" t="n">
        <v>0</v>
      </c>
      <c r="P113" t="n">
        <v>0</v>
      </c>
      <c r="Q113" t="n">
        <v>0</v>
      </c>
      <c r="R113" s="2" t="inlineStr"/>
    </row>
    <row r="114" ht="15" customHeight="1">
      <c r="A114" t="inlineStr">
        <is>
          <t>A 5175-2024</t>
        </is>
      </c>
      <c r="B114" s="1" t="n">
        <v>45330</v>
      </c>
      <c r="C114" s="1" t="n">
        <v>45889</v>
      </c>
      <c r="D114" t="inlineStr">
        <is>
          <t>KALMAR LÄN</t>
        </is>
      </c>
      <c r="E114" t="inlineStr">
        <is>
          <t>BORGHOLM</t>
        </is>
      </c>
      <c r="G114" t="n">
        <v>1.5</v>
      </c>
      <c r="H114" t="n">
        <v>0</v>
      </c>
      <c r="I114" t="n">
        <v>0</v>
      </c>
      <c r="J114" t="n">
        <v>0</v>
      </c>
      <c r="K114" t="n">
        <v>0</v>
      </c>
      <c r="L114" t="n">
        <v>0</v>
      </c>
      <c r="M114" t="n">
        <v>0</v>
      </c>
      <c r="N114" t="n">
        <v>0</v>
      </c>
      <c r="O114" t="n">
        <v>0</v>
      </c>
      <c r="P114" t="n">
        <v>0</v>
      </c>
      <c r="Q114" t="n">
        <v>0</v>
      </c>
      <c r="R114" s="2" t="inlineStr"/>
    </row>
    <row r="115" ht="15" customHeight="1">
      <c r="A115" t="inlineStr">
        <is>
          <t>A 28782-2025</t>
        </is>
      </c>
      <c r="B115" s="1" t="n">
        <v>45820.45572916666</v>
      </c>
      <c r="C115" s="1" t="n">
        <v>45889</v>
      </c>
      <c r="D115" t="inlineStr">
        <is>
          <t>KALMAR LÄN</t>
        </is>
      </c>
      <c r="E115" t="inlineStr">
        <is>
          <t>BORGHOLM</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13548-2025</t>
        </is>
      </c>
      <c r="B116" s="1" t="n">
        <v>45736.53827546296</v>
      </c>
      <c r="C116" s="1" t="n">
        <v>45889</v>
      </c>
      <c r="D116" t="inlineStr">
        <is>
          <t>KALMAR LÄN</t>
        </is>
      </c>
      <c r="E116" t="inlineStr">
        <is>
          <t>BORGHOLM</t>
        </is>
      </c>
      <c r="G116" t="n">
        <v>1</v>
      </c>
      <c r="H116" t="n">
        <v>0</v>
      </c>
      <c r="I116" t="n">
        <v>0</v>
      </c>
      <c r="J116" t="n">
        <v>0</v>
      </c>
      <c r="K116" t="n">
        <v>0</v>
      </c>
      <c r="L116" t="n">
        <v>0</v>
      </c>
      <c r="M116" t="n">
        <v>0</v>
      </c>
      <c r="N116" t="n">
        <v>0</v>
      </c>
      <c r="O116" t="n">
        <v>0</v>
      </c>
      <c r="P116" t="n">
        <v>0</v>
      </c>
      <c r="Q116" t="n">
        <v>0</v>
      </c>
      <c r="R116" s="2" t="inlineStr"/>
    </row>
    <row r="117" ht="15" customHeight="1">
      <c r="A117" t="inlineStr">
        <is>
          <t>A 36269-2025</t>
        </is>
      </c>
      <c r="B117" s="1" t="n">
        <v>45867.61736111111</v>
      </c>
      <c r="C117" s="1" t="n">
        <v>45889</v>
      </c>
      <c r="D117" t="inlineStr">
        <is>
          <t>KALMAR LÄN</t>
        </is>
      </c>
      <c r="E117" t="inlineStr">
        <is>
          <t>BORGHOLM</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32921-2023</t>
        </is>
      </c>
      <c r="B118" s="1" t="n">
        <v>45125</v>
      </c>
      <c r="C118" s="1" t="n">
        <v>45889</v>
      </c>
      <c r="D118" t="inlineStr">
        <is>
          <t>KALMAR LÄN</t>
        </is>
      </c>
      <c r="E118" t="inlineStr">
        <is>
          <t>BORGHOLM</t>
        </is>
      </c>
      <c r="G118" t="n">
        <v>2.9</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45889</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27326-2025</t>
        </is>
      </c>
      <c r="B120" s="1" t="n">
        <v>45812</v>
      </c>
      <c r="C120" s="1" t="n">
        <v>45889</v>
      </c>
      <c r="D120" t="inlineStr">
        <is>
          <t>KALMAR LÄN</t>
        </is>
      </c>
      <c r="E120" t="inlineStr">
        <is>
          <t>BORGHOLM</t>
        </is>
      </c>
      <c r="G120" t="n">
        <v>1.5</v>
      </c>
      <c r="H120" t="n">
        <v>0</v>
      </c>
      <c r="I120" t="n">
        <v>0</v>
      </c>
      <c r="J120" t="n">
        <v>0</v>
      </c>
      <c r="K120" t="n">
        <v>0</v>
      </c>
      <c r="L120" t="n">
        <v>0</v>
      </c>
      <c r="M120" t="n">
        <v>0</v>
      </c>
      <c r="N120" t="n">
        <v>0</v>
      </c>
      <c r="O120" t="n">
        <v>0</v>
      </c>
      <c r="P120" t="n">
        <v>0</v>
      </c>
      <c r="Q120" t="n">
        <v>0</v>
      </c>
      <c r="R120" s="2" t="inlineStr"/>
    </row>
    <row r="121" ht="15" customHeight="1">
      <c r="A121" t="inlineStr">
        <is>
          <t>A 31840-2021</t>
        </is>
      </c>
      <c r="B121" s="1" t="n">
        <v>44370</v>
      </c>
      <c r="C121" s="1" t="n">
        <v>45889</v>
      </c>
      <c r="D121" t="inlineStr">
        <is>
          <t>KALMAR LÄN</t>
        </is>
      </c>
      <c r="E121" t="inlineStr">
        <is>
          <t>BORGHOLM</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19867-2024</t>
        </is>
      </c>
      <c r="B122" s="1" t="n">
        <v>45433</v>
      </c>
      <c r="C122" s="1" t="n">
        <v>45889</v>
      </c>
      <c r="D122" t="inlineStr">
        <is>
          <t>KALMAR LÄN</t>
        </is>
      </c>
      <c r="E122" t="inlineStr">
        <is>
          <t>BORGHOLM</t>
        </is>
      </c>
      <c r="G122" t="n">
        <v>3.9</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45889</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12937-2022</t>
        </is>
      </c>
      <c r="B124" s="1" t="n">
        <v>44642</v>
      </c>
      <c r="C124" s="1" t="n">
        <v>45889</v>
      </c>
      <c r="D124" t="inlineStr">
        <is>
          <t>KALMAR LÄN</t>
        </is>
      </c>
      <c r="E124" t="inlineStr">
        <is>
          <t>BORGHOLM</t>
        </is>
      </c>
      <c r="F124" t="inlineStr">
        <is>
          <t>Sveaskog</t>
        </is>
      </c>
      <c r="G124" t="n">
        <v>1.8</v>
      </c>
      <c r="H124" t="n">
        <v>0</v>
      </c>
      <c r="I124" t="n">
        <v>0</v>
      </c>
      <c r="J124" t="n">
        <v>0</v>
      </c>
      <c r="K124" t="n">
        <v>0</v>
      </c>
      <c r="L124" t="n">
        <v>0</v>
      </c>
      <c r="M124" t="n">
        <v>0</v>
      </c>
      <c r="N124" t="n">
        <v>0</v>
      </c>
      <c r="O124" t="n">
        <v>0</v>
      </c>
      <c r="P124" t="n">
        <v>0</v>
      </c>
      <c r="Q124" t="n">
        <v>0</v>
      </c>
      <c r="R124" s="2" t="inlineStr"/>
    </row>
    <row r="125">
      <c r="A125" t="inlineStr">
        <is>
          <t>A 7960-2023</t>
        </is>
      </c>
      <c r="B125" s="1" t="n">
        <v>44973</v>
      </c>
      <c r="C125" s="1" t="n">
        <v>45889</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2025-08-20T08:25:57Z</dcterms:created>
  <dcterms:modified xmlns:dcterms="http://purl.org/dc/terms/" xmlns:xsi="http://www.w3.org/2001/XMLSchema-instance" xsi:type="dcterms:W3CDTF">2025-08-20T08:25:57Z</dcterms:modified>
</cp:coreProperties>
</file>