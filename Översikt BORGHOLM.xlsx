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45918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45918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45918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45918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45918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45918</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45918</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45918</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45918</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45918</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45918</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45918</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45918</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45918</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45918</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45918</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45918</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4164-2023</t>
        </is>
      </c>
      <c r="B19" s="1" t="n">
        <v>44953</v>
      </c>
      <c r="C19" s="1" t="n">
        <v>45918</v>
      </c>
      <c r="D19" t="inlineStr">
        <is>
          <t>KALMAR LÄN</t>
        </is>
      </c>
      <c r="E19" t="inlineStr">
        <is>
          <t>BORGHOLM</t>
        </is>
      </c>
      <c r="G19" t="n">
        <v>3.3</v>
      </c>
      <c r="H19" t="n">
        <v>1</v>
      </c>
      <c r="I19" t="n">
        <v>1</v>
      </c>
      <c r="J19" t="n">
        <v>0</v>
      </c>
      <c r="K19" t="n">
        <v>0</v>
      </c>
      <c r="L19" t="n">
        <v>0</v>
      </c>
      <c r="M19" t="n">
        <v>0</v>
      </c>
      <c r="N19" t="n">
        <v>0</v>
      </c>
      <c r="O19" t="n">
        <v>0</v>
      </c>
      <c r="P19" t="n">
        <v>0</v>
      </c>
      <c r="Q19" t="n">
        <v>2</v>
      </c>
      <c r="R19" s="2" t="inlineStr">
        <is>
          <t>Murgröna
Blåsippa</t>
        </is>
      </c>
      <c r="S19">
        <f>HYPERLINK("https://klasma.github.io/Logging_0885/artfynd/A 4164-2023 artfynd.xlsx", "A 4164-2023")</f>
        <v/>
      </c>
      <c r="T19">
        <f>HYPERLINK("https://klasma.github.io/Logging_0885/kartor/A 4164-2023 karta.png", "A 4164-2023")</f>
        <v/>
      </c>
      <c r="V19">
        <f>HYPERLINK("https://klasma.github.io/Logging_0885/klagomål/A 4164-2023 FSC-klagomål.docx", "A 4164-2023")</f>
        <v/>
      </c>
      <c r="W19">
        <f>HYPERLINK("https://klasma.github.io/Logging_0885/klagomålsmail/A 4164-2023 FSC-klagomål mail.docx", "A 4164-2023")</f>
        <v/>
      </c>
      <c r="X19">
        <f>HYPERLINK("https://klasma.github.io/Logging_0885/tillsyn/A 4164-2023 tillsynsbegäran.docx", "A 4164-2023")</f>
        <v/>
      </c>
      <c r="Y19">
        <f>HYPERLINK("https://klasma.github.io/Logging_0885/tillsynsmail/A 4164-2023 tillsynsbegäran mail.docx", "A 4164-2023")</f>
        <v/>
      </c>
    </row>
    <row r="20" ht="15" customHeight="1">
      <c r="A20" t="inlineStr">
        <is>
          <t>A 32174-2022</t>
        </is>
      </c>
      <c r="B20" s="1" t="n">
        <v>44781</v>
      </c>
      <c r="C20" s="1" t="n">
        <v>45918</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43756-2022</t>
        </is>
      </c>
      <c r="B21" s="1" t="n">
        <v>44837</v>
      </c>
      <c r="C21" s="1" t="n">
        <v>45918</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28779-2025</t>
        </is>
      </c>
      <c r="B22" s="1" t="n">
        <v>45820.44920138889</v>
      </c>
      <c r="C22" s="1" t="n">
        <v>45918</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45918</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45918</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38860-2025</t>
        </is>
      </c>
      <c r="B25" s="1" t="n">
        <v>45887.5609375</v>
      </c>
      <c r="C25" s="1" t="n">
        <v>45918</v>
      </c>
      <c r="D25" t="inlineStr">
        <is>
          <t>KALMAR LÄN</t>
        </is>
      </c>
      <c r="E25" t="inlineStr">
        <is>
          <t>BORGHOLM</t>
        </is>
      </c>
      <c r="G25" t="n">
        <v>5.6</v>
      </c>
      <c r="H25" t="n">
        <v>2</v>
      </c>
      <c r="I25" t="n">
        <v>1</v>
      </c>
      <c r="J25" t="n">
        <v>0</v>
      </c>
      <c r="K25" t="n">
        <v>0</v>
      </c>
      <c r="L25" t="n">
        <v>0</v>
      </c>
      <c r="M25" t="n">
        <v>0</v>
      </c>
      <c r="N25" t="n">
        <v>0</v>
      </c>
      <c r="O25" t="n">
        <v>0</v>
      </c>
      <c r="P25" t="n">
        <v>0</v>
      </c>
      <c r="Q25" t="n">
        <v>2</v>
      </c>
      <c r="R25" s="2" t="inlineStr">
        <is>
          <t>Skogsknipprot
Revlummer</t>
        </is>
      </c>
      <c r="S25">
        <f>HYPERLINK("https://klasma.github.io/Logging_0885/artfynd/A 38860-2025 artfynd.xlsx", "A 38860-2025")</f>
        <v/>
      </c>
      <c r="T25">
        <f>HYPERLINK("https://klasma.github.io/Logging_0885/kartor/A 38860-2025 karta.png", "A 38860-2025")</f>
        <v/>
      </c>
      <c r="V25">
        <f>HYPERLINK("https://klasma.github.io/Logging_0885/klagomål/A 38860-2025 FSC-klagomål.docx", "A 38860-2025")</f>
        <v/>
      </c>
      <c r="W25">
        <f>HYPERLINK("https://klasma.github.io/Logging_0885/klagomålsmail/A 38860-2025 FSC-klagomål mail.docx", "A 38860-2025")</f>
        <v/>
      </c>
      <c r="X25">
        <f>HYPERLINK("https://klasma.github.io/Logging_0885/tillsyn/A 38860-2025 tillsynsbegäran.docx", "A 38860-2025")</f>
        <v/>
      </c>
      <c r="Y25">
        <f>HYPERLINK("https://klasma.github.io/Logging_0885/tillsynsmail/A 38860-2025 tillsynsbegäran mail.docx", "A 38860-2025")</f>
        <v/>
      </c>
    </row>
    <row r="26" ht="15" customHeight="1">
      <c r="A26" t="inlineStr">
        <is>
          <t>A 3871-2021</t>
        </is>
      </c>
      <c r="B26" s="1" t="n">
        <v>44222</v>
      </c>
      <c r="C26" s="1" t="n">
        <v>45918</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45918</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13558-2025</t>
        </is>
      </c>
      <c r="B28" s="1" t="n">
        <v>45736.54974537037</v>
      </c>
      <c r="C28" s="1" t="n">
        <v>45918</v>
      </c>
      <c r="D28" t="inlineStr">
        <is>
          <t>KALMAR LÄN</t>
        </is>
      </c>
      <c r="E28" t="inlineStr">
        <is>
          <t>BORGHOLM</t>
        </is>
      </c>
      <c r="G28" t="n">
        <v>0.7</v>
      </c>
      <c r="H28" t="n">
        <v>0</v>
      </c>
      <c r="I28" t="n">
        <v>0</v>
      </c>
      <c r="J28" t="n">
        <v>1</v>
      </c>
      <c r="K28" t="n">
        <v>0</v>
      </c>
      <c r="L28" t="n">
        <v>0</v>
      </c>
      <c r="M28" t="n">
        <v>0</v>
      </c>
      <c r="N28" t="n">
        <v>0</v>
      </c>
      <c r="O28" t="n">
        <v>1</v>
      </c>
      <c r="P28" t="n">
        <v>0</v>
      </c>
      <c r="Q28" t="n">
        <v>1</v>
      </c>
      <c r="R28" s="2" t="inlineStr">
        <is>
          <t>Backruta</t>
        </is>
      </c>
      <c r="S28">
        <f>HYPERLINK("https://klasma.github.io/Logging_0885/artfynd/A 13558-2025 artfynd.xlsx", "A 13558-2025")</f>
        <v/>
      </c>
      <c r="T28">
        <f>HYPERLINK("https://klasma.github.io/Logging_0885/kartor/A 13558-2025 karta.png", "A 13558-2025")</f>
        <v/>
      </c>
      <c r="V28">
        <f>HYPERLINK("https://klasma.github.io/Logging_0885/klagomål/A 13558-2025 FSC-klagomål.docx", "A 13558-2025")</f>
        <v/>
      </c>
      <c r="W28">
        <f>HYPERLINK("https://klasma.github.io/Logging_0885/klagomålsmail/A 13558-2025 FSC-klagomål mail.docx", "A 13558-2025")</f>
        <v/>
      </c>
      <c r="X28">
        <f>HYPERLINK("https://klasma.github.io/Logging_0885/tillsyn/A 13558-2025 tillsynsbegäran.docx", "A 13558-2025")</f>
        <v/>
      </c>
      <c r="Y28">
        <f>HYPERLINK("https://klasma.github.io/Logging_0885/tillsynsmail/A 13558-2025 tillsynsbegäran mail.docx", "A 13558-2025")</f>
        <v/>
      </c>
    </row>
    <row r="29" ht="15" customHeight="1">
      <c r="A29" t="inlineStr">
        <is>
          <t>A 43603-2024</t>
        </is>
      </c>
      <c r="B29" s="1" t="n">
        <v>45569.44700231482</v>
      </c>
      <c r="C29" s="1" t="n">
        <v>45918</v>
      </c>
      <c r="D29" t="inlineStr">
        <is>
          <t>KALMAR LÄN</t>
        </is>
      </c>
      <c r="E29" t="inlineStr">
        <is>
          <t>BORGHOLM</t>
        </is>
      </c>
      <c r="G29" t="n">
        <v>3.8</v>
      </c>
      <c r="H29" t="n">
        <v>1</v>
      </c>
      <c r="I29" t="n">
        <v>0</v>
      </c>
      <c r="J29" t="n">
        <v>0</v>
      </c>
      <c r="K29" t="n">
        <v>1</v>
      </c>
      <c r="L29" t="n">
        <v>0</v>
      </c>
      <c r="M29" t="n">
        <v>0</v>
      </c>
      <c r="N29" t="n">
        <v>0</v>
      </c>
      <c r="O29" t="n">
        <v>1</v>
      </c>
      <c r="P29" t="n">
        <v>1</v>
      </c>
      <c r="Q29" t="n">
        <v>1</v>
      </c>
      <c r="R29" s="2" t="inlineStr">
        <is>
          <t>Väddnätfjäril</t>
        </is>
      </c>
      <c r="S29">
        <f>HYPERLINK("https://klasma.github.io/Logging_0885/artfynd/A 43603-2024 artfynd.xlsx", "A 43603-2024")</f>
        <v/>
      </c>
      <c r="T29">
        <f>HYPERLINK("https://klasma.github.io/Logging_0885/kartor/A 43603-2024 karta.png", "A 43603-2024")</f>
        <v/>
      </c>
      <c r="V29">
        <f>HYPERLINK("https://klasma.github.io/Logging_0885/klagomål/A 43603-2024 FSC-klagomål.docx", "A 43603-2024")</f>
        <v/>
      </c>
      <c r="W29">
        <f>HYPERLINK("https://klasma.github.io/Logging_0885/klagomålsmail/A 43603-2024 FSC-klagomål mail.docx", "A 43603-2024")</f>
        <v/>
      </c>
      <c r="X29">
        <f>HYPERLINK("https://klasma.github.io/Logging_0885/tillsyn/A 43603-2024 tillsynsbegäran.docx", "A 43603-2024")</f>
        <v/>
      </c>
      <c r="Y29">
        <f>HYPERLINK("https://klasma.github.io/Logging_0885/tillsynsmail/A 43603-2024 tillsynsbegäran mail.docx", "A 43603-2024")</f>
        <v/>
      </c>
    </row>
    <row r="30" ht="15" customHeight="1">
      <c r="A30" t="inlineStr">
        <is>
          <t>A 24701-2023</t>
        </is>
      </c>
      <c r="B30" s="1" t="n">
        <v>45084</v>
      </c>
      <c r="C30" s="1" t="n">
        <v>45918</v>
      </c>
      <c r="D30" t="inlineStr">
        <is>
          <t>KALMAR LÄN</t>
        </is>
      </c>
      <c r="E30" t="inlineStr">
        <is>
          <t>BORGHOLM</t>
        </is>
      </c>
      <c r="G30" t="n">
        <v>3</v>
      </c>
      <c r="H30" t="n">
        <v>0</v>
      </c>
      <c r="I30" t="n">
        <v>0</v>
      </c>
      <c r="J30" t="n">
        <v>0</v>
      </c>
      <c r="K30" t="n">
        <v>0</v>
      </c>
      <c r="L30" t="n">
        <v>1</v>
      </c>
      <c r="M30" t="n">
        <v>0</v>
      </c>
      <c r="N30" t="n">
        <v>0</v>
      </c>
      <c r="O30" t="n">
        <v>1</v>
      </c>
      <c r="P30" t="n">
        <v>1</v>
      </c>
      <c r="Q30" t="n">
        <v>1</v>
      </c>
      <c r="R30" s="2" t="inlineStr">
        <is>
          <t>Ask</t>
        </is>
      </c>
      <c r="S30">
        <f>HYPERLINK("https://klasma.github.io/Logging_0885/artfynd/A 24701-2023 artfynd.xlsx", "A 24701-2023")</f>
        <v/>
      </c>
      <c r="T30">
        <f>HYPERLINK("https://klasma.github.io/Logging_0885/kartor/A 24701-2023 karta.png", "A 24701-2023")</f>
        <v/>
      </c>
      <c r="V30">
        <f>HYPERLINK("https://klasma.github.io/Logging_0885/klagomål/A 24701-2023 FSC-klagomål.docx", "A 24701-2023")</f>
        <v/>
      </c>
      <c r="W30">
        <f>HYPERLINK("https://klasma.github.io/Logging_0885/klagomålsmail/A 24701-2023 FSC-klagomål mail.docx", "A 24701-2023")</f>
        <v/>
      </c>
      <c r="X30">
        <f>HYPERLINK("https://klasma.github.io/Logging_0885/tillsyn/A 24701-2023 tillsynsbegäran.docx", "A 24701-2023")</f>
        <v/>
      </c>
      <c r="Y30">
        <f>HYPERLINK("https://klasma.github.io/Logging_0885/tillsynsmail/A 24701-2023 tillsynsbegäran mail.docx", "A 24701-2023")</f>
        <v/>
      </c>
    </row>
    <row r="31" ht="15" customHeight="1">
      <c r="A31" t="inlineStr">
        <is>
          <t>A 14789-2021</t>
        </is>
      </c>
      <c r="B31" s="1" t="n">
        <v>44280</v>
      </c>
      <c r="C31" s="1" t="n">
        <v>45918</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66329-2020</t>
        </is>
      </c>
      <c r="B32" s="1" t="n">
        <v>44176</v>
      </c>
      <c r="C32" s="1" t="n">
        <v>45918</v>
      </c>
      <c r="D32" t="inlineStr">
        <is>
          <t>KALMAR LÄN</t>
        </is>
      </c>
      <c r="E32" t="inlineStr">
        <is>
          <t>BORGHOLM</t>
        </is>
      </c>
      <c r="G32" t="n">
        <v>7.4</v>
      </c>
      <c r="H32" t="n">
        <v>0</v>
      </c>
      <c r="I32" t="n">
        <v>0</v>
      </c>
      <c r="J32" t="n">
        <v>1</v>
      </c>
      <c r="K32" t="n">
        <v>0</v>
      </c>
      <c r="L32" t="n">
        <v>0</v>
      </c>
      <c r="M32" t="n">
        <v>0</v>
      </c>
      <c r="N32" t="n">
        <v>0</v>
      </c>
      <c r="O32" t="n">
        <v>1</v>
      </c>
      <c r="P32" t="n">
        <v>0</v>
      </c>
      <c r="Q32" t="n">
        <v>1</v>
      </c>
      <c r="R32" s="2" t="inlineStr">
        <is>
          <t>Säfferot</t>
        </is>
      </c>
      <c r="S32">
        <f>HYPERLINK("https://klasma.github.io/Logging_0885/artfynd/A 66329-2020 artfynd.xlsx", "A 66329-2020")</f>
        <v/>
      </c>
      <c r="T32">
        <f>HYPERLINK("https://klasma.github.io/Logging_0885/kartor/A 66329-2020 karta.png", "A 66329-2020")</f>
        <v/>
      </c>
      <c r="V32">
        <f>HYPERLINK("https://klasma.github.io/Logging_0885/klagomål/A 66329-2020 FSC-klagomål.docx", "A 66329-2020")</f>
        <v/>
      </c>
      <c r="W32">
        <f>HYPERLINK("https://klasma.github.io/Logging_0885/klagomålsmail/A 66329-2020 FSC-klagomål mail.docx", "A 66329-2020")</f>
        <v/>
      </c>
      <c r="X32">
        <f>HYPERLINK("https://klasma.github.io/Logging_0885/tillsyn/A 66329-2020 tillsynsbegäran.docx", "A 66329-2020")</f>
        <v/>
      </c>
      <c r="Y32">
        <f>HYPERLINK("https://klasma.github.io/Logging_0885/tillsynsmail/A 66329-2020 tillsynsbegäran mail.docx", "A 66329-2020")</f>
        <v/>
      </c>
    </row>
    <row r="33" ht="15" customHeight="1">
      <c r="A33" t="inlineStr">
        <is>
          <t>A 24048-2025</t>
        </is>
      </c>
      <c r="B33" s="1" t="n">
        <v>45796.4959375</v>
      </c>
      <c r="C33" s="1" t="n">
        <v>45918</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45918</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24704-2023</t>
        </is>
      </c>
      <c r="B35" s="1" t="n">
        <v>45084</v>
      </c>
      <c r="C35" s="1" t="n">
        <v>45918</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28785-2025</t>
        </is>
      </c>
      <c r="B36" s="1" t="n">
        <v>45820.46159722222</v>
      </c>
      <c r="C36" s="1" t="n">
        <v>45918</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45918</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9745-2023</t>
        </is>
      </c>
      <c r="B38" s="1" t="n">
        <v>44984</v>
      </c>
      <c r="C38" s="1" t="n">
        <v>45918</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12785-2021</t>
        </is>
      </c>
      <c r="B39" s="1" t="n">
        <v>44270</v>
      </c>
      <c r="C39" s="1" t="n">
        <v>45918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34885-2025</t>
        </is>
      </c>
      <c r="B40" s="1" t="n">
        <v>45849.47128472223</v>
      </c>
      <c r="C40" s="1" t="n">
        <v>45918</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58113-2020</t>
        </is>
      </c>
      <c r="B41" s="1" t="n">
        <v>44144</v>
      </c>
      <c r="C41" s="1" t="n">
        <v>45918</v>
      </c>
      <c r="D41" t="inlineStr">
        <is>
          <t>KALMAR LÄN</t>
        </is>
      </c>
      <c r="E41" t="inlineStr">
        <is>
          <t>BORGHOLM</t>
        </is>
      </c>
      <c r="F41" t="inlineStr">
        <is>
          <t>Sveaskog</t>
        </is>
      </c>
      <c r="G41" t="n">
        <v>3</v>
      </c>
      <c r="H41" t="n">
        <v>0</v>
      </c>
      <c r="I41" t="n">
        <v>0</v>
      </c>
      <c r="J41" t="n">
        <v>0</v>
      </c>
      <c r="K41" t="n">
        <v>0</v>
      </c>
      <c r="L41" t="n">
        <v>0</v>
      </c>
      <c r="M41" t="n">
        <v>0</v>
      </c>
      <c r="N41" t="n">
        <v>0</v>
      </c>
      <c r="O41" t="n">
        <v>0</v>
      </c>
      <c r="P41" t="n">
        <v>0</v>
      </c>
      <c r="Q41" t="n">
        <v>0</v>
      </c>
      <c r="R41" s="2" t="inlineStr"/>
    </row>
    <row r="42" ht="15" customHeight="1">
      <c r="A42" t="inlineStr">
        <is>
          <t>A 56499-2020</t>
        </is>
      </c>
      <c r="B42" s="1" t="n">
        <v>44137</v>
      </c>
      <c r="C42" s="1" t="n">
        <v>45918</v>
      </c>
      <c r="D42" t="inlineStr">
        <is>
          <t>KALMAR LÄN</t>
        </is>
      </c>
      <c r="E42" t="inlineStr">
        <is>
          <t>BORGHOLM</t>
        </is>
      </c>
      <c r="F42" t="inlineStr">
        <is>
          <t>Sveaskog</t>
        </is>
      </c>
      <c r="G42" t="n">
        <v>0.5</v>
      </c>
      <c r="H42" t="n">
        <v>0</v>
      </c>
      <c r="I42" t="n">
        <v>0</v>
      </c>
      <c r="J42" t="n">
        <v>0</v>
      </c>
      <c r="K42" t="n">
        <v>0</v>
      </c>
      <c r="L42" t="n">
        <v>0</v>
      </c>
      <c r="M42" t="n">
        <v>0</v>
      </c>
      <c r="N42" t="n">
        <v>0</v>
      </c>
      <c r="O42" t="n">
        <v>0</v>
      </c>
      <c r="P42" t="n">
        <v>0</v>
      </c>
      <c r="Q42" t="n">
        <v>0</v>
      </c>
      <c r="R42" s="2" t="inlineStr"/>
    </row>
    <row r="43" ht="15" customHeight="1">
      <c r="A43" t="inlineStr">
        <is>
          <t>A 56434-2020</t>
        </is>
      </c>
      <c r="B43" s="1" t="n">
        <v>44137</v>
      </c>
      <c r="C43" s="1" t="n">
        <v>45918</v>
      </c>
      <c r="D43" t="inlineStr">
        <is>
          <t>KALMAR LÄN</t>
        </is>
      </c>
      <c r="E43" t="inlineStr">
        <is>
          <t>BORGHOLM</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45918</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45918</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45918</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45918</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45918</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45918</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45918</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45918</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45918</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45918</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45918</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45918</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45918</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45918</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45918</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58253-2020</t>
        </is>
      </c>
      <c r="B59" s="1" t="n">
        <v>44144</v>
      </c>
      <c r="C59" s="1" t="n">
        <v>45918</v>
      </c>
      <c r="D59" t="inlineStr">
        <is>
          <t>KALMAR LÄN</t>
        </is>
      </c>
      <c r="E59" t="inlineStr">
        <is>
          <t>BORGHOLM</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27437-2022</t>
        </is>
      </c>
      <c r="B60" s="1" t="n">
        <v>44742.55567129629</v>
      </c>
      <c r="C60" s="1" t="n">
        <v>45918</v>
      </c>
      <c r="D60" t="inlineStr">
        <is>
          <t>KALMAR LÄN</t>
        </is>
      </c>
      <c r="E60" t="inlineStr">
        <is>
          <t>BORGHOLM</t>
        </is>
      </c>
      <c r="G60" t="n">
        <v>0.6</v>
      </c>
      <c r="H60" t="n">
        <v>0</v>
      </c>
      <c r="I60" t="n">
        <v>0</v>
      </c>
      <c r="J60" t="n">
        <v>0</v>
      </c>
      <c r="K60" t="n">
        <v>0</v>
      </c>
      <c r="L60" t="n">
        <v>0</v>
      </c>
      <c r="M60" t="n">
        <v>0</v>
      </c>
      <c r="N60" t="n">
        <v>0</v>
      </c>
      <c r="O60" t="n">
        <v>0</v>
      </c>
      <c r="P60" t="n">
        <v>0</v>
      </c>
      <c r="Q60" t="n">
        <v>0</v>
      </c>
      <c r="R60" s="2" t="inlineStr"/>
    </row>
    <row r="61" ht="15" customHeight="1">
      <c r="A61" t="inlineStr">
        <is>
          <t>A 56188-2021</t>
        </is>
      </c>
      <c r="B61" s="1" t="n">
        <v>44477.83525462963</v>
      </c>
      <c r="C61" s="1" t="n">
        <v>45918</v>
      </c>
      <c r="D61" t="inlineStr">
        <is>
          <t>KALMAR LÄN</t>
        </is>
      </c>
      <c r="E61" t="inlineStr">
        <is>
          <t>BORGHOLM</t>
        </is>
      </c>
      <c r="G61" t="n">
        <v>1.8</v>
      </c>
      <c r="H61" t="n">
        <v>0</v>
      </c>
      <c r="I61" t="n">
        <v>0</v>
      </c>
      <c r="J61" t="n">
        <v>0</v>
      </c>
      <c r="K61" t="n">
        <v>0</v>
      </c>
      <c r="L61" t="n">
        <v>0</v>
      </c>
      <c r="M61" t="n">
        <v>0</v>
      </c>
      <c r="N61" t="n">
        <v>0</v>
      </c>
      <c r="O61" t="n">
        <v>0</v>
      </c>
      <c r="P61" t="n">
        <v>0</v>
      </c>
      <c r="Q61" t="n">
        <v>0</v>
      </c>
      <c r="R61" s="2" t="inlineStr"/>
    </row>
    <row r="62" ht="15" customHeight="1">
      <c r="A62" t="inlineStr">
        <is>
          <t>A 62631-2021</t>
        </is>
      </c>
      <c r="B62" s="1" t="n">
        <v>44503</v>
      </c>
      <c r="C62" s="1" t="n">
        <v>45918</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56983-2021</t>
        </is>
      </c>
      <c r="B63" s="1" t="n">
        <v>44482</v>
      </c>
      <c r="C63" s="1" t="n">
        <v>45918</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58394-2020</t>
        </is>
      </c>
      <c r="B64" s="1" t="n">
        <v>44145</v>
      </c>
      <c r="C64" s="1" t="n">
        <v>45918</v>
      </c>
      <c r="D64" t="inlineStr">
        <is>
          <t>KALMAR LÄN</t>
        </is>
      </c>
      <c r="E64" t="inlineStr">
        <is>
          <t>BORGHOLM</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32180-2022</t>
        </is>
      </c>
      <c r="B65" s="1" t="n">
        <v>44781</v>
      </c>
      <c r="C65" s="1" t="n">
        <v>45918</v>
      </c>
      <c r="D65" t="inlineStr">
        <is>
          <t>KALMAR LÄN</t>
        </is>
      </c>
      <c r="E65" t="inlineStr">
        <is>
          <t>BORGHOLM</t>
        </is>
      </c>
      <c r="F65" t="inlineStr">
        <is>
          <t>Sveaskog</t>
        </is>
      </c>
      <c r="G65" t="n">
        <v>0.9</v>
      </c>
      <c r="H65" t="n">
        <v>0</v>
      </c>
      <c r="I65" t="n">
        <v>0</v>
      </c>
      <c r="J65" t="n">
        <v>0</v>
      </c>
      <c r="K65" t="n">
        <v>0</v>
      </c>
      <c r="L65" t="n">
        <v>0</v>
      </c>
      <c r="M65" t="n">
        <v>0</v>
      </c>
      <c r="N65" t="n">
        <v>0</v>
      </c>
      <c r="O65" t="n">
        <v>0</v>
      </c>
      <c r="P65" t="n">
        <v>0</v>
      </c>
      <c r="Q65" t="n">
        <v>0</v>
      </c>
      <c r="R65" s="2" t="inlineStr"/>
    </row>
    <row r="66" ht="15" customHeight="1">
      <c r="A66" t="inlineStr">
        <is>
          <t>A 56492-2020</t>
        </is>
      </c>
      <c r="B66" s="1" t="n">
        <v>44137</v>
      </c>
      <c r="C66" s="1" t="n">
        <v>45918</v>
      </c>
      <c r="D66" t="inlineStr">
        <is>
          <t>KALMAR LÄN</t>
        </is>
      </c>
      <c r="E66" t="inlineStr">
        <is>
          <t>BORGHOLM</t>
        </is>
      </c>
      <c r="F66" t="inlineStr">
        <is>
          <t>Sveaskog</t>
        </is>
      </c>
      <c r="G66" t="n">
        <v>10.9</v>
      </c>
      <c r="H66" t="n">
        <v>0</v>
      </c>
      <c r="I66" t="n">
        <v>0</v>
      </c>
      <c r="J66" t="n">
        <v>0</v>
      </c>
      <c r="K66" t="n">
        <v>0</v>
      </c>
      <c r="L66" t="n">
        <v>0</v>
      </c>
      <c r="M66" t="n">
        <v>0</v>
      </c>
      <c r="N66" t="n">
        <v>0</v>
      </c>
      <c r="O66" t="n">
        <v>0</v>
      </c>
      <c r="P66" t="n">
        <v>0</v>
      </c>
      <c r="Q66" t="n">
        <v>0</v>
      </c>
      <c r="R66" s="2" t="inlineStr"/>
    </row>
    <row r="67" ht="15" customHeight="1">
      <c r="A67" t="inlineStr">
        <is>
          <t>A 42785-2021</t>
        </is>
      </c>
      <c r="B67" s="1" t="n">
        <v>44428</v>
      </c>
      <c r="C67" s="1" t="n">
        <v>45918</v>
      </c>
      <c r="D67" t="inlineStr">
        <is>
          <t>KALMAR LÄN</t>
        </is>
      </c>
      <c r="E67" t="inlineStr">
        <is>
          <t>BORGHOLM</t>
        </is>
      </c>
      <c r="G67" t="n">
        <v>2.8</v>
      </c>
      <c r="H67" t="n">
        <v>0</v>
      </c>
      <c r="I67" t="n">
        <v>0</v>
      </c>
      <c r="J67" t="n">
        <v>0</v>
      </c>
      <c r="K67" t="n">
        <v>0</v>
      </c>
      <c r="L67" t="n">
        <v>0</v>
      </c>
      <c r="M67" t="n">
        <v>0</v>
      </c>
      <c r="N67" t="n">
        <v>0</v>
      </c>
      <c r="O67" t="n">
        <v>0</v>
      </c>
      <c r="P67" t="n">
        <v>0</v>
      </c>
      <c r="Q67" t="n">
        <v>0</v>
      </c>
      <c r="R67" s="2" t="inlineStr"/>
    </row>
    <row r="68" ht="15" customHeight="1">
      <c r="A68" t="inlineStr">
        <is>
          <t>A 9034-2025</t>
        </is>
      </c>
      <c r="B68" s="1" t="n">
        <v>45713</v>
      </c>
      <c r="C68" s="1" t="n">
        <v>45918</v>
      </c>
      <c r="D68" t="inlineStr">
        <is>
          <t>KALMAR LÄN</t>
        </is>
      </c>
      <c r="E68" t="inlineStr">
        <is>
          <t>BORGHOLM</t>
        </is>
      </c>
      <c r="F68" t="inlineStr">
        <is>
          <t>Sveaskog</t>
        </is>
      </c>
      <c r="G68" t="n">
        <v>6.8</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45918</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13548-2025</t>
        </is>
      </c>
      <c r="B70" s="1" t="n">
        <v>45736.53827546296</v>
      </c>
      <c r="C70" s="1" t="n">
        <v>45918</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7669-2024</t>
        </is>
      </c>
      <c r="B71" s="1" t="n">
        <v>45348.82498842593</v>
      </c>
      <c r="C71" s="1" t="n">
        <v>45918</v>
      </c>
      <c r="D71" t="inlineStr">
        <is>
          <t>KALMAR LÄN</t>
        </is>
      </c>
      <c r="E71" t="inlineStr">
        <is>
          <t>BORGHOLM</t>
        </is>
      </c>
      <c r="G71" t="n">
        <v>2.3</v>
      </c>
      <c r="H71" t="n">
        <v>0</v>
      </c>
      <c r="I71" t="n">
        <v>0</v>
      </c>
      <c r="J71" t="n">
        <v>0</v>
      </c>
      <c r="K71" t="n">
        <v>0</v>
      </c>
      <c r="L71" t="n">
        <v>0</v>
      </c>
      <c r="M71" t="n">
        <v>0</v>
      </c>
      <c r="N71" t="n">
        <v>0</v>
      </c>
      <c r="O71" t="n">
        <v>0</v>
      </c>
      <c r="P71" t="n">
        <v>0</v>
      </c>
      <c r="Q71" t="n">
        <v>0</v>
      </c>
      <c r="R71" s="2" t="inlineStr"/>
    </row>
    <row r="72" ht="15" customHeight="1">
      <c r="A72" t="inlineStr">
        <is>
          <t>A 3878-2023</t>
        </is>
      </c>
      <c r="B72" s="1" t="n">
        <v>44951</v>
      </c>
      <c r="C72" s="1" t="n">
        <v>45918</v>
      </c>
      <c r="D72" t="inlineStr">
        <is>
          <t>KALMAR LÄN</t>
        </is>
      </c>
      <c r="E72" t="inlineStr">
        <is>
          <t>BORGHOLM</t>
        </is>
      </c>
      <c r="G72" t="n">
        <v>1.7</v>
      </c>
      <c r="H72" t="n">
        <v>0</v>
      </c>
      <c r="I72" t="n">
        <v>0</v>
      </c>
      <c r="J72" t="n">
        <v>0</v>
      </c>
      <c r="K72" t="n">
        <v>0</v>
      </c>
      <c r="L72" t="n">
        <v>0</v>
      </c>
      <c r="M72" t="n">
        <v>0</v>
      </c>
      <c r="N72" t="n">
        <v>0</v>
      </c>
      <c r="O72" t="n">
        <v>0</v>
      </c>
      <c r="P72" t="n">
        <v>0</v>
      </c>
      <c r="Q72" t="n">
        <v>0</v>
      </c>
      <c r="R72" s="2" t="inlineStr"/>
    </row>
    <row r="73" ht="15" customHeight="1">
      <c r="A73" t="inlineStr">
        <is>
          <t>A 56495-2020</t>
        </is>
      </c>
      <c r="B73" s="1" t="n">
        <v>44137</v>
      </c>
      <c r="C73" s="1" t="n">
        <v>45918</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12937-2022</t>
        </is>
      </c>
      <c r="B74" s="1" t="n">
        <v>44642</v>
      </c>
      <c r="C74" s="1" t="n">
        <v>45918</v>
      </c>
      <c r="D74" t="inlineStr">
        <is>
          <t>KALMAR LÄN</t>
        </is>
      </c>
      <c r="E74" t="inlineStr">
        <is>
          <t>BORGHOLM</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17699-2025</t>
        </is>
      </c>
      <c r="B75" s="1" t="n">
        <v>45758.41846064815</v>
      </c>
      <c r="C75" s="1" t="n">
        <v>45918</v>
      </c>
      <c r="D75" t="inlineStr">
        <is>
          <t>KALMAR LÄN</t>
        </is>
      </c>
      <c r="E75" t="inlineStr">
        <is>
          <t>BORGHOLM</t>
        </is>
      </c>
      <c r="G75" t="n">
        <v>0.7</v>
      </c>
      <c r="H75" t="n">
        <v>0</v>
      </c>
      <c r="I75" t="n">
        <v>0</v>
      </c>
      <c r="J75" t="n">
        <v>0</v>
      </c>
      <c r="K75" t="n">
        <v>0</v>
      </c>
      <c r="L75" t="n">
        <v>0</v>
      </c>
      <c r="M75" t="n">
        <v>0</v>
      </c>
      <c r="N75" t="n">
        <v>0</v>
      </c>
      <c r="O75" t="n">
        <v>0</v>
      </c>
      <c r="P75" t="n">
        <v>0</v>
      </c>
      <c r="Q75" t="n">
        <v>0</v>
      </c>
      <c r="R75" s="2" t="inlineStr"/>
    </row>
    <row r="76" ht="15" customHeight="1">
      <c r="A76" t="inlineStr">
        <is>
          <t>A 20287-2025</t>
        </is>
      </c>
      <c r="B76" s="1" t="n">
        <v>45774.60741898148</v>
      </c>
      <c r="C76" s="1" t="n">
        <v>45918</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45918</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64303-2023</t>
        </is>
      </c>
      <c r="B78" s="1" t="n">
        <v>45280</v>
      </c>
      <c r="C78" s="1" t="n">
        <v>45918</v>
      </c>
      <c r="D78" t="inlineStr">
        <is>
          <t>KALMAR LÄN</t>
        </is>
      </c>
      <c r="E78" t="inlineStr">
        <is>
          <t>BORGHOLM</t>
        </is>
      </c>
      <c r="G78" t="n">
        <v>1.2</v>
      </c>
      <c r="H78" t="n">
        <v>0</v>
      </c>
      <c r="I78" t="n">
        <v>0</v>
      </c>
      <c r="J78" t="n">
        <v>0</v>
      </c>
      <c r="K78" t="n">
        <v>0</v>
      </c>
      <c r="L78" t="n">
        <v>0</v>
      </c>
      <c r="M78" t="n">
        <v>0</v>
      </c>
      <c r="N78" t="n">
        <v>0</v>
      </c>
      <c r="O78" t="n">
        <v>0</v>
      </c>
      <c r="P78" t="n">
        <v>0</v>
      </c>
      <c r="Q78" t="n">
        <v>0</v>
      </c>
      <c r="R78" s="2" t="inlineStr"/>
    </row>
    <row r="79" ht="15" customHeight="1">
      <c r="A79" t="inlineStr">
        <is>
          <t>A 31840-2021</t>
        </is>
      </c>
      <c r="B79" s="1" t="n">
        <v>44370</v>
      </c>
      <c r="C79" s="1" t="n">
        <v>45918</v>
      </c>
      <c r="D79" t="inlineStr">
        <is>
          <t>KALMAR LÄN</t>
        </is>
      </c>
      <c r="E79" t="inlineStr">
        <is>
          <t>BORGHOLM</t>
        </is>
      </c>
      <c r="F79" t="inlineStr">
        <is>
          <t>Sveaskog</t>
        </is>
      </c>
      <c r="G79" t="n">
        <v>2.8</v>
      </c>
      <c r="H79" t="n">
        <v>0</v>
      </c>
      <c r="I79" t="n">
        <v>0</v>
      </c>
      <c r="J79" t="n">
        <v>0</v>
      </c>
      <c r="K79" t="n">
        <v>0</v>
      </c>
      <c r="L79" t="n">
        <v>0</v>
      </c>
      <c r="M79" t="n">
        <v>0</v>
      </c>
      <c r="N79" t="n">
        <v>0</v>
      </c>
      <c r="O79" t="n">
        <v>0</v>
      </c>
      <c r="P79" t="n">
        <v>0</v>
      </c>
      <c r="Q79" t="n">
        <v>0</v>
      </c>
      <c r="R79" s="2" t="inlineStr"/>
    </row>
    <row r="80" ht="15" customHeight="1">
      <c r="A80" t="inlineStr">
        <is>
          <t>A 21908-2022</t>
        </is>
      </c>
      <c r="B80" s="1" t="n">
        <v>44711</v>
      </c>
      <c r="C80" s="1" t="n">
        <v>45918</v>
      </c>
      <c r="D80" t="inlineStr">
        <is>
          <t>KALMAR LÄN</t>
        </is>
      </c>
      <c r="E80" t="inlineStr">
        <is>
          <t>BORGHOLM</t>
        </is>
      </c>
      <c r="G80" t="n">
        <v>4.7</v>
      </c>
      <c r="H80" t="n">
        <v>0</v>
      </c>
      <c r="I80" t="n">
        <v>0</v>
      </c>
      <c r="J80" t="n">
        <v>0</v>
      </c>
      <c r="K80" t="n">
        <v>0</v>
      </c>
      <c r="L80" t="n">
        <v>0</v>
      </c>
      <c r="M80" t="n">
        <v>0</v>
      </c>
      <c r="N80" t="n">
        <v>0</v>
      </c>
      <c r="O80" t="n">
        <v>0</v>
      </c>
      <c r="P80" t="n">
        <v>0</v>
      </c>
      <c r="Q80" t="n">
        <v>0</v>
      </c>
      <c r="R80" s="2" t="inlineStr"/>
    </row>
    <row r="81" ht="15" customHeight="1">
      <c r="A81" t="inlineStr">
        <is>
          <t>A 9028-2025</t>
        </is>
      </c>
      <c r="B81" s="1" t="n">
        <v>45713</v>
      </c>
      <c r="C81" s="1" t="n">
        <v>45918</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55367-2024</t>
        </is>
      </c>
      <c r="B82" s="1" t="n">
        <v>45621.87075231481</v>
      </c>
      <c r="C82" s="1" t="n">
        <v>45918</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63075-2023</t>
        </is>
      </c>
      <c r="B83" s="1" t="n">
        <v>45273</v>
      </c>
      <c r="C83" s="1" t="n">
        <v>45918</v>
      </c>
      <c r="D83" t="inlineStr">
        <is>
          <t>KALMAR LÄN</t>
        </is>
      </c>
      <c r="E83" t="inlineStr">
        <is>
          <t>BORGHOLM</t>
        </is>
      </c>
      <c r="G83" t="n">
        <v>1.1</v>
      </c>
      <c r="H83" t="n">
        <v>0</v>
      </c>
      <c r="I83" t="n">
        <v>0</v>
      </c>
      <c r="J83" t="n">
        <v>0</v>
      </c>
      <c r="K83" t="n">
        <v>0</v>
      </c>
      <c r="L83" t="n">
        <v>0</v>
      </c>
      <c r="M83" t="n">
        <v>0</v>
      </c>
      <c r="N83" t="n">
        <v>0</v>
      </c>
      <c r="O83" t="n">
        <v>0</v>
      </c>
      <c r="P83" t="n">
        <v>0</v>
      </c>
      <c r="Q83" t="n">
        <v>0</v>
      </c>
      <c r="R83" s="2" t="inlineStr"/>
    </row>
    <row r="84" ht="15" customHeight="1">
      <c r="A84" t="inlineStr">
        <is>
          <t>A 32919-2023</t>
        </is>
      </c>
      <c r="B84" s="1" t="n">
        <v>45125</v>
      </c>
      <c r="C84" s="1" t="n">
        <v>45918</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45918</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44678-2022</t>
        </is>
      </c>
      <c r="B86" s="1" t="n">
        <v>44840.65100694444</v>
      </c>
      <c r="C86" s="1" t="n">
        <v>45918</v>
      </c>
      <c r="D86" t="inlineStr">
        <is>
          <t>KALMAR LÄN</t>
        </is>
      </c>
      <c r="E86" t="inlineStr">
        <is>
          <t>BORGHOLM</t>
        </is>
      </c>
      <c r="G86" t="n">
        <v>2.4</v>
      </c>
      <c r="H86" t="n">
        <v>0</v>
      </c>
      <c r="I86" t="n">
        <v>0</v>
      </c>
      <c r="J86" t="n">
        <v>0</v>
      </c>
      <c r="K86" t="n">
        <v>0</v>
      </c>
      <c r="L86" t="n">
        <v>0</v>
      </c>
      <c r="M86" t="n">
        <v>0</v>
      </c>
      <c r="N86" t="n">
        <v>0</v>
      </c>
      <c r="O86" t="n">
        <v>0</v>
      </c>
      <c r="P86" t="n">
        <v>0</v>
      </c>
      <c r="Q86" t="n">
        <v>0</v>
      </c>
      <c r="R86" s="2" t="inlineStr"/>
    </row>
    <row r="87" ht="15" customHeight="1">
      <c r="A87" t="inlineStr">
        <is>
          <t>A 31720-2022</t>
        </is>
      </c>
      <c r="B87" s="1" t="n">
        <v>44776</v>
      </c>
      <c r="C87" s="1" t="n">
        <v>45918</v>
      </c>
      <c r="D87" t="inlineStr">
        <is>
          <t>KALMAR LÄN</t>
        </is>
      </c>
      <c r="E87" t="inlineStr">
        <is>
          <t>BORGHOLM</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45918</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45918</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45918</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4159-2024</t>
        </is>
      </c>
      <c r="B91" s="1" t="n">
        <v>45323</v>
      </c>
      <c r="C91" s="1" t="n">
        <v>45918</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34951-2022</t>
        </is>
      </c>
      <c r="B92" s="1" t="n">
        <v>44796</v>
      </c>
      <c r="C92" s="1" t="n">
        <v>45918</v>
      </c>
      <c r="D92" t="inlineStr">
        <is>
          <t>KALMAR LÄN</t>
        </is>
      </c>
      <c r="E92" t="inlineStr">
        <is>
          <t>BORGHOLM</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19867-2024</t>
        </is>
      </c>
      <c r="B93" s="1" t="n">
        <v>45433</v>
      </c>
      <c r="C93" s="1" t="n">
        <v>45918</v>
      </c>
      <c r="D93" t="inlineStr">
        <is>
          <t>KALMAR LÄN</t>
        </is>
      </c>
      <c r="E93" t="inlineStr">
        <is>
          <t>BORGHOLM</t>
        </is>
      </c>
      <c r="G93" t="n">
        <v>3.9</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45918</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32921-2023</t>
        </is>
      </c>
      <c r="B95" s="1" t="n">
        <v>45125</v>
      </c>
      <c r="C95" s="1" t="n">
        <v>45918</v>
      </c>
      <c r="D95" t="inlineStr">
        <is>
          <t>KALMAR LÄN</t>
        </is>
      </c>
      <c r="E95" t="inlineStr">
        <is>
          <t>BORGHOLM</t>
        </is>
      </c>
      <c r="G95" t="n">
        <v>2.9</v>
      </c>
      <c r="H95" t="n">
        <v>0</v>
      </c>
      <c r="I95" t="n">
        <v>0</v>
      </c>
      <c r="J95" t="n">
        <v>0</v>
      </c>
      <c r="K95" t="n">
        <v>0</v>
      </c>
      <c r="L95" t="n">
        <v>0</v>
      </c>
      <c r="M95" t="n">
        <v>0</v>
      </c>
      <c r="N95" t="n">
        <v>0</v>
      </c>
      <c r="O95" t="n">
        <v>0</v>
      </c>
      <c r="P95" t="n">
        <v>0</v>
      </c>
      <c r="Q95" t="n">
        <v>0</v>
      </c>
      <c r="R95" s="2" t="inlineStr"/>
    </row>
    <row r="96" ht="15" customHeight="1">
      <c r="A96" t="inlineStr">
        <is>
          <t>A 22785-2025</t>
        </is>
      </c>
      <c r="B96" s="1" t="n">
        <v>45789.64186342592</v>
      </c>
      <c r="C96" s="1" t="n">
        <v>45918</v>
      </c>
      <c r="D96" t="inlineStr">
        <is>
          <t>KALMAR LÄN</t>
        </is>
      </c>
      <c r="E96" t="inlineStr">
        <is>
          <t>BORGHOLM</t>
        </is>
      </c>
      <c r="G96" t="n">
        <v>0.6</v>
      </c>
      <c r="H96" t="n">
        <v>0</v>
      </c>
      <c r="I96" t="n">
        <v>0</v>
      </c>
      <c r="J96" t="n">
        <v>0</v>
      </c>
      <c r="K96" t="n">
        <v>0</v>
      </c>
      <c r="L96" t="n">
        <v>0</v>
      </c>
      <c r="M96" t="n">
        <v>0</v>
      </c>
      <c r="N96" t="n">
        <v>0</v>
      </c>
      <c r="O96" t="n">
        <v>0</v>
      </c>
      <c r="P96" t="n">
        <v>0</v>
      </c>
      <c r="Q96" t="n">
        <v>0</v>
      </c>
      <c r="R96" s="2" t="inlineStr"/>
    </row>
    <row r="97" ht="15" customHeight="1">
      <c r="A97" t="inlineStr">
        <is>
          <t>A 31699-2022</t>
        </is>
      </c>
      <c r="B97" s="1" t="n">
        <v>44776</v>
      </c>
      <c r="C97" s="1" t="n">
        <v>45918</v>
      </c>
      <c r="D97" t="inlineStr">
        <is>
          <t>KALMAR LÄN</t>
        </is>
      </c>
      <c r="E97" t="inlineStr">
        <is>
          <t>BORGHOLM</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13383-2023</t>
        </is>
      </c>
      <c r="B98" s="1" t="n">
        <v>45005</v>
      </c>
      <c r="C98" s="1" t="n">
        <v>45918</v>
      </c>
      <c r="D98" t="inlineStr">
        <is>
          <t>KALMAR LÄN</t>
        </is>
      </c>
      <c r="E98" t="inlineStr">
        <is>
          <t>BORGHOLM</t>
        </is>
      </c>
      <c r="G98" t="n">
        <v>0.8</v>
      </c>
      <c r="H98" t="n">
        <v>0</v>
      </c>
      <c r="I98" t="n">
        <v>0</v>
      </c>
      <c r="J98" t="n">
        <v>0</v>
      </c>
      <c r="K98" t="n">
        <v>0</v>
      </c>
      <c r="L98" t="n">
        <v>0</v>
      </c>
      <c r="M98" t="n">
        <v>0</v>
      </c>
      <c r="N98" t="n">
        <v>0</v>
      </c>
      <c r="O98" t="n">
        <v>0</v>
      </c>
      <c r="P98" t="n">
        <v>0</v>
      </c>
      <c r="Q98" t="n">
        <v>0</v>
      </c>
      <c r="R98" s="2" t="inlineStr"/>
    </row>
    <row r="99" ht="15" customHeight="1">
      <c r="A99" t="inlineStr">
        <is>
          <t>A 61438-2023</t>
        </is>
      </c>
      <c r="B99" s="1" t="n">
        <v>45264</v>
      </c>
      <c r="C99" s="1" t="n">
        <v>45918</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63276-2023</t>
        </is>
      </c>
      <c r="B100" s="1" t="n">
        <v>45273.82195601852</v>
      </c>
      <c r="C100" s="1" t="n">
        <v>45918</v>
      </c>
      <c r="D100" t="inlineStr">
        <is>
          <t>KALMAR LÄN</t>
        </is>
      </c>
      <c r="E100" t="inlineStr">
        <is>
          <t>BORGHOLM</t>
        </is>
      </c>
      <c r="G100" t="n">
        <v>5</v>
      </c>
      <c r="H100" t="n">
        <v>0</v>
      </c>
      <c r="I100" t="n">
        <v>0</v>
      </c>
      <c r="J100" t="n">
        <v>0</v>
      </c>
      <c r="K100" t="n">
        <v>0</v>
      </c>
      <c r="L100" t="n">
        <v>0</v>
      </c>
      <c r="M100" t="n">
        <v>0</v>
      </c>
      <c r="N100" t="n">
        <v>0</v>
      </c>
      <c r="O100" t="n">
        <v>0</v>
      </c>
      <c r="P100" t="n">
        <v>0</v>
      </c>
      <c r="Q100" t="n">
        <v>0</v>
      </c>
      <c r="R100" s="2" t="inlineStr"/>
    </row>
    <row r="101" ht="15" customHeight="1">
      <c r="A101" t="inlineStr">
        <is>
          <t>A 13041-2024</t>
        </is>
      </c>
      <c r="B101" s="1" t="n">
        <v>45385.60065972222</v>
      </c>
      <c r="C101" s="1" t="n">
        <v>45918</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53050-2021</t>
        </is>
      </c>
      <c r="B102" s="1" t="n">
        <v>44467</v>
      </c>
      <c r="C102" s="1" t="n">
        <v>45918</v>
      </c>
      <c r="D102" t="inlineStr">
        <is>
          <t>KALMAR LÄN</t>
        </is>
      </c>
      <c r="E102" t="inlineStr">
        <is>
          <t>BORGHOLM</t>
        </is>
      </c>
      <c r="G102" t="n">
        <v>3.6</v>
      </c>
      <c r="H102" t="n">
        <v>0</v>
      </c>
      <c r="I102" t="n">
        <v>0</v>
      </c>
      <c r="J102" t="n">
        <v>0</v>
      </c>
      <c r="K102" t="n">
        <v>0</v>
      </c>
      <c r="L102" t="n">
        <v>0</v>
      </c>
      <c r="M102" t="n">
        <v>0</v>
      </c>
      <c r="N102" t="n">
        <v>0</v>
      </c>
      <c r="O102" t="n">
        <v>0</v>
      </c>
      <c r="P102" t="n">
        <v>0</v>
      </c>
      <c r="Q102" t="n">
        <v>0</v>
      </c>
      <c r="R102" s="2" t="inlineStr"/>
    </row>
    <row r="103" ht="15" customHeight="1">
      <c r="A103" t="inlineStr">
        <is>
          <t>A 4165-2023</t>
        </is>
      </c>
      <c r="B103" s="1" t="n">
        <v>44953</v>
      </c>
      <c r="C103" s="1" t="n">
        <v>45918</v>
      </c>
      <c r="D103" t="inlineStr">
        <is>
          <t>KALMAR LÄN</t>
        </is>
      </c>
      <c r="E103" t="inlineStr">
        <is>
          <t>BORGHOLM</t>
        </is>
      </c>
      <c r="G103" t="n">
        <v>0.6</v>
      </c>
      <c r="H103" t="n">
        <v>0</v>
      </c>
      <c r="I103" t="n">
        <v>0</v>
      </c>
      <c r="J103" t="n">
        <v>0</v>
      </c>
      <c r="K103" t="n">
        <v>0</v>
      </c>
      <c r="L103" t="n">
        <v>0</v>
      </c>
      <c r="M103" t="n">
        <v>0</v>
      </c>
      <c r="N103" t="n">
        <v>0</v>
      </c>
      <c r="O103" t="n">
        <v>0</v>
      </c>
      <c r="P103" t="n">
        <v>0</v>
      </c>
      <c r="Q103" t="n">
        <v>0</v>
      </c>
      <c r="R103" s="2" t="inlineStr"/>
    </row>
    <row r="104" ht="15" customHeight="1">
      <c r="A104" t="inlineStr">
        <is>
          <t>A 50129-2021</t>
        </is>
      </c>
      <c r="B104" s="1" t="n">
        <v>44456</v>
      </c>
      <c r="C104" s="1" t="n">
        <v>45918</v>
      </c>
      <c r="D104" t="inlineStr">
        <is>
          <t>KALMAR LÄN</t>
        </is>
      </c>
      <c r="E104" t="inlineStr">
        <is>
          <t>BORGHOLM</t>
        </is>
      </c>
      <c r="G104" t="n">
        <v>1.6</v>
      </c>
      <c r="H104" t="n">
        <v>0</v>
      </c>
      <c r="I104" t="n">
        <v>0</v>
      </c>
      <c r="J104" t="n">
        <v>0</v>
      </c>
      <c r="K104" t="n">
        <v>0</v>
      </c>
      <c r="L104" t="n">
        <v>0</v>
      </c>
      <c r="M104" t="n">
        <v>0</v>
      </c>
      <c r="N104" t="n">
        <v>0</v>
      </c>
      <c r="O104" t="n">
        <v>0</v>
      </c>
      <c r="P104" t="n">
        <v>0</v>
      </c>
      <c r="Q104" t="n">
        <v>0</v>
      </c>
      <c r="R104" s="2" t="inlineStr"/>
    </row>
    <row r="105" ht="15" customHeight="1">
      <c r="A105" t="inlineStr">
        <is>
          <t>A 12534-2022</t>
        </is>
      </c>
      <c r="B105" s="1" t="n">
        <v>44638</v>
      </c>
      <c r="C105" s="1" t="n">
        <v>45918</v>
      </c>
      <c r="D105" t="inlineStr">
        <is>
          <t>KALMAR LÄN</t>
        </is>
      </c>
      <c r="E105" t="inlineStr">
        <is>
          <t>BORGHOLM</t>
        </is>
      </c>
      <c r="G105" t="n">
        <v>8.6</v>
      </c>
      <c r="H105" t="n">
        <v>0</v>
      </c>
      <c r="I105" t="n">
        <v>0</v>
      </c>
      <c r="J105" t="n">
        <v>0</v>
      </c>
      <c r="K105" t="n">
        <v>0</v>
      </c>
      <c r="L105" t="n">
        <v>0</v>
      </c>
      <c r="M105" t="n">
        <v>0</v>
      </c>
      <c r="N105" t="n">
        <v>0</v>
      </c>
      <c r="O105" t="n">
        <v>0</v>
      </c>
      <c r="P105" t="n">
        <v>0</v>
      </c>
      <c r="Q105" t="n">
        <v>0</v>
      </c>
      <c r="R105" s="2" t="inlineStr"/>
    </row>
    <row r="106" ht="15" customHeight="1">
      <c r="A106" t="inlineStr">
        <is>
          <t>A 40339-2023</t>
        </is>
      </c>
      <c r="B106" s="1" t="n">
        <v>45169.62733796296</v>
      </c>
      <c r="C106" s="1" t="n">
        <v>45918</v>
      </c>
      <c r="D106" t="inlineStr">
        <is>
          <t>KALMAR LÄN</t>
        </is>
      </c>
      <c r="E106" t="inlineStr">
        <is>
          <t>BORGHOLM</t>
        </is>
      </c>
      <c r="G106" t="n">
        <v>3.8</v>
      </c>
      <c r="H106" t="n">
        <v>0</v>
      </c>
      <c r="I106" t="n">
        <v>0</v>
      </c>
      <c r="J106" t="n">
        <v>0</v>
      </c>
      <c r="K106" t="n">
        <v>0</v>
      </c>
      <c r="L106" t="n">
        <v>0</v>
      </c>
      <c r="M106" t="n">
        <v>0</v>
      </c>
      <c r="N106" t="n">
        <v>0</v>
      </c>
      <c r="O106" t="n">
        <v>0</v>
      </c>
      <c r="P106" t="n">
        <v>0</v>
      </c>
      <c r="Q106" t="n">
        <v>0</v>
      </c>
      <c r="R106" s="2" t="inlineStr"/>
    </row>
    <row r="107" ht="15" customHeight="1">
      <c r="A107" t="inlineStr">
        <is>
          <t>A 24166-2022</t>
        </is>
      </c>
      <c r="B107" s="1" t="n">
        <v>44725</v>
      </c>
      <c r="C107" s="1" t="n">
        <v>45918</v>
      </c>
      <c r="D107" t="inlineStr">
        <is>
          <t>KALMAR LÄN</t>
        </is>
      </c>
      <c r="E107" t="inlineStr">
        <is>
          <t>BORGHOLM</t>
        </is>
      </c>
      <c r="G107" t="n">
        <v>10.7</v>
      </c>
      <c r="H107" t="n">
        <v>0</v>
      </c>
      <c r="I107" t="n">
        <v>0</v>
      </c>
      <c r="J107" t="n">
        <v>0</v>
      </c>
      <c r="K107" t="n">
        <v>0</v>
      </c>
      <c r="L107" t="n">
        <v>0</v>
      </c>
      <c r="M107" t="n">
        <v>0</v>
      </c>
      <c r="N107" t="n">
        <v>0</v>
      </c>
      <c r="O107" t="n">
        <v>0</v>
      </c>
      <c r="P107" t="n">
        <v>0</v>
      </c>
      <c r="Q107" t="n">
        <v>0</v>
      </c>
      <c r="R107" s="2" t="inlineStr"/>
    </row>
    <row r="108" ht="15" customHeight="1">
      <c r="A108" t="inlineStr">
        <is>
          <t>A 26190-2025</t>
        </is>
      </c>
      <c r="B108" s="1" t="n">
        <v>45805.48349537037</v>
      </c>
      <c r="C108" s="1" t="n">
        <v>45918</v>
      </c>
      <c r="D108" t="inlineStr">
        <is>
          <t>KALMAR LÄN</t>
        </is>
      </c>
      <c r="E108" t="inlineStr">
        <is>
          <t>BORGHOLM</t>
        </is>
      </c>
      <c r="G108" t="n">
        <v>3.2</v>
      </c>
      <c r="H108" t="n">
        <v>0</v>
      </c>
      <c r="I108" t="n">
        <v>0</v>
      </c>
      <c r="J108" t="n">
        <v>0</v>
      </c>
      <c r="K108" t="n">
        <v>0</v>
      </c>
      <c r="L108" t="n">
        <v>0</v>
      </c>
      <c r="M108" t="n">
        <v>0</v>
      </c>
      <c r="N108" t="n">
        <v>0</v>
      </c>
      <c r="O108" t="n">
        <v>0</v>
      </c>
      <c r="P108" t="n">
        <v>0</v>
      </c>
      <c r="Q108" t="n">
        <v>0</v>
      </c>
      <c r="R108" s="2" t="inlineStr"/>
    </row>
    <row r="109" ht="15" customHeight="1">
      <c r="A109" t="inlineStr">
        <is>
          <t>A 1614-2025</t>
        </is>
      </c>
      <c r="B109" s="1" t="n">
        <v>45670.60094907408</v>
      </c>
      <c r="C109" s="1" t="n">
        <v>45918</v>
      </c>
      <c r="D109" t="inlineStr">
        <is>
          <t>KALMAR LÄN</t>
        </is>
      </c>
      <c r="E109" t="inlineStr">
        <is>
          <t>BORGHOLM</t>
        </is>
      </c>
      <c r="G109" t="n">
        <v>1.4</v>
      </c>
      <c r="H109" t="n">
        <v>0</v>
      </c>
      <c r="I109" t="n">
        <v>0</v>
      </c>
      <c r="J109" t="n">
        <v>0</v>
      </c>
      <c r="K109" t="n">
        <v>0</v>
      </c>
      <c r="L109" t="n">
        <v>0</v>
      </c>
      <c r="M109" t="n">
        <v>0</v>
      </c>
      <c r="N109" t="n">
        <v>0</v>
      </c>
      <c r="O109" t="n">
        <v>0</v>
      </c>
      <c r="P109" t="n">
        <v>0</v>
      </c>
      <c r="Q109" t="n">
        <v>0</v>
      </c>
      <c r="R109" s="2" t="inlineStr"/>
    </row>
    <row r="110" ht="15" customHeight="1">
      <c r="A110" t="inlineStr">
        <is>
          <t>A 26160-2025</t>
        </is>
      </c>
      <c r="B110" s="1" t="n">
        <v>45805.4490162037</v>
      </c>
      <c r="C110" s="1" t="n">
        <v>45918</v>
      </c>
      <c r="D110" t="inlineStr">
        <is>
          <t>KALMAR LÄN</t>
        </is>
      </c>
      <c r="E110" t="inlineStr">
        <is>
          <t>BORGHOLM</t>
        </is>
      </c>
      <c r="G110" t="n">
        <v>3.7</v>
      </c>
      <c r="H110" t="n">
        <v>0</v>
      </c>
      <c r="I110" t="n">
        <v>0</v>
      </c>
      <c r="J110" t="n">
        <v>0</v>
      </c>
      <c r="K110" t="n">
        <v>0</v>
      </c>
      <c r="L110" t="n">
        <v>0</v>
      </c>
      <c r="M110" t="n">
        <v>0</v>
      </c>
      <c r="N110" t="n">
        <v>0</v>
      </c>
      <c r="O110" t="n">
        <v>0</v>
      </c>
      <c r="P110" t="n">
        <v>0</v>
      </c>
      <c r="Q110" t="n">
        <v>0</v>
      </c>
      <c r="R110" s="2" t="inlineStr"/>
    </row>
    <row r="111" ht="15" customHeight="1">
      <c r="A111" t="inlineStr">
        <is>
          <t>A 27357-2025</t>
        </is>
      </c>
      <c r="B111" s="1" t="n">
        <v>45812.63650462963</v>
      </c>
      <c r="C111" s="1" t="n">
        <v>45918</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27366-2025</t>
        </is>
      </c>
      <c r="B112" s="1" t="n">
        <v>45812.64475694444</v>
      </c>
      <c r="C112" s="1" t="n">
        <v>45918</v>
      </c>
      <c r="D112" t="inlineStr">
        <is>
          <t>KALMAR LÄN</t>
        </is>
      </c>
      <c r="E112" t="inlineStr">
        <is>
          <t>BORGHOLM</t>
        </is>
      </c>
      <c r="F112" t="inlineStr">
        <is>
          <t>Sveaskog</t>
        </is>
      </c>
      <c r="G112" t="n">
        <v>2.5</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45918</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9076-2025</t>
        </is>
      </c>
      <c r="B114" s="1" t="n">
        <v>45713.6596875</v>
      </c>
      <c r="C114" s="1" t="n">
        <v>45918</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1757-2025</t>
        </is>
      </c>
      <c r="B115" s="1" t="n">
        <v>45671.42195601852</v>
      </c>
      <c r="C115" s="1" t="n">
        <v>45918</v>
      </c>
      <c r="D115" t="inlineStr">
        <is>
          <t>KALMAR LÄN</t>
        </is>
      </c>
      <c r="E115" t="inlineStr">
        <is>
          <t>BORGHOLM</t>
        </is>
      </c>
      <c r="G115" t="n">
        <v>1.4</v>
      </c>
      <c r="H115" t="n">
        <v>0</v>
      </c>
      <c r="I115" t="n">
        <v>0</v>
      </c>
      <c r="J115" t="n">
        <v>0</v>
      </c>
      <c r="K115" t="n">
        <v>0</v>
      </c>
      <c r="L115" t="n">
        <v>0</v>
      </c>
      <c r="M115" t="n">
        <v>0</v>
      </c>
      <c r="N115" t="n">
        <v>0</v>
      </c>
      <c r="O115" t="n">
        <v>0</v>
      </c>
      <c r="P115" t="n">
        <v>0</v>
      </c>
      <c r="Q115" t="n">
        <v>0</v>
      </c>
      <c r="R115" s="2" t="inlineStr"/>
    </row>
    <row r="116" ht="15" customHeight="1">
      <c r="A116" t="inlineStr">
        <is>
          <t>A 13043-2024</t>
        </is>
      </c>
      <c r="B116" s="1" t="n">
        <v>45385.60111111111</v>
      </c>
      <c r="C116" s="1" t="n">
        <v>45918</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row>
    <row r="117" ht="15" customHeight="1">
      <c r="A117" t="inlineStr">
        <is>
          <t>A 7960-2023</t>
        </is>
      </c>
      <c r="B117" s="1" t="n">
        <v>44973</v>
      </c>
      <c r="C117" s="1" t="n">
        <v>45918</v>
      </c>
      <c r="D117" t="inlineStr">
        <is>
          <t>KALMAR LÄN</t>
        </is>
      </c>
      <c r="E117" t="inlineStr">
        <is>
          <t>BORGHOLM</t>
        </is>
      </c>
      <c r="G117" t="n">
        <v>2.1</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45918</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29656-2023</t>
        </is>
      </c>
      <c r="B119" s="1" t="n">
        <v>45107</v>
      </c>
      <c r="C119" s="1" t="n">
        <v>45918</v>
      </c>
      <c r="D119" t="inlineStr">
        <is>
          <t>KALMAR LÄN</t>
        </is>
      </c>
      <c r="E119" t="inlineStr">
        <is>
          <t>BORGHOLM</t>
        </is>
      </c>
      <c r="G119" t="n">
        <v>4.1</v>
      </c>
      <c r="H119" t="n">
        <v>0</v>
      </c>
      <c r="I119" t="n">
        <v>0</v>
      </c>
      <c r="J119" t="n">
        <v>0</v>
      </c>
      <c r="K119" t="n">
        <v>0</v>
      </c>
      <c r="L119" t="n">
        <v>0</v>
      </c>
      <c r="M119" t="n">
        <v>0</v>
      </c>
      <c r="N119" t="n">
        <v>0</v>
      </c>
      <c r="O119" t="n">
        <v>0</v>
      </c>
      <c r="P119" t="n">
        <v>0</v>
      </c>
      <c r="Q119" t="n">
        <v>0</v>
      </c>
      <c r="R119" s="2" t="inlineStr"/>
    </row>
    <row r="120" ht="15" customHeight="1">
      <c r="A120" t="inlineStr">
        <is>
          <t>A 9044-2025</t>
        </is>
      </c>
      <c r="B120" s="1" t="n">
        <v>45713.6275</v>
      </c>
      <c r="C120" s="1" t="n">
        <v>45918</v>
      </c>
      <c r="D120" t="inlineStr">
        <is>
          <t>KALMAR LÄN</t>
        </is>
      </c>
      <c r="E120" t="inlineStr">
        <is>
          <t>BORGHOLM</t>
        </is>
      </c>
      <c r="F120" t="inlineStr">
        <is>
          <t>Sveaskog</t>
        </is>
      </c>
      <c r="G120" t="n">
        <v>4</v>
      </c>
      <c r="H120" t="n">
        <v>0</v>
      </c>
      <c r="I120" t="n">
        <v>0</v>
      </c>
      <c r="J120" t="n">
        <v>0</v>
      </c>
      <c r="K120" t="n">
        <v>0</v>
      </c>
      <c r="L120" t="n">
        <v>0</v>
      </c>
      <c r="M120" t="n">
        <v>0</v>
      </c>
      <c r="N120" t="n">
        <v>0</v>
      </c>
      <c r="O120" t="n">
        <v>0</v>
      </c>
      <c r="P120" t="n">
        <v>0</v>
      </c>
      <c r="Q120" t="n">
        <v>0</v>
      </c>
      <c r="R120" s="2" t="inlineStr"/>
    </row>
    <row r="121" ht="15" customHeight="1">
      <c r="A121" t="inlineStr">
        <is>
          <t>A 9050-2025</t>
        </is>
      </c>
      <c r="B121" s="1" t="n">
        <v>45713.63512731482</v>
      </c>
      <c r="C121" s="1" t="n">
        <v>45918</v>
      </c>
      <c r="D121" t="inlineStr">
        <is>
          <t>KALMAR LÄN</t>
        </is>
      </c>
      <c r="E121" t="inlineStr">
        <is>
          <t>BORGHOLM</t>
        </is>
      </c>
      <c r="F121" t="inlineStr">
        <is>
          <t>Sveaskog</t>
        </is>
      </c>
      <c r="G121" t="n">
        <v>2.5</v>
      </c>
      <c r="H121" t="n">
        <v>0</v>
      </c>
      <c r="I121" t="n">
        <v>0</v>
      </c>
      <c r="J121" t="n">
        <v>0</v>
      </c>
      <c r="K121" t="n">
        <v>0</v>
      </c>
      <c r="L121" t="n">
        <v>0</v>
      </c>
      <c r="M121" t="n">
        <v>0</v>
      </c>
      <c r="N121" t="n">
        <v>0</v>
      </c>
      <c r="O121" t="n">
        <v>0</v>
      </c>
      <c r="P121" t="n">
        <v>0</v>
      </c>
      <c r="Q121" t="n">
        <v>0</v>
      </c>
      <c r="R121" s="2" t="inlineStr"/>
    </row>
    <row r="122" ht="15" customHeight="1">
      <c r="A122" t="inlineStr">
        <is>
          <t>A 20878-2024</t>
        </is>
      </c>
      <c r="B122" s="1" t="n">
        <v>45439.44748842593</v>
      </c>
      <c r="C122" s="1" t="n">
        <v>45918</v>
      </c>
      <c r="D122" t="inlineStr">
        <is>
          <t>KALMAR LÄN</t>
        </is>
      </c>
      <c r="E122" t="inlineStr">
        <is>
          <t>BORGHOLM</t>
        </is>
      </c>
      <c r="G122" t="n">
        <v>1.9</v>
      </c>
      <c r="H122" t="n">
        <v>0</v>
      </c>
      <c r="I122" t="n">
        <v>0</v>
      </c>
      <c r="J122" t="n">
        <v>0</v>
      </c>
      <c r="K122" t="n">
        <v>0</v>
      </c>
      <c r="L122" t="n">
        <v>0</v>
      </c>
      <c r="M122" t="n">
        <v>0</v>
      </c>
      <c r="N122" t="n">
        <v>0</v>
      </c>
      <c r="O122" t="n">
        <v>0</v>
      </c>
      <c r="P122" t="n">
        <v>0</v>
      </c>
      <c r="Q122" t="n">
        <v>0</v>
      </c>
      <c r="R122" s="2" t="inlineStr"/>
    </row>
    <row r="123" ht="15" customHeight="1">
      <c r="A123" t="inlineStr">
        <is>
          <t>A 41831-2025</t>
        </is>
      </c>
      <c r="B123" s="1" t="n">
        <v>45902.67887731481</v>
      </c>
      <c r="C123" s="1" t="n">
        <v>45918</v>
      </c>
      <c r="D123" t="inlineStr">
        <is>
          <t>KALMAR LÄN</t>
        </is>
      </c>
      <c r="E123" t="inlineStr">
        <is>
          <t>BORGHOLM</t>
        </is>
      </c>
      <c r="G123" t="n">
        <v>1.5</v>
      </c>
      <c r="H123" t="n">
        <v>0</v>
      </c>
      <c r="I123" t="n">
        <v>0</v>
      </c>
      <c r="J123" t="n">
        <v>0</v>
      </c>
      <c r="K123" t="n">
        <v>0</v>
      </c>
      <c r="L123" t="n">
        <v>0</v>
      </c>
      <c r="M123" t="n">
        <v>0</v>
      </c>
      <c r="N123" t="n">
        <v>0</v>
      </c>
      <c r="O123" t="n">
        <v>0</v>
      </c>
      <c r="P123" t="n">
        <v>0</v>
      </c>
      <c r="Q123" t="n">
        <v>0</v>
      </c>
      <c r="R123" s="2" t="inlineStr"/>
    </row>
    <row r="124" ht="15" customHeight="1">
      <c r="A124" t="inlineStr">
        <is>
          <t>A 41950-2025</t>
        </is>
      </c>
      <c r="B124" s="1" t="n">
        <v>45903.45767361111</v>
      </c>
      <c r="C124" s="1" t="n">
        <v>45918</v>
      </c>
      <c r="D124" t="inlineStr">
        <is>
          <t>KALMAR LÄN</t>
        </is>
      </c>
      <c r="E124" t="inlineStr">
        <is>
          <t>BORGHOLM</t>
        </is>
      </c>
      <c r="G124" t="n">
        <v>1.8</v>
      </c>
      <c r="H124" t="n">
        <v>0</v>
      </c>
      <c r="I124" t="n">
        <v>0</v>
      </c>
      <c r="J124" t="n">
        <v>0</v>
      </c>
      <c r="K124" t="n">
        <v>0</v>
      </c>
      <c r="L124" t="n">
        <v>0</v>
      </c>
      <c r="M124" t="n">
        <v>0</v>
      </c>
      <c r="N124" t="n">
        <v>0</v>
      </c>
      <c r="O124" t="n">
        <v>0</v>
      </c>
      <c r="P124" t="n">
        <v>0</v>
      </c>
      <c r="Q124" t="n">
        <v>0</v>
      </c>
      <c r="R124" s="2" t="inlineStr"/>
    </row>
    <row r="125" ht="15" customHeight="1">
      <c r="A125" t="inlineStr">
        <is>
          <t>A 42232-2025</t>
        </is>
      </c>
      <c r="B125" s="1" t="n">
        <v>45904.55591435185</v>
      </c>
      <c r="C125" s="1" t="n">
        <v>45918</v>
      </c>
      <c r="D125" t="inlineStr">
        <is>
          <t>KALMAR LÄN</t>
        </is>
      </c>
      <c r="E125" t="inlineStr">
        <is>
          <t>BORGHOLM</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36269-2025</t>
        </is>
      </c>
      <c r="B126" s="1" t="n">
        <v>45867.61736111111</v>
      </c>
      <c r="C126" s="1" t="n">
        <v>45918</v>
      </c>
      <c r="D126" t="inlineStr">
        <is>
          <t>KALMAR LÄN</t>
        </is>
      </c>
      <c r="E126" t="inlineStr">
        <is>
          <t>BORGHOLM</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43542-2025</t>
        </is>
      </c>
      <c r="B127" s="1" t="n">
        <v>45911.61123842592</v>
      </c>
      <c r="C127" s="1" t="n">
        <v>45918</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c r="A128" t="inlineStr">
        <is>
          <t>A 44224-2025</t>
        </is>
      </c>
      <c r="B128" s="1" t="n">
        <v>45915.64040509259</v>
      </c>
      <c r="C128" s="1" t="n">
        <v>45918</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2025-09-18T08:57:28Z</dcterms:created>
  <dcterms:modified xmlns:dcterms="http://purl.org/dc/terms/" xmlns:xsi="http://www.w3.org/2001/XMLSchema-instance" xsi:type="dcterms:W3CDTF">2025-09-18T08:57:28Z</dcterms:modified>
</cp:coreProperties>
</file>