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46171</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46171</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46171</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46171</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46171</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46171</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46171</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46171</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46171</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46171</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46171</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46171</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46171</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46171</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46171</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46171</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32174-2022</t>
        </is>
      </c>
      <c r="B20" s="1" t="n">
        <v>44781</v>
      </c>
      <c r="C20" s="1" t="n">
        <v>46171</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9253-2026</t>
        </is>
      </c>
      <c r="B21" s="1" t="n">
        <v>46070.51003472223</v>
      </c>
      <c r="C21" s="1" t="n">
        <v>46171</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13556-2025</t>
        </is>
      </c>
      <c r="B22" s="1" t="n">
        <v>45736.54759259259</v>
      </c>
      <c r="C22" s="1" t="n">
        <v>46171</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46171</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46171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15285-2026</t>
        </is>
      </c>
      <c r="B25" s="1" t="n">
        <v>46105.6156712963</v>
      </c>
      <c r="C25" s="1" t="n">
        <v>46171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4164-2023</t>
        </is>
      </c>
      <c r="B26" s="1" t="n">
        <v>44953</v>
      </c>
      <c r="C26" s="1" t="n">
        <v>46171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46171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46171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24322-2026</t>
        </is>
      </c>
      <c r="B29" s="1" t="n">
        <v>46169.48598379629</v>
      </c>
      <c r="C29" s="1" t="n">
        <v>46171</v>
      </c>
      <c r="D29" t="inlineStr">
        <is>
          <t>KALMAR LÄN</t>
        </is>
      </c>
      <c r="E29" t="inlineStr">
        <is>
          <t>BORGHOLM</t>
        </is>
      </c>
      <c r="F29" t="inlineStr">
        <is>
          <t>Sveaskog</t>
        </is>
      </c>
      <c r="G29" t="n">
        <v>5.5</v>
      </c>
      <c r="H29" t="n">
        <v>2</v>
      </c>
      <c r="I29" t="n">
        <v>2</v>
      </c>
      <c r="J29" t="n">
        <v>0</v>
      </c>
      <c r="K29" t="n">
        <v>0</v>
      </c>
      <c r="L29" t="n">
        <v>0</v>
      </c>
      <c r="M29" t="n">
        <v>0</v>
      </c>
      <c r="N29" t="n">
        <v>0</v>
      </c>
      <c r="O29" t="n">
        <v>0</v>
      </c>
      <c r="P29" t="n">
        <v>0</v>
      </c>
      <c r="Q29" t="n">
        <v>2</v>
      </c>
      <c r="R29" s="2" t="inlineStr">
        <is>
          <t>Purpurknipprot
Skogsknipprot</t>
        </is>
      </c>
      <c r="S29">
        <f>HYPERLINK("https://klasma.github.io/Logging_0885/artfynd/A 24322-2026 artfynd.xlsx", "A 24322-2026")</f>
        <v/>
      </c>
      <c r="T29">
        <f>HYPERLINK("https://klasma.github.io/Logging_0885/kartor/A 24322-2026 karta.png", "A 24322-2026")</f>
        <v/>
      </c>
      <c r="V29">
        <f>HYPERLINK("https://klasma.github.io/Logging_0885/klagomål/A 24322-2026 FSC-klagomål.docx", "A 24322-2026")</f>
        <v/>
      </c>
      <c r="W29">
        <f>HYPERLINK("https://klasma.github.io/Logging_0885/klagomålsmail/A 24322-2026 FSC-klagomål mail.docx", "A 24322-2026")</f>
        <v/>
      </c>
      <c r="X29">
        <f>HYPERLINK("https://klasma.github.io/Logging_0885/tillsyn/A 24322-2026 tillsynsbegäran.docx", "A 24322-2026")</f>
        <v/>
      </c>
      <c r="Y29">
        <f>HYPERLINK("https://klasma.github.io/Logging_0885/tillsynsmail/A 24322-2026 tillsynsbegäran mail.docx", "A 24322-2026")</f>
        <v/>
      </c>
    </row>
    <row r="30" ht="15" customHeight="1">
      <c r="A30" t="inlineStr">
        <is>
          <t>A 31790-2021</t>
        </is>
      </c>
      <c r="B30" s="1" t="n">
        <v>44370</v>
      </c>
      <c r="C30" s="1" t="n">
        <v>46171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46171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46171</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9745-2023</t>
        </is>
      </c>
      <c r="B34" s="1" t="n">
        <v>44984</v>
      </c>
      <c r="C34" s="1" t="n">
        <v>46171</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46171</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3302-2026</t>
        </is>
      </c>
      <c r="B36" s="1" t="n">
        <v>46041</v>
      </c>
      <c r="C36" s="1" t="n">
        <v>46171</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29962-2025</t>
        </is>
      </c>
      <c r="B37" s="1" t="n">
        <v>45826.48184027777</v>
      </c>
      <c r="C37" s="1" t="n">
        <v>46171</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46171</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13558-2025</t>
        </is>
      </c>
      <c r="B39" s="1" t="n">
        <v>45736.54974537037</v>
      </c>
      <c r="C39" s="1" t="n">
        <v>46171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34885-2025</t>
        </is>
      </c>
      <c r="B40" s="1" t="n">
        <v>45849.47128472223</v>
      </c>
      <c r="C40" s="1" t="n">
        <v>46171</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46171</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46171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46171</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46171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46171</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46171</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46171</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46171</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46171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22785-2025</t>
        </is>
      </c>
      <c r="B60" s="1" t="n">
        <v>45789.64186342592</v>
      </c>
      <c r="C60" s="1" t="n">
        <v>46171</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46171</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40339-2023</t>
        </is>
      </c>
      <c r="B62" s="1" t="n">
        <v>45169.62733796296</v>
      </c>
      <c r="C62" s="1" t="n">
        <v>46171</v>
      </c>
      <c r="D62" t="inlineStr">
        <is>
          <t>KALMAR LÄN</t>
        </is>
      </c>
      <c r="E62" t="inlineStr">
        <is>
          <t>BORGHOLM</t>
        </is>
      </c>
      <c r="G62" t="n">
        <v>3.8</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46171</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20878-2024</t>
        </is>
      </c>
      <c r="B64" s="1" t="n">
        <v>45439.44748842593</v>
      </c>
      <c r="C64" s="1" t="n">
        <v>46171</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26160-2025</t>
        </is>
      </c>
      <c r="B65" s="1" t="n">
        <v>45805.4490162037</v>
      </c>
      <c r="C65" s="1" t="n">
        <v>46171</v>
      </c>
      <c r="D65" t="inlineStr">
        <is>
          <t>KALMAR LÄN</t>
        </is>
      </c>
      <c r="E65" t="inlineStr">
        <is>
          <t>BORGHOLM</t>
        </is>
      </c>
      <c r="G65" t="n">
        <v>3.7</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46171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46171</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46171</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46171</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46171</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46171</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46171</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46171</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28782-2025</t>
        </is>
      </c>
      <c r="B74" s="1" t="n">
        <v>45820.45572916666</v>
      </c>
      <c r="C74" s="1" t="n">
        <v>46171</v>
      </c>
      <c r="D74" t="inlineStr">
        <is>
          <t>KALMAR LÄN</t>
        </is>
      </c>
      <c r="E74" t="inlineStr">
        <is>
          <t>BORGHOLM</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53050-2021</t>
        </is>
      </c>
      <c r="B75" s="1" t="n">
        <v>44467</v>
      </c>
      <c r="C75" s="1" t="n">
        <v>46171</v>
      </c>
      <c r="D75" t="inlineStr">
        <is>
          <t>KALMAR LÄN</t>
        </is>
      </c>
      <c r="E75" t="inlineStr">
        <is>
          <t>BORGHOLM</t>
        </is>
      </c>
      <c r="G75" t="n">
        <v>3.6</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46171</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46171</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31720-2022</t>
        </is>
      </c>
      <c r="B78" s="1" t="n">
        <v>44776</v>
      </c>
      <c r="C78" s="1" t="n">
        <v>46171</v>
      </c>
      <c r="D78" t="inlineStr">
        <is>
          <t>KALMAR LÄN</t>
        </is>
      </c>
      <c r="E78" t="inlineStr">
        <is>
          <t>BORGHOLM</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46171</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46171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46171</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7481-2026</t>
        </is>
      </c>
      <c r="B82" s="1" t="n">
        <v>46059.51359953704</v>
      </c>
      <c r="C82" s="1" t="n">
        <v>46171</v>
      </c>
      <c r="D82" t="inlineStr">
        <is>
          <t>KALMAR LÄN</t>
        </is>
      </c>
      <c r="E82" t="inlineStr">
        <is>
          <t>BORGHOLM</t>
        </is>
      </c>
      <c r="G82" t="n">
        <v>1.9</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46171</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46171</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46171</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36269-2025</t>
        </is>
      </c>
      <c r="B86" s="1" t="n">
        <v>45867.61736111111</v>
      </c>
      <c r="C86" s="1" t="n">
        <v>46171</v>
      </c>
      <c r="D86" t="inlineStr">
        <is>
          <t>KALMAR LÄN</t>
        </is>
      </c>
      <c r="E86" t="inlineStr">
        <is>
          <t>BORGHOLM</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46171</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9104-2026</t>
        </is>
      </c>
      <c r="B88" s="1" t="n">
        <v>46069</v>
      </c>
      <c r="C88" s="1" t="n">
        <v>46171</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9259-2026</t>
        </is>
      </c>
      <c r="B89" s="1" t="n">
        <v>46070.51917824074</v>
      </c>
      <c r="C89" s="1" t="n">
        <v>46171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9905-2026</t>
        </is>
      </c>
      <c r="B90" s="1" t="n">
        <v>46073.4108912037</v>
      </c>
      <c r="C90" s="1" t="n">
        <v>46171</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46171</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46171</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46171</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46171</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46171</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46171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46171</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46171</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46171</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46171</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46171</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46171</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46171</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46171</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46171</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46171</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46171</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46171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15272-2026</t>
        </is>
      </c>
      <c r="B109" s="1" t="n">
        <v>46105.60017361111</v>
      </c>
      <c r="C109" s="1" t="n">
        <v>46171</v>
      </c>
      <c r="D109" t="inlineStr">
        <is>
          <t>KALMAR LÄN</t>
        </is>
      </c>
      <c r="E109" t="inlineStr">
        <is>
          <t>BORGHOLM</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15279-2026</t>
        </is>
      </c>
      <c r="B110" s="1" t="n">
        <v>46105.61030092592</v>
      </c>
      <c r="C110" s="1" t="n">
        <v>46171</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15264-2026</t>
        </is>
      </c>
      <c r="B111" s="1" t="n">
        <v>46105.59372685185</v>
      </c>
      <c r="C111" s="1" t="n">
        <v>46171</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46171</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46171</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46171</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46171</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46171</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46171</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46171</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46171</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24323-2026</t>
        </is>
      </c>
      <c r="B120" s="1" t="n">
        <v>46169.49458333333</v>
      </c>
      <c r="C120" s="1" t="n">
        <v>46171</v>
      </c>
      <c r="D120" t="inlineStr">
        <is>
          <t>KALMAR LÄN</t>
        </is>
      </c>
      <c r="E120" t="inlineStr">
        <is>
          <t>BORGHOLM</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24338-2026</t>
        </is>
      </c>
      <c r="B121" s="1" t="n">
        <v>46169.54258101852</v>
      </c>
      <c r="C121" s="1" t="n">
        <v>46171</v>
      </c>
      <c r="D121" t="inlineStr">
        <is>
          <t>KALMAR LÄN</t>
        </is>
      </c>
      <c r="E121" t="inlineStr">
        <is>
          <t>BORGHOLM</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24345-2026</t>
        </is>
      </c>
      <c r="B122" s="1" t="n">
        <v>46169.55112268519</v>
      </c>
      <c r="C122" s="1" t="n">
        <v>46171</v>
      </c>
      <c r="D122" t="inlineStr">
        <is>
          <t>KALMAR LÄN</t>
        </is>
      </c>
      <c r="E122" t="inlineStr">
        <is>
          <t>BORGHOLM</t>
        </is>
      </c>
      <c r="F122" t="inlineStr">
        <is>
          <t>Sveaskog</t>
        </is>
      </c>
      <c r="G122" t="n">
        <v>7.3</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46171</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46171</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13043-2024</t>
        </is>
      </c>
      <c r="B125" s="1" t="n">
        <v>45385.60111111111</v>
      </c>
      <c r="C125" s="1" t="n">
        <v>46171</v>
      </c>
      <c r="D125" t="inlineStr">
        <is>
          <t>KALMAR LÄN</t>
        </is>
      </c>
      <c r="E125" t="inlineStr">
        <is>
          <t>BORGHOLM</t>
        </is>
      </c>
      <c r="G125" t="n">
        <v>0.4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2026-05-29T10:55:53Z</dcterms:created>
  <dcterms:modified xmlns:dcterms="http://purl.org/dc/terms/" xmlns:xsi="http://www.w3.org/2001/XMLSchema-instance" xsi:type="dcterms:W3CDTF">2026-05-29T10:55:54Z</dcterms:modified>
</cp:coreProperties>
</file>