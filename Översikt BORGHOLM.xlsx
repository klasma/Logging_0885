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46136</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46136</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15285-2026</t>
        </is>
      </c>
      <c r="B21" s="1" t="n">
        <v>46105.6156712963</v>
      </c>
      <c r="C21" s="1" t="n">
        <v>46136</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Havsörn
Talltita</t>
        </is>
      </c>
      <c r="S21">
        <f>HYPERLINK("https://klasma.github.io/Logging_0885/artfynd/A 15285-2026 artfynd.xlsx", "A 15285-2026")</f>
        <v/>
      </c>
      <c r="T21">
        <f>HYPERLINK("https://klasma.github.io/Logging_0885/kartor/A 15285-2026 karta.png", "A 15285-2026")</f>
        <v/>
      </c>
      <c r="V21">
        <f>HYPERLINK("https://klasma.github.io/Logging_0885/klagomål/A 15285-2026 FSC-klagomål.docx", "A 15285-2026")</f>
        <v/>
      </c>
      <c r="W21">
        <f>HYPERLINK("https://klasma.github.io/Logging_0885/klagomålsmail/A 15285-2026 FSC-klagomål mail.docx", "A 15285-2026")</f>
        <v/>
      </c>
      <c r="X21">
        <f>HYPERLINK("https://klasma.github.io/Logging_0885/tillsyn/A 15285-2026 tillsynsbegäran.docx", "A 15285-2026")</f>
        <v/>
      </c>
      <c r="Y21">
        <f>HYPERLINK("https://klasma.github.io/Logging_0885/tillsynsmail/A 15285-2026 tillsynsbegäran mail.docx", "A 15285-2026")</f>
        <v/>
      </c>
      <c r="Z21">
        <f>HYPERLINK("https://klasma.github.io/Logging_0885/fåglar/A 15285-2026 prioriterade fågelarter.docx", "A 15285-2026")</f>
        <v/>
      </c>
    </row>
    <row r="22" ht="15" customHeight="1">
      <c r="A22" t="inlineStr">
        <is>
          <t>A 9253-2026</t>
        </is>
      </c>
      <c r="B22" s="1" t="n">
        <v>46070.51003472223</v>
      </c>
      <c r="C22" s="1" t="n">
        <v>46136</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32174-2022</t>
        </is>
      </c>
      <c r="B23" s="1" t="n">
        <v>44781</v>
      </c>
      <c r="C23" s="1" t="n">
        <v>46136</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46136</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60140-2025</t>
        </is>
      </c>
      <c r="B25" s="1" t="n">
        <v>45994.36274305556</v>
      </c>
      <c r="C25" s="1" t="n">
        <v>46136</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34944-2022</t>
        </is>
      </c>
      <c r="B26" s="1" t="n">
        <v>44796</v>
      </c>
      <c r="C26" s="1" t="n">
        <v>46136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46136</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46136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46136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46136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41640-2023</t>
        </is>
      </c>
      <c r="B32" s="1" t="n">
        <v>45175</v>
      </c>
      <c r="C32" s="1" t="n">
        <v>46136</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9745-2023</t>
        </is>
      </c>
      <c r="B33" s="1" t="n">
        <v>44984</v>
      </c>
      <c r="C33" s="1" t="n">
        <v>46136</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3302-2026</t>
        </is>
      </c>
      <c r="B34" s="1" t="n">
        <v>46041</v>
      </c>
      <c r="C34" s="1" t="n">
        <v>46136</v>
      </c>
      <c r="D34" t="inlineStr">
        <is>
          <t>KALMAR LÄN</t>
        </is>
      </c>
      <c r="E34" t="inlineStr">
        <is>
          <t>BORGHOLM</t>
        </is>
      </c>
      <c r="G34" t="n">
        <v>3.9</v>
      </c>
      <c r="H34" t="n">
        <v>1</v>
      </c>
      <c r="I34" t="n">
        <v>0</v>
      </c>
      <c r="J34" t="n">
        <v>0</v>
      </c>
      <c r="K34" t="n">
        <v>0</v>
      </c>
      <c r="L34" t="n">
        <v>0</v>
      </c>
      <c r="M34" t="n">
        <v>0</v>
      </c>
      <c r="N34" t="n">
        <v>0</v>
      </c>
      <c r="O34" t="n">
        <v>0</v>
      </c>
      <c r="P34" t="n">
        <v>0</v>
      </c>
      <c r="Q34" t="n">
        <v>1</v>
      </c>
      <c r="R34" s="2" t="inlineStr">
        <is>
          <t>Blåsippa</t>
        </is>
      </c>
      <c r="S34">
        <f>HYPERLINK("https://klasma.github.io/Logging_0885/artfynd/A 3302-2026 artfynd.xlsx", "A 3302-2026")</f>
        <v/>
      </c>
      <c r="T34">
        <f>HYPERLINK("https://klasma.github.io/Logging_0885/kartor/A 3302-2026 karta.png", "A 3302-2026")</f>
        <v/>
      </c>
      <c r="V34">
        <f>HYPERLINK("https://klasma.github.io/Logging_0885/klagomål/A 3302-2026 FSC-klagomål.docx", "A 3302-2026")</f>
        <v/>
      </c>
      <c r="W34">
        <f>HYPERLINK("https://klasma.github.io/Logging_0885/klagomålsmail/A 3302-2026 FSC-klagomål mail.docx", "A 3302-2026")</f>
        <v/>
      </c>
      <c r="X34">
        <f>HYPERLINK("https://klasma.github.io/Logging_0885/tillsyn/A 3302-2026 tillsynsbegäran.docx", "A 3302-2026")</f>
        <v/>
      </c>
      <c r="Y34">
        <f>HYPERLINK("https://klasma.github.io/Logging_0885/tillsynsmail/A 3302-2026 tillsynsbegäran mail.docx", "A 3302-2026")</f>
        <v/>
      </c>
    </row>
    <row r="35" ht="15" customHeight="1">
      <c r="A35" t="inlineStr">
        <is>
          <t>A 28785-2025</t>
        </is>
      </c>
      <c r="B35" s="1" t="n">
        <v>45820.46159722222</v>
      </c>
      <c r="C35" s="1" t="n">
        <v>46136</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46136</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46136</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13558-2025</t>
        </is>
      </c>
      <c r="B38" s="1" t="n">
        <v>45736.54974537037</v>
      </c>
      <c r="C38" s="1" t="n">
        <v>46136</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46136</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46136</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45693-2025</t>
        </is>
      </c>
      <c r="B41" s="1" t="n">
        <v>45923</v>
      </c>
      <c r="C41" s="1" t="n">
        <v>46136</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24704-2023</t>
        </is>
      </c>
      <c r="B42" s="1" t="n">
        <v>45084</v>
      </c>
      <c r="C42" s="1" t="n">
        <v>46136</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24048-2025</t>
        </is>
      </c>
      <c r="B43" s="1" t="n">
        <v>45796.4959375</v>
      </c>
      <c r="C43" s="1" t="n">
        <v>46136</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42761-2021</t>
        </is>
      </c>
      <c r="B44" s="1" t="n">
        <v>44428</v>
      </c>
      <c r="C44" s="1" t="n">
        <v>46136</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46136</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46136</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46136</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46136</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46136</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46136</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46136</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46136</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46136</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46136</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46136</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46136</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46136</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46136</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40339-2023</t>
        </is>
      </c>
      <c r="B60" s="1" t="n">
        <v>45169.62733796296</v>
      </c>
      <c r="C60" s="1" t="n">
        <v>46136</v>
      </c>
      <c r="D60" t="inlineStr">
        <is>
          <t>KALMAR LÄN</t>
        </is>
      </c>
      <c r="E60" t="inlineStr">
        <is>
          <t>BORGHOLM</t>
        </is>
      </c>
      <c r="G60" t="n">
        <v>3.8</v>
      </c>
      <c r="H60" t="n">
        <v>0</v>
      </c>
      <c r="I60" t="n">
        <v>0</v>
      </c>
      <c r="J60" t="n">
        <v>0</v>
      </c>
      <c r="K60" t="n">
        <v>0</v>
      </c>
      <c r="L60" t="n">
        <v>0</v>
      </c>
      <c r="M60" t="n">
        <v>0</v>
      </c>
      <c r="N60" t="n">
        <v>0</v>
      </c>
      <c r="O60" t="n">
        <v>0</v>
      </c>
      <c r="P60" t="n">
        <v>0</v>
      </c>
      <c r="Q60" t="n">
        <v>0</v>
      </c>
      <c r="R60" s="2" t="inlineStr"/>
    </row>
    <row r="61" ht="15" customHeight="1">
      <c r="A61" t="inlineStr">
        <is>
          <t>A 24166-2022</t>
        </is>
      </c>
      <c r="B61" s="1" t="n">
        <v>44725</v>
      </c>
      <c r="C61" s="1" t="n">
        <v>46136</v>
      </c>
      <c r="D61" t="inlineStr">
        <is>
          <t>KALMAR LÄN</t>
        </is>
      </c>
      <c r="E61" t="inlineStr">
        <is>
          <t>BORGHOLM</t>
        </is>
      </c>
      <c r="G61" t="n">
        <v>10.7</v>
      </c>
      <c r="H61" t="n">
        <v>0</v>
      </c>
      <c r="I61" t="n">
        <v>0</v>
      </c>
      <c r="J61" t="n">
        <v>0</v>
      </c>
      <c r="K61" t="n">
        <v>0</v>
      </c>
      <c r="L61" t="n">
        <v>0</v>
      </c>
      <c r="M61" t="n">
        <v>0</v>
      </c>
      <c r="N61" t="n">
        <v>0</v>
      </c>
      <c r="O61" t="n">
        <v>0</v>
      </c>
      <c r="P61" t="n">
        <v>0</v>
      </c>
      <c r="Q61" t="n">
        <v>0</v>
      </c>
      <c r="R61" s="2" t="inlineStr"/>
    </row>
    <row r="62" ht="15" customHeight="1">
      <c r="A62" t="inlineStr">
        <is>
          <t>A 20878-2024</t>
        </is>
      </c>
      <c r="B62" s="1" t="n">
        <v>45439.44748842593</v>
      </c>
      <c r="C62" s="1" t="n">
        <v>46136</v>
      </c>
      <c r="D62" t="inlineStr">
        <is>
          <t>KALMAR LÄN</t>
        </is>
      </c>
      <c r="E62" t="inlineStr">
        <is>
          <t>BORGHOLM</t>
        </is>
      </c>
      <c r="G62" t="n">
        <v>1.9</v>
      </c>
      <c r="H62" t="n">
        <v>0</v>
      </c>
      <c r="I62" t="n">
        <v>0</v>
      </c>
      <c r="J62" t="n">
        <v>0</v>
      </c>
      <c r="K62" t="n">
        <v>0</v>
      </c>
      <c r="L62" t="n">
        <v>0</v>
      </c>
      <c r="M62" t="n">
        <v>0</v>
      </c>
      <c r="N62" t="n">
        <v>0</v>
      </c>
      <c r="O62" t="n">
        <v>0</v>
      </c>
      <c r="P62" t="n">
        <v>0</v>
      </c>
      <c r="Q62" t="n">
        <v>0</v>
      </c>
      <c r="R62" s="2" t="inlineStr"/>
    </row>
    <row r="63" ht="15" customHeight="1">
      <c r="A63" t="inlineStr">
        <is>
          <t>A 26160-2025</t>
        </is>
      </c>
      <c r="B63" s="1" t="n">
        <v>45805.4490162037</v>
      </c>
      <c r="C63" s="1" t="n">
        <v>46136</v>
      </c>
      <c r="D63" t="inlineStr">
        <is>
          <t>KALMAR LÄN</t>
        </is>
      </c>
      <c r="E63" t="inlineStr">
        <is>
          <t>BORGHOLM</t>
        </is>
      </c>
      <c r="G63" t="n">
        <v>3.7</v>
      </c>
      <c r="H63" t="n">
        <v>0</v>
      </c>
      <c r="I63" t="n">
        <v>0</v>
      </c>
      <c r="J63" t="n">
        <v>0</v>
      </c>
      <c r="K63" t="n">
        <v>0</v>
      </c>
      <c r="L63" t="n">
        <v>0</v>
      </c>
      <c r="M63" t="n">
        <v>0</v>
      </c>
      <c r="N63" t="n">
        <v>0</v>
      </c>
      <c r="O63" t="n">
        <v>0</v>
      </c>
      <c r="P63" t="n">
        <v>0</v>
      </c>
      <c r="Q63" t="n">
        <v>0</v>
      </c>
      <c r="R63" s="2" t="inlineStr"/>
    </row>
    <row r="64" ht="15" customHeight="1">
      <c r="A64" t="inlineStr">
        <is>
          <t>A 26190-2025</t>
        </is>
      </c>
      <c r="B64" s="1" t="n">
        <v>45805.48349537037</v>
      </c>
      <c r="C64" s="1" t="n">
        <v>46136</v>
      </c>
      <c r="D64" t="inlineStr">
        <is>
          <t>KALMAR LÄN</t>
        </is>
      </c>
      <c r="E64" t="inlineStr">
        <is>
          <t>BORGHOLM</t>
        </is>
      </c>
      <c r="G64" t="n">
        <v>3.2</v>
      </c>
      <c r="H64" t="n">
        <v>0</v>
      </c>
      <c r="I64" t="n">
        <v>0</v>
      </c>
      <c r="J64" t="n">
        <v>0</v>
      </c>
      <c r="K64" t="n">
        <v>0</v>
      </c>
      <c r="L64" t="n">
        <v>0</v>
      </c>
      <c r="M64" t="n">
        <v>0</v>
      </c>
      <c r="N64" t="n">
        <v>0</v>
      </c>
      <c r="O64" t="n">
        <v>0</v>
      </c>
      <c r="P64" t="n">
        <v>0</v>
      </c>
      <c r="Q64" t="n">
        <v>0</v>
      </c>
      <c r="R64" s="2" t="inlineStr"/>
    </row>
    <row r="65" ht="15" customHeight="1">
      <c r="A65" t="inlineStr">
        <is>
          <t>A 27357-2025</t>
        </is>
      </c>
      <c r="B65" s="1" t="n">
        <v>45812.63650462963</v>
      </c>
      <c r="C65" s="1" t="n">
        <v>46136</v>
      </c>
      <c r="D65" t="inlineStr">
        <is>
          <t>KALMAR LÄN</t>
        </is>
      </c>
      <c r="E65" t="inlineStr">
        <is>
          <t>BORGHOLM</t>
        </is>
      </c>
      <c r="F65" t="inlineStr">
        <is>
          <t>Sveaskog</t>
        </is>
      </c>
      <c r="G65" t="n">
        <v>4.5</v>
      </c>
      <c r="H65" t="n">
        <v>0</v>
      </c>
      <c r="I65" t="n">
        <v>0</v>
      </c>
      <c r="J65" t="n">
        <v>0</v>
      </c>
      <c r="K65" t="n">
        <v>0</v>
      </c>
      <c r="L65" t="n">
        <v>0</v>
      </c>
      <c r="M65" t="n">
        <v>0</v>
      </c>
      <c r="N65" t="n">
        <v>0</v>
      </c>
      <c r="O65" t="n">
        <v>0</v>
      </c>
      <c r="P65" t="n">
        <v>0</v>
      </c>
      <c r="Q65" t="n">
        <v>0</v>
      </c>
      <c r="R65" s="2" t="inlineStr"/>
    </row>
    <row r="66" ht="15" customHeight="1">
      <c r="A66" t="inlineStr">
        <is>
          <t>A 27366-2025</t>
        </is>
      </c>
      <c r="B66" s="1" t="n">
        <v>45812.64475694444</v>
      </c>
      <c r="C66" s="1" t="n">
        <v>46136</v>
      </c>
      <c r="D66" t="inlineStr">
        <is>
          <t>KALMAR LÄN</t>
        </is>
      </c>
      <c r="E66" t="inlineStr">
        <is>
          <t>BORGHOLM</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4159-2024</t>
        </is>
      </c>
      <c r="B67" s="1" t="n">
        <v>45323</v>
      </c>
      <c r="C67" s="1" t="n">
        <v>46136</v>
      </c>
      <c r="D67" t="inlineStr">
        <is>
          <t>KALMAR LÄN</t>
        </is>
      </c>
      <c r="E67" t="inlineStr">
        <is>
          <t>BORGHOLM</t>
        </is>
      </c>
      <c r="G67" t="n">
        <v>0.5</v>
      </c>
      <c r="H67" t="n">
        <v>0</v>
      </c>
      <c r="I67" t="n">
        <v>0</v>
      </c>
      <c r="J67" t="n">
        <v>0</v>
      </c>
      <c r="K67" t="n">
        <v>0</v>
      </c>
      <c r="L67" t="n">
        <v>0</v>
      </c>
      <c r="M67" t="n">
        <v>0</v>
      </c>
      <c r="N67" t="n">
        <v>0</v>
      </c>
      <c r="O67" t="n">
        <v>0</v>
      </c>
      <c r="P67" t="n">
        <v>0</v>
      </c>
      <c r="Q67" t="n">
        <v>0</v>
      </c>
      <c r="R67" s="2" t="inlineStr"/>
    </row>
    <row r="68" ht="15" customHeight="1">
      <c r="A68" t="inlineStr">
        <is>
          <t>A 28782-2025</t>
        </is>
      </c>
      <c r="B68" s="1" t="n">
        <v>45820.45572916666</v>
      </c>
      <c r="C68" s="1" t="n">
        <v>46136</v>
      </c>
      <c r="D68" t="inlineStr">
        <is>
          <t>KALMAR LÄN</t>
        </is>
      </c>
      <c r="E68" t="inlineStr">
        <is>
          <t>BORGHOLM</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53050-2021</t>
        </is>
      </c>
      <c r="B69" s="1" t="n">
        <v>44467</v>
      </c>
      <c r="C69" s="1" t="n">
        <v>46136</v>
      </c>
      <c r="D69" t="inlineStr">
        <is>
          <t>KALMAR LÄN</t>
        </is>
      </c>
      <c r="E69" t="inlineStr">
        <is>
          <t>BORGHOLM</t>
        </is>
      </c>
      <c r="G69" t="n">
        <v>3.6</v>
      </c>
      <c r="H69" t="n">
        <v>0</v>
      </c>
      <c r="I69" t="n">
        <v>0</v>
      </c>
      <c r="J69" t="n">
        <v>0</v>
      </c>
      <c r="K69" t="n">
        <v>0</v>
      </c>
      <c r="L69" t="n">
        <v>0</v>
      </c>
      <c r="M69" t="n">
        <v>0</v>
      </c>
      <c r="N69" t="n">
        <v>0</v>
      </c>
      <c r="O69" t="n">
        <v>0</v>
      </c>
      <c r="P69" t="n">
        <v>0</v>
      </c>
      <c r="Q69" t="n">
        <v>0</v>
      </c>
      <c r="R69" s="2" t="inlineStr"/>
    </row>
    <row r="70" ht="15" customHeight="1">
      <c r="A70" t="inlineStr">
        <is>
          <t>A 31720-2022</t>
        </is>
      </c>
      <c r="B70" s="1" t="n">
        <v>44776</v>
      </c>
      <c r="C70" s="1" t="n">
        <v>46136</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29656-2023</t>
        </is>
      </c>
      <c r="B71" s="1" t="n">
        <v>45107</v>
      </c>
      <c r="C71" s="1" t="n">
        <v>46136</v>
      </c>
      <c r="D71" t="inlineStr">
        <is>
          <t>KALMAR LÄN</t>
        </is>
      </c>
      <c r="E71" t="inlineStr">
        <is>
          <t>BORGHOLM</t>
        </is>
      </c>
      <c r="G71" t="n">
        <v>4.1</v>
      </c>
      <c r="H71" t="n">
        <v>0</v>
      </c>
      <c r="I71" t="n">
        <v>0</v>
      </c>
      <c r="J71" t="n">
        <v>0</v>
      </c>
      <c r="K71" t="n">
        <v>0</v>
      </c>
      <c r="L71" t="n">
        <v>0</v>
      </c>
      <c r="M71" t="n">
        <v>0</v>
      </c>
      <c r="N71" t="n">
        <v>0</v>
      </c>
      <c r="O71" t="n">
        <v>0</v>
      </c>
      <c r="P71" t="n">
        <v>0</v>
      </c>
      <c r="Q71" t="n">
        <v>0</v>
      </c>
      <c r="R71" s="2" t="inlineStr"/>
    </row>
    <row r="72" ht="15" customHeight="1">
      <c r="A72" t="inlineStr">
        <is>
          <t>A 7481-2026</t>
        </is>
      </c>
      <c r="B72" s="1" t="n">
        <v>46059.51359953704</v>
      </c>
      <c r="C72" s="1" t="n">
        <v>46136</v>
      </c>
      <c r="D72" t="inlineStr">
        <is>
          <t>KALMAR LÄN</t>
        </is>
      </c>
      <c r="E72" t="inlineStr">
        <is>
          <t>BORGHOLM</t>
        </is>
      </c>
      <c r="G72" t="n">
        <v>1.9</v>
      </c>
      <c r="H72" t="n">
        <v>0</v>
      </c>
      <c r="I72" t="n">
        <v>0</v>
      </c>
      <c r="J72" t="n">
        <v>0</v>
      </c>
      <c r="K72" t="n">
        <v>0</v>
      </c>
      <c r="L72" t="n">
        <v>0</v>
      </c>
      <c r="M72" t="n">
        <v>0</v>
      </c>
      <c r="N72" t="n">
        <v>0</v>
      </c>
      <c r="O72" t="n">
        <v>0</v>
      </c>
      <c r="P72" t="n">
        <v>0</v>
      </c>
      <c r="Q72" t="n">
        <v>0</v>
      </c>
      <c r="R72" s="2" t="inlineStr"/>
    </row>
    <row r="73" ht="15" customHeight="1">
      <c r="A73" t="inlineStr">
        <is>
          <t>A 15264-2026</t>
        </is>
      </c>
      <c r="B73" s="1" t="n">
        <v>46105.59372685185</v>
      </c>
      <c r="C73" s="1" t="n">
        <v>46136</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15272-2026</t>
        </is>
      </c>
      <c r="B74" s="1" t="n">
        <v>46105.60017361111</v>
      </c>
      <c r="C74" s="1" t="n">
        <v>46136</v>
      </c>
      <c r="D74" t="inlineStr">
        <is>
          <t>KALMAR LÄN</t>
        </is>
      </c>
      <c r="E74" t="inlineStr">
        <is>
          <t>BORGHOLM</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15279-2026</t>
        </is>
      </c>
      <c r="B75" s="1" t="n">
        <v>46105.61030092592</v>
      </c>
      <c r="C75" s="1" t="n">
        <v>46136</v>
      </c>
      <c r="D75" t="inlineStr">
        <is>
          <t>KALMAR LÄN</t>
        </is>
      </c>
      <c r="E75" t="inlineStr">
        <is>
          <t>BORGHOLM</t>
        </is>
      </c>
      <c r="F75" t="inlineStr">
        <is>
          <t>Sveaskog</t>
        </is>
      </c>
      <c r="G75" t="n">
        <v>4.6</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46136</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9104-2026</t>
        </is>
      </c>
      <c r="B77" s="1" t="n">
        <v>46069</v>
      </c>
      <c r="C77" s="1" t="n">
        <v>46136</v>
      </c>
      <c r="D77" t="inlineStr">
        <is>
          <t>KALMAR LÄN</t>
        </is>
      </c>
      <c r="E77" t="inlineStr">
        <is>
          <t>BORGHOLM</t>
        </is>
      </c>
      <c r="G77" t="n">
        <v>1.3</v>
      </c>
      <c r="H77" t="n">
        <v>0</v>
      </c>
      <c r="I77" t="n">
        <v>0</v>
      </c>
      <c r="J77" t="n">
        <v>0</v>
      </c>
      <c r="K77" t="n">
        <v>0</v>
      </c>
      <c r="L77" t="n">
        <v>0</v>
      </c>
      <c r="M77" t="n">
        <v>0</v>
      </c>
      <c r="N77" t="n">
        <v>0</v>
      </c>
      <c r="O77" t="n">
        <v>0</v>
      </c>
      <c r="P77" t="n">
        <v>0</v>
      </c>
      <c r="Q77" t="n">
        <v>0</v>
      </c>
      <c r="R77" s="2" t="inlineStr"/>
    </row>
    <row r="78" ht="15" customHeight="1">
      <c r="A78" t="inlineStr">
        <is>
          <t>A 9259-2026</t>
        </is>
      </c>
      <c r="B78" s="1" t="n">
        <v>46070.51917824074</v>
      </c>
      <c r="C78" s="1" t="n">
        <v>46136</v>
      </c>
      <c r="D78" t="inlineStr">
        <is>
          <t>KALMAR LÄN</t>
        </is>
      </c>
      <c r="E78" t="inlineStr">
        <is>
          <t>BORGHOLM</t>
        </is>
      </c>
      <c r="G78" t="n">
        <v>1.6</v>
      </c>
      <c r="H78" t="n">
        <v>0</v>
      </c>
      <c r="I78" t="n">
        <v>0</v>
      </c>
      <c r="J78" t="n">
        <v>0</v>
      </c>
      <c r="K78" t="n">
        <v>0</v>
      </c>
      <c r="L78" t="n">
        <v>0</v>
      </c>
      <c r="M78" t="n">
        <v>0</v>
      </c>
      <c r="N78" t="n">
        <v>0</v>
      </c>
      <c r="O78" t="n">
        <v>0</v>
      </c>
      <c r="P78" t="n">
        <v>0</v>
      </c>
      <c r="Q78" t="n">
        <v>0</v>
      </c>
      <c r="R78" s="2" t="inlineStr"/>
    </row>
    <row r="79" ht="15" customHeight="1">
      <c r="A79" t="inlineStr">
        <is>
          <t>A 41831-2025</t>
        </is>
      </c>
      <c r="B79" s="1" t="n">
        <v>45902.67887731481</v>
      </c>
      <c r="C79" s="1" t="n">
        <v>46136</v>
      </c>
      <c r="D79" t="inlineStr">
        <is>
          <t>KALMAR LÄN</t>
        </is>
      </c>
      <c r="E79" t="inlineStr">
        <is>
          <t>BORGHOLM</t>
        </is>
      </c>
      <c r="G79" t="n">
        <v>1.5</v>
      </c>
      <c r="H79" t="n">
        <v>0</v>
      </c>
      <c r="I79" t="n">
        <v>0</v>
      </c>
      <c r="J79" t="n">
        <v>0</v>
      </c>
      <c r="K79" t="n">
        <v>0</v>
      </c>
      <c r="L79" t="n">
        <v>0</v>
      </c>
      <c r="M79" t="n">
        <v>0</v>
      </c>
      <c r="N79" t="n">
        <v>0</v>
      </c>
      <c r="O79" t="n">
        <v>0</v>
      </c>
      <c r="P79" t="n">
        <v>0</v>
      </c>
      <c r="Q79" t="n">
        <v>0</v>
      </c>
      <c r="R79" s="2" t="inlineStr"/>
    </row>
    <row r="80" ht="15" customHeight="1">
      <c r="A80" t="inlineStr">
        <is>
          <t>A 13548-2025</t>
        </is>
      </c>
      <c r="B80" s="1" t="n">
        <v>45736.53827546296</v>
      </c>
      <c r="C80" s="1" t="n">
        <v>46136</v>
      </c>
      <c r="D80" t="inlineStr">
        <is>
          <t>KALMAR LÄN</t>
        </is>
      </c>
      <c r="E80" t="inlineStr">
        <is>
          <t>BORGHOLM</t>
        </is>
      </c>
      <c r="G80" t="n">
        <v>1</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46136</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46136</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9905-2026</t>
        </is>
      </c>
      <c r="B83" s="1" t="n">
        <v>46073.4108912037</v>
      </c>
      <c r="C83" s="1" t="n">
        <v>46136</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42232-2025</t>
        </is>
      </c>
      <c r="B84" s="1" t="n">
        <v>45904.55591435185</v>
      </c>
      <c r="C84" s="1" t="n">
        <v>46136</v>
      </c>
      <c r="D84" t="inlineStr">
        <is>
          <t>KALMAR LÄN</t>
        </is>
      </c>
      <c r="E84" t="inlineStr">
        <is>
          <t>BORGHOLM</t>
        </is>
      </c>
      <c r="F84" t="inlineStr">
        <is>
          <t>Sveaskog</t>
        </is>
      </c>
      <c r="G84" t="n">
        <v>1.7</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46136</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41950-2025</t>
        </is>
      </c>
      <c r="B86" s="1" t="n">
        <v>45903.45767361111</v>
      </c>
      <c r="C86" s="1" t="n">
        <v>46136</v>
      </c>
      <c r="D86" t="inlineStr">
        <is>
          <t>KALMAR LÄN</t>
        </is>
      </c>
      <c r="E86" t="inlineStr">
        <is>
          <t>BORGHOLM</t>
        </is>
      </c>
      <c r="G86" t="n">
        <v>1.8</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46136</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43542-2025</t>
        </is>
      </c>
      <c r="B88" s="1" t="n">
        <v>45911.61123842592</v>
      </c>
      <c r="C88" s="1" t="n">
        <v>46136</v>
      </c>
      <c r="D88" t="inlineStr">
        <is>
          <t>KALMAR LÄN</t>
        </is>
      </c>
      <c r="E88" t="inlineStr">
        <is>
          <t>BORGHOLM</t>
        </is>
      </c>
      <c r="G88" t="n">
        <v>2.4</v>
      </c>
      <c r="H88" t="n">
        <v>0</v>
      </c>
      <c r="I88" t="n">
        <v>0</v>
      </c>
      <c r="J88" t="n">
        <v>0</v>
      </c>
      <c r="K88" t="n">
        <v>0</v>
      </c>
      <c r="L88" t="n">
        <v>0</v>
      </c>
      <c r="M88" t="n">
        <v>0</v>
      </c>
      <c r="N88" t="n">
        <v>0</v>
      </c>
      <c r="O88" t="n">
        <v>0</v>
      </c>
      <c r="P88" t="n">
        <v>0</v>
      </c>
      <c r="Q88" t="n">
        <v>0</v>
      </c>
      <c r="R88" s="2" t="inlineStr"/>
    </row>
    <row r="89" ht="15" customHeight="1">
      <c r="A89" t="inlineStr">
        <is>
          <t>A 64303-2023</t>
        </is>
      </c>
      <c r="B89" s="1" t="n">
        <v>45280</v>
      </c>
      <c r="C89" s="1" t="n">
        <v>46136</v>
      </c>
      <c r="D89" t="inlineStr">
        <is>
          <t>KALMAR LÄN</t>
        </is>
      </c>
      <c r="E89" t="inlineStr">
        <is>
          <t>BORGHOLM</t>
        </is>
      </c>
      <c r="G89" t="n">
        <v>1.2</v>
      </c>
      <c r="H89" t="n">
        <v>0</v>
      </c>
      <c r="I89" t="n">
        <v>0</v>
      </c>
      <c r="J89" t="n">
        <v>0</v>
      </c>
      <c r="K89" t="n">
        <v>0</v>
      </c>
      <c r="L89" t="n">
        <v>0</v>
      </c>
      <c r="M89" t="n">
        <v>0</v>
      </c>
      <c r="N89" t="n">
        <v>0</v>
      </c>
      <c r="O89" t="n">
        <v>0</v>
      </c>
      <c r="P89" t="n">
        <v>0</v>
      </c>
      <c r="Q89" t="n">
        <v>0</v>
      </c>
      <c r="R89" s="2" t="inlineStr"/>
    </row>
    <row r="90" ht="15" customHeight="1">
      <c r="A90" t="inlineStr">
        <is>
          <t>A 45734-2025</t>
        </is>
      </c>
      <c r="B90" s="1" t="n">
        <v>45923.46512731481</v>
      </c>
      <c r="C90" s="1" t="n">
        <v>46136</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45869-2025</t>
        </is>
      </c>
      <c r="B91" s="1" t="n">
        <v>45923.65313657407</v>
      </c>
      <c r="C91" s="1" t="n">
        <v>46136</v>
      </c>
      <c r="D91" t="inlineStr">
        <is>
          <t>KALMAR LÄN</t>
        </is>
      </c>
      <c r="E91" t="inlineStr">
        <is>
          <t>BORGHOLM</t>
        </is>
      </c>
      <c r="G91" t="n">
        <v>4.5</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46136</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46845-2025</t>
        </is>
      </c>
      <c r="B93" s="1" t="n">
        <v>45928</v>
      </c>
      <c r="C93" s="1" t="n">
        <v>46136</v>
      </c>
      <c r="D93" t="inlineStr">
        <is>
          <t>KALMAR LÄN</t>
        </is>
      </c>
      <c r="E93" t="inlineStr">
        <is>
          <t>BORGHOLM</t>
        </is>
      </c>
      <c r="G93" t="n">
        <v>2.7</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46136</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46136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46136</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46136</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46136</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46136</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46136</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46136</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46136</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46136</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60141-2025</t>
        </is>
      </c>
      <c r="B104" s="1" t="n">
        <v>45994.36873842592</v>
      </c>
      <c r="C104" s="1" t="n">
        <v>46136</v>
      </c>
      <c r="D104" t="inlineStr">
        <is>
          <t>KALMAR LÄN</t>
        </is>
      </c>
      <c r="E104" t="inlineStr">
        <is>
          <t>BORGHOLM</t>
        </is>
      </c>
      <c r="G104" t="n">
        <v>0.7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46136</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61723-2025</t>
        </is>
      </c>
      <c r="B106" s="1" t="n">
        <v>46002.58388888889</v>
      </c>
      <c r="C106" s="1" t="n">
        <v>46136</v>
      </c>
      <c r="D106" t="inlineStr">
        <is>
          <t>KALMAR LÄN</t>
        </is>
      </c>
      <c r="E106" t="inlineStr">
        <is>
          <t>BORGHOLM</t>
        </is>
      </c>
      <c r="G106" t="n">
        <v>1.1</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46136</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46136</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46136</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46136</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46136</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46136</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46136</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46136</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46136</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46136</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46136</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46136</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46136</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13043-2024</t>
        </is>
      </c>
      <c r="B120" s="1" t="n">
        <v>45385.60111111111</v>
      </c>
      <c r="C120" s="1" t="n">
        <v>46136</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row r="121" ht="15" customHeight="1">
      <c r="A121" t="inlineStr">
        <is>
          <t>A 22785-2025</t>
        </is>
      </c>
      <c r="B121" s="1" t="n">
        <v>45789.64186342592</v>
      </c>
      <c r="C121" s="1" t="n">
        <v>46136</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c r="A122" t="inlineStr">
        <is>
          <t>A 12534-2022</t>
        </is>
      </c>
      <c r="B122" s="1" t="n">
        <v>44638</v>
      </c>
      <c r="C122" s="1" t="n">
        <v>46136</v>
      </c>
      <c r="D122" t="inlineStr">
        <is>
          <t>KALMAR LÄN</t>
        </is>
      </c>
      <c r="E122" t="inlineStr">
        <is>
          <t>BORGHOLM</t>
        </is>
      </c>
      <c r="G122" t="n">
        <v>8.6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2026-04-24T10:50:34Z</dcterms:created>
  <dcterms:modified xmlns:dcterms="http://purl.org/dc/terms/" xmlns:xsi="http://www.w3.org/2001/XMLSchema-instance" xsi:type="dcterms:W3CDTF">2026-04-24T10:50:34Z</dcterms:modified>
</cp:coreProperties>
</file>