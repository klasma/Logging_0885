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46235</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46235</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46235</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46235</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46235</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46235</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46235</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46235</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46235</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46235</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46235</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46235</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45006-2025</t>
        </is>
      </c>
      <c r="B20" t="inlineStr">
        <is>
          <t>avverkningsanmälan</t>
        </is>
      </c>
      <c r="C20" t="inlineStr">
        <is>
          <t>Avverkning för annat ändamål</t>
        </is>
      </c>
      <c r="D20" s="1" t="n">
        <v>45918</v>
      </c>
      <c r="E20" s="1" t="n">
        <v>46235</v>
      </c>
      <c r="F20" t="inlineStr">
        <is>
          <t>KALMAR LÄN</t>
        </is>
      </c>
      <c r="G20" t="inlineStr">
        <is>
          <t>BORGHOLM</t>
        </is>
      </c>
      <c r="I20" t="n">
        <v>7.8</v>
      </c>
      <c r="J20" t="n">
        <v>5</v>
      </c>
      <c r="K20" t="n">
        <v>4</v>
      </c>
      <c r="L20" t="n">
        <v>2</v>
      </c>
      <c r="M20" t="n">
        <v>0</v>
      </c>
      <c r="N20" t="n">
        <v>0</v>
      </c>
      <c r="O20" t="n">
        <v>0</v>
      </c>
      <c r="P20" t="n">
        <v>0</v>
      </c>
      <c r="Q20" t="n">
        <v>2</v>
      </c>
      <c r="R20" t="n">
        <v>0</v>
      </c>
      <c r="S20" t="n">
        <v>9</v>
      </c>
      <c r="T20" t="n">
        <v>13</v>
      </c>
      <c r="U20" t="n">
        <v>12</v>
      </c>
      <c r="V20" s="2" t="inlineStr">
        <is>
          <t>Mindre ekbock
Vårstarr
Murgröna
Myskmadra
Tvåblad
Vit skogslilja
Johannesnycklar
Krutbrännare
Gullviva</t>
        </is>
      </c>
      <c r="W20">
        <f>HYPERLINK("https://klasma.github.io/Logging_0885/artfynd/A 45006-2025 artfynd.xlsx", "A 45006-2025")</f>
        <v/>
      </c>
      <c r="X20">
        <f>HYPERLINK("https://klasma.github.io/Logging_0885/kartor/A 45006-2025 karta.png", "A 45006-2025")</f>
        <v/>
      </c>
      <c r="Y20">
        <f>HYPERLINK("https://klasma.github.io/Logging_0885/kartor_geotiff/A 45006-2025 georefererad karta.tif", "A 45006-2025")</f>
        <v/>
      </c>
      <c r="AA20">
        <f>HYPERLINK("https://klasma.github.io/Logging_0885/klagomål/A 45006-2025 FSC-klagomål.docx", "A 45006-2025")</f>
        <v/>
      </c>
      <c r="AB20">
        <f>HYPERLINK("https://klasma.github.io/Logging_0885/klagomålsmail/A 45006-2025 FSC-klagomål mail.docx", "A 45006-2025")</f>
        <v/>
      </c>
      <c r="AC20">
        <f>HYPERLINK("https://klasma.github.io/Logging_0885/tillsyn/A 45006-2025 tillsynsbegäran.docx", "A 45006-2025")</f>
        <v/>
      </c>
      <c r="AD20">
        <f>HYPERLINK("https://klasma.github.io/Logging_0885/tillsynsmail/A 45006-2025 tillsynsbegäran mail.docx", "A 45006-2025")</f>
        <v/>
      </c>
    </row>
    <row r="21" ht="15" customHeight="1">
      <c r="A21" t="inlineStr">
        <is>
          <t>A 47471-2025</t>
        </is>
      </c>
      <c r="B21" t="inlineStr">
        <is>
          <t>avverkningsanmälan</t>
        </is>
      </c>
      <c r="C21" t="inlineStr">
        <is>
          <t>Avverkning för att bevara och utveckla /försöksver</t>
        </is>
      </c>
      <c r="D21" s="1" t="n">
        <v>45930</v>
      </c>
      <c r="E21" s="1" t="n">
        <v>46235</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46235</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46235</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46235</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46235</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46235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46235</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46235</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46235</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46235</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46235</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46235</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31558-2026</t>
        </is>
      </c>
      <c r="B34" t="inlineStr">
        <is>
          <t>avverkningsanmälan</t>
        </is>
      </c>
      <c r="C34" t="inlineStr">
        <is>
          <t>Avverkning för att bevara och utveckla /försöksver</t>
        </is>
      </c>
      <c r="D34" s="1" t="n">
        <v>46224</v>
      </c>
      <c r="E34" s="1" t="n">
        <v>46235</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46235</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46235</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46235</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46235</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46235</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46235</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46235</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46235</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46235</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46235</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46235</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21797-2024</t>
        </is>
      </c>
      <c r="B46" t="inlineStr">
        <is>
          <t>avverkningsanmälan</t>
        </is>
      </c>
      <c r="C46" t="inlineStr">
        <is>
          <t>Föryngringsavverkning</t>
        </is>
      </c>
      <c r="D46" s="1" t="n">
        <v>45442</v>
      </c>
      <c r="E46" s="1" t="n">
        <v>46235</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46235</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46235</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46235</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43756-2022</t>
        </is>
      </c>
      <c r="B50" t="inlineStr">
        <is>
          <t>avverkningsanmälan</t>
        </is>
      </c>
      <c r="C50" t="inlineStr">
        <is>
          <t>Föryngringsavverkning</t>
        </is>
      </c>
      <c r="D50" s="1" t="n">
        <v>44837</v>
      </c>
      <c r="E50" s="1" t="n">
        <v>46235</v>
      </c>
      <c r="F50" t="inlineStr">
        <is>
          <t>KALMAR LÄN</t>
        </is>
      </c>
      <c r="G50" t="inlineStr">
        <is>
          <t>BORGHOLM</t>
        </is>
      </c>
      <c r="I50" t="n">
        <v>2.2</v>
      </c>
      <c r="J50" t="n">
        <v>2</v>
      </c>
      <c r="K50" t="n">
        <v>1</v>
      </c>
      <c r="L50" t="n">
        <v>0</v>
      </c>
      <c r="M50" t="n">
        <v>0</v>
      </c>
      <c r="N50" t="n">
        <v>0</v>
      </c>
      <c r="O50" t="n">
        <v>0</v>
      </c>
      <c r="P50" t="n">
        <v>0</v>
      </c>
      <c r="Q50" t="n">
        <v>0</v>
      </c>
      <c r="R50" t="n">
        <v>0</v>
      </c>
      <c r="S50" t="n">
        <v>3</v>
      </c>
      <c r="T50" t="n">
        <v>5</v>
      </c>
      <c r="U50" t="n">
        <v>5</v>
      </c>
      <c r="V50" s="2" t="inlineStr">
        <is>
          <t>Murgröna
Blåsippa
Gullviva</t>
        </is>
      </c>
      <c r="W50">
        <f>HYPERLINK("https://klasma.github.io/Logging_0885/artfynd/A 43756-2022 artfynd.xlsx", "A 43756-2022")</f>
        <v/>
      </c>
      <c r="X50">
        <f>HYPERLINK("https://klasma.github.io/Logging_0885/kartor/A 43756-2022 karta.png", "A 43756-2022")</f>
        <v/>
      </c>
      <c r="Y50">
        <f>HYPERLINK("https://klasma.github.io/Logging_0885/kartor_geotiff/A 43756-2022 georefererad karta.tif", "A 43756-2022")</f>
        <v/>
      </c>
      <c r="AA50">
        <f>HYPERLINK("https://klasma.github.io/Logging_0885/klagomål/A 43756-2022 FSC-klagomål.docx", "A 43756-2022")</f>
        <v/>
      </c>
      <c r="AB50">
        <f>HYPERLINK("https://klasma.github.io/Logging_0885/klagomålsmail/A 43756-2022 FSC-klagomål mail.docx", "A 43756-2022")</f>
        <v/>
      </c>
      <c r="AC50">
        <f>HYPERLINK("https://klasma.github.io/Logging_0885/tillsyn/A 43756-2022 tillsynsbegäran.docx", "A 43756-2022")</f>
        <v/>
      </c>
      <c r="AD50">
        <f>HYPERLINK("https://klasma.github.io/Logging_0885/tillsynsmail/A 43756-2022 tillsynsbegäran mail.docx", "A 43756-2022")</f>
        <v/>
      </c>
    </row>
    <row r="51" ht="15" customHeight="1">
      <c r="A51" t="inlineStr">
        <is>
          <t>A 38860-2025</t>
        </is>
      </c>
      <c r="B51" t="inlineStr">
        <is>
          <t>avverkningsanmälan</t>
        </is>
      </c>
      <c r="C51" t="inlineStr">
        <is>
          <t>Föryngringsavverkning</t>
        </is>
      </c>
      <c r="D51" s="1" t="n">
        <v>45887</v>
      </c>
      <c r="E51" s="1" t="n">
        <v>46235</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46235</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46235</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31520-2026</t>
        </is>
      </c>
      <c r="B54" t="inlineStr">
        <is>
          <t>avverkningsanmälan</t>
        </is>
      </c>
      <c r="C54" t="inlineStr">
        <is>
          <t>Avverkning för att bevara och utveckla /försöksver</t>
        </is>
      </c>
      <c r="D54" s="1" t="n">
        <v>46223</v>
      </c>
      <c r="E54" s="1" t="n">
        <v>46235</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26849-2026</t>
        </is>
      </c>
      <c r="B55" t="inlineStr">
        <is>
          <t>avverkningsanmälan</t>
        </is>
      </c>
      <c r="C55" t="inlineStr">
        <is>
          <t>Föryngringsavverkning</t>
        </is>
      </c>
      <c r="D55" s="1" t="n">
        <v>46185</v>
      </c>
      <c r="E55" s="1" t="n">
        <v>46235</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46235</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15285-2026</t>
        </is>
      </c>
      <c r="B57" t="inlineStr">
        <is>
          <t>avverkningsanmälan</t>
        </is>
      </c>
      <c r="C57" t="inlineStr">
        <is>
          <t>Avverkning för att bevara och utveckla /försöksver</t>
        </is>
      </c>
      <c r="D57" s="1" t="n">
        <v>46105</v>
      </c>
      <c r="E57" s="1" t="n">
        <v>46235</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24048-2025</t>
        </is>
      </c>
      <c r="B58" t="inlineStr">
        <is>
          <t>avverkningsanmälan</t>
        </is>
      </c>
      <c r="C58" t="inlineStr">
        <is>
          <t>Föryngringsavverkning</t>
        </is>
      </c>
      <c r="D58" s="1" t="n">
        <v>45796</v>
      </c>
      <c r="E58" s="1" t="n">
        <v>46235</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46235</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46235</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46235</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46235</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44678-2022</t>
        </is>
      </c>
      <c r="B63" t="inlineStr">
        <is>
          <t>avverkningsanmälan</t>
        </is>
      </c>
      <c r="C63" t="inlineStr">
        <is>
          <t>Föryngringsavverkning</t>
        </is>
      </c>
      <c r="D63" s="1" t="n">
        <v>44840</v>
      </c>
      <c r="E63" s="1" t="n">
        <v>46235</v>
      </c>
      <c r="F63" t="inlineStr">
        <is>
          <t>KALMAR LÄN</t>
        </is>
      </c>
      <c r="G63" t="inlineStr">
        <is>
          <t>BORGHOLM</t>
        </is>
      </c>
      <c r="I63" t="n">
        <v>2.4</v>
      </c>
      <c r="J63" t="n">
        <v>1</v>
      </c>
      <c r="K63" t="n">
        <v>1</v>
      </c>
      <c r="L63" t="n">
        <v>0</v>
      </c>
      <c r="M63" t="n">
        <v>0</v>
      </c>
      <c r="N63" t="n">
        <v>1</v>
      </c>
      <c r="O63" t="n">
        <v>0</v>
      </c>
      <c r="P63" t="n">
        <v>0</v>
      </c>
      <c r="Q63" t="n">
        <v>1</v>
      </c>
      <c r="R63" t="n">
        <v>1</v>
      </c>
      <c r="S63" t="n">
        <v>2</v>
      </c>
      <c r="T63" t="n">
        <v>2</v>
      </c>
      <c r="U63" t="n">
        <v>1</v>
      </c>
      <c r="V63" s="2" t="inlineStr">
        <is>
          <t>Ask
Skogsknipprot</t>
        </is>
      </c>
      <c r="W63">
        <f>HYPERLINK("https://klasma.github.io/Logging_0885/artfynd/A 44678-2022 artfynd.xlsx", "A 44678-2022")</f>
        <v/>
      </c>
      <c r="X63">
        <f>HYPERLINK("https://klasma.github.io/Logging_0885/kartor/A 44678-2022 karta.png", "A 44678-2022")</f>
        <v/>
      </c>
      <c r="Y63">
        <f>HYPERLINK("https://klasma.github.io/Logging_0885/kartor_geotiff/A 44678-2022 georefererad karta.tif", "A 44678-2022")</f>
        <v/>
      </c>
      <c r="AA63">
        <f>HYPERLINK("https://klasma.github.io/Logging_0885/klagomål/A 44678-2022 FSC-klagomål.docx", "A 44678-2022")</f>
        <v/>
      </c>
      <c r="AB63">
        <f>HYPERLINK("https://klasma.github.io/Logging_0885/klagomålsmail/A 44678-2022 FSC-klagomål mail.docx", "A 44678-2022")</f>
        <v/>
      </c>
      <c r="AC63">
        <f>HYPERLINK("https://klasma.github.io/Logging_0885/tillsyn/A 44678-2022 tillsynsbegäran.docx", "A 44678-2022")</f>
        <v/>
      </c>
      <c r="AD63">
        <f>HYPERLINK("https://klasma.github.io/Logging_0885/tillsynsmail/A 44678-2022 tillsynsbegäran mail.docx", "A 44678-2022")</f>
        <v/>
      </c>
    </row>
    <row r="64" ht="15" customHeight="1">
      <c r="A64" t="inlineStr">
        <is>
          <t>A 29411-2026</t>
        </is>
      </c>
      <c r="B64" t="inlineStr">
        <is>
          <t>avverkningsanmälan</t>
        </is>
      </c>
      <c r="C64" t="inlineStr">
        <is>
          <t>Avverkning för att bevara och utveckla /försöksver</t>
        </is>
      </c>
      <c r="D64" s="1" t="n">
        <v>46203</v>
      </c>
      <c r="E64" s="1" t="n">
        <v>46235</v>
      </c>
      <c r="F64" t="inlineStr">
        <is>
          <t>KALMAR LÄN</t>
        </is>
      </c>
      <c r="G64" t="inlineStr">
        <is>
          <t>BORGHOLM</t>
        </is>
      </c>
      <c r="H64" t="inlineStr">
        <is>
          <t>Sveaskog</t>
        </is>
      </c>
      <c r="I64" t="n">
        <v>0.6</v>
      </c>
      <c r="J64" t="n">
        <v>1</v>
      </c>
      <c r="K64" t="n">
        <v>1</v>
      </c>
      <c r="L64" t="n">
        <v>0</v>
      </c>
      <c r="M64" t="n">
        <v>1</v>
      </c>
      <c r="N64" t="n">
        <v>0</v>
      </c>
      <c r="O64" t="n">
        <v>0</v>
      </c>
      <c r="P64" t="n">
        <v>0</v>
      </c>
      <c r="Q64" t="n">
        <v>1</v>
      </c>
      <c r="R64" t="n">
        <v>1</v>
      </c>
      <c r="S64" t="n">
        <v>2</v>
      </c>
      <c r="T64" t="n">
        <v>2</v>
      </c>
      <c r="U64" t="n">
        <v>1</v>
      </c>
      <c r="V64" s="2" t="inlineStr">
        <is>
          <t>Bredbrämad bastardsvärmare
Ekoxe</t>
        </is>
      </c>
      <c r="W64">
        <f>HYPERLINK("https://klasma.github.io/Logging_0885/artfynd/A 29411-2026 artfynd.xlsx", "A 29411-2026")</f>
        <v/>
      </c>
      <c r="X64">
        <f>HYPERLINK("https://klasma.github.io/Logging_0885/kartor/A 29411-2026 karta.png", "A 29411-2026")</f>
        <v/>
      </c>
      <c r="Y64">
        <f>HYPERLINK("https://klasma.github.io/Logging_0885/kartor_geotiff/A 29411-2026 georefererad karta.tif", "A 29411-2026")</f>
        <v/>
      </c>
      <c r="AA64">
        <f>HYPERLINK("https://klasma.github.io/Logging_0885/klagomål/A 29411-2026 FSC-klagomål.docx", "A 29411-2026")</f>
        <v/>
      </c>
      <c r="AB64">
        <f>HYPERLINK("https://klasma.github.io/Logging_0885/klagomålsmail/A 29411-2026 FSC-klagomål mail.docx", "A 29411-2026")</f>
        <v/>
      </c>
      <c r="AC64">
        <f>HYPERLINK("https://klasma.github.io/Logging_0885/tillsyn/A 29411-2026 tillsynsbegäran.docx", "A 29411-2026")</f>
        <v/>
      </c>
      <c r="AD64">
        <f>HYPERLINK("https://klasma.github.io/Logging_0885/tillsynsmail/A 29411-2026 tillsynsbegäran mail.docx", "A 29411-2026")</f>
        <v/>
      </c>
    </row>
    <row r="65" ht="15" customHeight="1">
      <c r="A65" t="inlineStr">
        <is>
          <t>A 60141-2025</t>
        </is>
      </c>
      <c r="B65" t="inlineStr">
        <is>
          <t>avverkningsanmälan</t>
        </is>
      </c>
      <c r="C65" t="inlineStr">
        <is>
          <t>Föryngringsavverkning</t>
        </is>
      </c>
      <c r="D65" s="1" t="n">
        <v>45994</v>
      </c>
      <c r="E65" s="1" t="n">
        <v>46235</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46235</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29434-2026</t>
        </is>
      </c>
      <c r="B67" t="inlineStr">
        <is>
          <t>avverkningsanmälan</t>
        </is>
      </c>
      <c r="C67" t="inlineStr">
        <is>
          <t>Avverkning för att bevara och utveckla /försöksver</t>
        </is>
      </c>
      <c r="D67" s="1" t="n">
        <v>46203</v>
      </c>
      <c r="E67" s="1" t="n">
        <v>46235</v>
      </c>
      <c r="F67" t="inlineStr">
        <is>
          <t>KALMAR LÄN</t>
        </is>
      </c>
      <c r="G67" t="inlineStr">
        <is>
          <t>BORGHOLM</t>
        </is>
      </c>
      <c r="H67" t="inlineStr">
        <is>
          <t>Sveaskog</t>
        </is>
      </c>
      <c r="I67" t="n">
        <v>2.1</v>
      </c>
      <c r="J67" t="n">
        <v>0</v>
      </c>
      <c r="K67" t="n">
        <v>0</v>
      </c>
      <c r="L67" t="n">
        <v>0</v>
      </c>
      <c r="M67" t="n">
        <v>2</v>
      </c>
      <c r="N67" t="n">
        <v>0</v>
      </c>
      <c r="O67" t="n">
        <v>0</v>
      </c>
      <c r="P67" t="n">
        <v>0</v>
      </c>
      <c r="Q67" t="n">
        <v>2</v>
      </c>
      <c r="R67" t="n">
        <v>2</v>
      </c>
      <c r="S67" t="n">
        <v>2</v>
      </c>
      <c r="T67" t="n">
        <v>2</v>
      </c>
      <c r="U67" t="n">
        <v>0</v>
      </c>
      <c r="V67" s="2" t="inlineStr">
        <is>
          <t>Bredbrämad bastardsvärmare
Purpurmusseron</t>
        </is>
      </c>
      <c r="W67">
        <f>HYPERLINK("https://klasma.github.io/Logging_0885/artfynd/A 29434-2026 artfynd.xlsx", "A 29434-2026")</f>
        <v/>
      </c>
      <c r="X67">
        <f>HYPERLINK("https://klasma.github.io/Logging_0885/kartor/A 29434-2026 karta.png", "A 29434-2026")</f>
        <v/>
      </c>
      <c r="Y67">
        <f>HYPERLINK("https://klasma.github.io/Logging_0885/kartor_geotiff/A 29434-2026 georefererad karta.tif", "A 29434-2026")</f>
        <v/>
      </c>
      <c r="AA67">
        <f>HYPERLINK("https://klasma.github.io/Logging_0885/klagomål/A 29434-2026 FSC-klagomål.docx", "A 29434-2026")</f>
        <v/>
      </c>
      <c r="AB67">
        <f>HYPERLINK("https://klasma.github.io/Logging_0885/klagomålsmail/A 29434-2026 FSC-klagomål mail.docx", "A 29434-2026")</f>
        <v/>
      </c>
      <c r="AC67">
        <f>HYPERLINK("https://klasma.github.io/Logging_0885/tillsyn/A 29434-2026 tillsynsbegäran.docx", "A 29434-2026")</f>
        <v/>
      </c>
      <c r="AD67">
        <f>HYPERLINK("https://klasma.github.io/Logging_0885/tillsynsmail/A 29434-2026 tillsynsbegäran mail.docx", "A 29434-2026")</f>
        <v/>
      </c>
    </row>
    <row r="68" ht="15" customHeight="1">
      <c r="A68" t="inlineStr">
        <is>
          <t>A 24322-2026</t>
        </is>
      </c>
      <c r="B68" t="inlineStr">
        <is>
          <t>avverkningsanmälan</t>
        </is>
      </c>
      <c r="C68" t="inlineStr">
        <is>
          <t>Föryngringsavverkning</t>
        </is>
      </c>
      <c r="D68" s="1" t="n">
        <v>46169</v>
      </c>
      <c r="E68" s="1" t="n">
        <v>46235</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50129-2021</t>
        </is>
      </c>
      <c r="B69" t="inlineStr">
        <is>
          <t>avverkningsanmälan</t>
        </is>
      </c>
      <c r="C69" t="inlineStr">
        <is>
          <t>Avverkning för annat ändamål</t>
        </is>
      </c>
      <c r="D69" s="1" t="n">
        <v>44456</v>
      </c>
      <c r="E69" s="1" t="n">
        <v>46235</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17699-2025</t>
        </is>
      </c>
      <c r="B70" t="inlineStr">
        <is>
          <t>avverkningsanmälan</t>
        </is>
      </c>
      <c r="C70" t="inlineStr">
        <is>
          <t>Föryngringsavverkning</t>
        </is>
      </c>
      <c r="D70" s="1" t="n">
        <v>45758</v>
      </c>
      <c r="E70" s="1" t="n">
        <v>46235</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9253-2026</t>
        </is>
      </c>
      <c r="B71" t="inlineStr">
        <is>
          <t>avverkningsanmälan</t>
        </is>
      </c>
      <c r="C71" t="inlineStr">
        <is>
          <t>Föryngringsavverkning</t>
        </is>
      </c>
      <c r="D71" s="1" t="n">
        <v>46070</v>
      </c>
      <c r="E71" s="1" t="n">
        <v>46235</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21908-2022</t>
        </is>
      </c>
      <c r="B72" t="inlineStr">
        <is>
          <t>avverkningsanmälan</t>
        </is>
      </c>
      <c r="C72" t="inlineStr">
        <is>
          <t>Föryngringsavverkning</t>
        </is>
      </c>
      <c r="D72" s="1" t="n">
        <v>44711</v>
      </c>
      <c r="E72" s="1" t="n">
        <v>46235</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24166-2022</t>
        </is>
      </c>
      <c r="B73" t="inlineStr">
        <is>
          <t>avverkningsanmälan</t>
        </is>
      </c>
      <c r="C73" t="inlineStr">
        <is>
          <t>Avverkning för annat ändamål</t>
        </is>
      </c>
      <c r="D73" s="1" t="n">
        <v>44725</v>
      </c>
      <c r="E73" s="1" t="n">
        <v>46235</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46235</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46235</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46235</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46235</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46235</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46235</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46235</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19867-2024</t>
        </is>
      </c>
      <c r="B81" t="inlineStr">
        <is>
          <t>avverkningsanmälan</t>
        </is>
      </c>
      <c r="C81" t="inlineStr">
        <is>
          <t>Föryngringsavverkning</t>
        </is>
      </c>
      <c r="D81" s="1" t="n">
        <v>45433</v>
      </c>
      <c r="E81" s="1" t="n">
        <v>46235</v>
      </c>
      <c r="F81" t="inlineStr">
        <is>
          <t>KALMAR LÄN</t>
        </is>
      </c>
      <c r="G81" t="inlineStr">
        <is>
          <t>BORGHOLM</t>
        </is>
      </c>
      <c r="I81" t="n">
        <v>3.9</v>
      </c>
      <c r="J81" t="n">
        <v>0</v>
      </c>
      <c r="K81" t="n">
        <v>0</v>
      </c>
      <c r="L81" t="n">
        <v>1</v>
      </c>
      <c r="M81" t="n">
        <v>0</v>
      </c>
      <c r="N81" t="n">
        <v>0</v>
      </c>
      <c r="O81" t="n">
        <v>0</v>
      </c>
      <c r="P81" t="n">
        <v>0</v>
      </c>
      <c r="Q81" t="n">
        <v>1</v>
      </c>
      <c r="R81" t="n">
        <v>0</v>
      </c>
      <c r="S81" t="n">
        <v>1</v>
      </c>
      <c r="T81" t="n">
        <v>1</v>
      </c>
      <c r="U81" t="n">
        <v>1</v>
      </c>
      <c r="V81" s="2" t="inlineStr">
        <is>
          <t>Åkerkulla</t>
        </is>
      </c>
      <c r="W81">
        <f>HYPERLINK("https://klasma.github.io/Logging_0885/artfynd/A 19867-2024 artfynd.xlsx", "A 19867-2024")</f>
        <v/>
      </c>
      <c r="X81">
        <f>HYPERLINK("https://klasma.github.io/Logging_0885/kartor/A 19867-2024 karta.png", "A 19867-2024")</f>
        <v/>
      </c>
      <c r="Y81">
        <f>HYPERLINK("https://klasma.github.io/Logging_0885/kartor_geotiff/A 19867-2024 georefererad karta.tif", "A 19867-2024")</f>
        <v/>
      </c>
      <c r="AA81">
        <f>HYPERLINK("https://klasma.github.io/Logging_0885/klagomål/A 19867-2024 FSC-klagomål.docx", "A 19867-2024")</f>
        <v/>
      </c>
      <c r="AB81">
        <f>HYPERLINK("https://klasma.github.io/Logging_0885/klagomålsmail/A 19867-2024 FSC-klagomål mail.docx", "A 19867-2024")</f>
        <v/>
      </c>
      <c r="AC81">
        <f>HYPERLINK("https://klasma.github.io/Logging_0885/tillsyn/A 19867-2024 tillsynsbegäran.docx", "A 19867-2024")</f>
        <v/>
      </c>
      <c r="AD81">
        <f>HYPERLINK("https://klasma.github.io/Logging_0885/tillsynsmail/A 19867-2024 tillsynsbegäran mail.docx", "A 19867-2024")</f>
        <v/>
      </c>
    </row>
    <row r="82" ht="15" customHeight="1">
      <c r="A82" t="inlineStr">
        <is>
          <t>A 9745-2023</t>
        </is>
      </c>
      <c r="B82" t="inlineStr">
        <is>
          <t>avverkningsanmälan</t>
        </is>
      </c>
      <c r="C82" t="inlineStr">
        <is>
          <t>Föryngringsavverkning</t>
        </is>
      </c>
      <c r="D82" s="1" t="n">
        <v>44984</v>
      </c>
      <c r="E82" s="1" t="n">
        <v>46235</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46235</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41831-2025</t>
        </is>
      </c>
      <c r="B84" t="inlineStr">
        <is>
          <t>avverkningsanmälan</t>
        </is>
      </c>
      <c r="C84" t="inlineStr">
        <is>
          <t>Föryngringsavverkning</t>
        </is>
      </c>
      <c r="D84" s="1" t="n">
        <v>45902</v>
      </c>
      <c r="E84" s="1" t="n">
        <v>46235</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31720-2022</t>
        </is>
      </c>
      <c r="B85" t="inlineStr">
        <is>
          <t>avverkningsanmälan</t>
        </is>
      </c>
      <c r="C85" t="inlineStr">
        <is>
          <t>Föryngringsavverkning</t>
        </is>
      </c>
      <c r="D85" s="1" t="n">
        <v>44776</v>
      </c>
      <c r="E85" s="1" t="n">
        <v>46235</v>
      </c>
      <c r="F85" t="inlineStr">
        <is>
          <t>KALMAR LÄN</t>
        </is>
      </c>
      <c r="G85" t="inlineStr">
        <is>
          <t>BORGHOLM</t>
        </is>
      </c>
      <c r="H85" t="inlineStr">
        <is>
          <t>Sveaskog</t>
        </is>
      </c>
      <c r="I85" t="n">
        <v>4.5</v>
      </c>
      <c r="J85" t="n">
        <v>1</v>
      </c>
      <c r="K85" t="n">
        <v>1</v>
      </c>
      <c r="L85" t="n">
        <v>0</v>
      </c>
      <c r="M85" t="n">
        <v>0</v>
      </c>
      <c r="N85" t="n">
        <v>0</v>
      </c>
      <c r="O85" t="n">
        <v>0</v>
      </c>
      <c r="P85" t="n">
        <v>0</v>
      </c>
      <c r="Q85" t="n">
        <v>0</v>
      </c>
      <c r="R85" t="n">
        <v>0</v>
      </c>
      <c r="S85" t="n">
        <v>1</v>
      </c>
      <c r="T85" t="n">
        <v>1</v>
      </c>
      <c r="U85" t="n">
        <v>1</v>
      </c>
      <c r="V85" s="2" t="inlineStr">
        <is>
          <t>Tvåblad</t>
        </is>
      </c>
      <c r="W85">
        <f>HYPERLINK("https://klasma.github.io/Logging_0885/artfynd/A 31720-2022 artfynd.xlsx", "A 31720-2022")</f>
        <v/>
      </c>
      <c r="X85">
        <f>HYPERLINK("https://klasma.github.io/Logging_0885/kartor/A 31720-2022 karta.png", "A 31720-2022")</f>
        <v/>
      </c>
      <c r="Y85">
        <f>HYPERLINK("https://klasma.github.io/Logging_0885/kartor_geotiff/A 31720-2022 georefererad karta.tif", "A 31720-2022")</f>
        <v/>
      </c>
      <c r="AA85">
        <f>HYPERLINK("https://klasma.github.io/Logging_0885/klagomål/A 31720-2022 FSC-klagomål.docx", "A 31720-2022")</f>
        <v/>
      </c>
      <c r="AB85">
        <f>HYPERLINK("https://klasma.github.io/Logging_0885/klagomålsmail/A 31720-2022 FSC-klagomål mail.docx", "A 31720-2022")</f>
        <v/>
      </c>
      <c r="AC85">
        <f>HYPERLINK("https://klasma.github.io/Logging_0885/tillsyn/A 31720-2022 tillsynsbegäran.docx", "A 31720-2022")</f>
        <v/>
      </c>
      <c r="AD85">
        <f>HYPERLINK("https://klasma.github.io/Logging_0885/tillsynsmail/A 31720-2022 tillsynsbegäran mail.docx", "A 31720-2022")</f>
        <v/>
      </c>
    </row>
    <row r="86" ht="15" customHeight="1">
      <c r="A86" t="inlineStr">
        <is>
          <t>A 28374-2026</t>
        </is>
      </c>
      <c r="B86" t="inlineStr">
        <is>
          <t>avverkningsanmälan</t>
        </is>
      </c>
      <c r="C86" t="inlineStr">
        <is>
          <t>Avverkning för att bevara och utveckla /försöksver</t>
        </is>
      </c>
      <c r="D86" s="1" t="n">
        <v>46196</v>
      </c>
      <c r="E86" s="1" t="n">
        <v>46235</v>
      </c>
      <c r="F86" t="inlineStr">
        <is>
          <t>KALMAR LÄN</t>
        </is>
      </c>
      <c r="G86" t="inlineStr">
        <is>
          <t>BORGHOLM</t>
        </is>
      </c>
      <c r="H86" t="inlineStr">
        <is>
          <t>Sveaskog</t>
        </is>
      </c>
      <c r="I86" t="n">
        <v>2</v>
      </c>
      <c r="J86" t="n">
        <v>0</v>
      </c>
      <c r="K86" t="n">
        <v>0</v>
      </c>
      <c r="L86" t="n">
        <v>0</v>
      </c>
      <c r="M86" t="n">
        <v>1</v>
      </c>
      <c r="N86" t="n">
        <v>0</v>
      </c>
      <c r="O86" t="n">
        <v>0</v>
      </c>
      <c r="P86" t="n">
        <v>0</v>
      </c>
      <c r="Q86" t="n">
        <v>1</v>
      </c>
      <c r="R86" t="n">
        <v>1</v>
      </c>
      <c r="S86" t="n">
        <v>1</v>
      </c>
      <c r="T86" t="n">
        <v>1</v>
      </c>
      <c r="U86" t="n">
        <v>0</v>
      </c>
      <c r="V86" s="2" t="inlineStr">
        <is>
          <t>Purpurmusseron</t>
        </is>
      </c>
      <c r="W86">
        <f>HYPERLINK("https://klasma.github.io/Logging_0885/artfynd/A 28374-2026 artfynd.xlsx", "A 28374-2026")</f>
        <v/>
      </c>
      <c r="X86">
        <f>HYPERLINK("https://klasma.github.io/Logging_0885/kartor/A 28374-2026 karta.png", "A 28374-2026")</f>
        <v/>
      </c>
      <c r="Y86">
        <f>HYPERLINK("https://klasma.github.io/Logging_0885/kartor_geotiff/A 28374-2026 georefererad karta.tif", "A 28374-2026")</f>
        <v/>
      </c>
      <c r="AA86">
        <f>HYPERLINK("https://klasma.github.io/Logging_0885/klagomål/A 28374-2026 FSC-klagomål.docx", "A 28374-2026")</f>
        <v/>
      </c>
      <c r="AB86">
        <f>HYPERLINK("https://klasma.github.io/Logging_0885/klagomålsmail/A 28374-2026 FSC-klagomål mail.docx", "A 28374-2026")</f>
        <v/>
      </c>
      <c r="AC86">
        <f>HYPERLINK("https://klasma.github.io/Logging_0885/tillsyn/A 28374-2026 tillsynsbegäran.docx", "A 28374-2026")</f>
        <v/>
      </c>
      <c r="AD86">
        <f>HYPERLINK("https://klasma.github.io/Logging_0885/tillsynsmail/A 28374-2026 tillsynsbegäran mail.docx", "A 28374-2026")</f>
        <v/>
      </c>
    </row>
    <row r="87" ht="15" customHeight="1">
      <c r="A87" t="inlineStr">
        <is>
          <t>A 28430-2026</t>
        </is>
      </c>
      <c r="B87" t="inlineStr">
        <is>
          <t>avverkningsanmälan</t>
        </is>
      </c>
      <c r="C87" t="inlineStr">
        <is>
          <t>Avverkning för att bevara och utveckla /försöksver</t>
        </is>
      </c>
      <c r="D87" s="1" t="n">
        <v>46197</v>
      </c>
      <c r="E87" s="1" t="n">
        <v>46235</v>
      </c>
      <c r="F87" t="inlineStr">
        <is>
          <t>KALMAR LÄN</t>
        </is>
      </c>
      <c r="G87" t="inlineStr">
        <is>
          <t>BORGHOLM</t>
        </is>
      </c>
      <c r="H87" t="inlineStr">
        <is>
          <t>Sveaskog</t>
        </is>
      </c>
      <c r="I87" t="n">
        <v>1.8</v>
      </c>
      <c r="J87" t="n">
        <v>0</v>
      </c>
      <c r="K87" t="n">
        <v>0</v>
      </c>
      <c r="L87" t="n">
        <v>1</v>
      </c>
      <c r="M87" t="n">
        <v>0</v>
      </c>
      <c r="N87" t="n">
        <v>0</v>
      </c>
      <c r="O87" t="n">
        <v>0</v>
      </c>
      <c r="P87" t="n">
        <v>0</v>
      </c>
      <c r="Q87" t="n">
        <v>1</v>
      </c>
      <c r="R87" t="n">
        <v>0</v>
      </c>
      <c r="S87" t="n">
        <v>1</v>
      </c>
      <c r="T87" t="n">
        <v>2</v>
      </c>
      <c r="U87" t="n">
        <v>0</v>
      </c>
      <c r="V87" s="2" t="inlineStr">
        <is>
          <t>Oxtungssvamp</t>
        </is>
      </c>
      <c r="W87">
        <f>HYPERLINK("https://klasma.github.io/Logging_0885/artfynd/A 28430-2026 artfynd.xlsx", "A 28430-2026")</f>
        <v/>
      </c>
      <c r="X87">
        <f>HYPERLINK("https://klasma.github.io/Logging_0885/kartor/A 28430-2026 karta.png", "A 28430-2026")</f>
        <v/>
      </c>
      <c r="Y87">
        <f>HYPERLINK("https://klasma.github.io/Logging_0885/kartor_geotiff/A 28430-2026 georefererad karta.tif", "A 28430-2026")</f>
        <v/>
      </c>
      <c r="AA87">
        <f>HYPERLINK("https://klasma.github.io/Logging_0885/klagomål/A 28430-2026 FSC-klagomål.docx", "A 28430-2026")</f>
        <v/>
      </c>
      <c r="AB87">
        <f>HYPERLINK("https://klasma.github.io/Logging_0885/klagomålsmail/A 28430-2026 FSC-klagomål mail.docx", "A 28430-2026")</f>
        <v/>
      </c>
      <c r="AC87">
        <f>HYPERLINK("https://klasma.github.io/Logging_0885/tillsyn/A 28430-2026 tillsynsbegäran.docx", "A 28430-2026")</f>
        <v/>
      </c>
      <c r="AD87">
        <f>HYPERLINK("https://klasma.github.io/Logging_0885/tillsynsmail/A 28430-2026 tillsynsbegäran mail.docx", "A 28430-2026")</f>
        <v/>
      </c>
    </row>
    <row r="88" ht="15" customHeight="1">
      <c r="A88" t="inlineStr">
        <is>
          <t>A 24701-2023</t>
        </is>
      </c>
      <c r="B88" t="inlineStr">
        <is>
          <t>avverkningsanmälan</t>
        </is>
      </c>
      <c r="C88" t="inlineStr">
        <is>
          <t>Föryngringsavverkning</t>
        </is>
      </c>
      <c r="D88" s="1" t="n">
        <v>45084</v>
      </c>
      <c r="E88" s="1" t="n">
        <v>46235</v>
      </c>
      <c r="F88" t="inlineStr">
        <is>
          <t>KALMAR LÄN</t>
        </is>
      </c>
      <c r="G88" t="inlineStr">
        <is>
          <t>BORGHOLM</t>
        </is>
      </c>
      <c r="I88" t="n">
        <v>3</v>
      </c>
      <c r="J88" t="n">
        <v>0</v>
      </c>
      <c r="K88" t="n">
        <v>0</v>
      </c>
      <c r="L88" t="n">
        <v>0</v>
      </c>
      <c r="M88" t="n">
        <v>0</v>
      </c>
      <c r="N88" t="n">
        <v>1</v>
      </c>
      <c r="O88" t="n">
        <v>0</v>
      </c>
      <c r="P88" t="n">
        <v>0</v>
      </c>
      <c r="Q88" t="n">
        <v>1</v>
      </c>
      <c r="R88" t="n">
        <v>1</v>
      </c>
      <c r="S88" t="n">
        <v>1</v>
      </c>
      <c r="T88" t="n">
        <v>3</v>
      </c>
      <c r="U88" t="n">
        <v>0</v>
      </c>
      <c r="V88" s="2" t="inlineStr">
        <is>
          <t>Ask</t>
        </is>
      </c>
      <c r="W88">
        <f>HYPERLINK("https://klasma.github.io/Logging_0885/artfynd/A 24701-2023 artfynd.xlsx", "A 24701-2023")</f>
        <v/>
      </c>
      <c r="X88">
        <f>HYPERLINK("https://klasma.github.io/Logging_0885/kartor/A 24701-2023 karta.png", "A 24701-2023")</f>
        <v/>
      </c>
      <c r="Y88">
        <f>HYPERLINK("https://klasma.github.io/Logging_0885/kartor_geotiff/A 24701-2023 georefererad karta.tif", "A 24701-2023")</f>
        <v/>
      </c>
      <c r="AA88">
        <f>HYPERLINK("https://klasma.github.io/Logging_0885/klagomål/A 24701-2023 FSC-klagomål.docx", "A 24701-2023")</f>
        <v/>
      </c>
      <c r="AB88">
        <f>HYPERLINK("https://klasma.github.io/Logging_0885/klagomålsmail/A 24701-2023 FSC-klagomål mail.docx", "A 24701-2023")</f>
        <v/>
      </c>
      <c r="AC88">
        <f>HYPERLINK("https://klasma.github.io/Logging_0885/tillsyn/A 24701-2023 tillsynsbegäran.docx", "A 24701-2023")</f>
        <v/>
      </c>
      <c r="AD88">
        <f>HYPERLINK("https://klasma.github.io/Logging_0885/tillsynsmail/A 24701-2023 tillsynsbegäran mail.docx", "A 24701-2023")</f>
        <v/>
      </c>
    </row>
    <row r="89" ht="15" customHeight="1">
      <c r="A89" t="inlineStr">
        <is>
          <t>A 63276-2023</t>
        </is>
      </c>
      <c r="B89" t="inlineStr">
        <is>
          <t>avverkningsanmälan</t>
        </is>
      </c>
      <c r="C89" t="inlineStr">
        <is>
          <t>Föryngringsavverkning</t>
        </is>
      </c>
      <c r="D89" s="1" t="n">
        <v>45273</v>
      </c>
      <c r="E89" s="1" t="n">
        <v>46235</v>
      </c>
      <c r="F89" t="inlineStr">
        <is>
          <t>KALMAR LÄN</t>
        </is>
      </c>
      <c r="G89" t="inlineStr">
        <is>
          <t>BORGHOLM</t>
        </is>
      </c>
      <c r="I89" t="n">
        <v>5</v>
      </c>
      <c r="J89" t="n">
        <v>0</v>
      </c>
      <c r="K89" t="n">
        <v>0</v>
      </c>
      <c r="L89" t="n">
        <v>0</v>
      </c>
      <c r="M89" t="n">
        <v>1</v>
      </c>
      <c r="N89" t="n">
        <v>0</v>
      </c>
      <c r="O89" t="n">
        <v>0</v>
      </c>
      <c r="P89" t="n">
        <v>0</v>
      </c>
      <c r="Q89" t="n">
        <v>1</v>
      </c>
      <c r="R89" t="n">
        <v>1</v>
      </c>
      <c r="S89" t="n">
        <v>1</v>
      </c>
      <c r="T89" t="n">
        <v>1</v>
      </c>
      <c r="U89" t="n">
        <v>0</v>
      </c>
      <c r="V89" s="2" t="inlineStr">
        <is>
          <t>Elaphomyces barrioi</t>
        </is>
      </c>
      <c r="W89">
        <f>HYPERLINK("https://klasma.github.io/Logging_0885/artfynd/A 63276-2023 artfynd.xlsx", "A 63276-2023")</f>
        <v/>
      </c>
      <c r="X89">
        <f>HYPERLINK("https://klasma.github.io/Logging_0885/kartor/A 63276-2023 karta.png", "A 63276-2023")</f>
        <v/>
      </c>
      <c r="Y89">
        <f>HYPERLINK("https://klasma.github.io/Logging_0885/kartor_geotiff/A 63276-2023 georefererad karta.tif", "A 63276-2023")</f>
        <v/>
      </c>
      <c r="AA89">
        <f>HYPERLINK("https://klasma.github.io/Logging_0885/klagomål/A 63276-2023 FSC-klagomål.docx", "A 63276-2023")</f>
        <v/>
      </c>
      <c r="AB89">
        <f>HYPERLINK("https://klasma.github.io/Logging_0885/klagomålsmail/A 63276-2023 FSC-klagomål mail.docx", "A 63276-2023")</f>
        <v/>
      </c>
      <c r="AC89">
        <f>HYPERLINK("https://klasma.github.io/Logging_0885/tillsyn/A 63276-2023 tillsynsbegäran.docx", "A 63276-2023")</f>
        <v/>
      </c>
      <c r="AD89">
        <f>HYPERLINK("https://klasma.github.io/Logging_0885/tillsynsmail/A 63276-2023 tillsynsbegäran mail.docx", "A 63276-2023")</f>
        <v/>
      </c>
    </row>
    <row r="90" ht="15" customHeight="1">
      <c r="A90" t="inlineStr">
        <is>
          <t>A 3302-2026</t>
        </is>
      </c>
      <c r="B90" t="inlineStr">
        <is>
          <t>avverkningsanmälan</t>
        </is>
      </c>
      <c r="C90" t="inlineStr">
        <is>
          <t>Avverkning för annat ändamål</t>
        </is>
      </c>
      <c r="D90" s="1" t="n">
        <v>46041</v>
      </c>
      <c r="E90" s="1" t="n">
        <v>46235</v>
      </c>
      <c r="F90" t="inlineStr">
        <is>
          <t>KALMAR LÄN</t>
        </is>
      </c>
      <c r="G90" t="inlineStr">
        <is>
          <t>BORGHOLM</t>
        </is>
      </c>
      <c r="I90" t="n">
        <v>3.9</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HYPERLINK("https://klasma.github.io/Logging_0885/artfynd/A 3302-2026 artfynd.xlsx", "A 3302-2026")</f>
        <v/>
      </c>
      <c r="X90">
        <f>HYPERLINK("https://klasma.github.io/Logging_0885/kartor/A 3302-2026 karta.png", "A 3302-2026")</f>
        <v/>
      </c>
      <c r="Y90">
        <f>HYPERLINK("https://klasma.github.io/Logging_0885/kartor_geotiff/A 3302-2026 georefererad karta.tif", "A 3302-2026")</f>
        <v/>
      </c>
      <c r="AA90">
        <f>HYPERLINK("https://klasma.github.io/Logging_0885/klagomål/A 3302-2026 FSC-klagomål.docx", "A 3302-2026")</f>
        <v/>
      </c>
      <c r="AB90">
        <f>HYPERLINK("https://klasma.github.io/Logging_0885/klagomålsmail/A 3302-2026 FSC-klagomål mail.docx", "A 3302-2026")</f>
        <v/>
      </c>
      <c r="AC90">
        <f>HYPERLINK("https://klasma.github.io/Logging_0885/tillsyn/A 3302-2026 tillsynsbegäran.docx", "A 3302-2026")</f>
        <v/>
      </c>
      <c r="AD90">
        <f>HYPERLINK("https://klasma.github.io/Logging_0885/tillsynsmail/A 3302-2026 tillsynsbegäran mail.docx", "A 3302-2026")</f>
        <v/>
      </c>
    </row>
    <row r="91" ht="15" customHeight="1">
      <c r="A91" t="inlineStr">
        <is>
          <t>A 24704-2023</t>
        </is>
      </c>
      <c r="B91" t="inlineStr">
        <is>
          <t>avverkningsanmälan</t>
        </is>
      </c>
      <c r="C91" t="inlineStr">
        <is>
          <t>Föryngringsavverkning</t>
        </is>
      </c>
      <c r="D91" s="1" t="n">
        <v>45084</v>
      </c>
      <c r="E91" s="1" t="n">
        <v>46235</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7481-2026</t>
        </is>
      </c>
      <c r="B92" t="inlineStr">
        <is>
          <t>avverkningsanmälan</t>
        </is>
      </c>
      <c r="C92" t="inlineStr">
        <is>
          <t>Föryngringsavverkning</t>
        </is>
      </c>
      <c r="D92" s="1" t="n">
        <v>46059</v>
      </c>
      <c r="E92" s="1" t="n">
        <v>46235</v>
      </c>
      <c r="F92" t="inlineStr">
        <is>
          <t>KALMAR LÄN</t>
        </is>
      </c>
      <c r="G92" t="inlineStr">
        <is>
          <t>BORGHOLM</t>
        </is>
      </c>
      <c r="I92" t="n">
        <v>1.9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HYPERLINK("https://klasma.github.io/Logging_0885/artfynd/A 7481-2026 artfynd.xlsx", "A 7481-2026")</f>
        <v/>
      </c>
      <c r="X92">
        <f>HYPERLINK("https://klasma.github.io/Logging_0885/kartor/A 7481-2026 karta.png", "A 7481-2026")</f>
        <v/>
      </c>
      <c r="Y92">
        <f>HYPERLINK("https://klasma.github.io/Logging_0885/kartor_geotiff/A 7481-2026 georefererad karta.tif", "A 7481-2026")</f>
        <v/>
      </c>
      <c r="AA92">
        <f>HYPERLINK("https://klasma.github.io/Logging_0885/klagomål/A 7481-2026 FSC-klagomål.docx", "A 7481-2026")</f>
        <v/>
      </c>
      <c r="AB92">
        <f>HYPERLINK("https://klasma.github.io/Logging_0885/klagomålsmail/A 7481-2026 FSC-klagomål mail.docx", "A 7481-2026")</f>
        <v/>
      </c>
      <c r="AC92">
        <f>HYPERLINK("https://klasma.github.io/Logging_0885/tillsyn/A 7481-2026 tillsynsbegäran.docx", "A 7481-2026")</f>
        <v/>
      </c>
      <c r="AD92">
        <f>HYPERLINK("https://klasma.github.io/Logging_0885/tillsynsmail/A 7481-2026 tillsynsbegäran mail.docx", "A 7481-2026")</f>
        <v/>
      </c>
    </row>
    <row r="93" ht="15" customHeight="1">
      <c r="A93" t="inlineStr">
        <is>
          <t>A 26840-2026</t>
        </is>
      </c>
      <c r="B93" t="inlineStr">
        <is>
          <t>avverkningsanmälan</t>
        </is>
      </c>
      <c r="C93" t="inlineStr">
        <is>
          <t>Avverkning för att bevara och utveckla /försöksver</t>
        </is>
      </c>
      <c r="D93" s="1" t="n">
        <v>46185</v>
      </c>
      <c r="E93" s="1" t="n">
        <v>46235</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9905-2026</t>
        </is>
      </c>
      <c r="B94" t="inlineStr">
        <is>
          <t>avverkningsanmälan</t>
        </is>
      </c>
      <c r="C94" t="inlineStr">
        <is>
          <t>Föryngringsavverkning</t>
        </is>
      </c>
      <c r="D94" s="1" t="n">
        <v>46073</v>
      </c>
      <c r="E94" s="1" t="n">
        <v>46235</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13043-2024</t>
        </is>
      </c>
      <c r="B95" t="inlineStr">
        <is>
          <t>avverkningsanmälan</t>
        </is>
      </c>
      <c r="C95" t="inlineStr">
        <is>
          <t>Föryngringsavverkning</t>
        </is>
      </c>
      <c r="D95" s="1" t="n">
        <v>45385</v>
      </c>
      <c r="E95" s="1" t="n">
        <v>46235</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28782-2025</t>
        </is>
      </c>
      <c r="B96" t="inlineStr">
        <is>
          <t>avverkningsanmälan</t>
        </is>
      </c>
      <c r="C96" t="inlineStr">
        <is>
          <t>Avverkning för att bevara och utveckla /försöksver</t>
        </is>
      </c>
      <c r="D96" s="1" t="n">
        <v>45820</v>
      </c>
      <c r="E96" s="1" t="n">
        <v>46235</v>
      </c>
      <c r="F96" t="inlineStr">
        <is>
          <t>KALMAR LÄN</t>
        </is>
      </c>
      <c r="G96" t="inlineStr">
        <is>
          <t>BORGHOLM</t>
        </is>
      </c>
      <c r="H96" t="inlineStr">
        <is>
          <t>Sveaskog</t>
        </is>
      </c>
      <c r="I96" t="n">
        <v>0.8</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28782-2025 artfynd.xlsx", "A 28782-2025")</f>
        <v/>
      </c>
      <c r="X96">
        <f>HYPERLINK("https://klasma.github.io/Logging_0885/kartor/A 28782-2025 karta.png", "A 28782-2025")</f>
        <v/>
      </c>
      <c r="Y96">
        <f>HYPERLINK("https://klasma.github.io/Logging_0885/kartor_geotiff/A 28782-2025 georefererad karta.tif", "A 28782-2025")</f>
        <v/>
      </c>
      <c r="AA96">
        <f>HYPERLINK("https://klasma.github.io/Logging_0885/klagomål/A 28782-2025 FSC-klagomål.docx", "A 28782-2025")</f>
        <v/>
      </c>
      <c r="AB96">
        <f>HYPERLINK("https://klasma.github.io/Logging_0885/klagomålsmail/A 28782-2025 FSC-klagomål mail.docx", "A 28782-2025")</f>
        <v/>
      </c>
      <c r="AC96">
        <f>HYPERLINK("https://klasma.github.io/Logging_0885/tillsyn/A 28782-2025 tillsynsbegäran.docx", "A 28782-2025")</f>
        <v/>
      </c>
      <c r="AD96">
        <f>HYPERLINK("https://klasma.github.io/Logging_0885/tillsynsmail/A 28782-2025 tillsynsbegäran mail.docx", "A 28782-2025")</f>
        <v/>
      </c>
      <c r="AE96">
        <f>HYPERLINK("https://klasma.github.io/Logging_0885/fåglar/A 28782-2025 prioriterade fågelarter.docx", "A 28782-2025")</f>
        <v/>
      </c>
    </row>
    <row r="97" ht="15" customHeight="1">
      <c r="A97" t="inlineStr">
        <is>
          <t>A 28785-2025</t>
        </is>
      </c>
      <c r="B97" t="inlineStr">
        <is>
          <t>avverkningsanmälan</t>
        </is>
      </c>
      <c r="C97" t="inlineStr">
        <is>
          <t>Avverkning för att bevara och utveckla /försöksver</t>
        </is>
      </c>
      <c r="D97" s="1" t="n">
        <v>45820</v>
      </c>
      <c r="E97" s="1" t="n">
        <v>46235</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S 2390-2023</t>
        </is>
      </c>
      <c r="B98" t="inlineStr">
        <is>
          <t>samrådsanmälan</t>
        </is>
      </c>
      <c r="C98" t="inlineStr">
        <is>
          <t>Annan skogsbruksåtgärd</t>
        </is>
      </c>
      <c r="D98" s="1" t="n">
        <v>45111</v>
      </c>
      <c r="E98" s="1" t="n">
        <v>46235</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46235</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46235</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46235</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46235</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46235</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46235</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46235</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46235</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46235</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46235</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46235</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46235</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46235</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13383-2023</t>
        </is>
      </c>
      <c r="B112" t="inlineStr">
        <is>
          <t>avverkningsanmälan</t>
        </is>
      </c>
      <c r="C112" t="inlineStr">
        <is>
          <t>Föryngringsavverkning</t>
        </is>
      </c>
      <c r="D112" s="1" t="n">
        <v>45005</v>
      </c>
      <c r="E112" s="1" t="n">
        <v>46235</v>
      </c>
      <c r="F112" t="inlineStr">
        <is>
          <t>KALMAR LÄN</t>
        </is>
      </c>
      <c r="G112" t="inlineStr">
        <is>
          <t>BORGHOLM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46235</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4159-2024</t>
        </is>
      </c>
      <c r="B114" t="inlineStr">
        <is>
          <t>avverkningsanmälan</t>
        </is>
      </c>
      <c r="C114" t="inlineStr">
        <is>
          <t>Föryngringsavverkning</t>
        </is>
      </c>
      <c r="D114" s="1" t="n">
        <v>45323</v>
      </c>
      <c r="E114" s="1" t="n">
        <v>46235</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46235</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41950-2025</t>
        </is>
      </c>
      <c r="B116" t="inlineStr">
        <is>
          <t>avverkningsanmälan</t>
        </is>
      </c>
      <c r="C116" t="inlineStr">
        <is>
          <t>Föryngringsavverkning</t>
        </is>
      </c>
      <c r="D116" s="1" t="n">
        <v>45903</v>
      </c>
      <c r="E116" s="1" t="n">
        <v>46235</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53050-2021</t>
        </is>
      </c>
      <c r="B117" t="inlineStr">
        <is>
          <t>avverkningsanmälan</t>
        </is>
      </c>
      <c r="C117" t="inlineStr">
        <is>
          <t>Föryngringsavverkning</t>
        </is>
      </c>
      <c r="D117" s="1" t="n">
        <v>44467</v>
      </c>
      <c r="E117" s="1" t="n">
        <v>46235</v>
      </c>
      <c r="F117" t="inlineStr">
        <is>
          <t>KALMAR LÄN</t>
        </is>
      </c>
      <c r="G117" t="inlineStr">
        <is>
          <t>BORGHOLM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46235</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46235</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12937-2022</t>
        </is>
      </c>
      <c r="B120" t="inlineStr">
        <is>
          <t>avverkningsanmälan</t>
        </is>
      </c>
      <c r="C120" t="inlineStr">
        <is>
          <t>Föryngringsavverkning</t>
        </is>
      </c>
      <c r="D120" s="1" t="n">
        <v>44642</v>
      </c>
      <c r="E120" s="1" t="n">
        <v>46235</v>
      </c>
      <c r="F120" t="inlineStr">
        <is>
          <t>KALMAR LÄN</t>
        </is>
      </c>
      <c r="G120" t="inlineStr">
        <is>
          <t>BORGHOLM</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46235</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28381-2026</t>
        </is>
      </c>
      <c r="B122" t="inlineStr">
        <is>
          <t>avverkningsanmälan</t>
        </is>
      </c>
      <c r="C122" t="inlineStr">
        <is>
          <t>Avverkning för att bevara och utveckla /försöksver</t>
        </is>
      </c>
      <c r="D122" s="1" t="n">
        <v>46196</v>
      </c>
      <c r="E122" s="1" t="n">
        <v>46235</v>
      </c>
      <c r="F122" t="inlineStr">
        <is>
          <t>KALMAR LÄN</t>
        </is>
      </c>
      <c r="G122" t="inlineStr">
        <is>
          <t>BORGHOLM</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28380-2026</t>
        </is>
      </c>
      <c r="B123" t="inlineStr">
        <is>
          <t>avverkningsanmälan</t>
        </is>
      </c>
      <c r="C123" t="inlineStr">
        <is>
          <t>Avverkning för att bevara och utveckla /försöksver</t>
        </is>
      </c>
      <c r="D123" s="1" t="n">
        <v>46196</v>
      </c>
      <c r="E123" s="1" t="n">
        <v>46235</v>
      </c>
      <c r="F123" t="inlineStr">
        <is>
          <t>KALMAR LÄN</t>
        </is>
      </c>
      <c r="G123" t="inlineStr">
        <is>
          <t>BORGHOLM</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28411-2026</t>
        </is>
      </c>
      <c r="B124" t="inlineStr">
        <is>
          <t>avverkningsanmälan</t>
        </is>
      </c>
      <c r="C124" t="inlineStr">
        <is>
          <t>Avverkning för att bevara och utveckla /försöksver</t>
        </is>
      </c>
      <c r="D124" s="1" t="n">
        <v>46197</v>
      </c>
      <c r="E124" s="1" t="n">
        <v>46235</v>
      </c>
      <c r="F124" t="inlineStr">
        <is>
          <t>KALMAR LÄN</t>
        </is>
      </c>
      <c r="G124" t="inlineStr">
        <is>
          <t>BORGHOLM</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46235</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27357-2025</t>
        </is>
      </c>
      <c r="B126" t="inlineStr">
        <is>
          <t>avverkningsanmälan</t>
        </is>
      </c>
      <c r="C126" t="inlineStr">
        <is>
          <t>Avverkning för att bevara och utveckla /försöksver</t>
        </is>
      </c>
      <c r="D126" s="1" t="n">
        <v>45812</v>
      </c>
      <c r="E126" s="1" t="n">
        <v>46235</v>
      </c>
      <c r="F126" t="inlineStr">
        <is>
          <t>KALMAR LÄN</t>
        </is>
      </c>
      <c r="G126" t="inlineStr">
        <is>
          <t>BORGHOLM</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7669-2024</t>
        </is>
      </c>
      <c r="B127" t="inlineStr">
        <is>
          <t>avverkningsanmälan</t>
        </is>
      </c>
      <c r="C127" t="inlineStr">
        <is>
          <t>Föryngringsavverkning</t>
        </is>
      </c>
      <c r="D127" s="1" t="n">
        <v>45348</v>
      </c>
      <c r="E127" s="1" t="n">
        <v>46235</v>
      </c>
      <c r="F127" t="inlineStr">
        <is>
          <t>KALMAR LÄN</t>
        </is>
      </c>
      <c r="G127" t="inlineStr">
        <is>
          <t>BORGHOLM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29410-2026</t>
        </is>
      </c>
      <c r="B128" t="inlineStr">
        <is>
          <t>avverkningsanmälan</t>
        </is>
      </c>
      <c r="C128" t="inlineStr">
        <is>
          <t>Avverkning för att bevara och utveckla /försöksver</t>
        </is>
      </c>
      <c r="D128" s="1" t="n">
        <v>46203</v>
      </c>
      <c r="E128" s="1" t="n">
        <v>46235</v>
      </c>
      <c r="F128" t="inlineStr">
        <is>
          <t>KALMAR LÄN</t>
        </is>
      </c>
      <c r="G128" t="inlineStr">
        <is>
          <t>BORGHOLM</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29413-2026</t>
        </is>
      </c>
      <c r="B129" t="inlineStr">
        <is>
          <t>avverkningsanmälan</t>
        </is>
      </c>
      <c r="C129" t="inlineStr">
        <is>
          <t>Avverkning för att bevara och utveckla /försöksver</t>
        </is>
      </c>
      <c r="D129" s="1" t="n">
        <v>46203</v>
      </c>
      <c r="E129" s="1" t="n">
        <v>46235</v>
      </c>
      <c r="F129" t="inlineStr">
        <is>
          <t>KALMAR LÄN</t>
        </is>
      </c>
      <c r="G129" t="inlineStr">
        <is>
          <t>BORGHOLM</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29414-2026</t>
        </is>
      </c>
      <c r="B130" t="inlineStr">
        <is>
          <t>avverkningsanmälan</t>
        </is>
      </c>
      <c r="C130" t="inlineStr">
        <is>
          <t>Avverkning för att bevara och utveckla /försöksver</t>
        </is>
      </c>
      <c r="D130" s="1" t="n">
        <v>46203</v>
      </c>
      <c r="E130" s="1" t="n">
        <v>46235</v>
      </c>
      <c r="F130" t="inlineStr">
        <is>
          <t>KALMAR LÄN</t>
        </is>
      </c>
      <c r="G130" t="inlineStr">
        <is>
          <t>BORGHOLM</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29431-2026</t>
        </is>
      </c>
      <c r="B131" t="inlineStr">
        <is>
          <t>avverkningsanmälan</t>
        </is>
      </c>
      <c r="C131" t="inlineStr">
        <is>
          <t>Avverkning för att bevara och utveckla /försöksver</t>
        </is>
      </c>
      <c r="D131" s="1" t="n">
        <v>46203</v>
      </c>
      <c r="E131" s="1" t="n">
        <v>46235</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61438-2023</t>
        </is>
      </c>
      <c r="B132" t="inlineStr">
        <is>
          <t>avverkningsanmälan</t>
        </is>
      </c>
      <c r="C132" t="inlineStr">
        <is>
          <t>Avverkning för annat ändamål</t>
        </is>
      </c>
      <c r="D132" s="1" t="n">
        <v>45264</v>
      </c>
      <c r="E132" s="1" t="n">
        <v>46235</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13041-2024</t>
        </is>
      </c>
      <c r="B133" t="inlineStr">
        <is>
          <t>avverkningsanmälan</t>
        </is>
      </c>
      <c r="C133" t="inlineStr">
        <is>
          <t>Föryngringsavverkning</t>
        </is>
      </c>
      <c r="D133" s="1" t="n">
        <v>45385</v>
      </c>
      <c r="E133" s="1" t="n">
        <v>46235</v>
      </c>
      <c r="F133" t="inlineStr">
        <is>
          <t>KALMAR LÄN</t>
        </is>
      </c>
      <c r="G133" t="inlineStr">
        <is>
          <t>BORGHOLM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64303-2023</t>
        </is>
      </c>
      <c r="B134" t="inlineStr">
        <is>
          <t>avverkningsanmälan</t>
        </is>
      </c>
      <c r="C134" t="inlineStr">
        <is>
          <t>Avverkning för annat ändamål</t>
        </is>
      </c>
      <c r="D134" s="1" t="n">
        <v>45280</v>
      </c>
      <c r="E134" s="1" t="n">
        <v>46235</v>
      </c>
      <c r="F134" t="inlineStr">
        <is>
          <t>KALMAR LÄN</t>
        </is>
      </c>
      <c r="G134" t="inlineStr">
        <is>
          <t>BORGHOLM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44547-2021</t>
        </is>
      </c>
      <c r="B135" t="inlineStr">
        <is>
          <t>avverkningsanmälan</t>
        </is>
      </c>
      <c r="C135" t="inlineStr">
        <is>
          <t>Avverkning för annat ändamål</t>
        </is>
      </c>
      <c r="D135" s="1" t="n">
        <v>44435</v>
      </c>
      <c r="E135" s="1" t="n">
        <v>46235</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24338-2026</t>
        </is>
      </c>
      <c r="B136" t="inlineStr">
        <is>
          <t>avverkningsanmälan</t>
        </is>
      </c>
      <c r="C136" t="inlineStr">
        <is>
          <t>Avverkning för att bevara och utveckla /försöksver</t>
        </is>
      </c>
      <c r="D136" s="1" t="n">
        <v>46169</v>
      </c>
      <c r="E136" s="1" t="n">
        <v>46235</v>
      </c>
      <c r="F136" t="inlineStr">
        <is>
          <t>KALMAR LÄN</t>
        </is>
      </c>
      <c r="G136" t="inlineStr">
        <is>
          <t>BORGHOLM</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24345-2026</t>
        </is>
      </c>
      <c r="B137" t="inlineStr">
        <is>
          <t>avverkningsanmälan</t>
        </is>
      </c>
      <c r="C137" t="inlineStr">
        <is>
          <t>Avverkning för att bevara och utveckla /försöksver</t>
        </is>
      </c>
      <c r="D137" s="1" t="n">
        <v>46169</v>
      </c>
      <c r="E137" s="1" t="n">
        <v>46235</v>
      </c>
      <c r="F137" t="inlineStr">
        <is>
          <t>KALMAR LÄN</t>
        </is>
      </c>
      <c r="G137" t="inlineStr">
        <is>
          <t>BORGHOLM</t>
        </is>
      </c>
      <c r="H137" t="inlineStr">
        <is>
          <t>Sveaskog</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46235</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1614-2025</t>
        </is>
      </c>
      <c r="B139" t="inlineStr">
        <is>
          <t>avverkningsanmälan</t>
        </is>
      </c>
      <c r="C139" t="inlineStr">
        <is>
          <t>Föryngringsavverkning</t>
        </is>
      </c>
      <c r="D139" s="1" t="n">
        <v>45670</v>
      </c>
      <c r="E139" s="1" t="n">
        <v>46235</v>
      </c>
      <c r="F139" t="inlineStr">
        <is>
          <t>KALMAR LÄN</t>
        </is>
      </c>
      <c r="G139" t="inlineStr">
        <is>
          <t>BORGHOLM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43603-2024</t>
        </is>
      </c>
      <c r="B140" t="inlineStr">
        <is>
          <t>avverkningsanmälan</t>
        </is>
      </c>
      <c r="C140" t="inlineStr">
        <is>
          <t>Föryngringsavverkning</t>
        </is>
      </c>
      <c r="D140" s="1" t="n">
        <v>45569</v>
      </c>
      <c r="E140" s="1" t="n">
        <v>46235</v>
      </c>
      <c r="F140" t="inlineStr">
        <is>
          <t>KALMAR LÄN</t>
        </is>
      </c>
      <c r="G140" t="inlineStr">
        <is>
          <t>BORGHOLM</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63075-2023</t>
        </is>
      </c>
      <c r="B141" t="inlineStr">
        <is>
          <t>avverkningsanmälan</t>
        </is>
      </c>
      <c r="C141" t="inlineStr">
        <is>
          <t>Avverkning för annat ändamål</t>
        </is>
      </c>
      <c r="D141" s="1" t="n">
        <v>45273</v>
      </c>
      <c r="E141" s="1" t="n">
        <v>46235</v>
      </c>
      <c r="F141" t="inlineStr">
        <is>
          <t>KALMAR LÄN</t>
        </is>
      </c>
      <c r="G141" t="inlineStr">
        <is>
          <t>BORGHOLM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1757-2025</t>
        </is>
      </c>
      <c r="B142" t="inlineStr">
        <is>
          <t>avverkningsanmälan</t>
        </is>
      </c>
      <c r="C142" t="inlineStr">
        <is>
          <t>Föryngringsavverkning</t>
        </is>
      </c>
      <c r="D142" s="1" t="n">
        <v>45671</v>
      </c>
      <c r="E142" s="1" t="n">
        <v>46235</v>
      </c>
      <c r="F142" t="inlineStr">
        <is>
          <t>KALMAR LÄN</t>
        </is>
      </c>
      <c r="G142" t="inlineStr">
        <is>
          <t>BORGHOLM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46235</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55367-2024</t>
        </is>
      </c>
      <c r="B144" t="inlineStr">
        <is>
          <t>avverkningsanmälan</t>
        </is>
      </c>
      <c r="C144" t="inlineStr">
        <is>
          <t>Föryngringsavverkning</t>
        </is>
      </c>
      <c r="D144" s="1" t="n">
        <v>45621</v>
      </c>
      <c r="E144" s="1" t="n">
        <v>46235</v>
      </c>
      <c r="F144" t="inlineStr">
        <is>
          <t>KALMAR LÄN</t>
        </is>
      </c>
      <c r="G144" t="inlineStr">
        <is>
          <t>BORGHOLM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9104-2026</t>
        </is>
      </c>
      <c r="B145" t="inlineStr">
        <is>
          <t>avverkningsanmälan</t>
        </is>
      </c>
      <c r="C145" t="inlineStr">
        <is>
          <t>Avverkning för annat ändamål</t>
        </is>
      </c>
      <c r="D145" s="1" t="n">
        <v>46069</v>
      </c>
      <c r="E145" s="1" t="n">
        <v>46235</v>
      </c>
      <c r="F145" t="inlineStr">
        <is>
          <t>KALMAR LÄN</t>
        </is>
      </c>
      <c r="G145" t="inlineStr">
        <is>
          <t>BORGHOLM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9259-2026</t>
        </is>
      </c>
      <c r="B146" t="inlineStr">
        <is>
          <t>avverkningsanmälan</t>
        </is>
      </c>
      <c r="C146" t="inlineStr">
        <is>
          <t>Föryngringsavverkning</t>
        </is>
      </c>
      <c r="D146" s="1" t="n">
        <v>46070</v>
      </c>
      <c r="E146" s="1" t="n">
        <v>46235</v>
      </c>
      <c r="F146" t="inlineStr">
        <is>
          <t>KALMAR LÄN</t>
        </is>
      </c>
      <c r="G146" t="inlineStr">
        <is>
          <t>BORGHOLM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20287-2025</t>
        </is>
      </c>
      <c r="B147" t="inlineStr">
        <is>
          <t>avverkningsanmälan</t>
        </is>
      </c>
      <c r="C147" t="inlineStr">
        <is>
          <t>Avverkning för att bevara och utveckla /försöksver</t>
        </is>
      </c>
      <c r="D147" s="1" t="n">
        <v>45774</v>
      </c>
      <c r="E147" s="1" t="n">
        <v>46235</v>
      </c>
      <c r="F147" t="inlineStr">
        <is>
          <t>KALMAR LÄN</t>
        </is>
      </c>
      <c r="G147" t="inlineStr">
        <is>
          <t>BORGHOLM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9076-2025</t>
        </is>
      </c>
      <c r="B148" t="inlineStr">
        <is>
          <t>avverkningsanmälan</t>
        </is>
      </c>
      <c r="C148" t="inlineStr">
        <is>
          <t>Föryngringsavverkning</t>
        </is>
      </c>
      <c r="D148" s="1" t="n">
        <v>45713</v>
      </c>
      <c r="E148" s="1" t="n">
        <v>46235</v>
      </c>
      <c r="F148" t="inlineStr">
        <is>
          <t>KALMAR LÄN</t>
        </is>
      </c>
      <c r="G148" t="inlineStr">
        <is>
          <t>BORGHOLM</t>
        </is>
      </c>
      <c r="H148" t="inlineStr">
        <is>
          <t>Sveaskog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9050-2025</t>
        </is>
      </c>
      <c r="B149" t="inlineStr">
        <is>
          <t>avverkningsanmälan</t>
        </is>
      </c>
      <c r="C149" t="inlineStr">
        <is>
          <t>Avverkning för att bevara och utveckla /försöksver</t>
        </is>
      </c>
      <c r="D149" s="1" t="n">
        <v>45713</v>
      </c>
      <c r="E149" s="1" t="n">
        <v>46235</v>
      </c>
      <c r="F149" t="inlineStr">
        <is>
          <t>KALMAR LÄN</t>
        </is>
      </c>
      <c r="G149" t="inlineStr">
        <is>
          <t>BORGHOLM</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32919-2023</t>
        </is>
      </c>
      <c r="B150" t="inlineStr">
        <is>
          <t>avverkningsanmälan</t>
        </is>
      </c>
      <c r="C150" t="inlineStr">
        <is>
          <t>Föryngringsavverkning</t>
        </is>
      </c>
      <c r="D150" s="1" t="n">
        <v>45125</v>
      </c>
      <c r="E150" s="1" t="n">
        <v>46235</v>
      </c>
      <c r="F150" t="inlineStr">
        <is>
          <t>KALMAR LÄN</t>
        </is>
      </c>
      <c r="G150" t="inlineStr">
        <is>
          <t>BORGHOLM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15272-2026</t>
        </is>
      </c>
      <c r="B151" t="inlineStr">
        <is>
          <t>avverkningsanmälan</t>
        </is>
      </c>
      <c r="C151" t="inlineStr">
        <is>
          <t>Avverkning för att bevara och utveckla /försöksver</t>
        </is>
      </c>
      <c r="D151" s="1" t="n">
        <v>46105</v>
      </c>
      <c r="E151" s="1" t="n">
        <v>46235</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15279-2026</t>
        </is>
      </c>
      <c r="B152" t="inlineStr">
        <is>
          <t>avverkningsanmälan</t>
        </is>
      </c>
      <c r="C152" t="inlineStr">
        <is>
          <t>Avverkning för att bevara och utveckla /försöksver</t>
        </is>
      </c>
      <c r="D152" s="1" t="n">
        <v>46105</v>
      </c>
      <c r="E152" s="1" t="n">
        <v>46235</v>
      </c>
      <c r="F152" t="inlineStr">
        <is>
          <t>KALMAR LÄN</t>
        </is>
      </c>
      <c r="G152" t="inlineStr">
        <is>
          <t>BORGHOLM</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15264-2026</t>
        </is>
      </c>
      <c r="B153" t="inlineStr">
        <is>
          <t>avverkningsanmälan</t>
        </is>
      </c>
      <c r="C153" t="inlineStr">
        <is>
          <t>Avverkning för att bevara och utveckla /försöksver</t>
        </is>
      </c>
      <c r="D153" s="1" t="n">
        <v>46105</v>
      </c>
      <c r="E153" s="1" t="n">
        <v>46235</v>
      </c>
      <c r="F153" t="inlineStr">
        <is>
          <t>KALMAR LÄN</t>
        </is>
      </c>
      <c r="G153" t="inlineStr">
        <is>
          <t>BORGHOLM</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34951-2022</t>
        </is>
      </c>
      <c r="B154" t="inlineStr">
        <is>
          <t>avverkningsanmälan</t>
        </is>
      </c>
      <c r="C154" t="inlineStr">
        <is>
          <t>Avverkning för att bevara och utveckla /försöksver</t>
        </is>
      </c>
      <c r="D154" s="1" t="n">
        <v>44796</v>
      </c>
      <c r="E154" s="1" t="n">
        <v>46235</v>
      </c>
      <c r="F154" t="inlineStr">
        <is>
          <t>KALMAR LÄN</t>
        </is>
      </c>
      <c r="G154" t="inlineStr">
        <is>
          <t>BORGHOLM</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5175-2024</t>
        </is>
      </c>
      <c r="B155" t="inlineStr">
        <is>
          <t>avverkningsanmälan</t>
        </is>
      </c>
      <c r="C155" t="inlineStr">
        <is>
          <t>Föryngringsavverkning</t>
        </is>
      </c>
      <c r="D155" s="1" t="n">
        <v>45330</v>
      </c>
      <c r="E155" s="1" t="n">
        <v>46235</v>
      </c>
      <c r="F155" t="inlineStr">
        <is>
          <t>KALMAR LÄN</t>
        </is>
      </c>
      <c r="G155" t="inlineStr">
        <is>
          <t>BORGHOLM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46235</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3878-2023</t>
        </is>
      </c>
      <c r="B157" t="inlineStr">
        <is>
          <t>avverkningsanmälan</t>
        </is>
      </c>
      <c r="C157" t="inlineStr">
        <is>
          <t>Föryngringsavverkning</t>
        </is>
      </c>
      <c r="D157" s="1" t="n">
        <v>44951</v>
      </c>
      <c r="E157" s="1" t="n">
        <v>46235</v>
      </c>
      <c r="F157" t="inlineStr">
        <is>
          <t>KALMAR LÄN</t>
        </is>
      </c>
      <c r="G157" t="inlineStr">
        <is>
          <t>BORGHOLM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46235</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46235</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46235</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46235</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46235</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46235</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46235</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46235</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46235</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46235</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46235</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46235</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46235</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46235</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46235</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46235</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46235</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46235</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46235</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2026-08-01T01:52:07Z</dcterms:created>
  <dcterms:modified xmlns:dcterms="http://purl.org/dc/terms/" xmlns:xsi="http://www.w3.org/2001/XMLSchema-instance" xsi:type="dcterms:W3CDTF">2026-08-01T01:52:07Z</dcterms:modified>
</cp:coreProperties>
</file>