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46283</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46283</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46283</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46283</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46283</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46283</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46283</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46283</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46283</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46283</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46283</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46283</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46283</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46283</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46283</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46283</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46283</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46283</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45006-2025</t>
        </is>
      </c>
      <c r="B20" t="inlineStr">
        <is>
          <t>avverkningsanmälan</t>
        </is>
      </c>
      <c r="C20" t="inlineStr">
        <is>
          <t>Avverkning för annat ändamål</t>
        </is>
      </c>
      <c r="D20" s="1" t="n">
        <v>45918</v>
      </c>
      <c r="E20" s="1" t="n">
        <v>46283</v>
      </c>
      <c r="F20" t="inlineStr">
        <is>
          <t>KALMAR LÄN</t>
        </is>
      </c>
      <c r="G20" t="inlineStr">
        <is>
          <t>BORGHOLM</t>
        </is>
      </c>
      <c r="I20" t="n">
        <v>7.8</v>
      </c>
      <c r="J20" t="n">
        <v>5</v>
      </c>
      <c r="K20" t="n">
        <v>4</v>
      </c>
      <c r="L20" t="n">
        <v>2</v>
      </c>
      <c r="M20" t="n">
        <v>0</v>
      </c>
      <c r="N20" t="n">
        <v>0</v>
      </c>
      <c r="O20" t="n">
        <v>0</v>
      </c>
      <c r="P20" t="n">
        <v>0</v>
      </c>
      <c r="Q20" t="n">
        <v>2</v>
      </c>
      <c r="R20" t="n">
        <v>0</v>
      </c>
      <c r="S20" t="n">
        <v>9</v>
      </c>
      <c r="T20" t="n">
        <v>13</v>
      </c>
      <c r="U20" t="n">
        <v>12</v>
      </c>
      <c r="V20" s="2" t="inlineStr">
        <is>
          <t>Mindre ekbock
Vårstarr
Murgröna
Myskmadra
Tvåblad
Vit skogslilja
Johannesnycklar
Krutbrännare
Gullviva</t>
        </is>
      </c>
      <c r="W20">
        <f>HYPERLINK("https://klasma.github.io/Logging_0885/artfynd/A 45006-2025 artfynd.xlsx", "A 45006-2025")</f>
        <v/>
      </c>
      <c r="X20">
        <f>HYPERLINK("https://klasma.github.io/Logging_0885/kartor/A 45006-2025 karta.png", "A 45006-2025")</f>
        <v/>
      </c>
      <c r="Y20">
        <f>HYPERLINK("https://klasma.github.io/Logging_0885/kartor_geotiff/A 45006-2025 georefererad karta.tif", "A 45006-2025")</f>
        <v/>
      </c>
      <c r="AA20">
        <f>HYPERLINK("https://klasma.github.io/Logging_0885/klagomål/A 45006-2025 FSC-klagomål.docx", "A 45006-2025")</f>
        <v/>
      </c>
      <c r="AB20">
        <f>HYPERLINK("https://klasma.github.io/Logging_0885/klagomålsmail/A 45006-2025 FSC-klagomål mail.docx", "A 45006-2025")</f>
        <v/>
      </c>
      <c r="AC20">
        <f>HYPERLINK("https://klasma.github.io/Logging_0885/tillsyn/A 45006-2025 tillsynsbegäran.docx", "A 45006-2025")</f>
        <v/>
      </c>
      <c r="AD20">
        <f>HYPERLINK("https://klasma.github.io/Logging_0885/tillsynsmail/A 45006-2025 tillsynsbegäran mail.docx", "A 45006-2025")</f>
        <v/>
      </c>
    </row>
    <row r="21" ht="15" customHeight="1">
      <c r="A21" t="inlineStr">
        <is>
          <t>A 47471-2025</t>
        </is>
      </c>
      <c r="B21" t="inlineStr">
        <is>
          <t>avverkningsanmälan</t>
        </is>
      </c>
      <c r="C21" t="inlineStr">
        <is>
          <t>Avverkning för att bevara och utveckla /försöksver</t>
        </is>
      </c>
      <c r="D21" s="1" t="n">
        <v>45930</v>
      </c>
      <c r="E21" s="1" t="n">
        <v>46283</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46283</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46283</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46283</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46283</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46283</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46283</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46283</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46283</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46283</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46283</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46283</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46283</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46283</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46283</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46283</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46283</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46283</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46283</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46283</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46283</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24345-2026</t>
        </is>
      </c>
      <c r="B42" t="inlineStr">
        <is>
          <t>avverkningsanmälan</t>
        </is>
      </c>
      <c r="C42" t="inlineStr">
        <is>
          <t>Avverkning för att bevara och utveckla /försöksver</t>
        </is>
      </c>
      <c r="D42" s="1" t="n">
        <v>46169</v>
      </c>
      <c r="E42" s="1" t="n">
        <v>46283</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HYPERLINK("https://klasma.github.io/Logging_0885/artfynd/A 24345-2026 artfynd.xlsx", "A 24345-2026")</f>
        <v/>
      </c>
      <c r="X42">
        <f>HYPERLINK("https://klasma.github.io/Logging_0885/kartor/A 24345-2026 karta.png", "A 24345-2026")</f>
        <v/>
      </c>
      <c r="Y42">
        <f>HYPERLINK("https://klasma.github.io/Logging_0885/kartor_geotiff/A 24345-2026 georefererad karta.tif", "A 24345-2026")</f>
        <v/>
      </c>
      <c r="AA42">
        <f>HYPERLINK("https://klasma.github.io/Logging_0885/klagomål/A 24345-2026 FSC-klagomål.docx", "A 24345-2026")</f>
        <v/>
      </c>
      <c r="AB42">
        <f>HYPERLINK("https://klasma.github.io/Logging_0885/klagomålsmail/A 24345-2026 FSC-klagomål mail.docx", "A 24345-2026")</f>
        <v/>
      </c>
      <c r="AC42">
        <f>HYPERLINK("https://klasma.github.io/Logging_0885/tillsyn/A 24345-2026 tillsynsbegäran.docx", "A 24345-2026")</f>
        <v/>
      </c>
      <c r="AD42">
        <f>HYPERLINK("https://klasma.github.io/Logging_0885/tillsynsmail/A 24345-2026 tillsynsbegäran mail.docx", "A 24345-2026")</f>
        <v/>
      </c>
    </row>
    <row r="43" ht="15" customHeight="1">
      <c r="A43" t="inlineStr">
        <is>
          <t>S 1557-2026</t>
        </is>
      </c>
      <c r="B43" t="inlineStr">
        <is>
          <t>samrådsanmälan</t>
        </is>
      </c>
      <c r="C43" t="inlineStr">
        <is>
          <t>Annan skogsbruksåtgärd</t>
        </is>
      </c>
      <c r="D43" s="1" t="n">
        <v>46169</v>
      </c>
      <c r="E43" s="1" t="n">
        <v>46283</v>
      </c>
      <c r="F43" t="inlineStr">
        <is>
          <t>KALMAR LÄN</t>
        </is>
      </c>
      <c r="G43" t="inlineStr">
        <is>
          <t>BORGHOLM</t>
        </is>
      </c>
      <c r="H43" t="inlineStr">
        <is>
          <t>Sveaskog</t>
        </is>
      </c>
      <c r="I43" t="n">
        <v>7.3</v>
      </c>
      <c r="J43" t="n">
        <v>0</v>
      </c>
      <c r="K43" t="n">
        <v>4</v>
      </c>
      <c r="L43" t="n">
        <v>0</v>
      </c>
      <c r="M43" t="n">
        <v>0</v>
      </c>
      <c r="N43" t="n">
        <v>0</v>
      </c>
      <c r="O43" t="n">
        <v>0</v>
      </c>
      <c r="P43" t="n">
        <v>0</v>
      </c>
      <c r="Q43" t="n">
        <v>0</v>
      </c>
      <c r="R43" t="n">
        <v>0</v>
      </c>
      <c r="S43" t="n">
        <v>5</v>
      </c>
      <c r="T43" t="n">
        <v>5</v>
      </c>
      <c r="U43" t="n">
        <v>5</v>
      </c>
      <c r="V43" s="2" t="inlineStr">
        <is>
          <t>Blåmossa
Kragjordstjärna
Thomsons trägnagare
Vanlig flatbagge
Liljekonvalj</t>
        </is>
      </c>
      <c r="W43">
        <f>HYPERLINK("https://klasma.github.io/Logging_0885/artfynd/S 1557-2026 artfynd.xlsx", "S 1557-2026")</f>
        <v/>
      </c>
      <c r="X43">
        <f>HYPERLINK("https://klasma.github.io/Logging_0885/kartor/S 1557-2026 karta.png", "S 1557-2026")</f>
        <v/>
      </c>
      <c r="Y43">
        <f>HYPERLINK("https://klasma.github.io/Logging_0885/kartor_geotiff/S 1557-2026 georefererad karta.tif", "S 1557-2026")</f>
        <v/>
      </c>
      <c r="AA43">
        <f>HYPERLINK("https://klasma.github.io/Logging_0885/klagomål/S 1557-2026 FSC-klagomål.docx", "S 1557-2026")</f>
        <v/>
      </c>
      <c r="AB43">
        <f>HYPERLINK("https://klasma.github.io/Logging_0885/klagomålsmail/S 1557-2026 FSC-klagomål mail.docx", "S 1557-2026")</f>
        <v/>
      </c>
      <c r="AC43">
        <f>HYPERLINK("https://klasma.github.io/Logging_0885/tillsyn/S 1557-2026 tillsynsbegäran.docx", "S 1557-2026")</f>
        <v/>
      </c>
      <c r="AD43">
        <f>HYPERLINK("https://klasma.github.io/Logging_0885/tillsynsmail/S 1557-2026 tillsynsbegäran mail.docx", "S 1557-2026")</f>
        <v/>
      </c>
    </row>
    <row r="44" ht="15" customHeight="1">
      <c r="A44" t="inlineStr">
        <is>
          <t>A 13556-2025</t>
        </is>
      </c>
      <c r="B44" t="inlineStr">
        <is>
          <t>avverkningsanmälan</t>
        </is>
      </c>
      <c r="C44" t="inlineStr">
        <is>
          <t>Föryngringsavverkning</t>
        </is>
      </c>
      <c r="D44" s="1" t="n">
        <v>45736</v>
      </c>
      <c r="E44" s="1" t="n">
        <v>46283</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27290-2026</t>
        </is>
      </c>
      <c r="B45" t="inlineStr">
        <is>
          <t>avverkningsanmälan</t>
        </is>
      </c>
      <c r="C45" t="inlineStr">
        <is>
          <t>Avverkning för att bevara och utveckla /försöksver</t>
        </is>
      </c>
      <c r="D45" s="1" t="n">
        <v>46188</v>
      </c>
      <c r="E45" s="1" t="n">
        <v>46283</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21797-2024</t>
        </is>
      </c>
      <c r="B46" t="inlineStr">
        <is>
          <t>avverkningsanmälan</t>
        </is>
      </c>
      <c r="C46" t="inlineStr">
        <is>
          <t>Föryngringsavverkning</t>
        </is>
      </c>
      <c r="D46" s="1" t="n">
        <v>45442</v>
      </c>
      <c r="E46" s="1" t="n">
        <v>46283</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A 4164-2023</t>
        </is>
      </c>
      <c r="B47" t="inlineStr">
        <is>
          <t>avverkningsanmälan</t>
        </is>
      </c>
      <c r="C47" t="inlineStr">
        <is>
          <t>Föryngringsavverkning</t>
        </is>
      </c>
      <c r="D47" s="1" t="n">
        <v>44953</v>
      </c>
      <c r="E47" s="1" t="n">
        <v>46283</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7960-2023</t>
        </is>
      </c>
      <c r="B48" t="inlineStr">
        <is>
          <t>avverkningsanmälan</t>
        </is>
      </c>
      <c r="C48" t="inlineStr">
        <is>
          <t>Föryngringsavverkning</t>
        </is>
      </c>
      <c r="D48" s="1" t="n">
        <v>44973</v>
      </c>
      <c r="E48" s="1" t="n">
        <v>46283</v>
      </c>
      <c r="F48" t="inlineStr">
        <is>
          <t>KALMAR LÄN</t>
        </is>
      </c>
      <c r="G48" t="inlineStr">
        <is>
          <t>BORGHOLM</t>
        </is>
      </c>
      <c r="I48" t="n">
        <v>2.1</v>
      </c>
      <c r="J48" t="n">
        <v>0</v>
      </c>
      <c r="K48" t="n">
        <v>1</v>
      </c>
      <c r="L48" t="n">
        <v>2</v>
      </c>
      <c r="M48" t="n">
        <v>0</v>
      </c>
      <c r="N48" t="n">
        <v>0</v>
      </c>
      <c r="O48" t="n">
        <v>1</v>
      </c>
      <c r="P48" t="n">
        <v>0</v>
      </c>
      <c r="Q48" t="n">
        <v>3</v>
      </c>
      <c r="R48" t="n">
        <v>1</v>
      </c>
      <c r="S48" t="n">
        <v>4</v>
      </c>
      <c r="T48" t="n">
        <v>4</v>
      </c>
      <c r="U48" t="n">
        <v>3</v>
      </c>
      <c r="V48" s="2" t="inlineStr">
        <is>
          <t>Vresalm
Pilfotsspindling
Vippärt
Strävlosta</t>
        </is>
      </c>
      <c r="W48">
        <f>HYPERLINK("https://klasma.github.io/Logging_0885/artfynd/A 7960-2023 artfynd.xlsx", "A 7960-2023")</f>
        <v/>
      </c>
      <c r="X48">
        <f>HYPERLINK("https://klasma.github.io/Logging_0885/kartor/A 7960-2023 karta.png", "A 7960-2023")</f>
        <v/>
      </c>
      <c r="Y48">
        <f>HYPERLINK("https://klasma.github.io/Logging_0885/kartor_geotiff/A 7960-2023 georefererad karta.tif", "A 7960-2023")</f>
        <v/>
      </c>
      <c r="AA48">
        <f>HYPERLINK("https://klasma.github.io/Logging_0885/klagomål/A 7960-2023 FSC-klagomål.docx", "A 7960-2023")</f>
        <v/>
      </c>
      <c r="AB48">
        <f>HYPERLINK("https://klasma.github.io/Logging_0885/klagomålsmail/A 7960-2023 FSC-klagomål mail.docx", "A 7960-2023")</f>
        <v/>
      </c>
      <c r="AC48">
        <f>HYPERLINK("https://klasma.github.io/Logging_0885/tillsyn/A 7960-2023 tillsynsbegäran.docx", "A 7960-2023")</f>
        <v/>
      </c>
      <c r="AD48">
        <f>HYPERLINK("https://klasma.github.io/Logging_0885/tillsynsmail/A 7960-2023 tillsynsbegäran mail.docx", "A 7960-2023")</f>
        <v/>
      </c>
    </row>
    <row r="49" ht="15" customHeight="1">
      <c r="A49" t="inlineStr">
        <is>
          <t>S 2740-2022</t>
        </is>
      </c>
      <c r="B49" t="inlineStr">
        <is>
          <t>samrådsanmälan</t>
        </is>
      </c>
      <c r="C49" t="inlineStr">
        <is>
          <t>Annan skogsbruksåtgärd</t>
        </is>
      </c>
      <c r="D49" s="1" t="n">
        <v>44704</v>
      </c>
      <c r="E49" s="1" t="n">
        <v>46283</v>
      </c>
      <c r="F49" t="inlineStr">
        <is>
          <t>KALMAR LÄN</t>
        </is>
      </c>
      <c r="G49" t="inlineStr">
        <is>
          <t>BORGHOLM</t>
        </is>
      </c>
      <c r="I49" t="n">
        <v>4.4</v>
      </c>
      <c r="J49" t="n">
        <v>3</v>
      </c>
      <c r="K49" t="n">
        <v>1</v>
      </c>
      <c r="L49" t="n">
        <v>1</v>
      </c>
      <c r="M49" t="n">
        <v>0</v>
      </c>
      <c r="N49" t="n">
        <v>1</v>
      </c>
      <c r="O49" t="n">
        <v>0</v>
      </c>
      <c r="P49" t="n">
        <v>0</v>
      </c>
      <c r="Q49" t="n">
        <v>2</v>
      </c>
      <c r="R49" t="n">
        <v>1</v>
      </c>
      <c r="S49" t="n">
        <v>4</v>
      </c>
      <c r="T49" t="n">
        <v>22</v>
      </c>
      <c r="U49" t="n">
        <v>22</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46283</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46283</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46283</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15285-2026</t>
        </is>
      </c>
      <c r="B53" t="inlineStr">
        <is>
          <t>avverkningsanmälan</t>
        </is>
      </c>
      <c r="C53" t="inlineStr">
        <is>
          <t>Avverkning för att bevara och utveckla /försöksver</t>
        </is>
      </c>
      <c r="D53" s="1" t="n">
        <v>46105</v>
      </c>
      <c r="E53" s="1" t="n">
        <v>46283</v>
      </c>
      <c r="F53" t="inlineStr">
        <is>
          <t>KALMAR LÄN</t>
        </is>
      </c>
      <c r="G53" t="inlineStr">
        <is>
          <t>BORGHOLM</t>
        </is>
      </c>
      <c r="H53" t="inlineStr">
        <is>
          <t>Sveaskog</t>
        </is>
      </c>
      <c r="I53" t="n">
        <v>1.7</v>
      </c>
      <c r="J53" t="n">
        <v>3</v>
      </c>
      <c r="K53" t="n">
        <v>0</v>
      </c>
      <c r="L53" t="n">
        <v>1</v>
      </c>
      <c r="M53" t="n">
        <v>0</v>
      </c>
      <c r="N53" t="n">
        <v>0</v>
      </c>
      <c r="O53" t="n">
        <v>0</v>
      </c>
      <c r="P53" t="n">
        <v>0</v>
      </c>
      <c r="Q53" t="n">
        <v>1</v>
      </c>
      <c r="R53" t="n">
        <v>0</v>
      </c>
      <c r="S53" t="n">
        <v>3</v>
      </c>
      <c r="T53" t="n">
        <v>3</v>
      </c>
      <c r="U53" t="n">
        <v>0</v>
      </c>
      <c r="V53" s="2" t="inlineStr">
        <is>
          <t>Talltita
Havsörn
Kungsfågel</t>
        </is>
      </c>
      <c r="W53">
        <f>HYPERLINK("https://klasma.github.io/Logging_0885/artfynd/A 15285-2026 artfynd.xlsx", "A 15285-2026")</f>
        <v/>
      </c>
      <c r="X53">
        <f>HYPERLINK("https://klasma.github.io/Logging_0885/kartor/A 15285-2026 karta.png", "A 15285-2026")</f>
        <v/>
      </c>
      <c r="Y53">
        <f>HYPERLINK("https://klasma.github.io/Logging_0885/kartor_geotiff/A 15285-2026 georefererad karta.tif", "A 15285-2026")</f>
        <v/>
      </c>
      <c r="AA53">
        <f>HYPERLINK("https://klasma.github.io/Logging_0885/klagomål/A 15285-2026 FSC-klagomål.docx", "A 15285-2026")</f>
        <v/>
      </c>
      <c r="AB53">
        <f>HYPERLINK("https://klasma.github.io/Logging_0885/klagomålsmail/A 15285-2026 FSC-klagomål mail.docx", "A 15285-2026")</f>
        <v/>
      </c>
      <c r="AC53">
        <f>HYPERLINK("https://klasma.github.io/Logging_0885/tillsyn/A 15285-2026 tillsynsbegäran.docx", "A 15285-2026")</f>
        <v/>
      </c>
      <c r="AD53">
        <f>HYPERLINK("https://klasma.github.io/Logging_0885/tillsynsmail/A 15285-2026 tillsynsbegäran mail.docx", "A 15285-2026")</f>
        <v/>
      </c>
      <c r="AE53">
        <f>HYPERLINK("https://klasma.github.io/Logging_0885/fåglar/A 15285-2026 prioriterade fågelarter.docx", "A 15285-2026")</f>
        <v/>
      </c>
    </row>
    <row r="54" ht="15" customHeight="1">
      <c r="A54" t="inlineStr">
        <is>
          <t>A 43542-2025</t>
        </is>
      </c>
      <c r="B54" t="inlineStr">
        <is>
          <t>avverkningsanmälan</t>
        </is>
      </c>
      <c r="C54" t="inlineStr">
        <is>
          <t>Föryngringsavverkning</t>
        </is>
      </c>
      <c r="D54" s="1" t="n">
        <v>45911</v>
      </c>
      <c r="E54" s="1" t="n">
        <v>46283</v>
      </c>
      <c r="F54" t="inlineStr">
        <is>
          <t>KALMAR LÄN</t>
        </is>
      </c>
      <c r="G54" t="inlineStr">
        <is>
          <t>BORGHOLM</t>
        </is>
      </c>
      <c r="I54" t="n">
        <v>2.4</v>
      </c>
      <c r="J54" t="n">
        <v>0</v>
      </c>
      <c r="K54" t="n">
        <v>1</v>
      </c>
      <c r="L54" t="n">
        <v>2</v>
      </c>
      <c r="M54" t="n">
        <v>0</v>
      </c>
      <c r="N54" t="n">
        <v>0</v>
      </c>
      <c r="O54" t="n">
        <v>0</v>
      </c>
      <c r="P54" t="n">
        <v>0</v>
      </c>
      <c r="Q54" t="n">
        <v>2</v>
      </c>
      <c r="R54" t="n">
        <v>0</v>
      </c>
      <c r="S54" t="n">
        <v>3</v>
      </c>
      <c r="T54" t="n">
        <v>3</v>
      </c>
      <c r="U54" t="n">
        <v>3</v>
      </c>
      <c r="V54" s="2" t="inlineStr">
        <is>
          <t>Vårärt
Ängsskära
Underviol</t>
        </is>
      </c>
      <c r="W54">
        <f>HYPERLINK("https://klasma.github.io/Logging_0885/artfynd/A 43542-2025 artfynd.xlsx", "A 43542-2025")</f>
        <v/>
      </c>
      <c r="X54">
        <f>HYPERLINK("https://klasma.github.io/Logging_0885/kartor/A 43542-2025 karta.png", "A 43542-2025")</f>
        <v/>
      </c>
      <c r="Y54">
        <f>HYPERLINK("https://klasma.github.io/Logging_0885/kartor_geotiff/A 43542-2025 georefererad karta.tif", "A 43542-2025")</f>
        <v/>
      </c>
      <c r="AA54">
        <f>HYPERLINK("https://klasma.github.io/Logging_0885/klagomål/A 43542-2025 FSC-klagomål.docx", "A 43542-2025")</f>
        <v/>
      </c>
      <c r="AB54">
        <f>HYPERLINK("https://klasma.github.io/Logging_0885/klagomålsmail/A 43542-2025 FSC-klagomål mail.docx", "A 43542-2025")</f>
        <v/>
      </c>
      <c r="AC54">
        <f>HYPERLINK("https://klasma.github.io/Logging_0885/tillsyn/A 43542-2025 tillsynsbegäran.docx", "A 43542-2025")</f>
        <v/>
      </c>
      <c r="AD54">
        <f>HYPERLINK("https://klasma.github.io/Logging_0885/tillsynsmail/A 43542-2025 tillsynsbegäran mail.docx", "A 43542-2025")</f>
        <v/>
      </c>
    </row>
    <row r="55" ht="15" customHeight="1">
      <c r="A55" t="inlineStr">
        <is>
          <t>A 32174-2022</t>
        </is>
      </c>
      <c r="B55" t="inlineStr">
        <is>
          <t>avverkningsanmälan</t>
        </is>
      </c>
      <c r="C55" t="inlineStr">
        <is>
          <t>Avverkning för att bevara och utveckla /försöksver</t>
        </is>
      </c>
      <c r="D55" s="1" t="n">
        <v>44781</v>
      </c>
      <c r="E55" s="1" t="n">
        <v>46283</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26849-2026</t>
        </is>
      </c>
      <c r="B56" t="inlineStr">
        <is>
          <t>avverkningsanmälan</t>
        </is>
      </c>
      <c r="C56" t="inlineStr">
        <is>
          <t>Föryngringsavverkning</t>
        </is>
      </c>
      <c r="D56" s="1" t="n">
        <v>46185</v>
      </c>
      <c r="E56" s="1" t="n">
        <v>46283</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27283-2026</t>
        </is>
      </c>
      <c r="B57" t="inlineStr">
        <is>
          <t>avverkningsanmälan</t>
        </is>
      </c>
      <c r="C57" t="inlineStr">
        <is>
          <t>Avverkning för att bevara och utveckla /försöksver</t>
        </is>
      </c>
      <c r="D57" s="1" t="n">
        <v>46188</v>
      </c>
      <c r="E57" s="1" t="n">
        <v>46283</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31520-2026</t>
        </is>
      </c>
      <c r="B58" t="inlineStr">
        <is>
          <t>avverkningsanmälan</t>
        </is>
      </c>
      <c r="C58" t="inlineStr">
        <is>
          <t>Avverkning för att bevara och utveckla /försöksver</t>
        </is>
      </c>
      <c r="D58" s="1" t="n">
        <v>46223</v>
      </c>
      <c r="E58" s="1" t="n">
        <v>46283</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A 43756-2022</t>
        </is>
      </c>
      <c r="B59" t="inlineStr">
        <is>
          <t>avverkningsanmälan</t>
        </is>
      </c>
      <c r="C59" t="inlineStr">
        <is>
          <t>Föryngringsavverkning</t>
        </is>
      </c>
      <c r="D59" s="1" t="n">
        <v>44837</v>
      </c>
      <c r="E59" s="1" t="n">
        <v>46283</v>
      </c>
      <c r="F59" t="inlineStr">
        <is>
          <t>KALMAR LÄN</t>
        </is>
      </c>
      <c r="G59" t="inlineStr">
        <is>
          <t>BORGHOLM</t>
        </is>
      </c>
      <c r="I59" t="n">
        <v>2.2</v>
      </c>
      <c r="J59" t="n">
        <v>2</v>
      </c>
      <c r="K59" t="n">
        <v>1</v>
      </c>
      <c r="L59" t="n">
        <v>0</v>
      </c>
      <c r="M59" t="n">
        <v>0</v>
      </c>
      <c r="N59" t="n">
        <v>0</v>
      </c>
      <c r="O59" t="n">
        <v>0</v>
      </c>
      <c r="P59" t="n">
        <v>0</v>
      </c>
      <c r="Q59" t="n">
        <v>0</v>
      </c>
      <c r="R59" t="n">
        <v>0</v>
      </c>
      <c r="S59" t="n">
        <v>3</v>
      </c>
      <c r="T59" t="n">
        <v>5</v>
      </c>
      <c r="U59" t="n">
        <v>5</v>
      </c>
      <c r="V59" s="2" t="inlineStr">
        <is>
          <t>Murgröna
Blåsippa
Gullviva</t>
        </is>
      </c>
      <c r="W59">
        <f>HYPERLINK("https://klasma.github.io/Logging_0885/artfynd/A 43756-2022 artfynd.xlsx", "A 43756-2022")</f>
        <v/>
      </c>
      <c r="X59">
        <f>HYPERLINK("https://klasma.github.io/Logging_0885/kartor/A 43756-2022 karta.png", "A 43756-2022")</f>
        <v/>
      </c>
      <c r="Y59">
        <f>HYPERLINK("https://klasma.github.io/Logging_0885/kartor_geotiff/A 43756-2022 georefererad karta.tif", "A 43756-2022")</f>
        <v/>
      </c>
      <c r="AA59">
        <f>HYPERLINK("https://klasma.github.io/Logging_0885/klagomål/A 43756-2022 FSC-klagomål.docx", "A 43756-2022")</f>
        <v/>
      </c>
      <c r="AB59">
        <f>HYPERLINK("https://klasma.github.io/Logging_0885/klagomålsmail/A 43756-2022 FSC-klagomål mail.docx", "A 43756-2022")</f>
        <v/>
      </c>
      <c r="AC59">
        <f>HYPERLINK("https://klasma.github.io/Logging_0885/tillsyn/A 43756-2022 tillsynsbegäran.docx", "A 43756-2022")</f>
        <v/>
      </c>
      <c r="AD59">
        <f>HYPERLINK("https://klasma.github.io/Logging_0885/tillsynsmail/A 43756-2022 tillsynsbegäran mail.docx", "A 43756-2022")</f>
        <v/>
      </c>
    </row>
    <row r="60" ht="15" customHeight="1">
      <c r="A60" t="inlineStr">
        <is>
          <t>A 24048-2025</t>
        </is>
      </c>
      <c r="B60" t="inlineStr">
        <is>
          <t>avverkningsanmälan</t>
        </is>
      </c>
      <c r="C60" t="inlineStr">
        <is>
          <t>Föryngringsavverkning</t>
        </is>
      </c>
      <c r="D60" s="1" t="n">
        <v>45796</v>
      </c>
      <c r="E60" s="1" t="n">
        <v>46283</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46283</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46283</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46283</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46283</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9253-2026</t>
        </is>
      </c>
      <c r="B65" t="inlineStr">
        <is>
          <t>avverkningsanmälan</t>
        </is>
      </c>
      <c r="C65" t="inlineStr">
        <is>
          <t>Föryngringsavverkning</t>
        </is>
      </c>
      <c r="D65" s="1" t="n">
        <v>46070</v>
      </c>
      <c r="E65" s="1" t="n">
        <v>46283</v>
      </c>
      <c r="F65" t="inlineStr">
        <is>
          <t>KALMAR LÄN</t>
        </is>
      </c>
      <c r="G65" t="inlineStr">
        <is>
          <t>BORGHOLM</t>
        </is>
      </c>
      <c r="I65" t="n">
        <v>1.1</v>
      </c>
      <c r="J65" t="n">
        <v>1</v>
      </c>
      <c r="K65" t="n">
        <v>1</v>
      </c>
      <c r="L65" t="n">
        <v>0</v>
      </c>
      <c r="M65" t="n">
        <v>0</v>
      </c>
      <c r="N65" t="n">
        <v>0</v>
      </c>
      <c r="O65" t="n">
        <v>0</v>
      </c>
      <c r="P65" t="n">
        <v>0</v>
      </c>
      <c r="Q65" t="n">
        <v>0</v>
      </c>
      <c r="R65" t="n">
        <v>0</v>
      </c>
      <c r="S65" t="n">
        <v>2</v>
      </c>
      <c r="T65" t="n">
        <v>2</v>
      </c>
      <c r="U65" t="n">
        <v>0</v>
      </c>
      <c r="V65" s="2" t="inlineStr">
        <is>
          <t>Murgröna
Gullviva</t>
        </is>
      </c>
      <c r="W65">
        <f>HYPERLINK("https://klasma.github.io/Logging_0885/artfynd/A 9253-2026 artfynd.xlsx", "A 9253-2026")</f>
        <v/>
      </c>
      <c r="X65">
        <f>HYPERLINK("https://klasma.github.io/Logging_0885/kartor/A 9253-2026 karta.png", "A 9253-2026")</f>
        <v/>
      </c>
      <c r="Y65">
        <f>HYPERLINK("https://klasma.github.io/Logging_0885/kartor_geotiff/A 9253-2026 georefererad karta.tif", "A 9253-2026")</f>
        <v/>
      </c>
      <c r="AA65">
        <f>HYPERLINK("https://klasma.github.io/Logging_0885/klagomål/A 9253-2026 FSC-klagomål.docx", "A 9253-2026")</f>
        <v/>
      </c>
      <c r="AB65">
        <f>HYPERLINK("https://klasma.github.io/Logging_0885/klagomålsmail/A 9253-2026 FSC-klagomål mail.docx", "A 9253-2026")</f>
        <v/>
      </c>
      <c r="AC65">
        <f>HYPERLINK("https://klasma.github.io/Logging_0885/tillsyn/A 9253-2026 tillsynsbegäran.docx", "A 9253-2026")</f>
        <v/>
      </c>
      <c r="AD65">
        <f>HYPERLINK("https://klasma.github.io/Logging_0885/tillsynsmail/A 9253-2026 tillsynsbegäran mail.docx", "A 9253-2026")</f>
        <v/>
      </c>
    </row>
    <row r="66" ht="15" customHeight="1">
      <c r="A66" t="inlineStr">
        <is>
          <t>A 44678-2022</t>
        </is>
      </c>
      <c r="B66" t="inlineStr">
        <is>
          <t>avverkningsanmälan</t>
        </is>
      </c>
      <c r="C66" t="inlineStr">
        <is>
          <t>Föryngringsavverkning</t>
        </is>
      </c>
      <c r="D66" s="1" t="n">
        <v>44840</v>
      </c>
      <c r="E66" s="1" t="n">
        <v>46283</v>
      </c>
      <c r="F66" t="inlineStr">
        <is>
          <t>KALMAR LÄN</t>
        </is>
      </c>
      <c r="G66" t="inlineStr">
        <is>
          <t>BORGHOLM</t>
        </is>
      </c>
      <c r="I66" t="n">
        <v>2.4</v>
      </c>
      <c r="J66" t="n">
        <v>1</v>
      </c>
      <c r="K66" t="n">
        <v>1</v>
      </c>
      <c r="L66" t="n">
        <v>0</v>
      </c>
      <c r="M66" t="n">
        <v>0</v>
      </c>
      <c r="N66" t="n">
        <v>1</v>
      </c>
      <c r="O66" t="n">
        <v>0</v>
      </c>
      <c r="P66" t="n">
        <v>0</v>
      </c>
      <c r="Q66" t="n">
        <v>1</v>
      </c>
      <c r="R66" t="n">
        <v>1</v>
      </c>
      <c r="S66" t="n">
        <v>2</v>
      </c>
      <c r="T66" t="n">
        <v>2</v>
      </c>
      <c r="U66" t="n">
        <v>1</v>
      </c>
      <c r="V66" s="2" t="inlineStr">
        <is>
          <t>Ask
Skogsknipprot</t>
        </is>
      </c>
      <c r="W66">
        <f>HYPERLINK("https://klasma.github.io/Logging_0885/artfynd/A 44678-2022 artfynd.xlsx", "A 44678-2022")</f>
        <v/>
      </c>
      <c r="X66">
        <f>HYPERLINK("https://klasma.github.io/Logging_0885/kartor/A 44678-2022 karta.png", "A 44678-2022")</f>
        <v/>
      </c>
      <c r="Y66">
        <f>HYPERLINK("https://klasma.github.io/Logging_0885/kartor_geotiff/A 44678-2022 georefererad karta.tif", "A 44678-2022")</f>
        <v/>
      </c>
      <c r="AA66">
        <f>HYPERLINK("https://klasma.github.io/Logging_0885/klagomål/A 44678-2022 FSC-klagomål.docx", "A 44678-2022")</f>
        <v/>
      </c>
      <c r="AB66">
        <f>HYPERLINK("https://klasma.github.io/Logging_0885/klagomålsmail/A 44678-2022 FSC-klagomål mail.docx", "A 44678-2022")</f>
        <v/>
      </c>
      <c r="AC66">
        <f>HYPERLINK("https://klasma.github.io/Logging_0885/tillsyn/A 44678-2022 tillsynsbegäran.docx", "A 44678-2022")</f>
        <v/>
      </c>
      <c r="AD66">
        <f>HYPERLINK("https://klasma.github.io/Logging_0885/tillsynsmail/A 44678-2022 tillsynsbegäran mail.docx", "A 44678-2022")</f>
        <v/>
      </c>
    </row>
    <row r="67" ht="15" customHeight="1">
      <c r="A67" t="inlineStr">
        <is>
          <t>A 24322-2026</t>
        </is>
      </c>
      <c r="B67" t="inlineStr">
        <is>
          <t>avverkningsanmälan</t>
        </is>
      </c>
      <c r="C67" t="inlineStr">
        <is>
          <t>Föryngringsavverkning</t>
        </is>
      </c>
      <c r="D67" s="1" t="n">
        <v>46169</v>
      </c>
      <c r="E67" s="1" t="n">
        <v>46283</v>
      </c>
      <c r="F67" t="inlineStr">
        <is>
          <t>KALMAR LÄN</t>
        </is>
      </c>
      <c r="G67" t="inlineStr">
        <is>
          <t>BORGHOLM</t>
        </is>
      </c>
      <c r="H67" t="inlineStr">
        <is>
          <t>Sveaskog</t>
        </is>
      </c>
      <c r="I67" t="n">
        <v>5.5</v>
      </c>
      <c r="J67" t="n">
        <v>2</v>
      </c>
      <c r="K67" t="n">
        <v>2</v>
      </c>
      <c r="L67" t="n">
        <v>0</v>
      </c>
      <c r="M67" t="n">
        <v>0</v>
      </c>
      <c r="N67" t="n">
        <v>0</v>
      </c>
      <c r="O67" t="n">
        <v>0</v>
      </c>
      <c r="P67" t="n">
        <v>0</v>
      </c>
      <c r="Q67" t="n">
        <v>0</v>
      </c>
      <c r="R67" t="n">
        <v>0</v>
      </c>
      <c r="S67" t="n">
        <v>2</v>
      </c>
      <c r="T67" t="n">
        <v>2</v>
      </c>
      <c r="U67" t="n">
        <v>0</v>
      </c>
      <c r="V67" s="2" t="inlineStr">
        <is>
          <t>Purpurknipprot
Skogsknipprot</t>
        </is>
      </c>
      <c r="W67">
        <f>HYPERLINK("https://klasma.github.io/Logging_0885/artfynd/A 24322-2026 artfynd.xlsx", "A 24322-2026")</f>
        <v/>
      </c>
      <c r="X67">
        <f>HYPERLINK("https://klasma.github.io/Logging_0885/kartor/A 24322-2026 karta.png", "A 24322-2026")</f>
        <v/>
      </c>
      <c r="Y67">
        <f>HYPERLINK("https://klasma.github.io/Logging_0885/kartor_geotiff/A 24322-2026 georefererad karta.tif", "A 24322-2026")</f>
        <v/>
      </c>
      <c r="AA67">
        <f>HYPERLINK("https://klasma.github.io/Logging_0885/klagomål/A 24322-2026 FSC-klagomål.docx", "A 24322-2026")</f>
        <v/>
      </c>
      <c r="AB67">
        <f>HYPERLINK("https://klasma.github.io/Logging_0885/klagomålsmail/A 24322-2026 FSC-klagomål mail.docx", "A 24322-2026")</f>
        <v/>
      </c>
      <c r="AC67">
        <f>HYPERLINK("https://klasma.github.io/Logging_0885/tillsyn/A 24322-2026 tillsynsbegäran.docx", "A 24322-2026")</f>
        <v/>
      </c>
      <c r="AD67">
        <f>HYPERLINK("https://klasma.github.io/Logging_0885/tillsynsmail/A 24322-2026 tillsynsbegäran mail.docx", "A 24322-2026")</f>
        <v/>
      </c>
    </row>
    <row r="68" ht="15" customHeight="1">
      <c r="A68" t="inlineStr">
        <is>
          <t>A 17699-2025</t>
        </is>
      </c>
      <c r="B68" t="inlineStr">
        <is>
          <t>avverkningsanmälan</t>
        </is>
      </c>
      <c r="C68" t="inlineStr">
        <is>
          <t>Föryngringsavverkning</t>
        </is>
      </c>
      <c r="D68" s="1" t="n">
        <v>45758</v>
      </c>
      <c r="E68" s="1" t="n">
        <v>46283</v>
      </c>
      <c r="F68" t="inlineStr">
        <is>
          <t>KALMAR LÄN</t>
        </is>
      </c>
      <c r="G68" t="inlineStr">
        <is>
          <t>BORGHOLM</t>
        </is>
      </c>
      <c r="I68" t="n">
        <v>0.7</v>
      </c>
      <c r="J68" t="n">
        <v>0</v>
      </c>
      <c r="K68" t="n">
        <v>0</v>
      </c>
      <c r="L68" t="n">
        <v>2</v>
      </c>
      <c r="M68" t="n">
        <v>0</v>
      </c>
      <c r="N68" t="n">
        <v>0</v>
      </c>
      <c r="O68" t="n">
        <v>0</v>
      </c>
      <c r="P68" t="n">
        <v>0</v>
      </c>
      <c r="Q68" t="n">
        <v>2</v>
      </c>
      <c r="R68" t="n">
        <v>0</v>
      </c>
      <c r="S68" t="n">
        <v>2</v>
      </c>
      <c r="T68" t="n">
        <v>2</v>
      </c>
      <c r="U68" t="n">
        <v>2</v>
      </c>
      <c r="V68" s="2" t="inlineStr">
        <is>
          <t>Backtimjan
Klibbveronika</t>
        </is>
      </c>
      <c r="W68">
        <f>HYPERLINK("https://klasma.github.io/Logging_0885/artfynd/A 17699-2025 artfynd.xlsx", "A 17699-2025")</f>
        <v/>
      </c>
      <c r="X68">
        <f>HYPERLINK("https://klasma.github.io/Logging_0885/kartor/A 17699-2025 karta.png", "A 17699-2025")</f>
        <v/>
      </c>
      <c r="Y68">
        <f>HYPERLINK("https://klasma.github.io/Logging_0885/kartor_geotiff/A 17699-2025 georefererad karta.tif", "A 17699-2025")</f>
        <v/>
      </c>
      <c r="AA68">
        <f>HYPERLINK("https://klasma.github.io/Logging_0885/klagomål/A 17699-2025 FSC-klagomål.docx", "A 17699-2025")</f>
        <v/>
      </c>
      <c r="AB68">
        <f>HYPERLINK("https://klasma.github.io/Logging_0885/klagomålsmail/A 17699-2025 FSC-klagomål mail.docx", "A 17699-2025")</f>
        <v/>
      </c>
      <c r="AC68">
        <f>HYPERLINK("https://klasma.github.io/Logging_0885/tillsyn/A 17699-2025 tillsynsbegäran.docx", "A 17699-2025")</f>
        <v/>
      </c>
      <c r="AD68">
        <f>HYPERLINK("https://klasma.github.io/Logging_0885/tillsynsmail/A 17699-2025 tillsynsbegäran mail.docx", "A 17699-2025")</f>
        <v/>
      </c>
    </row>
    <row r="69" ht="15" customHeight="1">
      <c r="A69" t="inlineStr">
        <is>
          <t>A 29411-2026</t>
        </is>
      </c>
      <c r="B69" t="inlineStr">
        <is>
          <t>avverkningsanmälan</t>
        </is>
      </c>
      <c r="C69" t="inlineStr">
        <is>
          <t>Avverkning för att bevara och utveckla /försöksver</t>
        </is>
      </c>
      <c r="D69" s="1" t="n">
        <v>46203</v>
      </c>
      <c r="E69" s="1" t="n">
        <v>46283</v>
      </c>
      <c r="F69" t="inlineStr">
        <is>
          <t>KALMAR LÄN</t>
        </is>
      </c>
      <c r="G69" t="inlineStr">
        <is>
          <t>BORGHOLM</t>
        </is>
      </c>
      <c r="H69" t="inlineStr">
        <is>
          <t>Sveaskog</t>
        </is>
      </c>
      <c r="I69" t="n">
        <v>0.6</v>
      </c>
      <c r="J69" t="n">
        <v>1</v>
      </c>
      <c r="K69" t="n">
        <v>1</v>
      </c>
      <c r="L69" t="n">
        <v>0</v>
      </c>
      <c r="M69" t="n">
        <v>1</v>
      </c>
      <c r="N69" t="n">
        <v>0</v>
      </c>
      <c r="O69" t="n">
        <v>0</v>
      </c>
      <c r="P69" t="n">
        <v>0</v>
      </c>
      <c r="Q69" t="n">
        <v>1</v>
      </c>
      <c r="R69" t="n">
        <v>1</v>
      </c>
      <c r="S69" t="n">
        <v>2</v>
      </c>
      <c r="T69" t="n">
        <v>2</v>
      </c>
      <c r="U69" t="n">
        <v>1</v>
      </c>
      <c r="V69" s="2" t="inlineStr">
        <is>
          <t>Bredbrämad bastardsvärmare
Ekoxe</t>
        </is>
      </c>
      <c r="W69">
        <f>HYPERLINK("https://klasma.github.io/Logging_0885/artfynd/A 29411-2026 artfynd.xlsx", "A 29411-2026")</f>
        <v/>
      </c>
      <c r="X69">
        <f>HYPERLINK("https://klasma.github.io/Logging_0885/kartor/A 29411-2026 karta.png", "A 29411-2026")</f>
        <v/>
      </c>
      <c r="Y69">
        <f>HYPERLINK("https://klasma.github.io/Logging_0885/kartor_geotiff/A 29411-2026 georefererad karta.tif", "A 29411-2026")</f>
        <v/>
      </c>
      <c r="AA69">
        <f>HYPERLINK("https://klasma.github.io/Logging_0885/klagomål/A 29411-2026 FSC-klagomål.docx", "A 29411-2026")</f>
        <v/>
      </c>
      <c r="AB69">
        <f>HYPERLINK("https://klasma.github.io/Logging_0885/klagomålsmail/A 29411-2026 FSC-klagomål mail.docx", "A 29411-2026")</f>
        <v/>
      </c>
      <c r="AC69">
        <f>HYPERLINK("https://klasma.github.io/Logging_0885/tillsyn/A 29411-2026 tillsynsbegäran.docx", "A 29411-2026")</f>
        <v/>
      </c>
      <c r="AD69">
        <f>HYPERLINK("https://klasma.github.io/Logging_0885/tillsynsmail/A 29411-2026 tillsynsbegäran mail.docx", "A 29411-2026")</f>
        <v/>
      </c>
    </row>
    <row r="70" ht="15" customHeight="1">
      <c r="A70" t="inlineStr">
        <is>
          <t>A 21908-2022</t>
        </is>
      </c>
      <c r="B70" t="inlineStr">
        <is>
          <t>avverkningsanmälan</t>
        </is>
      </c>
      <c r="C70" t="inlineStr">
        <is>
          <t>Föryngringsavverkning</t>
        </is>
      </c>
      <c r="D70" s="1" t="n">
        <v>44711</v>
      </c>
      <c r="E70" s="1" t="n">
        <v>46283</v>
      </c>
      <c r="F70" t="inlineStr">
        <is>
          <t>KALMAR LÄN</t>
        </is>
      </c>
      <c r="G70" t="inlineStr">
        <is>
          <t>BORGHOLM</t>
        </is>
      </c>
      <c r="I70" t="n">
        <v>4.7</v>
      </c>
      <c r="J70" t="n">
        <v>1</v>
      </c>
      <c r="K70" t="n">
        <v>2</v>
      </c>
      <c r="L70" t="n">
        <v>0</v>
      </c>
      <c r="M70" t="n">
        <v>0</v>
      </c>
      <c r="N70" t="n">
        <v>0</v>
      </c>
      <c r="O70" t="n">
        <v>0</v>
      </c>
      <c r="P70" t="n">
        <v>0</v>
      </c>
      <c r="Q70" t="n">
        <v>0</v>
      </c>
      <c r="R70" t="n">
        <v>0</v>
      </c>
      <c r="S70" t="n">
        <v>2</v>
      </c>
      <c r="T70" t="n">
        <v>2</v>
      </c>
      <c r="U70" t="n">
        <v>2</v>
      </c>
      <c r="V70" s="2" t="inlineStr">
        <is>
          <t>Myskmadra
Skogsknipprot</t>
        </is>
      </c>
      <c r="W70">
        <f>HYPERLINK("https://klasma.github.io/Logging_0885/artfynd/A 21908-2022 artfynd.xlsx", "A 21908-2022")</f>
        <v/>
      </c>
      <c r="X70">
        <f>HYPERLINK("https://klasma.github.io/Logging_0885/kartor/A 21908-2022 karta.png", "A 21908-2022")</f>
        <v/>
      </c>
      <c r="Y70">
        <f>HYPERLINK("https://klasma.github.io/Logging_0885/kartor_geotiff/A 21908-2022 georefererad karta.tif", "A 21908-2022")</f>
        <v/>
      </c>
      <c r="AA70">
        <f>HYPERLINK("https://klasma.github.io/Logging_0885/klagomål/A 21908-2022 FSC-klagomål.docx", "A 21908-2022")</f>
        <v/>
      </c>
      <c r="AB70">
        <f>HYPERLINK("https://klasma.github.io/Logging_0885/klagomålsmail/A 21908-2022 FSC-klagomål mail.docx", "A 21908-2022")</f>
        <v/>
      </c>
      <c r="AC70">
        <f>HYPERLINK("https://klasma.github.io/Logging_0885/tillsyn/A 21908-2022 tillsynsbegäran.docx", "A 21908-2022")</f>
        <v/>
      </c>
      <c r="AD70">
        <f>HYPERLINK("https://klasma.github.io/Logging_0885/tillsynsmail/A 21908-2022 tillsynsbegäran mail.docx", "A 21908-2022")</f>
        <v/>
      </c>
    </row>
    <row r="71" ht="15" customHeight="1">
      <c r="A71" t="inlineStr">
        <is>
          <t>A 60141-2025</t>
        </is>
      </c>
      <c r="B71" t="inlineStr">
        <is>
          <t>avverkningsanmälan</t>
        </is>
      </c>
      <c r="C71" t="inlineStr">
        <is>
          <t>Föryngringsavverkning</t>
        </is>
      </c>
      <c r="D71" s="1" t="n">
        <v>45994</v>
      </c>
      <c r="E71" s="1" t="n">
        <v>46283</v>
      </c>
      <c r="F71" t="inlineStr">
        <is>
          <t>KALMAR LÄN</t>
        </is>
      </c>
      <c r="G71" t="inlineStr">
        <is>
          <t>BORGHOLM</t>
        </is>
      </c>
      <c r="I71" t="n">
        <v>0.7</v>
      </c>
      <c r="J71" t="n">
        <v>1</v>
      </c>
      <c r="K71" t="n">
        <v>1</v>
      </c>
      <c r="L71" t="n">
        <v>0</v>
      </c>
      <c r="M71" t="n">
        <v>0</v>
      </c>
      <c r="N71" t="n">
        <v>0</v>
      </c>
      <c r="O71" t="n">
        <v>0</v>
      </c>
      <c r="P71" t="n">
        <v>0</v>
      </c>
      <c r="Q71" t="n">
        <v>0</v>
      </c>
      <c r="R71" t="n">
        <v>0</v>
      </c>
      <c r="S71" t="n">
        <v>2</v>
      </c>
      <c r="T71" t="n">
        <v>3</v>
      </c>
      <c r="U71" t="n">
        <v>0</v>
      </c>
      <c r="V71" s="2" t="inlineStr">
        <is>
          <t>Strävlosta
Långbensgroda</t>
        </is>
      </c>
      <c r="W71">
        <f>HYPERLINK("https://klasma.github.io/Logging_0885/artfynd/A 60141-2025 artfynd.xlsx", "A 60141-2025")</f>
        <v/>
      </c>
      <c r="X71">
        <f>HYPERLINK("https://klasma.github.io/Logging_0885/kartor/A 60141-2025 karta.png", "A 60141-2025")</f>
        <v/>
      </c>
      <c r="Y71">
        <f>HYPERLINK("https://klasma.github.io/Logging_0885/kartor_geotiff/A 60141-2025 georefererad karta.tif", "A 60141-2025")</f>
        <v/>
      </c>
      <c r="AA71">
        <f>HYPERLINK("https://klasma.github.io/Logging_0885/klagomål/A 60141-2025 FSC-klagomål.docx", "A 60141-2025")</f>
        <v/>
      </c>
      <c r="AB71">
        <f>HYPERLINK("https://klasma.github.io/Logging_0885/klagomålsmail/A 60141-2025 FSC-klagomål mail.docx", "A 60141-2025")</f>
        <v/>
      </c>
      <c r="AC71">
        <f>HYPERLINK("https://klasma.github.io/Logging_0885/tillsyn/A 60141-2025 tillsynsbegäran.docx", "A 60141-2025")</f>
        <v/>
      </c>
      <c r="AD71">
        <f>HYPERLINK("https://klasma.github.io/Logging_0885/tillsynsmail/A 60141-2025 tillsynsbegäran mail.docx", "A 60141-2025")</f>
        <v/>
      </c>
    </row>
    <row r="72" ht="15" customHeight="1">
      <c r="A72" t="inlineStr">
        <is>
          <t>A 60140-2025</t>
        </is>
      </c>
      <c r="B72" t="inlineStr">
        <is>
          <t>avverkningsanmälan</t>
        </is>
      </c>
      <c r="C72" t="inlineStr">
        <is>
          <t>Föryngringsavverkning</t>
        </is>
      </c>
      <c r="D72" s="1" t="n">
        <v>45994</v>
      </c>
      <c r="E72" s="1" t="n">
        <v>46283</v>
      </c>
      <c r="F72" t="inlineStr">
        <is>
          <t>KALMAR LÄN</t>
        </is>
      </c>
      <c r="G72" t="inlineStr">
        <is>
          <t>BORGHOLM</t>
        </is>
      </c>
      <c r="I72" t="n">
        <v>0.8</v>
      </c>
      <c r="J72" t="n">
        <v>1</v>
      </c>
      <c r="K72" t="n">
        <v>2</v>
      </c>
      <c r="L72" t="n">
        <v>0</v>
      </c>
      <c r="M72" t="n">
        <v>0</v>
      </c>
      <c r="N72" t="n">
        <v>0</v>
      </c>
      <c r="O72" t="n">
        <v>0</v>
      </c>
      <c r="P72" t="n">
        <v>0</v>
      </c>
      <c r="Q72" t="n">
        <v>0</v>
      </c>
      <c r="R72" t="n">
        <v>0</v>
      </c>
      <c r="S72" t="n">
        <v>2</v>
      </c>
      <c r="T72" t="n">
        <v>5</v>
      </c>
      <c r="U72" t="n">
        <v>0</v>
      </c>
      <c r="V72" s="2" t="inlineStr">
        <is>
          <t>Skogsknipprot
Strävlosta</t>
        </is>
      </c>
      <c r="W72">
        <f>HYPERLINK("https://klasma.github.io/Logging_0885/artfynd/A 60140-2025 artfynd.xlsx", "A 60140-2025")</f>
        <v/>
      </c>
      <c r="X72">
        <f>HYPERLINK("https://klasma.github.io/Logging_0885/kartor/A 60140-2025 karta.png", "A 60140-2025")</f>
        <v/>
      </c>
      <c r="Y72">
        <f>HYPERLINK("https://klasma.github.io/Logging_0885/kartor_geotiff/A 60140-2025 georefererad karta.tif", "A 60140-2025")</f>
        <v/>
      </c>
      <c r="AA72">
        <f>HYPERLINK("https://klasma.github.io/Logging_0885/klagomål/A 60140-2025 FSC-klagomål.docx", "A 60140-2025")</f>
        <v/>
      </c>
      <c r="AB72">
        <f>HYPERLINK("https://klasma.github.io/Logging_0885/klagomålsmail/A 60140-2025 FSC-klagomål mail.docx", "A 60140-2025")</f>
        <v/>
      </c>
      <c r="AC72">
        <f>HYPERLINK("https://klasma.github.io/Logging_0885/tillsyn/A 60140-2025 tillsynsbegäran.docx", "A 60140-2025")</f>
        <v/>
      </c>
      <c r="AD72">
        <f>HYPERLINK("https://klasma.github.io/Logging_0885/tillsynsmail/A 60140-2025 tillsynsbegäran mail.docx", "A 60140-2025")</f>
        <v/>
      </c>
    </row>
    <row r="73" ht="15" customHeight="1">
      <c r="A73" t="inlineStr">
        <is>
          <t>A 29434-2026</t>
        </is>
      </c>
      <c r="B73" t="inlineStr">
        <is>
          <t>avverkningsanmälan</t>
        </is>
      </c>
      <c r="C73" t="inlineStr">
        <is>
          <t>Avverkning för att bevara och utveckla /försöksver</t>
        </is>
      </c>
      <c r="D73" s="1" t="n">
        <v>46203</v>
      </c>
      <c r="E73" s="1" t="n">
        <v>46283</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A 24166-2022</t>
        </is>
      </c>
      <c r="B74" t="inlineStr">
        <is>
          <t>avverkningsanmälan</t>
        </is>
      </c>
      <c r="C74" t="inlineStr">
        <is>
          <t>Avverkning för annat ändamål</t>
        </is>
      </c>
      <c r="D74" s="1" t="n">
        <v>44725</v>
      </c>
      <c r="E74" s="1" t="n">
        <v>46283</v>
      </c>
      <c r="F74" t="inlineStr">
        <is>
          <t>KALMAR LÄN</t>
        </is>
      </c>
      <c r="G74" t="inlineStr">
        <is>
          <t>BORGHOLM</t>
        </is>
      </c>
      <c r="I74" t="n">
        <v>10.7</v>
      </c>
      <c r="J74" t="n">
        <v>0</v>
      </c>
      <c r="K74" t="n">
        <v>0</v>
      </c>
      <c r="L74" t="n">
        <v>1</v>
      </c>
      <c r="M74" t="n">
        <v>1</v>
      </c>
      <c r="N74" t="n">
        <v>0</v>
      </c>
      <c r="O74" t="n">
        <v>0</v>
      </c>
      <c r="P74" t="n">
        <v>0</v>
      </c>
      <c r="Q74" t="n">
        <v>2</v>
      </c>
      <c r="R74" t="n">
        <v>1</v>
      </c>
      <c r="S74" t="n">
        <v>2</v>
      </c>
      <c r="T74" t="n">
        <v>2</v>
      </c>
      <c r="U74" t="n">
        <v>1</v>
      </c>
      <c r="V74" s="2" t="inlineStr">
        <is>
          <t>Plattsäv
Jungfrulin</t>
        </is>
      </c>
      <c r="W74">
        <f>HYPERLINK("https://klasma.github.io/Logging_0885/artfynd/A 24166-2022 artfynd.xlsx", "A 24166-2022")</f>
        <v/>
      </c>
      <c r="X74">
        <f>HYPERLINK("https://klasma.github.io/Logging_0885/kartor/A 24166-2022 karta.png", "A 24166-2022")</f>
        <v/>
      </c>
      <c r="Y74">
        <f>HYPERLINK("https://klasma.github.io/Logging_0885/kartor_geotiff/A 24166-2022 georefererad karta.tif", "A 24166-2022")</f>
        <v/>
      </c>
      <c r="AA74">
        <f>HYPERLINK("https://klasma.github.io/Logging_0885/klagomål/A 24166-2022 FSC-klagomål.docx", "A 24166-2022")</f>
        <v/>
      </c>
      <c r="AB74">
        <f>HYPERLINK("https://klasma.github.io/Logging_0885/klagomålsmail/A 24166-2022 FSC-klagomål mail.docx", "A 24166-2022")</f>
        <v/>
      </c>
      <c r="AC74">
        <f>HYPERLINK("https://klasma.github.io/Logging_0885/tillsyn/A 24166-2022 tillsynsbegäran.docx", "A 24166-2022")</f>
        <v/>
      </c>
      <c r="AD74">
        <f>HYPERLINK("https://klasma.github.io/Logging_0885/tillsynsmail/A 24166-2022 tillsynsbegäran mail.docx", "A 24166-2022")</f>
        <v/>
      </c>
    </row>
    <row r="75" ht="15" customHeight="1">
      <c r="A75" t="inlineStr">
        <is>
          <t>S 1650-2022</t>
        </is>
      </c>
      <c r="B75" t="inlineStr">
        <is>
          <t>samrådsanmälan</t>
        </is>
      </c>
      <c r="C75" t="inlineStr">
        <is>
          <t>Åtgärd i nyckelbiotop</t>
        </is>
      </c>
      <c r="D75" s="1" t="n">
        <v>44649</v>
      </c>
      <c r="E75" s="1" t="n">
        <v>46283</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46283</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46283</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46283</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46283</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46283</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20878-2024</t>
        </is>
      </c>
      <c r="B81" t="inlineStr">
        <is>
          <t>avverkningsanmälan</t>
        </is>
      </c>
      <c r="C81" t="inlineStr">
        <is>
          <t>Föryngringsavverkning</t>
        </is>
      </c>
      <c r="D81" s="1" t="n">
        <v>45439</v>
      </c>
      <c r="E81" s="1" t="n">
        <v>46283</v>
      </c>
      <c r="F81" t="inlineStr">
        <is>
          <t>KALMAR LÄN</t>
        </is>
      </c>
      <c r="G81" t="inlineStr">
        <is>
          <t>BORGHOLM</t>
        </is>
      </c>
      <c r="I81" t="n">
        <v>1.9</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HYPERLINK("https://klasma.github.io/Logging_0885/artfynd/A 20878-2024 artfynd.xlsx", "A 20878-2024")</f>
        <v/>
      </c>
      <c r="X81">
        <f>HYPERLINK("https://klasma.github.io/Logging_0885/kartor/A 20878-2024 karta.png", "A 20878-2024")</f>
        <v/>
      </c>
      <c r="Y81">
        <f>HYPERLINK("https://klasma.github.io/Logging_0885/kartor_geotiff/A 20878-2024 georefererad karta.tif", "A 20878-2024")</f>
        <v/>
      </c>
      <c r="AA81">
        <f>HYPERLINK("https://klasma.github.io/Logging_0885/klagomål/A 20878-2024 FSC-klagomål.docx", "A 20878-2024")</f>
        <v/>
      </c>
      <c r="AB81">
        <f>HYPERLINK("https://klasma.github.io/Logging_0885/klagomålsmail/A 20878-2024 FSC-klagomål mail.docx", "A 20878-2024")</f>
        <v/>
      </c>
      <c r="AC81">
        <f>HYPERLINK("https://klasma.github.io/Logging_0885/tillsyn/A 20878-2024 tillsynsbegäran.docx", "A 20878-2024")</f>
        <v/>
      </c>
      <c r="AD81">
        <f>HYPERLINK("https://klasma.github.io/Logging_0885/tillsynsmail/A 20878-2024 tillsynsbegäran mail.docx", "A 20878-2024")</f>
        <v/>
      </c>
    </row>
    <row r="82" ht="15" customHeight="1">
      <c r="A82" t="inlineStr">
        <is>
          <t>A 9745-2023</t>
        </is>
      </c>
      <c r="B82" t="inlineStr">
        <is>
          <t>avverkningsanmälan</t>
        </is>
      </c>
      <c r="C82" t="inlineStr">
        <is>
          <t>Föryngringsavverkning</t>
        </is>
      </c>
      <c r="D82" s="1" t="n">
        <v>44984</v>
      </c>
      <c r="E82" s="1" t="n">
        <v>46283</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28782-2025</t>
        </is>
      </c>
      <c r="B83" t="inlineStr">
        <is>
          <t>avverkningsanmälan</t>
        </is>
      </c>
      <c r="C83" t="inlineStr">
        <is>
          <t>Avverkning för att bevara och utveckla /försöksver</t>
        </is>
      </c>
      <c r="D83" s="1" t="n">
        <v>45820</v>
      </c>
      <c r="E83" s="1" t="n">
        <v>46283</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28785-2025</t>
        </is>
      </c>
      <c r="B84" t="inlineStr">
        <is>
          <t>avverkningsanmälan</t>
        </is>
      </c>
      <c r="C84" t="inlineStr">
        <is>
          <t>Avverkning för att bevara och utveckla /försöksver</t>
        </is>
      </c>
      <c r="D84" s="1" t="n">
        <v>45820</v>
      </c>
      <c r="E84" s="1" t="n">
        <v>46283</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9104-2026</t>
        </is>
      </c>
      <c r="B85" t="inlineStr">
        <is>
          <t>avverkningsanmälan</t>
        </is>
      </c>
      <c r="C85" t="inlineStr">
        <is>
          <t>Avverkning för annat ändamål</t>
        </is>
      </c>
      <c r="D85" s="1" t="n">
        <v>46069</v>
      </c>
      <c r="E85" s="1" t="n">
        <v>46283</v>
      </c>
      <c r="F85" t="inlineStr">
        <is>
          <t>KALMAR LÄN</t>
        </is>
      </c>
      <c r="G85" t="inlineStr">
        <is>
          <t>BORGHOLM</t>
        </is>
      </c>
      <c r="I85" t="n">
        <v>1.3</v>
      </c>
      <c r="J85" t="n">
        <v>0</v>
      </c>
      <c r="K85" t="n">
        <v>0</v>
      </c>
      <c r="L85" t="n">
        <v>0</v>
      </c>
      <c r="M85" t="n">
        <v>0</v>
      </c>
      <c r="N85" t="n">
        <v>0</v>
      </c>
      <c r="O85" t="n">
        <v>0</v>
      </c>
      <c r="P85" t="n">
        <v>0</v>
      </c>
      <c r="Q85" t="n">
        <v>0</v>
      </c>
      <c r="R85" t="n">
        <v>0</v>
      </c>
      <c r="S85" t="n">
        <v>1</v>
      </c>
      <c r="T85" t="n">
        <v>1</v>
      </c>
      <c r="U85" t="n">
        <v>1</v>
      </c>
      <c r="V85" s="2" t="inlineStr">
        <is>
          <t>Liljekonvalj</t>
        </is>
      </c>
      <c r="W85">
        <f>HYPERLINK("https://klasma.github.io/Logging_0885/artfynd/A 9104-2026 artfynd.xlsx", "A 9104-2026")</f>
        <v/>
      </c>
      <c r="X85">
        <f>HYPERLINK("https://klasma.github.io/Logging_0885/kartor/A 9104-2026 karta.png", "A 9104-2026")</f>
        <v/>
      </c>
      <c r="Y85">
        <f>HYPERLINK("https://klasma.github.io/Logging_0885/kartor_geotiff/A 9104-2026 georefererad karta.tif", "A 9104-2026")</f>
        <v/>
      </c>
      <c r="AA85">
        <f>HYPERLINK("https://klasma.github.io/Logging_0885/klagomål/A 9104-2026 FSC-klagomål.docx", "A 9104-2026")</f>
        <v/>
      </c>
      <c r="AB85">
        <f>HYPERLINK("https://klasma.github.io/Logging_0885/klagomålsmail/A 9104-2026 FSC-klagomål mail.docx", "A 9104-2026")</f>
        <v/>
      </c>
      <c r="AC85">
        <f>HYPERLINK("https://klasma.github.io/Logging_0885/tillsyn/A 9104-2026 tillsynsbegäran.docx", "A 9104-2026")</f>
        <v/>
      </c>
      <c r="AD85">
        <f>HYPERLINK("https://klasma.github.io/Logging_0885/tillsynsmail/A 9104-2026 tillsynsbegäran mail.docx", "A 9104-2026")</f>
        <v/>
      </c>
    </row>
    <row r="86" ht="15" customHeight="1">
      <c r="A86" t="inlineStr">
        <is>
          <t>A 9905-2026</t>
        </is>
      </c>
      <c r="B86" t="inlineStr">
        <is>
          <t>avverkningsanmälan</t>
        </is>
      </c>
      <c r="C86" t="inlineStr">
        <is>
          <t>Föryngringsavverkning</t>
        </is>
      </c>
      <c r="D86" s="1" t="n">
        <v>46073</v>
      </c>
      <c r="E86" s="1" t="n">
        <v>46283</v>
      </c>
      <c r="F86" t="inlineStr">
        <is>
          <t>KALMAR LÄN</t>
        </is>
      </c>
      <c r="G86" t="inlineStr">
        <is>
          <t>BORGHOLM</t>
        </is>
      </c>
      <c r="I86" t="n">
        <v>1.4</v>
      </c>
      <c r="J86" t="n">
        <v>0</v>
      </c>
      <c r="K86" t="n">
        <v>0</v>
      </c>
      <c r="L86" t="n">
        <v>0</v>
      </c>
      <c r="M86" t="n">
        <v>0</v>
      </c>
      <c r="N86" t="n">
        <v>1</v>
      </c>
      <c r="O86" t="n">
        <v>0</v>
      </c>
      <c r="P86" t="n">
        <v>0</v>
      </c>
      <c r="Q86" t="n">
        <v>1</v>
      </c>
      <c r="R86" t="n">
        <v>1</v>
      </c>
      <c r="S86" t="n">
        <v>1</v>
      </c>
      <c r="T86" t="n">
        <v>1</v>
      </c>
      <c r="U86" t="n">
        <v>0</v>
      </c>
      <c r="V86" s="2" t="inlineStr">
        <is>
          <t>Ask</t>
        </is>
      </c>
      <c r="W86">
        <f>HYPERLINK("https://klasma.github.io/Logging_0885/artfynd/A 9905-2026 artfynd.xlsx", "A 9905-2026")</f>
        <v/>
      </c>
      <c r="X86">
        <f>HYPERLINK("https://klasma.github.io/Logging_0885/kartor/A 9905-2026 karta.png", "A 9905-2026")</f>
        <v/>
      </c>
      <c r="Y86">
        <f>HYPERLINK("https://klasma.github.io/Logging_0885/kartor_geotiff/A 9905-2026 georefererad karta.tif", "A 9905-2026")</f>
        <v/>
      </c>
      <c r="AA86">
        <f>HYPERLINK("https://klasma.github.io/Logging_0885/klagomål/A 9905-2026 FSC-klagomål.docx", "A 9905-2026")</f>
        <v/>
      </c>
      <c r="AB86">
        <f>HYPERLINK("https://klasma.github.io/Logging_0885/klagomålsmail/A 9905-2026 FSC-klagomål mail.docx", "A 9905-2026")</f>
        <v/>
      </c>
      <c r="AC86">
        <f>HYPERLINK("https://klasma.github.io/Logging_0885/tillsyn/A 9905-2026 tillsynsbegäran.docx", "A 9905-2026")</f>
        <v/>
      </c>
      <c r="AD86">
        <f>HYPERLINK("https://klasma.github.io/Logging_0885/tillsynsmail/A 9905-2026 tillsynsbegäran mail.docx", "A 9905-2026")</f>
        <v/>
      </c>
    </row>
    <row r="87" ht="15" customHeight="1">
      <c r="A87" t="inlineStr">
        <is>
          <t>A 31720-2022</t>
        </is>
      </c>
      <c r="B87" t="inlineStr">
        <is>
          <t>avverkningsanmälan</t>
        </is>
      </c>
      <c r="C87" t="inlineStr">
        <is>
          <t>Föryngringsavverkning</t>
        </is>
      </c>
      <c r="D87" s="1" t="n">
        <v>44776</v>
      </c>
      <c r="E87" s="1" t="n">
        <v>46283</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41831-2025</t>
        </is>
      </c>
      <c r="B88" t="inlineStr">
        <is>
          <t>avverkningsanmälan</t>
        </is>
      </c>
      <c r="C88" t="inlineStr">
        <is>
          <t>Föryngringsavverkning</t>
        </is>
      </c>
      <c r="D88" s="1" t="n">
        <v>45902</v>
      </c>
      <c r="E88" s="1" t="n">
        <v>46283</v>
      </c>
      <c r="F88" t="inlineStr">
        <is>
          <t>KALMAR LÄN</t>
        </is>
      </c>
      <c r="G88" t="inlineStr">
        <is>
          <t>BORGHOLM</t>
        </is>
      </c>
      <c r="I88" t="n">
        <v>1.5</v>
      </c>
      <c r="J88" t="n">
        <v>1</v>
      </c>
      <c r="K88" t="n">
        <v>1</v>
      </c>
      <c r="L88" t="n">
        <v>0</v>
      </c>
      <c r="M88" t="n">
        <v>0</v>
      </c>
      <c r="N88" t="n">
        <v>0</v>
      </c>
      <c r="O88" t="n">
        <v>0</v>
      </c>
      <c r="P88" t="n">
        <v>0</v>
      </c>
      <c r="Q88" t="n">
        <v>0</v>
      </c>
      <c r="R88" t="n">
        <v>0</v>
      </c>
      <c r="S88" t="n">
        <v>1</v>
      </c>
      <c r="T88" t="n">
        <v>1</v>
      </c>
      <c r="U88" t="n">
        <v>0</v>
      </c>
      <c r="V88" s="2" t="inlineStr">
        <is>
          <t>Skogsknipprot</t>
        </is>
      </c>
      <c r="W88">
        <f>HYPERLINK("https://klasma.github.io/Logging_0885/artfynd/A 41831-2025 artfynd.xlsx", "A 41831-2025")</f>
        <v/>
      </c>
      <c r="X88">
        <f>HYPERLINK("https://klasma.github.io/Logging_0885/kartor/A 41831-2025 karta.png", "A 41831-2025")</f>
        <v/>
      </c>
      <c r="Y88">
        <f>HYPERLINK("https://klasma.github.io/Logging_0885/kartor_geotiff/A 41831-2025 georefererad karta.tif", "A 41831-2025")</f>
        <v/>
      </c>
      <c r="AA88">
        <f>HYPERLINK("https://klasma.github.io/Logging_0885/klagomål/A 41831-2025 FSC-klagomål.docx", "A 41831-2025")</f>
        <v/>
      </c>
      <c r="AB88">
        <f>HYPERLINK("https://klasma.github.io/Logging_0885/klagomålsmail/A 41831-2025 FSC-klagomål mail.docx", "A 41831-2025")</f>
        <v/>
      </c>
      <c r="AC88">
        <f>HYPERLINK("https://klasma.github.io/Logging_0885/tillsyn/A 41831-2025 tillsynsbegäran.docx", "A 41831-2025")</f>
        <v/>
      </c>
      <c r="AD88">
        <f>HYPERLINK("https://klasma.github.io/Logging_0885/tillsynsmail/A 41831-2025 tillsynsbegäran mail.docx", "A 41831-2025")</f>
        <v/>
      </c>
    </row>
    <row r="89" ht="15" customHeight="1">
      <c r="A89" t="inlineStr">
        <is>
          <t>A 24701-2023</t>
        </is>
      </c>
      <c r="B89" t="inlineStr">
        <is>
          <t>avverkningsanmälan</t>
        </is>
      </c>
      <c r="C89" t="inlineStr">
        <is>
          <t>Föryngringsavverkning</t>
        </is>
      </c>
      <c r="D89" s="1" t="n">
        <v>45084</v>
      </c>
      <c r="E89" s="1" t="n">
        <v>46283</v>
      </c>
      <c r="F89" t="inlineStr">
        <is>
          <t>KALMAR LÄN</t>
        </is>
      </c>
      <c r="G89" t="inlineStr">
        <is>
          <t>BORGHOLM</t>
        </is>
      </c>
      <c r="I89" t="n">
        <v>3</v>
      </c>
      <c r="J89" t="n">
        <v>0</v>
      </c>
      <c r="K89" t="n">
        <v>0</v>
      </c>
      <c r="L89" t="n">
        <v>0</v>
      </c>
      <c r="M89" t="n">
        <v>0</v>
      </c>
      <c r="N89" t="n">
        <v>1</v>
      </c>
      <c r="O89" t="n">
        <v>0</v>
      </c>
      <c r="P89" t="n">
        <v>0</v>
      </c>
      <c r="Q89" t="n">
        <v>1</v>
      </c>
      <c r="R89" t="n">
        <v>1</v>
      </c>
      <c r="S89" t="n">
        <v>1</v>
      </c>
      <c r="T89" t="n">
        <v>3</v>
      </c>
      <c r="U89" t="n">
        <v>0</v>
      </c>
      <c r="V89" s="2" t="inlineStr">
        <is>
          <t>Ask</t>
        </is>
      </c>
      <c r="W89">
        <f>HYPERLINK("https://klasma.github.io/Logging_0885/artfynd/A 24701-2023 artfynd.xlsx", "A 24701-2023")</f>
        <v/>
      </c>
      <c r="X89">
        <f>HYPERLINK("https://klasma.github.io/Logging_0885/kartor/A 24701-2023 karta.png", "A 24701-2023")</f>
        <v/>
      </c>
      <c r="Y89">
        <f>HYPERLINK("https://klasma.github.io/Logging_0885/kartor_geotiff/A 24701-2023 georefererad karta.tif", "A 24701-2023")</f>
        <v/>
      </c>
      <c r="AA89">
        <f>HYPERLINK("https://klasma.github.io/Logging_0885/klagomål/A 24701-2023 FSC-klagomål.docx", "A 24701-2023")</f>
        <v/>
      </c>
      <c r="AB89">
        <f>HYPERLINK("https://klasma.github.io/Logging_0885/klagomålsmail/A 24701-2023 FSC-klagomål mail.docx", "A 24701-2023")</f>
        <v/>
      </c>
      <c r="AC89">
        <f>HYPERLINK("https://klasma.github.io/Logging_0885/tillsyn/A 24701-2023 tillsynsbegäran.docx", "A 24701-2023")</f>
        <v/>
      </c>
      <c r="AD89">
        <f>HYPERLINK("https://klasma.github.io/Logging_0885/tillsynsmail/A 24701-2023 tillsynsbegäran mail.docx", "A 24701-2023")</f>
        <v/>
      </c>
    </row>
    <row r="90" ht="15" customHeight="1">
      <c r="A90" t="inlineStr">
        <is>
          <t>A 24704-2023</t>
        </is>
      </c>
      <c r="B90" t="inlineStr">
        <is>
          <t>avverkningsanmälan</t>
        </is>
      </c>
      <c r="C90" t="inlineStr">
        <is>
          <t>Föryngringsavverkning</t>
        </is>
      </c>
      <c r="D90" s="1" t="n">
        <v>45084</v>
      </c>
      <c r="E90" s="1" t="n">
        <v>46283</v>
      </c>
      <c r="F90" t="inlineStr">
        <is>
          <t>KALMAR LÄN</t>
        </is>
      </c>
      <c r="G90" t="inlineStr">
        <is>
          <t>BORGHOLM</t>
        </is>
      </c>
      <c r="I90" t="n">
        <v>3.5</v>
      </c>
      <c r="J90" t="n">
        <v>0</v>
      </c>
      <c r="K90" t="n">
        <v>0</v>
      </c>
      <c r="L90" t="n">
        <v>0</v>
      </c>
      <c r="M90" t="n">
        <v>0</v>
      </c>
      <c r="N90" t="n">
        <v>1</v>
      </c>
      <c r="O90" t="n">
        <v>0</v>
      </c>
      <c r="P90" t="n">
        <v>0</v>
      </c>
      <c r="Q90" t="n">
        <v>1</v>
      </c>
      <c r="R90" t="n">
        <v>1</v>
      </c>
      <c r="S90" t="n">
        <v>1</v>
      </c>
      <c r="T90" t="n">
        <v>2</v>
      </c>
      <c r="U90" t="n">
        <v>0</v>
      </c>
      <c r="V90" s="2" t="inlineStr">
        <is>
          <t>Ask</t>
        </is>
      </c>
      <c r="W90">
        <f>HYPERLINK("https://klasma.github.io/Logging_0885/artfynd/A 24704-2023 artfynd.xlsx", "A 24704-2023")</f>
        <v/>
      </c>
      <c r="X90">
        <f>HYPERLINK("https://klasma.github.io/Logging_0885/kartor/A 24704-2023 karta.png", "A 24704-2023")</f>
        <v/>
      </c>
      <c r="Y90">
        <f>HYPERLINK("https://klasma.github.io/Logging_0885/kartor_geotiff/A 24704-2023 georefererad karta.tif", "A 24704-2023")</f>
        <v/>
      </c>
      <c r="AA90">
        <f>HYPERLINK("https://klasma.github.io/Logging_0885/klagomål/A 24704-2023 FSC-klagomål.docx", "A 24704-2023")</f>
        <v/>
      </c>
      <c r="AB90">
        <f>HYPERLINK("https://klasma.github.io/Logging_0885/klagomålsmail/A 24704-2023 FSC-klagomål mail.docx", "A 24704-2023")</f>
        <v/>
      </c>
      <c r="AC90">
        <f>HYPERLINK("https://klasma.github.io/Logging_0885/tillsyn/A 24704-2023 tillsynsbegäran.docx", "A 24704-2023")</f>
        <v/>
      </c>
      <c r="AD90">
        <f>HYPERLINK("https://klasma.github.io/Logging_0885/tillsynsmail/A 24704-2023 tillsynsbegäran mail.docx", "A 24704-2023")</f>
        <v/>
      </c>
    </row>
    <row r="91" ht="15" customHeight="1">
      <c r="A91" t="inlineStr">
        <is>
          <t>A 26840-2026</t>
        </is>
      </c>
      <c r="B91" t="inlineStr">
        <is>
          <t>avverkningsanmälan</t>
        </is>
      </c>
      <c r="C91" t="inlineStr">
        <is>
          <t>Avverkning för att bevara och utveckla /försöksver</t>
        </is>
      </c>
      <c r="D91" s="1" t="n">
        <v>46185</v>
      </c>
      <c r="E91" s="1" t="n">
        <v>46283</v>
      </c>
      <c r="F91" t="inlineStr">
        <is>
          <t>KALMAR LÄN</t>
        </is>
      </c>
      <c r="G91" t="inlineStr">
        <is>
          <t>BORGHOLM</t>
        </is>
      </c>
      <c r="H91" t="inlineStr">
        <is>
          <t>Sveaskog</t>
        </is>
      </c>
      <c r="I91" t="n">
        <v>1.4</v>
      </c>
      <c r="J91" t="n">
        <v>0</v>
      </c>
      <c r="K91" t="n">
        <v>0</v>
      </c>
      <c r="L91" t="n">
        <v>0</v>
      </c>
      <c r="M91" t="n">
        <v>0</v>
      </c>
      <c r="N91" t="n">
        <v>1</v>
      </c>
      <c r="O91" t="n">
        <v>0</v>
      </c>
      <c r="P91" t="n">
        <v>0</v>
      </c>
      <c r="Q91" t="n">
        <v>1</v>
      </c>
      <c r="R91" t="n">
        <v>1</v>
      </c>
      <c r="S91" t="n">
        <v>1</v>
      </c>
      <c r="T91" t="n">
        <v>3</v>
      </c>
      <c r="U91" t="n">
        <v>0</v>
      </c>
      <c r="V91" s="2" t="inlineStr">
        <is>
          <t>Ask</t>
        </is>
      </c>
      <c r="W91">
        <f>HYPERLINK("https://klasma.github.io/Logging_0885/artfynd/A 26840-2026 artfynd.xlsx", "A 26840-2026")</f>
        <v/>
      </c>
      <c r="X91">
        <f>HYPERLINK("https://klasma.github.io/Logging_0885/kartor/A 26840-2026 karta.png", "A 26840-2026")</f>
        <v/>
      </c>
      <c r="Y91">
        <f>HYPERLINK("https://klasma.github.io/Logging_0885/kartor_geotiff/A 26840-2026 georefererad karta.tif", "A 26840-2026")</f>
        <v/>
      </c>
      <c r="AA91">
        <f>HYPERLINK("https://klasma.github.io/Logging_0885/klagomål/A 26840-2026 FSC-klagomål.docx", "A 26840-2026")</f>
        <v/>
      </c>
      <c r="AB91">
        <f>HYPERLINK("https://klasma.github.io/Logging_0885/klagomålsmail/A 26840-2026 FSC-klagomål mail.docx", "A 26840-2026")</f>
        <v/>
      </c>
      <c r="AC91">
        <f>HYPERLINK("https://klasma.github.io/Logging_0885/tillsyn/A 26840-2026 tillsynsbegäran.docx", "A 26840-2026")</f>
        <v/>
      </c>
      <c r="AD91">
        <f>HYPERLINK("https://klasma.github.io/Logging_0885/tillsynsmail/A 26840-2026 tillsynsbegäran mail.docx", "A 26840-2026")</f>
        <v/>
      </c>
    </row>
    <row r="92" ht="15" customHeight="1">
      <c r="A92" t="inlineStr">
        <is>
          <t>A 28430-2026</t>
        </is>
      </c>
      <c r="B92" t="inlineStr">
        <is>
          <t>avverkningsanmälan</t>
        </is>
      </c>
      <c r="C92" t="inlineStr">
        <is>
          <t>Avverkning för att bevara och utveckla /försöksver</t>
        </is>
      </c>
      <c r="D92" s="1" t="n">
        <v>46197</v>
      </c>
      <c r="E92" s="1" t="n">
        <v>46283</v>
      </c>
      <c r="F92" t="inlineStr">
        <is>
          <t>KALMAR LÄN</t>
        </is>
      </c>
      <c r="G92" t="inlineStr">
        <is>
          <t>BORGHOLM</t>
        </is>
      </c>
      <c r="H92" t="inlineStr">
        <is>
          <t>Sveaskog</t>
        </is>
      </c>
      <c r="I92" t="n">
        <v>1.8</v>
      </c>
      <c r="J92" t="n">
        <v>0</v>
      </c>
      <c r="K92" t="n">
        <v>0</v>
      </c>
      <c r="L92" t="n">
        <v>1</v>
      </c>
      <c r="M92" t="n">
        <v>0</v>
      </c>
      <c r="N92" t="n">
        <v>0</v>
      </c>
      <c r="O92" t="n">
        <v>0</v>
      </c>
      <c r="P92" t="n">
        <v>0</v>
      </c>
      <c r="Q92" t="n">
        <v>1</v>
      </c>
      <c r="R92" t="n">
        <v>0</v>
      </c>
      <c r="S92" t="n">
        <v>1</v>
      </c>
      <c r="T92" t="n">
        <v>2</v>
      </c>
      <c r="U92" t="n">
        <v>0</v>
      </c>
      <c r="V92" s="2" t="inlineStr">
        <is>
          <t>Oxtungssvamp</t>
        </is>
      </c>
      <c r="W92">
        <f>HYPERLINK("https://klasma.github.io/Logging_0885/artfynd/A 28430-2026 artfynd.xlsx", "A 28430-2026")</f>
        <v/>
      </c>
      <c r="X92">
        <f>HYPERLINK("https://klasma.github.io/Logging_0885/kartor/A 28430-2026 karta.png", "A 28430-2026")</f>
        <v/>
      </c>
      <c r="Y92">
        <f>HYPERLINK("https://klasma.github.io/Logging_0885/kartor_geotiff/A 28430-2026 georefererad karta.tif", "A 28430-2026")</f>
        <v/>
      </c>
      <c r="AA92">
        <f>HYPERLINK("https://klasma.github.io/Logging_0885/klagomål/A 28430-2026 FSC-klagomål.docx", "A 28430-2026")</f>
        <v/>
      </c>
      <c r="AB92">
        <f>HYPERLINK("https://klasma.github.io/Logging_0885/klagomålsmail/A 28430-2026 FSC-klagomål mail.docx", "A 28430-2026")</f>
        <v/>
      </c>
      <c r="AC92">
        <f>HYPERLINK("https://klasma.github.io/Logging_0885/tillsyn/A 28430-2026 tillsynsbegäran.docx", "A 28430-2026")</f>
        <v/>
      </c>
      <c r="AD92">
        <f>HYPERLINK("https://klasma.github.io/Logging_0885/tillsynsmail/A 28430-2026 tillsynsbegäran mail.docx", "A 28430-2026")</f>
        <v/>
      </c>
    </row>
    <row r="93" ht="15" customHeight="1">
      <c r="A93" t="inlineStr">
        <is>
          <t>A 28374-2026</t>
        </is>
      </c>
      <c r="B93" t="inlineStr">
        <is>
          <t>avverkningsanmälan</t>
        </is>
      </c>
      <c r="C93" t="inlineStr">
        <is>
          <t>Avverkning för att bevara och utveckla /försöksver</t>
        </is>
      </c>
      <c r="D93" s="1" t="n">
        <v>46196</v>
      </c>
      <c r="E93" s="1" t="n">
        <v>46283</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t="n">
        <v>0</v>
      </c>
      <c r="V93" s="2" t="inlineStr">
        <is>
          <t>Purpurmusseron</t>
        </is>
      </c>
      <c r="W93">
        <f>HYPERLINK("https://klasma.github.io/Logging_0885/artfynd/A 28374-2026 artfynd.xlsx", "A 28374-2026")</f>
        <v/>
      </c>
      <c r="X93">
        <f>HYPERLINK("https://klasma.github.io/Logging_0885/kartor/A 28374-2026 karta.png", "A 28374-2026")</f>
        <v/>
      </c>
      <c r="Y93">
        <f>HYPERLINK("https://klasma.github.io/Logging_0885/kartor_geotiff/A 28374-2026 georefererad karta.tif", "A 28374-2026")</f>
        <v/>
      </c>
      <c r="AA93">
        <f>HYPERLINK("https://klasma.github.io/Logging_0885/klagomål/A 28374-2026 FSC-klagomål.docx", "A 28374-2026")</f>
        <v/>
      </c>
      <c r="AB93">
        <f>HYPERLINK("https://klasma.github.io/Logging_0885/klagomålsmail/A 28374-2026 FSC-klagomål mail.docx", "A 28374-2026")</f>
        <v/>
      </c>
      <c r="AC93">
        <f>HYPERLINK("https://klasma.github.io/Logging_0885/tillsyn/A 28374-2026 tillsynsbegäran.docx", "A 28374-2026")</f>
        <v/>
      </c>
      <c r="AD93">
        <f>HYPERLINK("https://klasma.github.io/Logging_0885/tillsynsmail/A 28374-2026 tillsynsbegäran mail.docx", "A 28374-2026")</f>
        <v/>
      </c>
    </row>
    <row r="94" ht="15" customHeight="1">
      <c r="A94" t="inlineStr">
        <is>
          <t>A 33293-2026</t>
        </is>
      </c>
      <c r="B94" t="inlineStr">
        <is>
          <t>avverkningsanmälan</t>
        </is>
      </c>
      <c r="C94" t="inlineStr">
        <is>
          <t>Avverkning för att bevara och utveckla /försöksver</t>
        </is>
      </c>
      <c r="D94" s="1" t="n">
        <v>46246</v>
      </c>
      <c r="E94" s="1" t="n">
        <v>46283</v>
      </c>
      <c r="F94" t="inlineStr">
        <is>
          <t>KALMAR LÄN</t>
        </is>
      </c>
      <c r="G94" t="inlineStr">
        <is>
          <t>BORGHOLM</t>
        </is>
      </c>
      <c r="H94" t="inlineStr">
        <is>
          <t>Sveaskog</t>
        </is>
      </c>
      <c r="I94" t="n">
        <v>3.8</v>
      </c>
      <c r="J94" t="n">
        <v>1</v>
      </c>
      <c r="K94" t="n">
        <v>1</v>
      </c>
      <c r="L94" t="n">
        <v>0</v>
      </c>
      <c r="M94" t="n">
        <v>0</v>
      </c>
      <c r="N94" t="n">
        <v>0</v>
      </c>
      <c r="O94" t="n">
        <v>0</v>
      </c>
      <c r="P94" t="n">
        <v>0</v>
      </c>
      <c r="Q94" t="n">
        <v>0</v>
      </c>
      <c r="R94" t="n">
        <v>0</v>
      </c>
      <c r="S94" t="n">
        <v>1</v>
      </c>
      <c r="T94" t="n">
        <v>2</v>
      </c>
      <c r="U94" t="n">
        <v>0</v>
      </c>
      <c r="V94" s="2" t="inlineStr">
        <is>
          <t>Skogsknipprot</t>
        </is>
      </c>
      <c r="W94">
        <f>HYPERLINK("https://klasma.github.io/Logging_0885/artfynd/A 33293-2026 artfynd.xlsx", "A 33293-2026")</f>
        <v/>
      </c>
      <c r="X94">
        <f>HYPERLINK("https://klasma.github.io/Logging_0885/kartor/A 33293-2026 karta.png", "A 33293-2026")</f>
        <v/>
      </c>
      <c r="Y94">
        <f>HYPERLINK("https://klasma.github.io/Logging_0885/kartor_geotiff/A 33293-2026 georefererad karta.tif", "A 33293-2026")</f>
        <v/>
      </c>
      <c r="AA94">
        <f>HYPERLINK("https://klasma.github.io/Logging_0885/klagomål/A 33293-2026 FSC-klagomål.docx", "A 33293-2026")</f>
        <v/>
      </c>
      <c r="AB94">
        <f>HYPERLINK("https://klasma.github.io/Logging_0885/klagomålsmail/A 33293-2026 FSC-klagomål mail.docx", "A 33293-2026")</f>
        <v/>
      </c>
      <c r="AC94">
        <f>HYPERLINK("https://klasma.github.io/Logging_0885/tillsyn/A 33293-2026 tillsynsbegäran.docx", "A 33293-2026")</f>
        <v/>
      </c>
      <c r="AD94">
        <f>HYPERLINK("https://klasma.github.io/Logging_0885/tillsynsmail/A 33293-2026 tillsynsbegäran mail.docx", "A 33293-2026")</f>
        <v/>
      </c>
    </row>
    <row r="95" ht="15" customHeight="1">
      <c r="A95" t="inlineStr">
        <is>
          <t>A 19867-2024</t>
        </is>
      </c>
      <c r="B95" t="inlineStr">
        <is>
          <t>avverkningsanmälan</t>
        </is>
      </c>
      <c r="C95" t="inlineStr">
        <is>
          <t>Föryngringsavverkning</t>
        </is>
      </c>
      <c r="D95" s="1" t="n">
        <v>45433</v>
      </c>
      <c r="E95" s="1" t="n">
        <v>46283</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3302-2026</t>
        </is>
      </c>
      <c r="B96" t="inlineStr">
        <is>
          <t>avverkningsanmälan</t>
        </is>
      </c>
      <c r="C96" t="inlineStr">
        <is>
          <t>Avverkning för annat ändamål</t>
        </is>
      </c>
      <c r="D96" s="1" t="n">
        <v>46041</v>
      </c>
      <c r="E96" s="1" t="n">
        <v>46283</v>
      </c>
      <c r="F96" t="inlineStr">
        <is>
          <t>KALMAR LÄN</t>
        </is>
      </c>
      <c r="G96" t="inlineStr">
        <is>
          <t>BORGHOLM</t>
        </is>
      </c>
      <c r="I96" t="n">
        <v>3.9</v>
      </c>
      <c r="J96" t="n">
        <v>1</v>
      </c>
      <c r="K96" t="n">
        <v>0</v>
      </c>
      <c r="L96" t="n">
        <v>0</v>
      </c>
      <c r="M96" t="n">
        <v>0</v>
      </c>
      <c r="N96" t="n">
        <v>0</v>
      </c>
      <c r="O96" t="n">
        <v>0</v>
      </c>
      <c r="P96" t="n">
        <v>0</v>
      </c>
      <c r="Q96" t="n">
        <v>0</v>
      </c>
      <c r="R96" t="n">
        <v>0</v>
      </c>
      <c r="S96" t="n">
        <v>1</v>
      </c>
      <c r="T96" t="n">
        <v>1</v>
      </c>
      <c r="U96" t="n">
        <v>0</v>
      </c>
      <c r="V96" s="2" t="inlineStr">
        <is>
          <t>Blåsippa</t>
        </is>
      </c>
      <c r="W96">
        <f>HYPERLINK("https://klasma.github.io/Logging_0885/artfynd/A 3302-2026 artfynd.xlsx", "A 3302-2026")</f>
        <v/>
      </c>
      <c r="X96">
        <f>HYPERLINK("https://klasma.github.io/Logging_0885/kartor/A 3302-2026 karta.png", "A 3302-2026")</f>
        <v/>
      </c>
      <c r="Y96">
        <f>HYPERLINK("https://klasma.github.io/Logging_0885/kartor_geotiff/A 3302-2026 georefererad karta.tif", "A 3302-2026")</f>
        <v/>
      </c>
      <c r="AA96">
        <f>HYPERLINK("https://klasma.github.io/Logging_0885/klagomål/A 3302-2026 FSC-klagomål.docx", "A 3302-2026")</f>
        <v/>
      </c>
      <c r="AB96">
        <f>HYPERLINK("https://klasma.github.io/Logging_0885/klagomålsmail/A 3302-2026 FSC-klagomål mail.docx", "A 3302-2026")</f>
        <v/>
      </c>
      <c r="AC96">
        <f>HYPERLINK("https://klasma.github.io/Logging_0885/tillsyn/A 3302-2026 tillsynsbegäran.docx", "A 3302-2026")</f>
        <v/>
      </c>
      <c r="AD96">
        <f>HYPERLINK("https://klasma.github.io/Logging_0885/tillsynsmail/A 3302-2026 tillsynsbegäran mail.docx", "A 3302-2026")</f>
        <v/>
      </c>
    </row>
    <row r="97" ht="15" customHeight="1">
      <c r="A97" t="inlineStr">
        <is>
          <t>A 7481-2026</t>
        </is>
      </c>
      <c r="B97" t="inlineStr">
        <is>
          <t>avverkningsanmälan</t>
        </is>
      </c>
      <c r="C97" t="inlineStr">
        <is>
          <t>Föryngringsavverkning</t>
        </is>
      </c>
      <c r="D97" s="1" t="n">
        <v>46059</v>
      </c>
      <c r="E97" s="1" t="n">
        <v>46283</v>
      </c>
      <c r="F97" t="inlineStr">
        <is>
          <t>KALMAR LÄN</t>
        </is>
      </c>
      <c r="G97" t="inlineStr">
        <is>
          <t>BORGHOLM</t>
        </is>
      </c>
      <c r="I97" t="n">
        <v>1.9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HYPERLINK("https://klasma.github.io/Logging_0885/artfynd/A 7481-2026 artfynd.xlsx", "A 7481-2026")</f>
        <v/>
      </c>
      <c r="X97">
        <f>HYPERLINK("https://klasma.github.io/Logging_0885/kartor/A 7481-2026 karta.png", "A 7481-2026")</f>
        <v/>
      </c>
      <c r="Y97">
        <f>HYPERLINK("https://klasma.github.io/Logging_0885/kartor_geotiff/A 7481-2026 georefererad karta.tif", "A 7481-2026")</f>
        <v/>
      </c>
      <c r="AA97">
        <f>HYPERLINK("https://klasma.github.io/Logging_0885/klagomål/A 7481-2026 FSC-klagomål.docx", "A 7481-2026")</f>
        <v/>
      </c>
      <c r="AB97">
        <f>HYPERLINK("https://klasma.github.io/Logging_0885/klagomålsmail/A 7481-2026 FSC-klagomål mail.docx", "A 7481-2026")</f>
        <v/>
      </c>
      <c r="AC97">
        <f>HYPERLINK("https://klasma.github.io/Logging_0885/tillsyn/A 7481-2026 tillsynsbegäran.docx", "A 7481-2026")</f>
        <v/>
      </c>
      <c r="AD97">
        <f>HYPERLINK("https://klasma.github.io/Logging_0885/tillsynsmail/A 7481-2026 tillsynsbegäran mail.docx", "A 7481-2026")</f>
        <v/>
      </c>
    </row>
    <row r="98" ht="15" customHeight="1">
      <c r="A98" t="inlineStr">
        <is>
          <t>A 63276-2023</t>
        </is>
      </c>
      <c r="B98" t="inlineStr">
        <is>
          <t>avverkningsanmälan</t>
        </is>
      </c>
      <c r="C98" t="inlineStr">
        <is>
          <t>Föryngringsavverkning</t>
        </is>
      </c>
      <c r="D98" s="1" t="n">
        <v>45273</v>
      </c>
      <c r="E98" s="1" t="n">
        <v>46283</v>
      </c>
      <c r="F98" t="inlineStr">
        <is>
          <t>KALMAR LÄN</t>
        </is>
      </c>
      <c r="G98" t="inlineStr">
        <is>
          <t>BORGHOLM</t>
        </is>
      </c>
      <c r="I98" t="n">
        <v>5</v>
      </c>
      <c r="J98" t="n">
        <v>0</v>
      </c>
      <c r="K98" t="n">
        <v>0</v>
      </c>
      <c r="L98" t="n">
        <v>0</v>
      </c>
      <c r="M98" t="n">
        <v>1</v>
      </c>
      <c r="N98" t="n">
        <v>0</v>
      </c>
      <c r="O98" t="n">
        <v>0</v>
      </c>
      <c r="P98" t="n">
        <v>0</v>
      </c>
      <c r="Q98" t="n">
        <v>1</v>
      </c>
      <c r="R98" t="n">
        <v>1</v>
      </c>
      <c r="S98" t="n">
        <v>1</v>
      </c>
      <c r="T98" t="n">
        <v>1</v>
      </c>
      <c r="U98" t="n">
        <v>0</v>
      </c>
      <c r="V98" s="2" t="inlineStr">
        <is>
          <t>Elaphomyces barrioi</t>
        </is>
      </c>
      <c r="W98">
        <f>HYPERLINK("https://klasma.github.io/Logging_0885/artfynd/A 63276-2023 artfynd.xlsx", "A 63276-2023")</f>
        <v/>
      </c>
      <c r="X98">
        <f>HYPERLINK("https://klasma.github.io/Logging_0885/kartor/A 63276-2023 karta.png", "A 63276-2023")</f>
        <v/>
      </c>
      <c r="Y98">
        <f>HYPERLINK("https://klasma.github.io/Logging_0885/kartor_geotiff/A 63276-2023 georefererad karta.tif", "A 63276-2023")</f>
        <v/>
      </c>
      <c r="AA98">
        <f>HYPERLINK("https://klasma.github.io/Logging_0885/klagomål/A 63276-2023 FSC-klagomål.docx", "A 63276-2023")</f>
        <v/>
      </c>
      <c r="AB98">
        <f>HYPERLINK("https://klasma.github.io/Logging_0885/klagomålsmail/A 63276-2023 FSC-klagomål mail.docx", "A 63276-2023")</f>
        <v/>
      </c>
      <c r="AC98">
        <f>HYPERLINK("https://klasma.github.io/Logging_0885/tillsyn/A 63276-2023 tillsynsbegäran.docx", "A 63276-2023")</f>
        <v/>
      </c>
      <c r="AD98">
        <f>HYPERLINK("https://klasma.github.io/Logging_0885/tillsynsmail/A 63276-2023 tillsynsbegäran mail.docx", "A 63276-2023")</f>
        <v/>
      </c>
    </row>
    <row r="99" ht="15" customHeight="1">
      <c r="A99" t="inlineStr">
        <is>
          <t>A 13043-2024</t>
        </is>
      </c>
      <c r="B99" t="inlineStr">
        <is>
          <t>avverkningsanmälan</t>
        </is>
      </c>
      <c r="C99" t="inlineStr">
        <is>
          <t>Föryngringsavverkning</t>
        </is>
      </c>
      <c r="D99" s="1" t="n">
        <v>45385</v>
      </c>
      <c r="E99" s="1" t="n">
        <v>46283</v>
      </c>
      <c r="F99" t="inlineStr">
        <is>
          <t>KALMAR LÄN</t>
        </is>
      </c>
      <c r="G99" t="inlineStr">
        <is>
          <t>BORGHOLM</t>
        </is>
      </c>
      <c r="I99" t="n">
        <v>0.4</v>
      </c>
      <c r="J99" t="n">
        <v>1</v>
      </c>
      <c r="K99" t="n">
        <v>1</v>
      </c>
      <c r="L99" t="n">
        <v>0</v>
      </c>
      <c r="M99" t="n">
        <v>0</v>
      </c>
      <c r="N99" t="n">
        <v>0</v>
      </c>
      <c r="O99" t="n">
        <v>0</v>
      </c>
      <c r="P99" t="n">
        <v>0</v>
      </c>
      <c r="Q99" t="n">
        <v>0</v>
      </c>
      <c r="R99" t="n">
        <v>0</v>
      </c>
      <c r="S99" t="n">
        <v>1</v>
      </c>
      <c r="T99" t="n">
        <v>1</v>
      </c>
      <c r="U99" t="n">
        <v>0</v>
      </c>
      <c r="V99" s="2" t="inlineStr">
        <is>
          <t>Ekoxe</t>
        </is>
      </c>
      <c r="W99">
        <f>HYPERLINK("https://klasma.github.io/Logging_0885/artfynd/A 13043-2024 artfynd.xlsx", "A 13043-2024")</f>
        <v/>
      </c>
      <c r="X99">
        <f>HYPERLINK("https://klasma.github.io/Logging_0885/kartor/A 13043-2024 karta.png", "A 13043-2024")</f>
        <v/>
      </c>
      <c r="Y99">
        <f>HYPERLINK("https://klasma.github.io/Logging_0885/kartor_geotiff/A 13043-2024 georefererad karta.tif", "A 13043-2024")</f>
        <v/>
      </c>
      <c r="AA99">
        <f>HYPERLINK("https://klasma.github.io/Logging_0885/klagomål/A 13043-2024 FSC-klagomål.docx", "A 13043-2024")</f>
        <v/>
      </c>
      <c r="AB99">
        <f>HYPERLINK("https://klasma.github.io/Logging_0885/klagomålsmail/A 13043-2024 FSC-klagomål mail.docx", "A 13043-2024")</f>
        <v/>
      </c>
      <c r="AC99">
        <f>HYPERLINK("https://klasma.github.io/Logging_0885/tillsyn/A 13043-2024 tillsynsbegäran.docx", "A 13043-2024")</f>
        <v/>
      </c>
      <c r="AD99">
        <f>HYPERLINK("https://klasma.github.io/Logging_0885/tillsynsmail/A 13043-2024 tillsynsbegäran mail.docx", "A 13043-2024")</f>
        <v/>
      </c>
    </row>
    <row r="100" ht="15" customHeight="1">
      <c r="A100" t="inlineStr">
        <is>
          <t>S 2390-2023</t>
        </is>
      </c>
      <c r="B100" t="inlineStr">
        <is>
          <t>samrådsanmälan</t>
        </is>
      </c>
      <c r="C100" t="inlineStr">
        <is>
          <t>Annan skogsbruksåtgärd</t>
        </is>
      </c>
      <c r="D100" s="1" t="n">
        <v>45111</v>
      </c>
      <c r="E100" s="1" t="n">
        <v>46283</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46283</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46283</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1813-2026</t>
        </is>
      </c>
      <c r="B103" t="inlineStr">
        <is>
          <t>samrådsanmälan</t>
        </is>
      </c>
      <c r="C103" t="inlineStr">
        <is>
          <t>Annan skogsbruksåtgärd</t>
        </is>
      </c>
      <c r="D103" s="1" t="n">
        <v>46197</v>
      </c>
      <c r="E103" s="1" t="n">
        <v>46283</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1803-2026</t>
        </is>
      </c>
      <c r="B104" t="inlineStr">
        <is>
          <t>samrådsanmälan</t>
        </is>
      </c>
      <c r="C104" t="inlineStr">
        <is>
          <t>Annan skogsbruksåtgärd</t>
        </is>
      </c>
      <c r="D104" s="1" t="n">
        <v>46196</v>
      </c>
      <c r="E104" s="1" t="n">
        <v>46283</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2140-2026</t>
        </is>
      </c>
      <c r="B105" t="inlineStr">
        <is>
          <t>samrådsanmälan</t>
        </is>
      </c>
      <c r="C105" t="inlineStr">
        <is>
          <t>Annan skogsbruksåtgärd</t>
        </is>
      </c>
      <c r="D105" s="1" t="n">
        <v>46246</v>
      </c>
      <c r="E105" s="1" t="n">
        <v>46283</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46283</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46283</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46283</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46283</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46283</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56188-2021</t>
        </is>
      </c>
      <c r="B111" t="inlineStr">
        <is>
          <t>avverkningsanmälan</t>
        </is>
      </c>
      <c r="C111" t="inlineStr">
        <is>
          <t>Föryngringsavverkning</t>
        </is>
      </c>
      <c r="D111" s="1" t="n">
        <v>44477</v>
      </c>
      <c r="E111" s="1" t="n">
        <v>46283</v>
      </c>
      <c r="F111" t="inlineStr">
        <is>
          <t>KALMAR LÄN</t>
        </is>
      </c>
      <c r="G111" t="inlineStr">
        <is>
          <t>BORGHOLM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46283</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46283</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31699-2022</t>
        </is>
      </c>
      <c r="B114" t="inlineStr">
        <is>
          <t>avverkningsanmälan</t>
        </is>
      </c>
      <c r="C114" t="inlineStr">
        <is>
          <t>Föryngringsavverkning</t>
        </is>
      </c>
      <c r="D114" s="1" t="n">
        <v>44776</v>
      </c>
      <c r="E114" s="1" t="n">
        <v>46283</v>
      </c>
      <c r="F114" t="inlineStr">
        <is>
          <t>KALMAR LÄN</t>
        </is>
      </c>
      <c r="G114" t="inlineStr">
        <is>
          <t>BORGHOLM</t>
        </is>
      </c>
      <c r="H114" t="inlineStr">
        <is>
          <t>Sveaskog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26160-2024</t>
        </is>
      </c>
      <c r="B115" t="inlineStr">
        <is>
          <t>avverkningsanmälan</t>
        </is>
      </c>
      <c r="C115" t="inlineStr">
        <is>
          <t>Avverkning för annat ändamål</t>
        </is>
      </c>
      <c r="D115" s="1" t="n">
        <v>45468</v>
      </c>
      <c r="E115" s="1" t="n">
        <v>46283</v>
      </c>
      <c r="F115" t="inlineStr">
        <is>
          <t>KALMAR LÄN</t>
        </is>
      </c>
      <c r="G115" t="inlineStr">
        <is>
          <t>BORGHOLM</t>
        </is>
      </c>
      <c r="I115" t="n">
        <v>0.4</v>
      </c>
      <c r="J115" t="n">
        <v>0</v>
      </c>
      <c r="K115" t="n">
        <v>0</v>
      </c>
      <c r="L115" t="n">
        <v>0</v>
      </c>
      <c r="M115" t="n">
        <v>0</v>
      </c>
      <c r="N115" t="n">
        <v>0</v>
      </c>
      <c r="O115" t="n">
        <v>0</v>
      </c>
      <c r="P115" t="n">
        <v>0</v>
      </c>
      <c r="Q115" t="n">
        <v>0</v>
      </c>
      <c r="R115" t="n">
        <v>0</v>
      </c>
      <c r="S115" t="n">
        <v>0</v>
      </c>
      <c r="T115" t="n">
        <v>0</v>
      </c>
      <c r="U115" t="n">
        <v>0</v>
      </c>
      <c r="V115" s="2" t="inlineStr"/>
      <c r="X115">
        <f>HYPERLINK("https://klasma.github.io/Logging_0885/kartor/A 26160-2024 karta.png", "A 26160-2024")</f>
        <v/>
      </c>
      <c r="Y115">
        <f>HYPERLINK("https://klasma.github.io/Logging_0885/kartor_geotiff/A 26160-2024 georefererad karta.tif", "A 26160-2024")</f>
        <v/>
      </c>
      <c r="AA115">
        <f>HYPERLINK("https://klasma.github.io/Logging_0885/klagomål/A 26160-2024 FSC-klagomål.docx", "A 26160-2024")</f>
        <v/>
      </c>
      <c r="AB115">
        <f>HYPERLINK("https://klasma.github.io/Logging_0885/klagomålsmail/A 26160-2024 FSC-klagomål mail.docx", "A 26160-2024")</f>
        <v/>
      </c>
      <c r="AC115">
        <f>HYPERLINK("https://klasma.github.io/Logging_0885/tillsyn/A 26160-2024 tillsynsbegäran.docx", "A 26160-2024")</f>
        <v/>
      </c>
      <c r="AD115">
        <f>HYPERLINK("https://klasma.github.io/Logging_0885/tillsynsmail/A 26160-2024 tillsynsbegäran mail.docx", "A 26160-2024")</f>
        <v/>
      </c>
    </row>
    <row r="116" ht="15" customHeight="1">
      <c r="A116" t="inlineStr">
        <is>
          <t>A 4159-2024</t>
        </is>
      </c>
      <c r="B116" t="inlineStr">
        <is>
          <t>avverkningsanmälan</t>
        </is>
      </c>
      <c r="C116" t="inlineStr">
        <is>
          <t>Föryngringsavverkning</t>
        </is>
      </c>
      <c r="D116" s="1" t="n">
        <v>45323</v>
      </c>
      <c r="E116" s="1" t="n">
        <v>46283</v>
      </c>
      <c r="F116" t="inlineStr">
        <is>
          <t>KALMAR LÄN</t>
        </is>
      </c>
      <c r="G116" t="inlineStr">
        <is>
          <t>BORGHOLM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9259-2026</t>
        </is>
      </c>
      <c r="B117" t="inlineStr">
        <is>
          <t>avverkningsanmälan</t>
        </is>
      </c>
      <c r="C117" t="inlineStr">
        <is>
          <t>Föryngringsavverkning</t>
        </is>
      </c>
      <c r="D117" s="1" t="n">
        <v>46070</v>
      </c>
      <c r="E117" s="1" t="n">
        <v>46283</v>
      </c>
      <c r="F117" t="inlineStr">
        <is>
          <t>KALMAR LÄN</t>
        </is>
      </c>
      <c r="G117" t="inlineStr">
        <is>
          <t>BORGHOLM</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53050-2021</t>
        </is>
      </c>
      <c r="B118" t="inlineStr">
        <is>
          <t>avverkningsanmälan</t>
        </is>
      </c>
      <c r="C118" t="inlineStr">
        <is>
          <t>Föryngringsavverkning</t>
        </is>
      </c>
      <c r="D118" s="1" t="n">
        <v>44467</v>
      </c>
      <c r="E118" s="1" t="n">
        <v>46283</v>
      </c>
      <c r="F118" t="inlineStr">
        <is>
          <t>KALMAR LÄN</t>
        </is>
      </c>
      <c r="G118" t="inlineStr">
        <is>
          <t>BORGHOLM</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15272-2026</t>
        </is>
      </c>
      <c r="B119" t="inlineStr">
        <is>
          <t>avverkningsanmälan</t>
        </is>
      </c>
      <c r="C119" t="inlineStr">
        <is>
          <t>Avverkning för att bevara och utveckla /försöksver</t>
        </is>
      </c>
      <c r="D119" s="1" t="n">
        <v>46105</v>
      </c>
      <c r="E119" s="1" t="n">
        <v>46283</v>
      </c>
      <c r="F119" t="inlineStr">
        <is>
          <t>KALMAR LÄN</t>
        </is>
      </c>
      <c r="G119" t="inlineStr">
        <is>
          <t>BORGHOLM</t>
        </is>
      </c>
      <c r="H119" t="inlineStr">
        <is>
          <t>Sveaskog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15279-2026</t>
        </is>
      </c>
      <c r="B120" t="inlineStr">
        <is>
          <t>avverkningsanmälan</t>
        </is>
      </c>
      <c r="C120" t="inlineStr">
        <is>
          <t>Avverkning för att bevara och utveckla /försöksver</t>
        </is>
      </c>
      <c r="D120" s="1" t="n">
        <v>46105</v>
      </c>
      <c r="E120" s="1" t="n">
        <v>46283</v>
      </c>
      <c r="F120" t="inlineStr">
        <is>
          <t>KALMAR LÄN</t>
        </is>
      </c>
      <c r="G120" t="inlineStr">
        <is>
          <t>BORGHOLM</t>
        </is>
      </c>
      <c r="H120" t="inlineStr">
        <is>
          <t>Sveaskog</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15264-2026</t>
        </is>
      </c>
      <c r="B121" t="inlineStr">
        <is>
          <t>avverkningsanmälan</t>
        </is>
      </c>
      <c r="C121" t="inlineStr">
        <is>
          <t>Avverkning för att bevara och utveckla /försöksver</t>
        </is>
      </c>
      <c r="D121" s="1" t="n">
        <v>46105</v>
      </c>
      <c r="E121" s="1" t="n">
        <v>46283</v>
      </c>
      <c r="F121" t="inlineStr">
        <is>
          <t>KALMAR LÄN</t>
        </is>
      </c>
      <c r="G121" t="inlineStr">
        <is>
          <t>BORGHOLM</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4165-2023</t>
        </is>
      </c>
      <c r="B122" t="inlineStr">
        <is>
          <t>avverkningsanmälan</t>
        </is>
      </c>
      <c r="C122" t="inlineStr">
        <is>
          <t>Föryngringsavverkning</t>
        </is>
      </c>
      <c r="D122" s="1" t="n">
        <v>44953</v>
      </c>
      <c r="E122" s="1" t="n">
        <v>46283</v>
      </c>
      <c r="F122" t="inlineStr">
        <is>
          <t>KALMAR LÄN</t>
        </is>
      </c>
      <c r="G122" t="inlineStr">
        <is>
          <t>BORGHOLM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36269-2025</t>
        </is>
      </c>
      <c r="B123" t="inlineStr">
        <is>
          <t>avverkningsanmälan</t>
        </is>
      </c>
      <c r="C123" t="inlineStr">
        <is>
          <t>Föryngringsavverkning</t>
        </is>
      </c>
      <c r="D123" s="1" t="n">
        <v>45867</v>
      </c>
      <c r="E123" s="1" t="n">
        <v>46283</v>
      </c>
      <c r="F123" t="inlineStr">
        <is>
          <t>KALMAR LÄN</t>
        </is>
      </c>
      <c r="G123" t="inlineStr">
        <is>
          <t>BORGHOLM</t>
        </is>
      </c>
      <c r="H123" t="inlineStr">
        <is>
          <t>Sveaskog</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41950-2025</t>
        </is>
      </c>
      <c r="B124" t="inlineStr">
        <is>
          <t>avverkningsanmälan</t>
        </is>
      </c>
      <c r="C124" t="inlineStr">
        <is>
          <t>Föryngringsavverkning</t>
        </is>
      </c>
      <c r="D124" s="1" t="n">
        <v>45903</v>
      </c>
      <c r="E124" s="1" t="n">
        <v>46283</v>
      </c>
      <c r="F124" t="inlineStr">
        <is>
          <t>KALMAR LÄN</t>
        </is>
      </c>
      <c r="G124" t="inlineStr">
        <is>
          <t>BORGHOLM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46283</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45869-2025</t>
        </is>
      </c>
      <c r="B126" t="inlineStr">
        <is>
          <t>avverkningsanmälan</t>
        </is>
      </c>
      <c r="C126" t="inlineStr">
        <is>
          <t>Föryngringsavverkning</t>
        </is>
      </c>
      <c r="D126" s="1" t="n">
        <v>45923</v>
      </c>
      <c r="E126" s="1" t="n">
        <v>46283</v>
      </c>
      <c r="F126" t="inlineStr">
        <is>
          <t>KALMAR LÄN</t>
        </is>
      </c>
      <c r="G126" t="inlineStr">
        <is>
          <t>BORGHOLM</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46845-2025</t>
        </is>
      </c>
      <c r="B127" t="inlineStr">
        <is>
          <t>avverkningsanmälan</t>
        </is>
      </c>
      <c r="C127" t="inlineStr">
        <is>
          <t>Avverkning för annat ändamål</t>
        </is>
      </c>
      <c r="D127" s="1" t="n">
        <v>45928</v>
      </c>
      <c r="E127" s="1" t="n">
        <v>46283</v>
      </c>
      <c r="F127" t="inlineStr">
        <is>
          <t>KALMAR LÄN</t>
        </is>
      </c>
      <c r="G127" t="inlineStr">
        <is>
          <t>BORGHOLM</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64303-2023</t>
        </is>
      </c>
      <c r="B128" t="inlineStr">
        <is>
          <t>avverkningsanmälan</t>
        </is>
      </c>
      <c r="C128" t="inlineStr">
        <is>
          <t>Avverkning för annat ändamål</t>
        </is>
      </c>
      <c r="D128" s="1" t="n">
        <v>45280</v>
      </c>
      <c r="E128" s="1" t="n">
        <v>46283</v>
      </c>
      <c r="F128" t="inlineStr">
        <is>
          <t>KALMAR LÄN</t>
        </is>
      </c>
      <c r="G128" t="inlineStr">
        <is>
          <t>BORGHOLM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43603-2024</t>
        </is>
      </c>
      <c r="B129" t="inlineStr">
        <is>
          <t>avverkningsanmälan</t>
        </is>
      </c>
      <c r="C129" t="inlineStr">
        <is>
          <t>Föryngringsavverkning</t>
        </is>
      </c>
      <c r="D129" s="1" t="n">
        <v>45569</v>
      </c>
      <c r="E129" s="1" t="n">
        <v>46283</v>
      </c>
      <c r="F129" t="inlineStr">
        <is>
          <t>KALMAR LÄN</t>
        </is>
      </c>
      <c r="G129" t="inlineStr">
        <is>
          <t>BORGHOLM</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27357-2025</t>
        </is>
      </c>
      <c r="B130" t="inlineStr">
        <is>
          <t>avverkningsanmälan</t>
        </is>
      </c>
      <c r="C130" t="inlineStr">
        <is>
          <t>Avverkning för att bevara och utveckla /försöksver</t>
        </is>
      </c>
      <c r="D130" s="1" t="n">
        <v>45812</v>
      </c>
      <c r="E130" s="1" t="n">
        <v>46283</v>
      </c>
      <c r="F130" t="inlineStr">
        <is>
          <t>KALMAR LÄN</t>
        </is>
      </c>
      <c r="G130" t="inlineStr">
        <is>
          <t>BORGHOLM</t>
        </is>
      </c>
      <c r="H130" t="inlineStr">
        <is>
          <t>Sveaskog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63075-2023</t>
        </is>
      </c>
      <c r="B131" t="inlineStr">
        <is>
          <t>avverkningsanmälan</t>
        </is>
      </c>
      <c r="C131" t="inlineStr">
        <is>
          <t>Avverkning för annat ändamål</t>
        </is>
      </c>
      <c r="D131" s="1" t="n">
        <v>45273</v>
      </c>
      <c r="E131" s="1" t="n">
        <v>46283</v>
      </c>
      <c r="F131" t="inlineStr">
        <is>
          <t>KALMAR LÄN</t>
        </is>
      </c>
      <c r="G131" t="inlineStr">
        <is>
          <t>BORGHOLM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7669-2024</t>
        </is>
      </c>
      <c r="B132" t="inlineStr">
        <is>
          <t>avverkningsanmälan</t>
        </is>
      </c>
      <c r="C132" t="inlineStr">
        <is>
          <t>Föryngringsavverkning</t>
        </is>
      </c>
      <c r="D132" s="1" t="n">
        <v>45348</v>
      </c>
      <c r="E132" s="1" t="n">
        <v>46283</v>
      </c>
      <c r="F132" t="inlineStr">
        <is>
          <t>KALMAR LÄN</t>
        </is>
      </c>
      <c r="G132" t="inlineStr">
        <is>
          <t>BORGHOLM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24338-2026</t>
        </is>
      </c>
      <c r="B133" t="inlineStr">
        <is>
          <t>avverkningsanmälan</t>
        </is>
      </c>
      <c r="C133" t="inlineStr">
        <is>
          <t>Avverkning för att bevara och utveckla /försöksver</t>
        </is>
      </c>
      <c r="D133" s="1" t="n">
        <v>46169</v>
      </c>
      <c r="E133" s="1" t="n">
        <v>46283</v>
      </c>
      <c r="F133" t="inlineStr">
        <is>
          <t>KALMAR LÄN</t>
        </is>
      </c>
      <c r="G133" t="inlineStr">
        <is>
          <t>BORGHOLM</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24323-2026</t>
        </is>
      </c>
      <c r="B134" t="inlineStr">
        <is>
          <t>avverkningsanmälan</t>
        </is>
      </c>
      <c r="C134" t="inlineStr">
        <is>
          <t>Föryngringsavverkning</t>
        </is>
      </c>
      <c r="D134" s="1" t="n">
        <v>46169</v>
      </c>
      <c r="E134" s="1" t="n">
        <v>46283</v>
      </c>
      <c r="F134" t="inlineStr">
        <is>
          <t>KALMAR LÄN</t>
        </is>
      </c>
      <c r="G134" t="inlineStr">
        <is>
          <t>BORGHOLM</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1757-2025</t>
        </is>
      </c>
      <c r="B135" t="inlineStr">
        <is>
          <t>avverkningsanmälan</t>
        </is>
      </c>
      <c r="C135" t="inlineStr">
        <is>
          <t>Föryngringsavverkning</t>
        </is>
      </c>
      <c r="D135" s="1" t="n">
        <v>45671</v>
      </c>
      <c r="E135" s="1" t="n">
        <v>46283</v>
      </c>
      <c r="F135" t="inlineStr">
        <is>
          <t>KALMAR LÄN</t>
        </is>
      </c>
      <c r="G135" t="inlineStr">
        <is>
          <t>BORGHOLM</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34780-2022</t>
        </is>
      </c>
      <c r="B136" t="inlineStr">
        <is>
          <t>avverkningsanmälan</t>
        </is>
      </c>
      <c r="C136" t="inlineStr">
        <is>
          <t>Föryngringsavverkning</t>
        </is>
      </c>
      <c r="D136" s="1" t="n">
        <v>44795</v>
      </c>
      <c r="E136" s="1" t="n">
        <v>46283</v>
      </c>
      <c r="F136" t="inlineStr">
        <is>
          <t>KALMAR LÄN</t>
        </is>
      </c>
      <c r="G136" t="inlineStr">
        <is>
          <t>BORGHOLM</t>
        </is>
      </c>
      <c r="H136" t="inlineStr">
        <is>
          <t>Sveaskog</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55367-2024</t>
        </is>
      </c>
      <c r="B137" t="inlineStr">
        <is>
          <t>avverkningsanmälan</t>
        </is>
      </c>
      <c r="C137" t="inlineStr">
        <is>
          <t>Föryngringsavverkning</t>
        </is>
      </c>
      <c r="D137" s="1" t="n">
        <v>45621</v>
      </c>
      <c r="E137" s="1" t="n">
        <v>46283</v>
      </c>
      <c r="F137" t="inlineStr">
        <is>
          <t>KALMAR LÄN</t>
        </is>
      </c>
      <c r="G137" t="inlineStr">
        <is>
          <t>BORGHOLM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20287-2025</t>
        </is>
      </c>
      <c r="B138" t="inlineStr">
        <is>
          <t>avverkningsanmälan</t>
        </is>
      </c>
      <c r="C138" t="inlineStr">
        <is>
          <t>Avverkning för att bevara och utveckla /försöksver</t>
        </is>
      </c>
      <c r="D138" s="1" t="n">
        <v>45774</v>
      </c>
      <c r="E138" s="1" t="n">
        <v>46283</v>
      </c>
      <c r="F138" t="inlineStr">
        <is>
          <t>KALMAR LÄN</t>
        </is>
      </c>
      <c r="G138" t="inlineStr">
        <is>
          <t>BORGHOLM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9076-2025</t>
        </is>
      </c>
      <c r="B139" t="inlineStr">
        <is>
          <t>avverkningsanmälan</t>
        </is>
      </c>
      <c r="C139" t="inlineStr">
        <is>
          <t>Föryngringsavverkning</t>
        </is>
      </c>
      <c r="D139" s="1" t="n">
        <v>45713</v>
      </c>
      <c r="E139" s="1" t="n">
        <v>46283</v>
      </c>
      <c r="F139" t="inlineStr">
        <is>
          <t>KALMAR LÄN</t>
        </is>
      </c>
      <c r="G139" t="inlineStr">
        <is>
          <t>BORGHOLM</t>
        </is>
      </c>
      <c r="H139" t="inlineStr">
        <is>
          <t>Sveaskog</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28380-2026</t>
        </is>
      </c>
      <c r="B140" t="inlineStr">
        <is>
          <t>avverkningsanmälan</t>
        </is>
      </c>
      <c r="C140" t="inlineStr">
        <is>
          <t>Avverkning för att bevara och utveckla /försöksver</t>
        </is>
      </c>
      <c r="D140" s="1" t="n">
        <v>46196</v>
      </c>
      <c r="E140" s="1" t="n">
        <v>46283</v>
      </c>
      <c r="F140" t="inlineStr">
        <is>
          <t>KALMAR LÄN</t>
        </is>
      </c>
      <c r="G140" t="inlineStr">
        <is>
          <t>BORGHOLM</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28381-2026</t>
        </is>
      </c>
      <c r="B141" t="inlineStr">
        <is>
          <t>avverkningsanmälan</t>
        </is>
      </c>
      <c r="C141" t="inlineStr">
        <is>
          <t>Avverkning för att bevara och utveckla /försöksver</t>
        </is>
      </c>
      <c r="D141" s="1" t="n">
        <v>46196</v>
      </c>
      <c r="E141" s="1" t="n">
        <v>46283</v>
      </c>
      <c r="F141" t="inlineStr">
        <is>
          <t>KALMAR LÄN</t>
        </is>
      </c>
      <c r="G141" t="inlineStr">
        <is>
          <t>BORGHOLM</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28411-2026</t>
        </is>
      </c>
      <c r="B142" t="inlineStr">
        <is>
          <t>avverkningsanmälan</t>
        </is>
      </c>
      <c r="C142" t="inlineStr">
        <is>
          <t>Avverkning för att bevara och utveckla /försöksver</t>
        </is>
      </c>
      <c r="D142" s="1" t="n">
        <v>46197</v>
      </c>
      <c r="E142" s="1" t="n">
        <v>46283</v>
      </c>
      <c r="F142" t="inlineStr">
        <is>
          <t>KALMAR LÄN</t>
        </is>
      </c>
      <c r="G142" t="inlineStr">
        <is>
          <t>BORGHOLM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29413-2026</t>
        </is>
      </c>
      <c r="B143" t="inlineStr">
        <is>
          <t>avverkningsanmälan</t>
        </is>
      </c>
      <c r="C143" t="inlineStr">
        <is>
          <t>Avverkning för att bevara och utveckla /försöksver</t>
        </is>
      </c>
      <c r="D143" s="1" t="n">
        <v>46203</v>
      </c>
      <c r="E143" s="1" t="n">
        <v>46283</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29414-2026</t>
        </is>
      </c>
      <c r="B144" t="inlineStr">
        <is>
          <t>avverkningsanmälan</t>
        </is>
      </c>
      <c r="C144" t="inlineStr">
        <is>
          <t>Avverkning för att bevara och utveckla /försöksver</t>
        </is>
      </c>
      <c r="D144" s="1" t="n">
        <v>46203</v>
      </c>
      <c r="E144" s="1" t="n">
        <v>46283</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29431-2026</t>
        </is>
      </c>
      <c r="B145" t="inlineStr">
        <is>
          <t>avverkningsanmälan</t>
        </is>
      </c>
      <c r="C145" t="inlineStr">
        <is>
          <t>Avverkning för att bevara och utveckla /försöksver</t>
        </is>
      </c>
      <c r="D145" s="1" t="n">
        <v>46203</v>
      </c>
      <c r="E145" s="1" t="n">
        <v>46283</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29410-2026</t>
        </is>
      </c>
      <c r="B146" t="inlineStr">
        <is>
          <t>avverkningsanmälan</t>
        </is>
      </c>
      <c r="C146" t="inlineStr">
        <is>
          <t>Avverkning för att bevara och utveckla /försöksver</t>
        </is>
      </c>
      <c r="D146" s="1" t="n">
        <v>46203</v>
      </c>
      <c r="E146" s="1" t="n">
        <v>46283</v>
      </c>
      <c r="F146" t="inlineStr">
        <is>
          <t>KALMAR LÄN</t>
        </is>
      </c>
      <c r="G146" t="inlineStr">
        <is>
          <t>BORGHOLM</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32919-2023</t>
        </is>
      </c>
      <c r="B147" t="inlineStr">
        <is>
          <t>avverkningsanmälan</t>
        </is>
      </c>
      <c r="C147" t="inlineStr">
        <is>
          <t>Föryngringsavverkning</t>
        </is>
      </c>
      <c r="D147" s="1" t="n">
        <v>45125</v>
      </c>
      <c r="E147" s="1" t="n">
        <v>46283</v>
      </c>
      <c r="F147" t="inlineStr">
        <is>
          <t>KALMAR LÄN</t>
        </is>
      </c>
      <c r="G147" t="inlineStr">
        <is>
          <t>BORGHOLM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34951-2022</t>
        </is>
      </c>
      <c r="B148" t="inlineStr">
        <is>
          <t>avverkningsanmälan</t>
        </is>
      </c>
      <c r="C148" t="inlineStr">
        <is>
          <t>Avverkning för att bevara och utveckla /försöksver</t>
        </is>
      </c>
      <c r="D148" s="1" t="n">
        <v>44796</v>
      </c>
      <c r="E148" s="1" t="n">
        <v>46283</v>
      </c>
      <c r="F148" t="inlineStr">
        <is>
          <t>KALMAR LÄN</t>
        </is>
      </c>
      <c r="G148" t="inlineStr">
        <is>
          <t>BORGHOLM</t>
        </is>
      </c>
      <c r="H148" t="inlineStr">
        <is>
          <t>Sveaskog</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5175-2024</t>
        </is>
      </c>
      <c r="B149" t="inlineStr">
        <is>
          <t>avverkningsanmälan</t>
        </is>
      </c>
      <c r="C149" t="inlineStr">
        <is>
          <t>Föryngringsavverkning</t>
        </is>
      </c>
      <c r="D149" s="1" t="n">
        <v>45330</v>
      </c>
      <c r="E149" s="1" t="n">
        <v>46283</v>
      </c>
      <c r="F149" t="inlineStr">
        <is>
          <t>KALMAR LÄN</t>
        </is>
      </c>
      <c r="G149" t="inlineStr">
        <is>
          <t>BORGHOLM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3878-2023</t>
        </is>
      </c>
      <c r="B150" t="inlineStr">
        <is>
          <t>avverkningsanmälan</t>
        </is>
      </c>
      <c r="C150" t="inlineStr">
        <is>
          <t>Föryngringsavverkning</t>
        </is>
      </c>
      <c r="D150" s="1" t="n">
        <v>44951</v>
      </c>
      <c r="E150" s="1" t="n">
        <v>46283</v>
      </c>
      <c r="F150" t="inlineStr">
        <is>
          <t>KALMAR LÄN</t>
        </is>
      </c>
      <c r="G150" t="inlineStr">
        <is>
          <t>BORGHOLM</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13383-2023</t>
        </is>
      </c>
      <c r="B151" t="inlineStr">
        <is>
          <t>avverkningsanmälan</t>
        </is>
      </c>
      <c r="C151" t="inlineStr">
        <is>
          <t>Föryngringsavverkning</t>
        </is>
      </c>
      <c r="D151" s="1" t="n">
        <v>45005</v>
      </c>
      <c r="E151" s="1" t="n">
        <v>46283</v>
      </c>
      <c r="F151" t="inlineStr">
        <is>
          <t>KALMAR LÄN</t>
        </is>
      </c>
      <c r="G151" t="inlineStr">
        <is>
          <t>BORGHOLM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12937-2022</t>
        </is>
      </c>
      <c r="B152" t="inlineStr">
        <is>
          <t>avverkningsanmälan</t>
        </is>
      </c>
      <c r="C152" t="inlineStr">
        <is>
          <t>Föryngringsavverkning</t>
        </is>
      </c>
      <c r="D152" s="1" t="n">
        <v>44642</v>
      </c>
      <c r="E152" s="1" t="n">
        <v>46283</v>
      </c>
      <c r="F152" t="inlineStr">
        <is>
          <t>KALMAR LÄN</t>
        </is>
      </c>
      <c r="G152" t="inlineStr">
        <is>
          <t>BORGHOLM</t>
        </is>
      </c>
      <c r="H152" t="inlineStr">
        <is>
          <t>Sveaskog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61438-2023</t>
        </is>
      </c>
      <c r="B153" t="inlineStr">
        <is>
          <t>avverkningsanmälan</t>
        </is>
      </c>
      <c r="C153" t="inlineStr">
        <is>
          <t>Avverkning för annat ändamål</t>
        </is>
      </c>
      <c r="D153" s="1" t="n">
        <v>45264</v>
      </c>
      <c r="E153" s="1" t="n">
        <v>46283</v>
      </c>
      <c r="F153" t="inlineStr">
        <is>
          <t>KALMAR LÄN</t>
        </is>
      </c>
      <c r="G153" t="inlineStr">
        <is>
          <t>BORGHOLM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13041-2024</t>
        </is>
      </c>
      <c r="B154" t="inlineStr">
        <is>
          <t>avverkningsanmälan</t>
        </is>
      </c>
      <c r="C154" t="inlineStr">
        <is>
          <t>Föryngringsavverkning</t>
        </is>
      </c>
      <c r="D154" s="1" t="n">
        <v>45385</v>
      </c>
      <c r="E154" s="1" t="n">
        <v>46283</v>
      </c>
      <c r="F154" t="inlineStr">
        <is>
          <t>KALMAR LÄN</t>
        </is>
      </c>
      <c r="G154" t="inlineStr">
        <is>
          <t>BORGHOLM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1614-2025</t>
        </is>
      </c>
      <c r="B155" t="inlineStr">
        <is>
          <t>avverkningsanmälan</t>
        </is>
      </c>
      <c r="C155" t="inlineStr">
        <is>
          <t>Föryngringsavverkning</t>
        </is>
      </c>
      <c r="D155" s="1" t="n">
        <v>45670</v>
      </c>
      <c r="E155" s="1" t="n">
        <v>46283</v>
      </c>
      <c r="F155" t="inlineStr">
        <is>
          <t>KALMAR LÄN</t>
        </is>
      </c>
      <c r="G155" t="inlineStr">
        <is>
          <t>BORGHOLM</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9050-2025</t>
        </is>
      </c>
      <c r="B156" t="inlineStr">
        <is>
          <t>avverkningsanmälan</t>
        </is>
      </c>
      <c r="C156" t="inlineStr">
        <is>
          <t>Avverkning för att bevara och utveckla /försöksver</t>
        </is>
      </c>
      <c r="D156" s="1" t="n">
        <v>45713</v>
      </c>
      <c r="E156" s="1" t="n">
        <v>46283</v>
      </c>
      <c r="F156" t="inlineStr">
        <is>
          <t>KALMAR LÄN</t>
        </is>
      </c>
      <c r="G156" t="inlineStr">
        <is>
          <t>BORGHOLM</t>
        </is>
      </c>
      <c r="H156" t="inlineStr">
        <is>
          <t>Sveaskog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22785-2025</t>
        </is>
      </c>
      <c r="B157" t="inlineStr">
        <is>
          <t>avverkningsanmälan</t>
        </is>
      </c>
      <c r="C157" t="inlineStr">
        <is>
          <t>Föryngringsavverkning</t>
        </is>
      </c>
      <c r="D157" s="1" t="n">
        <v>45789</v>
      </c>
      <c r="E157" s="1" t="n">
        <v>46283</v>
      </c>
      <c r="F157" t="inlineStr">
        <is>
          <t>KALMAR LÄN</t>
        </is>
      </c>
      <c r="G157" t="inlineStr">
        <is>
          <t>BORGHOLM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40339-2023</t>
        </is>
      </c>
      <c r="B158" t="inlineStr">
        <is>
          <t>avverkningsanmälan</t>
        </is>
      </c>
      <c r="C158" t="inlineStr">
        <is>
          <t>Föryngringsavverkning</t>
        </is>
      </c>
      <c r="D158" s="1" t="n">
        <v>45169</v>
      </c>
      <c r="E158" s="1" t="n">
        <v>46283</v>
      </c>
      <c r="F158" t="inlineStr">
        <is>
          <t>KALMAR LÄN</t>
        </is>
      </c>
      <c r="G158" t="inlineStr">
        <is>
          <t>BORGHOLM</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26190-2025</t>
        </is>
      </c>
      <c r="B159" t="inlineStr">
        <is>
          <t>avverkningsanmälan</t>
        </is>
      </c>
      <c r="C159" t="inlineStr">
        <is>
          <t>Föryngringsavverkning</t>
        </is>
      </c>
      <c r="D159" s="1" t="n">
        <v>45805</v>
      </c>
      <c r="E159" s="1" t="n">
        <v>46283</v>
      </c>
      <c r="F159" t="inlineStr">
        <is>
          <t>KALMAR LÄN</t>
        </is>
      </c>
      <c r="G159" t="inlineStr">
        <is>
          <t>BORGHOLM</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4035-2022</t>
        </is>
      </c>
      <c r="B160" t="inlineStr">
        <is>
          <t>samrådsanmälan</t>
        </is>
      </c>
      <c r="C160" t="inlineStr">
        <is>
          <t>Annan skogsbruksåtgärd</t>
        </is>
      </c>
      <c r="D160" s="1" t="n">
        <v>44756</v>
      </c>
      <c r="E160" s="1" t="n">
        <v>46283</v>
      </c>
      <c r="F160" t="inlineStr">
        <is>
          <t>KALMAR LÄN</t>
        </is>
      </c>
      <c r="G160" t="inlineStr">
        <is>
          <t>BORGHOLM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605-2025</t>
        </is>
      </c>
      <c r="B161" t="inlineStr">
        <is>
          <t>samrådsanmälan</t>
        </is>
      </c>
      <c r="C161" t="inlineStr">
        <is>
          <t>Annan skogsbruksåtgärd</t>
        </is>
      </c>
      <c r="D161" s="1" t="n">
        <v>45713</v>
      </c>
      <c r="E161" s="1" t="n">
        <v>46283</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1762-2025</t>
        </is>
      </c>
      <c r="B162" t="inlineStr">
        <is>
          <t>samrådsanmälan</t>
        </is>
      </c>
      <c r="C162" t="inlineStr">
        <is>
          <t>Annan skogsbruksåtgärd</t>
        </is>
      </c>
      <c r="D162" s="1" t="n">
        <v>45812</v>
      </c>
      <c r="E162" s="1" t="n">
        <v>46283</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1760-2025</t>
        </is>
      </c>
      <c r="B163" t="inlineStr">
        <is>
          <t>samrådsanmälan</t>
        </is>
      </c>
      <c r="C163" t="inlineStr">
        <is>
          <t>Annan skogsbruksåtgärd</t>
        </is>
      </c>
      <c r="D163" s="1" t="n">
        <v>45812</v>
      </c>
      <c r="E163" s="1" t="n">
        <v>46283</v>
      </c>
      <c r="F163" t="inlineStr">
        <is>
          <t>KALMAR LÄN</t>
        </is>
      </c>
      <c r="G163" t="inlineStr">
        <is>
          <t>BORGHOLM</t>
        </is>
      </c>
      <c r="H163" t="inlineStr">
        <is>
          <t>Sveaskog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1123-2025</t>
        </is>
      </c>
      <c r="B164" t="inlineStr">
        <is>
          <t>samrådsanmälan</t>
        </is>
      </c>
      <c r="C164" t="inlineStr">
        <is>
          <t>Annan skogsbruksåtgärd</t>
        </is>
      </c>
      <c r="D164" s="1" t="n">
        <v>45754</v>
      </c>
      <c r="E164" s="1" t="n">
        <v>46283</v>
      </c>
      <c r="F164" t="inlineStr">
        <is>
          <t>KALMAR LÄN</t>
        </is>
      </c>
      <c r="G164" t="inlineStr">
        <is>
          <t>BORGHOLM</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842-2026</t>
        </is>
      </c>
      <c r="B165" t="inlineStr">
        <is>
          <t>samrådsanmälan</t>
        </is>
      </c>
      <c r="C165" t="inlineStr">
        <is>
          <t>Annan skogsbruksåtgärd</t>
        </is>
      </c>
      <c r="D165" s="1" t="n">
        <v>46105</v>
      </c>
      <c r="E165" s="1" t="n">
        <v>46283</v>
      </c>
      <c r="F165" t="inlineStr">
        <is>
          <t>KALMAR LÄN</t>
        </is>
      </c>
      <c r="G165" t="inlineStr">
        <is>
          <t>BORGHOLM</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843-2026</t>
        </is>
      </c>
      <c r="B166" t="inlineStr">
        <is>
          <t>samrådsanmälan</t>
        </is>
      </c>
      <c r="C166" t="inlineStr">
        <is>
          <t>Annan skogsbruksåtgärd</t>
        </is>
      </c>
      <c r="D166" s="1" t="n">
        <v>46105</v>
      </c>
      <c r="E166" s="1" t="n">
        <v>46283</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1556-2026</t>
        </is>
      </c>
      <c r="B167" t="inlineStr">
        <is>
          <t>samrådsanmälan</t>
        </is>
      </c>
      <c r="C167" t="inlineStr">
        <is>
          <t>Annan skogsbruksåtgärd</t>
        </is>
      </c>
      <c r="D167" s="1" t="n">
        <v>46169</v>
      </c>
      <c r="E167" s="1" t="n">
        <v>46283</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1812-2026</t>
        </is>
      </c>
      <c r="B168" t="inlineStr">
        <is>
          <t>samrådsanmälan</t>
        </is>
      </c>
      <c r="C168" t="inlineStr">
        <is>
          <t>Annan skogsbruksåtgärd</t>
        </is>
      </c>
      <c r="D168" s="1" t="n">
        <v>46197</v>
      </c>
      <c r="E168" s="1" t="n">
        <v>46283</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1806-2026</t>
        </is>
      </c>
      <c r="B169" t="inlineStr">
        <is>
          <t>samrådsanmälan</t>
        </is>
      </c>
      <c r="C169" t="inlineStr">
        <is>
          <t>Annan skogsbruksåtgärd</t>
        </is>
      </c>
      <c r="D169" s="1" t="n">
        <v>46196</v>
      </c>
      <c r="E169" s="1" t="n">
        <v>46283</v>
      </c>
      <c r="F169" t="inlineStr">
        <is>
          <t>KALMAR LÄN</t>
        </is>
      </c>
      <c r="G169" t="inlineStr">
        <is>
          <t>BORGHOLM</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46283</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1891-2026</t>
        </is>
      </c>
      <c r="B171" t="inlineStr">
        <is>
          <t>samrådsanmälan</t>
        </is>
      </c>
      <c r="C171" t="inlineStr">
        <is>
          <t>Annan skogsbruksåtgärd</t>
        </is>
      </c>
      <c r="D171" s="1" t="n">
        <v>46203</v>
      </c>
      <c r="E171" s="1" t="n">
        <v>46283</v>
      </c>
      <c r="F171" t="inlineStr">
        <is>
          <t>KALMAR LÄN</t>
        </is>
      </c>
      <c r="G171" t="inlineStr">
        <is>
          <t>BORGHOLM</t>
        </is>
      </c>
      <c r="H171" t="inlineStr">
        <is>
          <t>Sveaskog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1885-2026</t>
        </is>
      </c>
      <c r="B172" t="inlineStr">
        <is>
          <t>samrådsanmälan</t>
        </is>
      </c>
      <c r="C172" t="inlineStr">
        <is>
          <t>Annan skogsbruksåtgärd</t>
        </is>
      </c>
      <c r="D172" s="1" t="n">
        <v>46203</v>
      </c>
      <c r="E172" s="1" t="n">
        <v>46283</v>
      </c>
      <c r="F172" t="inlineStr">
        <is>
          <t>KALMAR LÄN</t>
        </is>
      </c>
      <c r="G172" t="inlineStr">
        <is>
          <t>BORGHOLM</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1887-2026</t>
        </is>
      </c>
      <c r="B173" t="inlineStr">
        <is>
          <t>samrådsanmälan</t>
        </is>
      </c>
      <c r="C173" t="inlineStr">
        <is>
          <t>Annan skogsbruksåtgärd</t>
        </is>
      </c>
      <c r="D173" s="1" t="n">
        <v>46203</v>
      </c>
      <c r="E173" s="1" t="n">
        <v>46283</v>
      </c>
      <c r="F173" t="inlineStr">
        <is>
          <t>KALMAR LÄN</t>
        </is>
      </c>
      <c r="G173" t="inlineStr">
        <is>
          <t>BORGHOLM</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c r="A174" t="inlineStr">
        <is>
          <t>S 1888-2026</t>
        </is>
      </c>
      <c r="B174" t="inlineStr">
        <is>
          <t>samrådsanmälan</t>
        </is>
      </c>
      <c r="C174" t="inlineStr">
        <is>
          <t>Annan skogsbruksåtgärd</t>
        </is>
      </c>
      <c r="D174" s="1" t="n">
        <v>46203</v>
      </c>
      <c r="E174" s="1" t="n">
        <v>46283</v>
      </c>
      <c r="F174" t="inlineStr">
        <is>
          <t>KALMAR LÄN</t>
        </is>
      </c>
      <c r="G174" t="inlineStr">
        <is>
          <t>BORGHOLM</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2026-09-18T02:04:10Z</dcterms:created>
  <dcterms:modified xmlns:dcterms="http://purl.org/dc/terms/" xmlns:xsi="http://www.w3.org/2001/XMLSchema-instance" xsi:type="dcterms:W3CDTF">2026-09-18T02:04:10Z</dcterms:modified>
</cp:coreProperties>
</file>