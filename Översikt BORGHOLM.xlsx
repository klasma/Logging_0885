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46039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46039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46039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46039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46039</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46039</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46039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46039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46039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46039</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46039</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46039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46039</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46039</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46039</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46039</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46039</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46039</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46039</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46039</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60140-2025</t>
        </is>
      </c>
      <c r="B22" s="1" t="n">
        <v>45994.36274305556</v>
      </c>
      <c r="C22" s="1" t="n">
        <v>46039</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34944-2022</t>
        </is>
      </c>
      <c r="B23" s="1" t="n">
        <v>44796</v>
      </c>
      <c r="C23" s="1" t="n">
        <v>46039</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4164-2023</t>
        </is>
      </c>
      <c r="B24" s="1" t="n">
        <v>44953</v>
      </c>
      <c r="C24" s="1" t="n">
        <v>46039</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43756-2022</t>
        </is>
      </c>
      <c r="B25" s="1" t="n">
        <v>44837</v>
      </c>
      <c r="C25" s="1" t="n">
        <v>46039</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44008-2022</t>
        </is>
      </c>
      <c r="B26" s="1" t="n">
        <v>44838</v>
      </c>
      <c r="C26" s="1" t="n">
        <v>46039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44008-2022 artfynd.xlsx", "A 44008-2022")</f>
        <v/>
      </c>
      <c r="T26">
        <f>HYPERLINK("https://klasma.github.io/Logging_0885/kartor/A 44008-2022 karta.png", "A 44008-2022")</f>
        <v/>
      </c>
      <c r="V26">
        <f>HYPERLINK("https://klasma.github.io/Logging_0885/klagomål/A 44008-2022 FSC-klagomål.docx", "A 44008-2022")</f>
        <v/>
      </c>
      <c r="W26">
        <f>HYPERLINK("https://klasma.github.io/Logging_0885/klagomålsmail/A 44008-2022 FSC-klagomål mail.docx", "A 44008-2022")</f>
        <v/>
      </c>
      <c r="X26">
        <f>HYPERLINK("https://klasma.github.io/Logging_0885/tillsyn/A 44008-2022 tillsynsbegäran.docx", "A 44008-2022")</f>
        <v/>
      </c>
      <c r="Y26">
        <f>HYPERLINK("https://klasma.github.io/Logging_0885/tillsynsmail/A 44008-2022 tillsynsbegäran mail.docx", "A 44008-2022")</f>
        <v/>
      </c>
      <c r="Z26">
        <f>HYPERLINK("https://klasma.github.io/Logging_0885/fåglar/A 44008-2022 prioriterade fågelarter.docx", "A 44008-2022")</f>
        <v/>
      </c>
    </row>
    <row r="27" ht="15" customHeight="1">
      <c r="A27" t="inlineStr">
        <is>
          <t>A 32174-2022</t>
        </is>
      </c>
      <c r="B27" s="1" t="n">
        <v>44781</v>
      </c>
      <c r="C27" s="1" t="n">
        <v>46039</v>
      </c>
      <c r="D27" t="inlineStr">
        <is>
          <t>KALMAR LÄN</t>
        </is>
      </c>
      <c r="E27" t="inlineStr">
        <is>
          <t>BORGHOLM</t>
        </is>
      </c>
      <c r="F27" t="inlineStr">
        <is>
          <t>Sveaskog</t>
        </is>
      </c>
      <c r="G27" t="n">
        <v>1.6</v>
      </c>
      <c r="H27" t="n">
        <v>1</v>
      </c>
      <c r="I27" t="n">
        <v>1</v>
      </c>
      <c r="J27" t="n">
        <v>1</v>
      </c>
      <c r="K27" t="n">
        <v>0</v>
      </c>
      <c r="L27" t="n">
        <v>0</v>
      </c>
      <c r="M27" t="n">
        <v>0</v>
      </c>
      <c r="N27" t="n">
        <v>0</v>
      </c>
      <c r="O27" t="n">
        <v>1</v>
      </c>
      <c r="P27" t="n">
        <v>0</v>
      </c>
      <c r="Q27" t="n">
        <v>2</v>
      </c>
      <c r="R27" s="2" t="inlineStr">
        <is>
          <t>Backklöver
Tvåblad</t>
        </is>
      </c>
      <c r="S27">
        <f>HYPERLINK("https://klasma.github.io/Logging_0885/artfynd/A 32174-2022 artfynd.xlsx", "A 32174-2022")</f>
        <v/>
      </c>
      <c r="T27">
        <f>HYPERLINK("https://klasma.github.io/Logging_0885/kartor/A 32174-2022 karta.png", "A 32174-2022")</f>
        <v/>
      </c>
      <c r="V27">
        <f>HYPERLINK("https://klasma.github.io/Logging_0885/klagomål/A 32174-2022 FSC-klagomål.docx", "A 32174-2022")</f>
        <v/>
      </c>
      <c r="W27">
        <f>HYPERLINK("https://klasma.github.io/Logging_0885/klagomålsmail/A 32174-2022 FSC-klagomål mail.docx", "A 32174-2022")</f>
        <v/>
      </c>
      <c r="X27">
        <f>HYPERLINK("https://klasma.github.io/Logging_0885/tillsyn/A 32174-2022 tillsynsbegäran.docx", "A 32174-2022")</f>
        <v/>
      </c>
      <c r="Y27">
        <f>HYPERLINK("https://klasma.github.io/Logging_0885/tillsynsmail/A 32174-2022 tillsynsbegäran mail.docx", "A 32174-2022")</f>
        <v/>
      </c>
    </row>
    <row r="28" ht="15" customHeight="1">
      <c r="A28" t="inlineStr">
        <is>
          <t>A 28779-2025</t>
        </is>
      </c>
      <c r="B28" s="1" t="n">
        <v>45820.44920138889</v>
      </c>
      <c r="C28" s="1" t="n">
        <v>46039</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3871-2021</t>
        </is>
      </c>
      <c r="B29" s="1" t="n">
        <v>44222</v>
      </c>
      <c r="C29" s="1" t="n">
        <v>46039</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46039</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46039</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46039</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43603-2024</t>
        </is>
      </c>
      <c r="B33" s="1" t="n">
        <v>45569.44700231482</v>
      </c>
      <c r="C33" s="1" t="n">
        <v>46039</v>
      </c>
      <c r="D33" t="inlineStr">
        <is>
          <t>KALMAR LÄN</t>
        </is>
      </c>
      <c r="E33" t="inlineStr">
        <is>
          <t>BORGHOLM</t>
        </is>
      </c>
      <c r="G33" t="n">
        <v>3.8</v>
      </c>
      <c r="H33" t="n">
        <v>1</v>
      </c>
      <c r="I33" t="n">
        <v>0</v>
      </c>
      <c r="J33" t="n">
        <v>0</v>
      </c>
      <c r="K33" t="n">
        <v>1</v>
      </c>
      <c r="L33" t="n">
        <v>0</v>
      </c>
      <c r="M33" t="n">
        <v>0</v>
      </c>
      <c r="N33" t="n">
        <v>0</v>
      </c>
      <c r="O33" t="n">
        <v>1</v>
      </c>
      <c r="P33" t="n">
        <v>1</v>
      </c>
      <c r="Q33" t="n">
        <v>1</v>
      </c>
      <c r="R33" s="2" t="inlineStr">
        <is>
          <t>Väddnätfjäril</t>
        </is>
      </c>
      <c r="S33">
        <f>HYPERLINK("https://klasma.github.io/Logging_0885/artfynd/A 43603-2024 artfynd.xlsx", "A 43603-2024")</f>
        <v/>
      </c>
      <c r="T33">
        <f>HYPERLINK("https://klasma.github.io/Logging_0885/kartor/A 43603-2024 karta.png", "A 43603-2024")</f>
        <v/>
      </c>
      <c r="V33">
        <f>HYPERLINK("https://klasma.github.io/Logging_0885/klagomål/A 43603-2024 FSC-klagomål.docx", "A 43603-2024")</f>
        <v/>
      </c>
      <c r="W33">
        <f>HYPERLINK("https://klasma.github.io/Logging_0885/klagomålsmail/A 43603-2024 FSC-klagomål mail.docx", "A 43603-2024")</f>
        <v/>
      </c>
      <c r="X33">
        <f>HYPERLINK("https://klasma.github.io/Logging_0885/tillsyn/A 43603-2024 tillsynsbegäran.docx", "A 43603-2024")</f>
        <v/>
      </c>
      <c r="Y33">
        <f>HYPERLINK("https://klasma.github.io/Logging_0885/tillsynsmail/A 43603-2024 tillsynsbegäran mail.docx", "A 43603-2024")</f>
        <v/>
      </c>
    </row>
    <row r="34" ht="15" customHeight="1">
      <c r="A34" t="inlineStr">
        <is>
          <t>A 14789-2021</t>
        </is>
      </c>
      <c r="B34" s="1" t="n">
        <v>44280</v>
      </c>
      <c r="C34" s="1" t="n">
        <v>46039</v>
      </c>
      <c r="D34" t="inlineStr">
        <is>
          <t>KALMAR LÄN</t>
        </is>
      </c>
      <c r="E34" t="inlineStr">
        <is>
          <t>BORGHOLM</t>
        </is>
      </c>
      <c r="G34" t="n">
        <v>1</v>
      </c>
      <c r="H34" t="n">
        <v>1</v>
      </c>
      <c r="I34" t="n">
        <v>1</v>
      </c>
      <c r="J34" t="n">
        <v>0</v>
      </c>
      <c r="K34" t="n">
        <v>0</v>
      </c>
      <c r="L34" t="n">
        <v>0</v>
      </c>
      <c r="M34" t="n">
        <v>0</v>
      </c>
      <c r="N34" t="n">
        <v>0</v>
      </c>
      <c r="O34" t="n">
        <v>0</v>
      </c>
      <c r="P34" t="n">
        <v>0</v>
      </c>
      <c r="Q34" t="n">
        <v>1</v>
      </c>
      <c r="R34" s="2" t="inlineStr">
        <is>
          <t>Skogsknipprot</t>
        </is>
      </c>
      <c r="S34">
        <f>HYPERLINK("https://klasma.github.io/Logging_0885/artfynd/A 14789-2021 artfynd.xlsx", "A 14789-2021")</f>
        <v/>
      </c>
      <c r="T34">
        <f>HYPERLINK("https://klasma.github.io/Logging_0885/kartor/A 14789-2021 karta.png", "A 14789-2021")</f>
        <v/>
      </c>
      <c r="V34">
        <f>HYPERLINK("https://klasma.github.io/Logging_0885/klagomål/A 14789-2021 FSC-klagomål.docx", "A 14789-2021")</f>
        <v/>
      </c>
      <c r="W34">
        <f>HYPERLINK("https://klasma.github.io/Logging_0885/klagomålsmail/A 14789-2021 FSC-klagomål mail.docx", "A 14789-2021")</f>
        <v/>
      </c>
      <c r="X34">
        <f>HYPERLINK("https://klasma.github.io/Logging_0885/tillsyn/A 14789-2021 tillsynsbegäran.docx", "A 14789-2021")</f>
        <v/>
      </c>
      <c r="Y34">
        <f>HYPERLINK("https://klasma.github.io/Logging_0885/tillsynsmail/A 14789-2021 tillsynsbegäran mail.docx", "A 14789-2021")</f>
        <v/>
      </c>
    </row>
    <row r="35" ht="15" customHeight="1">
      <c r="A35" t="inlineStr">
        <is>
          <t>A 24704-2023</t>
        </is>
      </c>
      <c r="B35" s="1" t="n">
        <v>45084</v>
      </c>
      <c r="C35" s="1" t="n">
        <v>46039</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45693-2025</t>
        </is>
      </c>
      <c r="B36" s="1" t="n">
        <v>45923</v>
      </c>
      <c r="C36" s="1" t="n">
        <v>46039</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9745-2023</t>
        </is>
      </c>
      <c r="B37" s="1" t="n">
        <v>44984</v>
      </c>
      <c r="C37" s="1" t="n">
        <v>46039</v>
      </c>
      <c r="D37" t="inlineStr">
        <is>
          <t>KALMAR LÄN</t>
        </is>
      </c>
      <c r="E37" t="inlineStr">
        <is>
          <t>BORGHOLM</t>
        </is>
      </c>
      <c r="G37" t="n">
        <v>1.2</v>
      </c>
      <c r="H37" t="n">
        <v>1</v>
      </c>
      <c r="I37" t="n">
        <v>1</v>
      </c>
      <c r="J37" t="n">
        <v>0</v>
      </c>
      <c r="K37" t="n">
        <v>0</v>
      </c>
      <c r="L37" t="n">
        <v>0</v>
      </c>
      <c r="M37" t="n">
        <v>0</v>
      </c>
      <c r="N37" t="n">
        <v>0</v>
      </c>
      <c r="O37" t="n">
        <v>0</v>
      </c>
      <c r="P37" t="n">
        <v>0</v>
      </c>
      <c r="Q37" t="n">
        <v>1</v>
      </c>
      <c r="R37" s="2" t="inlineStr">
        <is>
          <t>Skogsknipprot</t>
        </is>
      </c>
      <c r="S37">
        <f>HYPERLINK("https://klasma.github.io/Logging_0885/artfynd/A 9745-2023 artfynd.xlsx", "A 9745-2023")</f>
        <v/>
      </c>
      <c r="T37">
        <f>HYPERLINK("https://klasma.github.io/Logging_0885/kartor/A 9745-2023 karta.png", "A 9745-2023")</f>
        <v/>
      </c>
      <c r="V37">
        <f>HYPERLINK("https://klasma.github.io/Logging_0885/klagomål/A 9745-2023 FSC-klagomål.docx", "A 9745-2023")</f>
        <v/>
      </c>
      <c r="W37">
        <f>HYPERLINK("https://klasma.github.io/Logging_0885/klagomålsmail/A 9745-2023 FSC-klagomål mail.docx", "A 9745-2023")</f>
        <v/>
      </c>
      <c r="X37">
        <f>HYPERLINK("https://klasma.github.io/Logging_0885/tillsyn/A 9745-2023 tillsynsbegäran.docx", "A 9745-2023")</f>
        <v/>
      </c>
      <c r="Y37">
        <f>HYPERLINK("https://klasma.github.io/Logging_0885/tillsynsmail/A 9745-2023 tillsynsbegäran mail.docx", "A 9745-2023")</f>
        <v/>
      </c>
    </row>
    <row r="38" ht="15" customHeight="1">
      <c r="A38" t="inlineStr">
        <is>
          <t>A 12785-2021</t>
        </is>
      </c>
      <c r="B38" s="1" t="n">
        <v>44270</v>
      </c>
      <c r="C38" s="1" t="n">
        <v>46039</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13558-2025</t>
        </is>
      </c>
      <c r="B39" s="1" t="n">
        <v>45736.54974537037</v>
      </c>
      <c r="C39" s="1" t="n">
        <v>46039</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24048-2025</t>
        </is>
      </c>
      <c r="B40" s="1" t="n">
        <v>45796.4959375</v>
      </c>
      <c r="C40" s="1" t="n">
        <v>46039</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46039</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46039</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46039</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34885-2025</t>
        </is>
      </c>
      <c r="B44" s="1" t="n">
        <v>45849.47128472223</v>
      </c>
      <c r="C44" s="1" t="n">
        <v>46039</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12711-2021</t>
        </is>
      </c>
      <c r="B45" s="1" t="n">
        <v>44270</v>
      </c>
      <c r="C45" s="1" t="n">
        <v>46039</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46039</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46039</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46039</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46039</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46039</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46039</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46039</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46039</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46039</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46039</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46039</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46039</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46039</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44678-2022</t>
        </is>
      </c>
      <c r="B59" s="1" t="n">
        <v>44840.65100694444</v>
      </c>
      <c r="C59" s="1" t="n">
        <v>46039</v>
      </c>
      <c r="D59" t="inlineStr">
        <is>
          <t>KALMAR LÄN</t>
        </is>
      </c>
      <c r="E59" t="inlineStr">
        <is>
          <t>BORGHOLM</t>
        </is>
      </c>
      <c r="G59" t="n">
        <v>2.4</v>
      </c>
      <c r="H59" t="n">
        <v>0</v>
      </c>
      <c r="I59" t="n">
        <v>0</v>
      </c>
      <c r="J59" t="n">
        <v>0</v>
      </c>
      <c r="K59" t="n">
        <v>0</v>
      </c>
      <c r="L59" t="n">
        <v>0</v>
      </c>
      <c r="M59" t="n">
        <v>0</v>
      </c>
      <c r="N59" t="n">
        <v>0</v>
      </c>
      <c r="O59" t="n">
        <v>0</v>
      </c>
      <c r="P59" t="n">
        <v>0</v>
      </c>
      <c r="Q59" t="n">
        <v>0</v>
      </c>
      <c r="R59" s="2" t="inlineStr"/>
    </row>
    <row r="60" ht="15" customHeight="1">
      <c r="A60" t="inlineStr">
        <is>
          <t>A 36269-2025</t>
        </is>
      </c>
      <c r="B60" s="1" t="n">
        <v>45867.61736111111</v>
      </c>
      <c r="C60" s="1" t="n">
        <v>46039</v>
      </c>
      <c r="D60" t="inlineStr">
        <is>
          <t>KALMAR LÄN</t>
        </is>
      </c>
      <c r="E60" t="inlineStr">
        <is>
          <t>BORGHOLM</t>
        </is>
      </c>
      <c r="F60" t="inlineStr">
        <is>
          <t>Sveaskog</t>
        </is>
      </c>
      <c r="G60" t="n">
        <v>3.3</v>
      </c>
      <c r="H60" t="n">
        <v>0</v>
      </c>
      <c r="I60" t="n">
        <v>0</v>
      </c>
      <c r="J60" t="n">
        <v>0</v>
      </c>
      <c r="K60" t="n">
        <v>0</v>
      </c>
      <c r="L60" t="n">
        <v>0</v>
      </c>
      <c r="M60" t="n">
        <v>0</v>
      </c>
      <c r="N60" t="n">
        <v>0</v>
      </c>
      <c r="O60" t="n">
        <v>0</v>
      </c>
      <c r="P60" t="n">
        <v>0</v>
      </c>
      <c r="Q60" t="n">
        <v>0</v>
      </c>
      <c r="R60" s="2" t="inlineStr"/>
    </row>
    <row r="61" ht="15" customHeight="1">
      <c r="A61" t="inlineStr">
        <is>
          <t>A 42785-2021</t>
        </is>
      </c>
      <c r="B61" s="1" t="n">
        <v>44428</v>
      </c>
      <c r="C61" s="1" t="n">
        <v>46039</v>
      </c>
      <c r="D61" t="inlineStr">
        <is>
          <t>KALMAR LÄN</t>
        </is>
      </c>
      <c r="E61" t="inlineStr">
        <is>
          <t>BORGHOLM</t>
        </is>
      </c>
      <c r="G61" t="n">
        <v>2.8</v>
      </c>
      <c r="H61" t="n">
        <v>0</v>
      </c>
      <c r="I61" t="n">
        <v>0</v>
      </c>
      <c r="J61" t="n">
        <v>0</v>
      </c>
      <c r="K61" t="n">
        <v>0</v>
      </c>
      <c r="L61" t="n">
        <v>0</v>
      </c>
      <c r="M61" t="n">
        <v>0</v>
      </c>
      <c r="N61" t="n">
        <v>0</v>
      </c>
      <c r="O61" t="n">
        <v>0</v>
      </c>
      <c r="P61" t="n">
        <v>0</v>
      </c>
      <c r="Q61" t="n">
        <v>0</v>
      </c>
      <c r="R61" s="2" t="inlineStr"/>
    </row>
    <row r="62" ht="15" customHeight="1">
      <c r="A62" t="inlineStr">
        <is>
          <t>A 64303-2023</t>
        </is>
      </c>
      <c r="B62" s="1" t="n">
        <v>45280</v>
      </c>
      <c r="C62" s="1" t="n">
        <v>46039</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44547-2021</t>
        </is>
      </c>
      <c r="B63" s="1" t="n">
        <v>44435</v>
      </c>
      <c r="C63" s="1" t="n">
        <v>46039</v>
      </c>
      <c r="D63" t="inlineStr">
        <is>
          <t>KALMAR LÄN</t>
        </is>
      </c>
      <c r="E63" t="inlineStr">
        <is>
          <t>BORGHOLM</t>
        </is>
      </c>
      <c r="G63" t="n">
        <v>1.4</v>
      </c>
      <c r="H63" t="n">
        <v>0</v>
      </c>
      <c r="I63" t="n">
        <v>0</v>
      </c>
      <c r="J63" t="n">
        <v>0</v>
      </c>
      <c r="K63" t="n">
        <v>0</v>
      </c>
      <c r="L63" t="n">
        <v>0</v>
      </c>
      <c r="M63" t="n">
        <v>0</v>
      </c>
      <c r="N63" t="n">
        <v>0</v>
      </c>
      <c r="O63" t="n">
        <v>0</v>
      </c>
      <c r="P63" t="n">
        <v>0</v>
      </c>
      <c r="Q63" t="n">
        <v>0</v>
      </c>
      <c r="R63" s="2" t="inlineStr"/>
    </row>
    <row r="64" ht="15" customHeight="1">
      <c r="A64" t="inlineStr">
        <is>
          <t>A 31699-2022</t>
        </is>
      </c>
      <c r="B64" s="1" t="n">
        <v>44776</v>
      </c>
      <c r="C64" s="1" t="n">
        <v>46039</v>
      </c>
      <c r="D64" t="inlineStr">
        <is>
          <t>KALMAR LÄN</t>
        </is>
      </c>
      <c r="E64" t="inlineStr">
        <is>
          <t>BORGHOLM</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9044-2025</t>
        </is>
      </c>
      <c r="B65" s="1" t="n">
        <v>45713.6275</v>
      </c>
      <c r="C65" s="1" t="n">
        <v>46039</v>
      </c>
      <c r="D65" t="inlineStr">
        <is>
          <t>KALMAR LÄN</t>
        </is>
      </c>
      <c r="E65" t="inlineStr">
        <is>
          <t>BORGHOLM</t>
        </is>
      </c>
      <c r="F65" t="inlineStr">
        <is>
          <t>Sveaskog</t>
        </is>
      </c>
      <c r="G65" t="n">
        <v>4</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46039</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42232-2025</t>
        </is>
      </c>
      <c r="B67" s="1" t="n">
        <v>45904.55591435185</v>
      </c>
      <c r="C67" s="1" t="n">
        <v>46039</v>
      </c>
      <c r="D67" t="inlineStr">
        <is>
          <t>KALMAR LÄN</t>
        </is>
      </c>
      <c r="E67" t="inlineStr">
        <is>
          <t>BORGHOLM</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46039</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63075-2023</t>
        </is>
      </c>
      <c r="B69" s="1" t="n">
        <v>45273</v>
      </c>
      <c r="C69" s="1" t="n">
        <v>46039</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50129-2021</t>
        </is>
      </c>
      <c r="B70" s="1" t="n">
        <v>44456</v>
      </c>
      <c r="C70" s="1" t="n">
        <v>46039</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26160-2024</t>
        </is>
      </c>
      <c r="B71" s="1" t="n">
        <v>45468</v>
      </c>
      <c r="C71" s="1" t="n">
        <v>46039</v>
      </c>
      <c r="D71" t="inlineStr">
        <is>
          <t>KALMAR LÄN</t>
        </is>
      </c>
      <c r="E71" t="inlineStr">
        <is>
          <t>BORGHOLM</t>
        </is>
      </c>
      <c r="G71" t="n">
        <v>0.4</v>
      </c>
      <c r="H71" t="n">
        <v>0</v>
      </c>
      <c r="I71" t="n">
        <v>0</v>
      </c>
      <c r="J71" t="n">
        <v>0</v>
      </c>
      <c r="K71" t="n">
        <v>0</v>
      </c>
      <c r="L71" t="n">
        <v>0</v>
      </c>
      <c r="M71" t="n">
        <v>0</v>
      </c>
      <c r="N71" t="n">
        <v>0</v>
      </c>
      <c r="O71" t="n">
        <v>0</v>
      </c>
      <c r="P71" t="n">
        <v>0</v>
      </c>
      <c r="Q71" t="n">
        <v>0</v>
      </c>
      <c r="R71" s="2" t="inlineStr"/>
      <c r="T71">
        <f>HYPERLINK("https://klasma.github.io/Logging_0885/kartor/A 26160-2024 karta.png", "A 26160-2024")</f>
        <v/>
      </c>
      <c r="V71">
        <f>HYPERLINK("https://klasma.github.io/Logging_0885/klagomål/A 26160-2024 FSC-klagomål.docx", "A 26160-2024")</f>
        <v/>
      </c>
      <c r="W71">
        <f>HYPERLINK("https://klasma.github.io/Logging_0885/klagomålsmail/A 26160-2024 FSC-klagomål mail.docx", "A 26160-2024")</f>
        <v/>
      </c>
      <c r="X71">
        <f>HYPERLINK("https://klasma.github.io/Logging_0885/tillsyn/A 26160-2024 tillsynsbegäran.docx", "A 26160-2024")</f>
        <v/>
      </c>
      <c r="Y71">
        <f>HYPERLINK("https://klasma.github.io/Logging_0885/tillsynsmail/A 26160-2024 tillsynsbegäran mail.docx", "A 26160-2024")</f>
        <v/>
      </c>
    </row>
    <row r="72" ht="15" customHeight="1">
      <c r="A72" t="inlineStr">
        <is>
          <t>A 43542-2025</t>
        </is>
      </c>
      <c r="B72" s="1" t="n">
        <v>45911.61123842592</v>
      </c>
      <c r="C72" s="1" t="n">
        <v>46039</v>
      </c>
      <c r="D72" t="inlineStr">
        <is>
          <t>KALMAR LÄN</t>
        </is>
      </c>
      <c r="E72" t="inlineStr">
        <is>
          <t>BORGHOLM</t>
        </is>
      </c>
      <c r="G72" t="n">
        <v>2.4</v>
      </c>
      <c r="H72" t="n">
        <v>0</v>
      </c>
      <c r="I72" t="n">
        <v>0</v>
      </c>
      <c r="J72" t="n">
        <v>0</v>
      </c>
      <c r="K72" t="n">
        <v>0</v>
      </c>
      <c r="L72" t="n">
        <v>0</v>
      </c>
      <c r="M72" t="n">
        <v>0</v>
      </c>
      <c r="N72" t="n">
        <v>0</v>
      </c>
      <c r="O72" t="n">
        <v>0</v>
      </c>
      <c r="P72" t="n">
        <v>0</v>
      </c>
      <c r="Q72" t="n">
        <v>0</v>
      </c>
      <c r="R72" s="2" t="inlineStr"/>
    </row>
    <row r="73" ht="15" customHeight="1">
      <c r="A73" t="inlineStr">
        <is>
          <t>A 44224-2025</t>
        </is>
      </c>
      <c r="B73" s="1" t="n">
        <v>45915</v>
      </c>
      <c r="C73" s="1" t="n">
        <v>46039</v>
      </c>
      <c r="D73" t="inlineStr">
        <is>
          <t>KALMAR LÄN</t>
        </is>
      </c>
      <c r="E73" t="inlineStr">
        <is>
          <t>BORGHOLM</t>
        </is>
      </c>
      <c r="G73" t="n">
        <v>1.3</v>
      </c>
      <c r="H73" t="n">
        <v>0</v>
      </c>
      <c r="I73" t="n">
        <v>0</v>
      </c>
      <c r="J73" t="n">
        <v>0</v>
      </c>
      <c r="K73" t="n">
        <v>0</v>
      </c>
      <c r="L73" t="n">
        <v>0</v>
      </c>
      <c r="M73" t="n">
        <v>0</v>
      </c>
      <c r="N73" t="n">
        <v>0</v>
      </c>
      <c r="O73" t="n">
        <v>0</v>
      </c>
      <c r="P73" t="n">
        <v>0</v>
      </c>
      <c r="Q73" t="n">
        <v>0</v>
      </c>
      <c r="R73" s="2" t="inlineStr"/>
    </row>
    <row r="74" ht="15" customHeight="1">
      <c r="A74" t="inlineStr">
        <is>
          <t>A 60141-2025</t>
        </is>
      </c>
      <c r="B74" s="1" t="n">
        <v>45994.36873842592</v>
      </c>
      <c r="C74" s="1" t="n">
        <v>46039</v>
      </c>
      <c r="D74" t="inlineStr">
        <is>
          <t>KALMAR LÄN</t>
        </is>
      </c>
      <c r="E74" t="inlineStr">
        <is>
          <t>BORGHOLM</t>
        </is>
      </c>
      <c r="G74" t="n">
        <v>0.7</v>
      </c>
      <c r="H74" t="n">
        <v>0</v>
      </c>
      <c r="I74" t="n">
        <v>0</v>
      </c>
      <c r="J74" t="n">
        <v>0</v>
      </c>
      <c r="K74" t="n">
        <v>0</v>
      </c>
      <c r="L74" t="n">
        <v>0</v>
      </c>
      <c r="M74" t="n">
        <v>0</v>
      </c>
      <c r="N74" t="n">
        <v>0</v>
      </c>
      <c r="O74" t="n">
        <v>0</v>
      </c>
      <c r="P74" t="n">
        <v>0</v>
      </c>
      <c r="Q74" t="n">
        <v>0</v>
      </c>
      <c r="R74" s="2" t="inlineStr"/>
    </row>
    <row r="75" ht="15" customHeight="1">
      <c r="A75" t="inlineStr">
        <is>
          <t>A 1757-2025</t>
        </is>
      </c>
      <c r="B75" s="1" t="n">
        <v>45671.42195601852</v>
      </c>
      <c r="C75" s="1" t="n">
        <v>46039</v>
      </c>
      <c r="D75" t="inlineStr">
        <is>
          <t>KALMAR LÄN</t>
        </is>
      </c>
      <c r="E75" t="inlineStr">
        <is>
          <t>BORGHOLM</t>
        </is>
      </c>
      <c r="G75" t="n">
        <v>1.4</v>
      </c>
      <c r="H75" t="n">
        <v>0</v>
      </c>
      <c r="I75" t="n">
        <v>0</v>
      </c>
      <c r="J75" t="n">
        <v>0</v>
      </c>
      <c r="K75" t="n">
        <v>0</v>
      </c>
      <c r="L75" t="n">
        <v>0</v>
      </c>
      <c r="M75" t="n">
        <v>0</v>
      </c>
      <c r="N75" t="n">
        <v>0</v>
      </c>
      <c r="O75" t="n">
        <v>0</v>
      </c>
      <c r="P75" t="n">
        <v>0</v>
      </c>
      <c r="Q75" t="n">
        <v>0</v>
      </c>
      <c r="R75" s="2" t="inlineStr"/>
    </row>
    <row r="76" ht="15" customHeight="1">
      <c r="A76" t="inlineStr">
        <is>
          <t>A 45734-2025</t>
        </is>
      </c>
      <c r="B76" s="1" t="n">
        <v>45923.46512731481</v>
      </c>
      <c r="C76" s="1" t="n">
        <v>46039</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45869-2025</t>
        </is>
      </c>
      <c r="B77" s="1" t="n">
        <v>45923.65313657407</v>
      </c>
      <c r="C77" s="1" t="n">
        <v>46039</v>
      </c>
      <c r="D77" t="inlineStr">
        <is>
          <t>KALMAR LÄN</t>
        </is>
      </c>
      <c r="E77" t="inlineStr">
        <is>
          <t>BORGHOLM</t>
        </is>
      </c>
      <c r="G77" t="n">
        <v>4.5</v>
      </c>
      <c r="H77" t="n">
        <v>0</v>
      </c>
      <c r="I77" t="n">
        <v>0</v>
      </c>
      <c r="J77" t="n">
        <v>0</v>
      </c>
      <c r="K77" t="n">
        <v>0</v>
      </c>
      <c r="L77" t="n">
        <v>0</v>
      </c>
      <c r="M77" t="n">
        <v>0</v>
      </c>
      <c r="N77" t="n">
        <v>0</v>
      </c>
      <c r="O77" t="n">
        <v>0</v>
      </c>
      <c r="P77" t="n">
        <v>0</v>
      </c>
      <c r="Q77" t="n">
        <v>0</v>
      </c>
      <c r="R77" s="2" t="inlineStr"/>
    </row>
    <row r="78" ht="15" customHeight="1">
      <c r="A78" t="inlineStr">
        <is>
          <t>A 17699-2025</t>
        </is>
      </c>
      <c r="B78" s="1" t="n">
        <v>45758.41846064815</v>
      </c>
      <c r="C78" s="1" t="n">
        <v>46039</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7669-2024</t>
        </is>
      </c>
      <c r="B79" s="1" t="n">
        <v>45348.82498842593</v>
      </c>
      <c r="C79" s="1" t="n">
        <v>46039</v>
      </c>
      <c r="D79" t="inlineStr">
        <is>
          <t>KALMAR LÄN</t>
        </is>
      </c>
      <c r="E79" t="inlineStr">
        <is>
          <t>BORGHOLM</t>
        </is>
      </c>
      <c r="G79" t="n">
        <v>2.3</v>
      </c>
      <c r="H79" t="n">
        <v>0</v>
      </c>
      <c r="I79" t="n">
        <v>0</v>
      </c>
      <c r="J79" t="n">
        <v>0</v>
      </c>
      <c r="K79" t="n">
        <v>0</v>
      </c>
      <c r="L79" t="n">
        <v>0</v>
      </c>
      <c r="M79" t="n">
        <v>0</v>
      </c>
      <c r="N79" t="n">
        <v>0</v>
      </c>
      <c r="O79" t="n">
        <v>0</v>
      </c>
      <c r="P79" t="n">
        <v>0</v>
      </c>
      <c r="Q79" t="n">
        <v>0</v>
      </c>
      <c r="R79" s="2" t="inlineStr"/>
    </row>
    <row r="80" ht="15" customHeight="1">
      <c r="A80" t="inlineStr">
        <is>
          <t>A 34780-2022</t>
        </is>
      </c>
      <c r="B80" s="1" t="n">
        <v>44795</v>
      </c>
      <c r="C80" s="1" t="n">
        <v>46039</v>
      </c>
      <c r="D80" t="inlineStr">
        <is>
          <t>KALMAR LÄN</t>
        </is>
      </c>
      <c r="E80" t="inlineStr">
        <is>
          <t>BORGHOLM</t>
        </is>
      </c>
      <c r="F80" t="inlineStr">
        <is>
          <t>Sveaskog</t>
        </is>
      </c>
      <c r="G80" t="n">
        <v>6.7</v>
      </c>
      <c r="H80" t="n">
        <v>0</v>
      </c>
      <c r="I80" t="n">
        <v>0</v>
      </c>
      <c r="J80" t="n">
        <v>0</v>
      </c>
      <c r="K80" t="n">
        <v>0</v>
      </c>
      <c r="L80" t="n">
        <v>0</v>
      </c>
      <c r="M80" t="n">
        <v>0</v>
      </c>
      <c r="N80" t="n">
        <v>0</v>
      </c>
      <c r="O80" t="n">
        <v>0</v>
      </c>
      <c r="P80" t="n">
        <v>0</v>
      </c>
      <c r="Q80" t="n">
        <v>0</v>
      </c>
      <c r="R80" s="2" t="inlineStr"/>
    </row>
    <row r="81" ht="15" customHeight="1">
      <c r="A81" t="inlineStr">
        <is>
          <t>A 55367-2024</t>
        </is>
      </c>
      <c r="B81" s="1" t="n">
        <v>45621.87075231481</v>
      </c>
      <c r="C81" s="1" t="n">
        <v>46039</v>
      </c>
      <c r="D81" t="inlineStr">
        <is>
          <t>KALMAR LÄN</t>
        </is>
      </c>
      <c r="E81" t="inlineStr">
        <is>
          <t>BORGHOLM</t>
        </is>
      </c>
      <c r="G81" t="n">
        <v>0.7</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46039</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20287-2025</t>
        </is>
      </c>
      <c r="B83" s="1" t="n">
        <v>45774.60741898148</v>
      </c>
      <c r="C83" s="1" t="n">
        <v>46039</v>
      </c>
      <c r="D83" t="inlineStr">
        <is>
          <t>KALMAR LÄN</t>
        </is>
      </c>
      <c r="E83" t="inlineStr">
        <is>
          <t>BORGHOLM</t>
        </is>
      </c>
      <c r="G83" t="n">
        <v>0.6</v>
      </c>
      <c r="H83" t="n">
        <v>0</v>
      </c>
      <c r="I83" t="n">
        <v>0</v>
      </c>
      <c r="J83" t="n">
        <v>0</v>
      </c>
      <c r="K83" t="n">
        <v>0</v>
      </c>
      <c r="L83" t="n">
        <v>0</v>
      </c>
      <c r="M83" t="n">
        <v>0</v>
      </c>
      <c r="N83" t="n">
        <v>0</v>
      </c>
      <c r="O83" t="n">
        <v>0</v>
      </c>
      <c r="P83" t="n">
        <v>0</v>
      </c>
      <c r="Q83" t="n">
        <v>0</v>
      </c>
      <c r="R83" s="2" t="inlineStr"/>
    </row>
    <row r="84" ht="15" customHeight="1">
      <c r="A84" t="inlineStr">
        <is>
          <t>A 9076-2025</t>
        </is>
      </c>
      <c r="B84" s="1" t="n">
        <v>45713.6596875</v>
      </c>
      <c r="C84" s="1" t="n">
        <v>46039</v>
      </c>
      <c r="D84" t="inlineStr">
        <is>
          <t>KALMAR LÄN</t>
        </is>
      </c>
      <c r="E84" t="inlineStr">
        <is>
          <t>BORGHOLM</t>
        </is>
      </c>
      <c r="F84" t="inlineStr">
        <is>
          <t>Sveaskog</t>
        </is>
      </c>
      <c r="G84" t="n">
        <v>4.2</v>
      </c>
      <c r="H84" t="n">
        <v>0</v>
      </c>
      <c r="I84" t="n">
        <v>0</v>
      </c>
      <c r="J84" t="n">
        <v>0</v>
      </c>
      <c r="K84" t="n">
        <v>0</v>
      </c>
      <c r="L84" t="n">
        <v>0</v>
      </c>
      <c r="M84" t="n">
        <v>0</v>
      </c>
      <c r="N84" t="n">
        <v>0</v>
      </c>
      <c r="O84" t="n">
        <v>0</v>
      </c>
      <c r="P84" t="n">
        <v>0</v>
      </c>
      <c r="Q84" t="n">
        <v>0</v>
      </c>
      <c r="R84" s="2" t="inlineStr"/>
    </row>
    <row r="85" ht="15" customHeight="1">
      <c r="A85" t="inlineStr">
        <is>
          <t>A 32919-2023</t>
        </is>
      </c>
      <c r="B85" s="1" t="n">
        <v>45125</v>
      </c>
      <c r="C85" s="1" t="n">
        <v>46039</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21908-2022</t>
        </is>
      </c>
      <c r="B86" s="1" t="n">
        <v>44711</v>
      </c>
      <c r="C86" s="1" t="n">
        <v>46039</v>
      </c>
      <c r="D86" t="inlineStr">
        <is>
          <t>KALMAR LÄN</t>
        </is>
      </c>
      <c r="E86" t="inlineStr">
        <is>
          <t>BORGHOLM</t>
        </is>
      </c>
      <c r="G86" t="n">
        <v>4.7</v>
      </c>
      <c r="H86" t="n">
        <v>0</v>
      </c>
      <c r="I86" t="n">
        <v>0</v>
      </c>
      <c r="J86" t="n">
        <v>0</v>
      </c>
      <c r="K86" t="n">
        <v>0</v>
      </c>
      <c r="L86" t="n">
        <v>0</v>
      </c>
      <c r="M86" t="n">
        <v>0</v>
      </c>
      <c r="N86" t="n">
        <v>0</v>
      </c>
      <c r="O86" t="n">
        <v>0</v>
      </c>
      <c r="P86" t="n">
        <v>0</v>
      </c>
      <c r="Q86" t="n">
        <v>0</v>
      </c>
      <c r="R86" s="2" t="inlineStr"/>
    </row>
    <row r="87" ht="15" customHeight="1">
      <c r="A87" t="inlineStr">
        <is>
          <t>A 20878-2024</t>
        </is>
      </c>
      <c r="B87" s="1" t="n">
        <v>45439.44748842593</v>
      </c>
      <c r="C87" s="1" t="n">
        <v>46039</v>
      </c>
      <c r="D87" t="inlineStr">
        <is>
          <t>KALMAR LÄN</t>
        </is>
      </c>
      <c r="E87" t="inlineStr">
        <is>
          <t>BORGHOLM</t>
        </is>
      </c>
      <c r="G87" t="n">
        <v>1.9</v>
      </c>
      <c r="H87" t="n">
        <v>0</v>
      </c>
      <c r="I87" t="n">
        <v>0</v>
      </c>
      <c r="J87" t="n">
        <v>0</v>
      </c>
      <c r="K87" t="n">
        <v>0</v>
      </c>
      <c r="L87" t="n">
        <v>0</v>
      </c>
      <c r="M87" t="n">
        <v>0</v>
      </c>
      <c r="N87" t="n">
        <v>0</v>
      </c>
      <c r="O87" t="n">
        <v>0</v>
      </c>
      <c r="P87" t="n">
        <v>0</v>
      </c>
      <c r="Q87" t="n">
        <v>0</v>
      </c>
      <c r="R87" s="2" t="inlineStr"/>
    </row>
    <row r="88" ht="15" customHeight="1">
      <c r="A88" t="inlineStr">
        <is>
          <t>A 4878-2021</t>
        </is>
      </c>
      <c r="B88" s="1" t="n">
        <v>44225</v>
      </c>
      <c r="C88" s="1" t="n">
        <v>46039</v>
      </c>
      <c r="D88" t="inlineStr">
        <is>
          <t>KALMAR LÄN</t>
        </is>
      </c>
      <c r="E88" t="inlineStr">
        <is>
          <t>BORGHOLM</t>
        </is>
      </c>
      <c r="G88" t="n">
        <v>3</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46039</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34951-2022</t>
        </is>
      </c>
      <c r="B90" s="1" t="n">
        <v>44796</v>
      </c>
      <c r="C90" s="1" t="n">
        <v>46039</v>
      </c>
      <c r="D90" t="inlineStr">
        <is>
          <t>KALMAR LÄN</t>
        </is>
      </c>
      <c r="E90" t="inlineStr">
        <is>
          <t>BORGHOLM</t>
        </is>
      </c>
      <c r="F90" t="inlineStr">
        <is>
          <t>Sveaskog</t>
        </is>
      </c>
      <c r="G90" t="n">
        <v>4.6</v>
      </c>
      <c r="H90" t="n">
        <v>0</v>
      </c>
      <c r="I90" t="n">
        <v>0</v>
      </c>
      <c r="J90" t="n">
        <v>0</v>
      </c>
      <c r="K90" t="n">
        <v>0</v>
      </c>
      <c r="L90" t="n">
        <v>0</v>
      </c>
      <c r="M90" t="n">
        <v>0</v>
      </c>
      <c r="N90" t="n">
        <v>0</v>
      </c>
      <c r="O90" t="n">
        <v>0</v>
      </c>
      <c r="P90" t="n">
        <v>0</v>
      </c>
      <c r="Q90" t="n">
        <v>0</v>
      </c>
      <c r="R90" s="2" t="inlineStr"/>
    </row>
    <row r="91" ht="15" customHeight="1">
      <c r="A91" t="inlineStr">
        <is>
          <t>A 9034-2025</t>
        </is>
      </c>
      <c r="B91" s="1" t="n">
        <v>45713</v>
      </c>
      <c r="C91" s="1" t="n">
        <v>46039</v>
      </c>
      <c r="D91" t="inlineStr">
        <is>
          <t>KALMAR LÄN</t>
        </is>
      </c>
      <c r="E91" t="inlineStr">
        <is>
          <t>BORGHOLM</t>
        </is>
      </c>
      <c r="F91" t="inlineStr">
        <is>
          <t>Sveaskog</t>
        </is>
      </c>
      <c r="G91" t="n">
        <v>6.8</v>
      </c>
      <c r="H91" t="n">
        <v>0</v>
      </c>
      <c r="I91" t="n">
        <v>0</v>
      </c>
      <c r="J91" t="n">
        <v>0</v>
      </c>
      <c r="K91" t="n">
        <v>0</v>
      </c>
      <c r="L91" t="n">
        <v>0</v>
      </c>
      <c r="M91" t="n">
        <v>0</v>
      </c>
      <c r="N91" t="n">
        <v>0</v>
      </c>
      <c r="O91" t="n">
        <v>0</v>
      </c>
      <c r="P91" t="n">
        <v>0</v>
      </c>
      <c r="Q91" t="n">
        <v>0</v>
      </c>
      <c r="R91" s="2" t="inlineStr"/>
    </row>
    <row r="92" ht="15" customHeight="1">
      <c r="A92" t="inlineStr">
        <is>
          <t>A 5175-2024</t>
        </is>
      </c>
      <c r="B92" s="1" t="n">
        <v>45330</v>
      </c>
      <c r="C92" s="1" t="n">
        <v>46039</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4159-2024</t>
        </is>
      </c>
      <c r="B93" s="1" t="n">
        <v>45323</v>
      </c>
      <c r="C93" s="1" t="n">
        <v>46039</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3878-2023</t>
        </is>
      </c>
      <c r="B94" s="1" t="n">
        <v>44951</v>
      </c>
      <c r="C94" s="1" t="n">
        <v>46039</v>
      </c>
      <c r="D94" t="inlineStr">
        <is>
          <t>KALMAR LÄN</t>
        </is>
      </c>
      <c r="E94" t="inlineStr">
        <is>
          <t>BORGHOLM</t>
        </is>
      </c>
      <c r="G94" t="n">
        <v>1.7</v>
      </c>
      <c r="H94" t="n">
        <v>0</v>
      </c>
      <c r="I94" t="n">
        <v>0</v>
      </c>
      <c r="J94" t="n">
        <v>0</v>
      </c>
      <c r="K94" t="n">
        <v>0</v>
      </c>
      <c r="L94" t="n">
        <v>0</v>
      </c>
      <c r="M94" t="n">
        <v>0</v>
      </c>
      <c r="N94" t="n">
        <v>0</v>
      </c>
      <c r="O94" t="n">
        <v>0</v>
      </c>
      <c r="P94" t="n">
        <v>0</v>
      </c>
      <c r="Q94" t="n">
        <v>0</v>
      </c>
      <c r="R94" s="2" t="inlineStr"/>
    </row>
    <row r="95" ht="15" customHeight="1">
      <c r="A95" t="inlineStr">
        <is>
          <t>A 19867-2024</t>
        </is>
      </c>
      <c r="B95" s="1" t="n">
        <v>45433</v>
      </c>
      <c r="C95" s="1" t="n">
        <v>46039</v>
      </c>
      <c r="D95" t="inlineStr">
        <is>
          <t>KALMAR LÄN</t>
        </is>
      </c>
      <c r="E95" t="inlineStr">
        <is>
          <t>BORGHOLM</t>
        </is>
      </c>
      <c r="G95" t="n">
        <v>3.9</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46039</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13383-2023</t>
        </is>
      </c>
      <c r="B97" s="1" t="n">
        <v>45005</v>
      </c>
      <c r="C97" s="1" t="n">
        <v>46039</v>
      </c>
      <c r="D97" t="inlineStr">
        <is>
          <t>KALMAR LÄN</t>
        </is>
      </c>
      <c r="E97" t="inlineStr">
        <is>
          <t>BORGHOLM</t>
        </is>
      </c>
      <c r="G97" t="n">
        <v>0.8</v>
      </c>
      <c r="H97" t="n">
        <v>0</v>
      </c>
      <c r="I97" t="n">
        <v>0</v>
      </c>
      <c r="J97" t="n">
        <v>0</v>
      </c>
      <c r="K97" t="n">
        <v>0</v>
      </c>
      <c r="L97" t="n">
        <v>0</v>
      </c>
      <c r="M97" t="n">
        <v>0</v>
      </c>
      <c r="N97" t="n">
        <v>0</v>
      </c>
      <c r="O97" t="n">
        <v>0</v>
      </c>
      <c r="P97" t="n">
        <v>0</v>
      </c>
      <c r="Q97" t="n">
        <v>0</v>
      </c>
      <c r="R97" s="2" t="inlineStr"/>
    </row>
    <row r="98" ht="15" customHeight="1">
      <c r="A98" t="inlineStr">
        <is>
          <t>A 31720-2022</t>
        </is>
      </c>
      <c r="B98" s="1" t="n">
        <v>44776</v>
      </c>
      <c r="C98" s="1" t="n">
        <v>46039</v>
      </c>
      <c r="D98" t="inlineStr">
        <is>
          <t>KALMAR LÄN</t>
        </is>
      </c>
      <c r="E98" t="inlineStr">
        <is>
          <t>BORGHOLM</t>
        </is>
      </c>
      <c r="F98" t="inlineStr">
        <is>
          <t>Sveaskog</t>
        </is>
      </c>
      <c r="G98" t="n">
        <v>4.5</v>
      </c>
      <c r="H98" t="n">
        <v>0</v>
      </c>
      <c r="I98" t="n">
        <v>0</v>
      </c>
      <c r="J98" t="n">
        <v>0</v>
      </c>
      <c r="K98" t="n">
        <v>0</v>
      </c>
      <c r="L98" t="n">
        <v>0</v>
      </c>
      <c r="M98" t="n">
        <v>0</v>
      </c>
      <c r="N98" t="n">
        <v>0</v>
      </c>
      <c r="O98" t="n">
        <v>0</v>
      </c>
      <c r="P98" t="n">
        <v>0</v>
      </c>
      <c r="Q98" t="n">
        <v>0</v>
      </c>
      <c r="R98" s="2" t="inlineStr"/>
    </row>
    <row r="99" ht="15" customHeight="1">
      <c r="A99" t="inlineStr">
        <is>
          <t>A 29656-2023</t>
        </is>
      </c>
      <c r="B99" s="1" t="n">
        <v>45107</v>
      </c>
      <c r="C99" s="1" t="n">
        <v>46039</v>
      </c>
      <c r="D99" t="inlineStr">
        <is>
          <t>KALMAR LÄN</t>
        </is>
      </c>
      <c r="E99" t="inlineStr">
        <is>
          <t>BORGHOLM</t>
        </is>
      </c>
      <c r="G99" t="n">
        <v>4.1</v>
      </c>
      <c r="H99" t="n">
        <v>0</v>
      </c>
      <c r="I99" t="n">
        <v>0</v>
      </c>
      <c r="J99" t="n">
        <v>0</v>
      </c>
      <c r="K99" t="n">
        <v>0</v>
      </c>
      <c r="L99" t="n">
        <v>0</v>
      </c>
      <c r="M99" t="n">
        <v>0</v>
      </c>
      <c r="N99" t="n">
        <v>0</v>
      </c>
      <c r="O99" t="n">
        <v>0</v>
      </c>
      <c r="P99" t="n">
        <v>0</v>
      </c>
      <c r="Q99" t="n">
        <v>0</v>
      </c>
      <c r="R99" s="2" t="inlineStr"/>
    </row>
    <row r="100" ht="15" customHeight="1">
      <c r="A100" t="inlineStr">
        <is>
          <t>A 12937-2022</t>
        </is>
      </c>
      <c r="B100" s="1" t="n">
        <v>44642</v>
      </c>
      <c r="C100" s="1" t="n">
        <v>46039</v>
      </c>
      <c r="D100" t="inlineStr">
        <is>
          <t>KALMAR LÄN</t>
        </is>
      </c>
      <c r="E100" t="inlineStr">
        <is>
          <t>BORGHOLM</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4165-2023</t>
        </is>
      </c>
      <c r="B101" s="1" t="n">
        <v>44953</v>
      </c>
      <c r="C101" s="1" t="n">
        <v>46039</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7960-2023</t>
        </is>
      </c>
      <c r="B102" s="1" t="n">
        <v>44973</v>
      </c>
      <c r="C102" s="1" t="n">
        <v>46039</v>
      </c>
      <c r="D102" t="inlineStr">
        <is>
          <t>KALMAR LÄN</t>
        </is>
      </c>
      <c r="E102" t="inlineStr">
        <is>
          <t>BORGHOLM</t>
        </is>
      </c>
      <c r="G102" t="n">
        <v>2.1</v>
      </c>
      <c r="H102" t="n">
        <v>0</v>
      </c>
      <c r="I102" t="n">
        <v>0</v>
      </c>
      <c r="J102" t="n">
        <v>0</v>
      </c>
      <c r="K102" t="n">
        <v>0</v>
      </c>
      <c r="L102" t="n">
        <v>0</v>
      </c>
      <c r="M102" t="n">
        <v>0</v>
      </c>
      <c r="N102" t="n">
        <v>0</v>
      </c>
      <c r="O102" t="n">
        <v>0</v>
      </c>
      <c r="P102" t="n">
        <v>0</v>
      </c>
      <c r="Q102" t="n">
        <v>0</v>
      </c>
      <c r="R102" s="2" t="inlineStr"/>
    </row>
    <row r="103" ht="15" customHeight="1">
      <c r="A103" t="inlineStr">
        <is>
          <t>A 61438-2023</t>
        </is>
      </c>
      <c r="B103" s="1" t="n">
        <v>45264</v>
      </c>
      <c r="C103" s="1" t="n">
        <v>46039</v>
      </c>
      <c r="D103" t="inlineStr">
        <is>
          <t>KALMAR LÄN</t>
        </is>
      </c>
      <c r="E103" t="inlineStr">
        <is>
          <t>BORGHOLM</t>
        </is>
      </c>
      <c r="G103" t="n">
        <v>1.1</v>
      </c>
      <c r="H103" t="n">
        <v>0</v>
      </c>
      <c r="I103" t="n">
        <v>0</v>
      </c>
      <c r="J103" t="n">
        <v>0</v>
      </c>
      <c r="K103" t="n">
        <v>0</v>
      </c>
      <c r="L103" t="n">
        <v>0</v>
      </c>
      <c r="M103" t="n">
        <v>0</v>
      </c>
      <c r="N103" t="n">
        <v>0</v>
      </c>
      <c r="O103" t="n">
        <v>0</v>
      </c>
      <c r="P103" t="n">
        <v>0</v>
      </c>
      <c r="Q103" t="n">
        <v>0</v>
      </c>
      <c r="R103" s="2" t="inlineStr"/>
    </row>
    <row r="104" ht="15" customHeight="1">
      <c r="A104" t="inlineStr">
        <is>
          <t>A 13041-2024</t>
        </is>
      </c>
      <c r="B104" s="1" t="n">
        <v>45385.60065972222</v>
      </c>
      <c r="C104" s="1" t="n">
        <v>46039</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13548-2025</t>
        </is>
      </c>
      <c r="B105" s="1" t="n">
        <v>45736.53827546296</v>
      </c>
      <c r="C105" s="1" t="n">
        <v>46039</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1614-2025</t>
        </is>
      </c>
      <c r="B106" s="1" t="n">
        <v>45670.60094907408</v>
      </c>
      <c r="C106" s="1" t="n">
        <v>46039</v>
      </c>
      <c r="D106" t="inlineStr">
        <is>
          <t>KALMAR LÄN</t>
        </is>
      </c>
      <c r="E106" t="inlineStr">
        <is>
          <t>BORGHOLM</t>
        </is>
      </c>
      <c r="G106" t="n">
        <v>1.4</v>
      </c>
      <c r="H106" t="n">
        <v>0</v>
      </c>
      <c r="I106" t="n">
        <v>0</v>
      </c>
      <c r="J106" t="n">
        <v>0</v>
      </c>
      <c r="K106" t="n">
        <v>0</v>
      </c>
      <c r="L106" t="n">
        <v>0</v>
      </c>
      <c r="M106" t="n">
        <v>0</v>
      </c>
      <c r="N106" t="n">
        <v>0</v>
      </c>
      <c r="O106" t="n">
        <v>0</v>
      </c>
      <c r="P106" t="n">
        <v>0</v>
      </c>
      <c r="Q106" t="n">
        <v>0</v>
      </c>
      <c r="R106" s="2" t="inlineStr"/>
    </row>
    <row r="107" ht="15" customHeight="1">
      <c r="A107" t="inlineStr">
        <is>
          <t>A 32921-2023</t>
        </is>
      </c>
      <c r="B107" s="1" t="n">
        <v>45125</v>
      </c>
      <c r="C107" s="1" t="n">
        <v>46039</v>
      </c>
      <c r="D107" t="inlineStr">
        <is>
          <t>KALMAR LÄN</t>
        </is>
      </c>
      <c r="E107" t="inlineStr">
        <is>
          <t>BORGHOLM</t>
        </is>
      </c>
      <c r="G107" t="n">
        <v>2.9</v>
      </c>
      <c r="H107" t="n">
        <v>0</v>
      </c>
      <c r="I107" t="n">
        <v>0</v>
      </c>
      <c r="J107" t="n">
        <v>0</v>
      </c>
      <c r="K107" t="n">
        <v>0</v>
      </c>
      <c r="L107" t="n">
        <v>0</v>
      </c>
      <c r="M107" t="n">
        <v>0</v>
      </c>
      <c r="N107" t="n">
        <v>0</v>
      </c>
      <c r="O107" t="n">
        <v>0</v>
      </c>
      <c r="P107" t="n">
        <v>0</v>
      </c>
      <c r="Q107" t="n">
        <v>0</v>
      </c>
      <c r="R107" s="2" t="inlineStr"/>
    </row>
    <row r="108" ht="15" customHeight="1">
      <c r="A108" t="inlineStr">
        <is>
          <t>A 63276-2023</t>
        </is>
      </c>
      <c r="B108" s="1" t="n">
        <v>45273.82195601852</v>
      </c>
      <c r="C108" s="1" t="n">
        <v>46039</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31840-2021</t>
        </is>
      </c>
      <c r="B109" s="1" t="n">
        <v>44370</v>
      </c>
      <c r="C109" s="1" t="n">
        <v>46039</v>
      </c>
      <c r="D109" t="inlineStr">
        <is>
          <t>KALMAR LÄN</t>
        </is>
      </c>
      <c r="E109" t="inlineStr">
        <is>
          <t>BORGHOLM</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9050-2025</t>
        </is>
      </c>
      <c r="B110" s="1" t="n">
        <v>45713.63512731482</v>
      </c>
      <c r="C110" s="1" t="n">
        <v>46039</v>
      </c>
      <c r="D110" t="inlineStr">
        <is>
          <t>KALMAR LÄN</t>
        </is>
      </c>
      <c r="E110" t="inlineStr">
        <is>
          <t>BORGHOLM</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13043-2024</t>
        </is>
      </c>
      <c r="B111" s="1" t="n">
        <v>45385.60111111111</v>
      </c>
      <c r="C111" s="1" t="n">
        <v>46039</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row>
    <row r="112" ht="15" customHeight="1">
      <c r="A112" t="inlineStr">
        <is>
          <t>A 17978-2021</t>
        </is>
      </c>
      <c r="B112" s="1" t="n">
        <v>44301</v>
      </c>
      <c r="C112" s="1" t="n">
        <v>46039</v>
      </c>
      <c r="D112" t="inlineStr">
        <is>
          <t>KALMAR LÄN</t>
        </is>
      </c>
      <c r="E112" t="inlineStr">
        <is>
          <t>BORGHOLM</t>
        </is>
      </c>
      <c r="G112" t="n">
        <v>6</v>
      </c>
      <c r="H112" t="n">
        <v>0</v>
      </c>
      <c r="I112" t="n">
        <v>0</v>
      </c>
      <c r="J112" t="n">
        <v>0</v>
      </c>
      <c r="K112" t="n">
        <v>0</v>
      </c>
      <c r="L112" t="n">
        <v>0</v>
      </c>
      <c r="M112" t="n">
        <v>0</v>
      </c>
      <c r="N112" t="n">
        <v>0</v>
      </c>
      <c r="O112" t="n">
        <v>0</v>
      </c>
      <c r="P112" t="n">
        <v>0</v>
      </c>
      <c r="Q112" t="n">
        <v>0</v>
      </c>
      <c r="R112" s="2" t="inlineStr"/>
    </row>
    <row r="113" ht="15" customHeight="1">
      <c r="A113" t="inlineStr">
        <is>
          <t>A 22785-2025</t>
        </is>
      </c>
      <c r="B113" s="1" t="n">
        <v>45789.64186342592</v>
      </c>
      <c r="C113" s="1" t="n">
        <v>46039</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12534-2022</t>
        </is>
      </c>
      <c r="B114" s="1" t="n">
        <v>44638</v>
      </c>
      <c r="C114" s="1" t="n">
        <v>46039</v>
      </c>
      <c r="D114" t="inlineStr">
        <is>
          <t>KALMAR LÄN</t>
        </is>
      </c>
      <c r="E114" t="inlineStr">
        <is>
          <t>BORGHOLM</t>
        </is>
      </c>
      <c r="G114" t="n">
        <v>8.6</v>
      </c>
      <c r="H114" t="n">
        <v>0</v>
      </c>
      <c r="I114" t="n">
        <v>0</v>
      </c>
      <c r="J114" t="n">
        <v>0</v>
      </c>
      <c r="K114" t="n">
        <v>0</v>
      </c>
      <c r="L114" t="n">
        <v>0</v>
      </c>
      <c r="M114" t="n">
        <v>0</v>
      </c>
      <c r="N114" t="n">
        <v>0</v>
      </c>
      <c r="O114" t="n">
        <v>0</v>
      </c>
      <c r="P114" t="n">
        <v>0</v>
      </c>
      <c r="Q114" t="n">
        <v>0</v>
      </c>
      <c r="R114" s="2" t="inlineStr"/>
    </row>
    <row r="115" ht="15" customHeight="1">
      <c r="A115" t="inlineStr">
        <is>
          <t>A 40339-2023</t>
        </is>
      </c>
      <c r="B115" s="1" t="n">
        <v>45169.62733796296</v>
      </c>
      <c r="C115" s="1" t="n">
        <v>46039</v>
      </c>
      <c r="D115" t="inlineStr">
        <is>
          <t>KALMAR LÄN</t>
        </is>
      </c>
      <c r="E115" t="inlineStr">
        <is>
          <t>BORGHOLM</t>
        </is>
      </c>
      <c r="G115" t="n">
        <v>3.8</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46039</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26160-2025</t>
        </is>
      </c>
      <c r="B117" s="1" t="n">
        <v>45805.4490162037</v>
      </c>
      <c r="C117" s="1" t="n">
        <v>46039</v>
      </c>
      <c r="D117" t="inlineStr">
        <is>
          <t>KALMAR LÄN</t>
        </is>
      </c>
      <c r="E117" t="inlineStr">
        <is>
          <t>BORGHOLM</t>
        </is>
      </c>
      <c r="G117" t="n">
        <v>3.7</v>
      </c>
      <c r="H117" t="n">
        <v>0</v>
      </c>
      <c r="I117" t="n">
        <v>0</v>
      </c>
      <c r="J117" t="n">
        <v>0</v>
      </c>
      <c r="K117" t="n">
        <v>0</v>
      </c>
      <c r="L117" t="n">
        <v>0</v>
      </c>
      <c r="M117" t="n">
        <v>0</v>
      </c>
      <c r="N117" t="n">
        <v>0</v>
      </c>
      <c r="O117" t="n">
        <v>0</v>
      </c>
      <c r="P117" t="n">
        <v>0</v>
      </c>
      <c r="Q117" t="n">
        <v>0</v>
      </c>
      <c r="R117" s="2" t="inlineStr"/>
    </row>
    <row r="118" ht="15" customHeight="1">
      <c r="A118" t="inlineStr">
        <is>
          <t>A 26190-2025</t>
        </is>
      </c>
      <c r="B118" s="1" t="n">
        <v>45805.48349537037</v>
      </c>
      <c r="C118" s="1" t="n">
        <v>46039</v>
      </c>
      <c r="D118" t="inlineStr">
        <is>
          <t>KALMAR LÄN</t>
        </is>
      </c>
      <c r="E118" t="inlineStr">
        <is>
          <t>BORGHOLM</t>
        </is>
      </c>
      <c r="G118" t="n">
        <v>3.2</v>
      </c>
      <c r="H118" t="n">
        <v>0</v>
      </c>
      <c r="I118" t="n">
        <v>0</v>
      </c>
      <c r="J118" t="n">
        <v>0</v>
      </c>
      <c r="K118" t="n">
        <v>0</v>
      </c>
      <c r="L118" t="n">
        <v>0</v>
      </c>
      <c r="M118" t="n">
        <v>0</v>
      </c>
      <c r="N118" t="n">
        <v>0</v>
      </c>
      <c r="O118" t="n">
        <v>0</v>
      </c>
      <c r="P118" t="n">
        <v>0</v>
      </c>
      <c r="Q118" t="n">
        <v>0</v>
      </c>
      <c r="R118" s="2" t="inlineStr"/>
    </row>
    <row r="119" ht="15" customHeight="1">
      <c r="A119" t="inlineStr">
        <is>
          <t>A 27357-2025</t>
        </is>
      </c>
      <c r="B119" s="1" t="n">
        <v>45812.63650462963</v>
      </c>
      <c r="C119" s="1" t="n">
        <v>46039</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27366-2025</t>
        </is>
      </c>
      <c r="B120" s="1" t="n">
        <v>45812.64475694444</v>
      </c>
      <c r="C120" s="1" t="n">
        <v>46039</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c r="A121" t="inlineStr">
        <is>
          <t>A 28782-2025</t>
        </is>
      </c>
      <c r="B121" s="1" t="n">
        <v>45820.45572916666</v>
      </c>
      <c r="C121" s="1" t="n">
        <v>46039</v>
      </c>
      <c r="D121" t="inlineStr">
        <is>
          <t>KALMAR LÄN</t>
        </is>
      </c>
      <c r="E121" t="inlineStr">
        <is>
          <t>BORGHOLM</t>
        </is>
      </c>
      <c r="F121" t="inlineStr">
        <is>
          <t>Sveaskog</t>
        </is>
      </c>
      <c r="G121" t="n">
        <v>0.8</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2026-01-17T10:56:09Z</dcterms:created>
  <dcterms:modified xmlns:dcterms="http://purl.org/dc/terms/" xmlns:xsi="http://www.w3.org/2001/XMLSchema-instance" xsi:type="dcterms:W3CDTF">2026-01-17T10:56:09Z</dcterms:modified>
</cp:coreProperties>
</file>