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45965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45965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45965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45965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45965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45965</v>
      </c>
      <c r="D7" t="inlineStr">
        <is>
          <t>KALMAR LÄN</t>
        </is>
      </c>
      <c r="E7" t="inlineStr">
        <is>
          <t>BORGHOLM</t>
        </is>
      </c>
      <c r="F7" t="inlineStr">
        <is>
          <t>Sveaskog</t>
        </is>
      </c>
      <c r="G7" t="n">
        <v>2.8</v>
      </c>
      <c r="H7" t="n">
        <v>1</v>
      </c>
      <c r="I7" t="n">
        <v>1</v>
      </c>
      <c r="J7" t="n">
        <v>3</v>
      </c>
      <c r="K7" t="n">
        <v>2</v>
      </c>
      <c r="L7" t="n">
        <v>1</v>
      </c>
      <c r="M7" t="n">
        <v>0</v>
      </c>
      <c r="N7" t="n">
        <v>0</v>
      </c>
      <c r="O7" t="n">
        <v>6</v>
      </c>
      <c r="P7" t="n">
        <v>3</v>
      </c>
      <c r="Q7" t="n">
        <v>8</v>
      </c>
      <c r="R7" s="2" t="inlineStr">
        <is>
          <t>Brödmusseron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45006-2025</t>
        </is>
      </c>
      <c r="B8" s="1" t="n">
        <v>45918</v>
      </c>
      <c r="C8" s="1" t="n">
        <v>45965</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45965</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45965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45965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57656-2020</t>
        </is>
      </c>
      <c r="B12" s="1" t="n">
        <v>44140</v>
      </c>
      <c r="C12" s="1" t="n">
        <v>45965</v>
      </c>
      <c r="D12" t="inlineStr">
        <is>
          <t>KALMAR LÄN</t>
        </is>
      </c>
      <c r="E12" t="inlineStr">
        <is>
          <t>BORGHOLM</t>
        </is>
      </c>
      <c r="F12" t="inlineStr">
        <is>
          <t>Sveaskog</t>
        </is>
      </c>
      <c r="G12" t="n">
        <v>3.1</v>
      </c>
      <c r="H12" t="n">
        <v>3</v>
      </c>
      <c r="I12" t="n">
        <v>3</v>
      </c>
      <c r="J12" t="n">
        <v>0</v>
      </c>
      <c r="K12" t="n">
        <v>1</v>
      </c>
      <c r="L12" t="n">
        <v>1</v>
      </c>
      <c r="M12" t="n">
        <v>0</v>
      </c>
      <c r="N12" t="n">
        <v>0</v>
      </c>
      <c r="O12" t="n">
        <v>2</v>
      </c>
      <c r="P12" t="n">
        <v>2</v>
      </c>
      <c r="Q12" t="n">
        <v>6</v>
      </c>
      <c r="R12" s="2" t="inlineStr">
        <is>
          <t>Ryl
Gotlandsmåra
Skogsknipprot
Strävlosta
Vit skogslilja
Grönvit nattviol</t>
        </is>
      </c>
      <c r="S12">
        <f>HYPERLINK("https://klasma.github.io/Logging_0885/artfynd/A 57656-2020 artfynd.xlsx", "A 57656-2020")</f>
        <v/>
      </c>
      <c r="T12">
        <f>HYPERLINK("https://klasma.github.io/Logging_0885/kartor/A 57656-2020 karta.png", "A 57656-2020")</f>
        <v/>
      </c>
      <c r="V12">
        <f>HYPERLINK("https://klasma.github.io/Logging_0885/klagomål/A 57656-2020 FSC-klagomål.docx", "A 57656-2020")</f>
        <v/>
      </c>
      <c r="W12">
        <f>HYPERLINK("https://klasma.github.io/Logging_0885/klagomålsmail/A 57656-2020 FSC-klagomål mail.docx", "A 57656-2020")</f>
        <v/>
      </c>
      <c r="X12">
        <f>HYPERLINK("https://klasma.github.io/Logging_0885/tillsyn/A 57656-2020 tillsynsbegäran.docx", "A 57656-2020")</f>
        <v/>
      </c>
      <c r="Y12">
        <f>HYPERLINK("https://klasma.github.io/Logging_0885/tillsynsmail/A 57656-2020 tillsynsbegäran mail.docx", "A 57656-2020")</f>
        <v/>
      </c>
    </row>
    <row r="13" ht="15" customHeight="1">
      <c r="A13" t="inlineStr">
        <is>
          <t>A 50720-2021</t>
        </is>
      </c>
      <c r="B13" s="1" t="n">
        <v>44459</v>
      </c>
      <c r="C13" s="1" t="n">
        <v>45965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9028-2025</t>
        </is>
      </c>
      <c r="B14" s="1" t="n">
        <v>45713</v>
      </c>
      <c r="C14" s="1" t="n">
        <v>45965</v>
      </c>
      <c r="D14" t="inlineStr">
        <is>
          <t>KALMAR LÄN</t>
        </is>
      </c>
      <c r="E14" t="inlineStr">
        <is>
          <t>BORGHOLM</t>
        </is>
      </c>
      <c r="F14" t="inlineStr">
        <is>
          <t>Sveaskog</t>
        </is>
      </c>
      <c r="G14" t="n">
        <v>3</v>
      </c>
      <c r="H14" t="n">
        <v>0</v>
      </c>
      <c r="I14" t="n">
        <v>1</v>
      </c>
      <c r="J14" t="n">
        <v>1</v>
      </c>
      <c r="K14" t="n">
        <v>2</v>
      </c>
      <c r="L14" t="n">
        <v>0</v>
      </c>
      <c r="M14" t="n">
        <v>0</v>
      </c>
      <c r="N14" t="n">
        <v>0</v>
      </c>
      <c r="O14" t="n">
        <v>4</v>
      </c>
      <c r="P14" t="n">
        <v>2</v>
      </c>
      <c r="Q14" t="n">
        <v>5</v>
      </c>
      <c r="R14" s="2" t="inlineStr">
        <is>
          <t>Kopparspindling
Sydlig gyllenspindling
Persiljespindling
Trollspindling
Brandmusseron</t>
        </is>
      </c>
      <c r="S14">
        <f>HYPERLINK("https://klasma.github.io/Logging_0885/artfynd/A 9028-2025 artfynd.xlsx", "A 9028-2025")</f>
        <v/>
      </c>
      <c r="T14">
        <f>HYPERLINK("https://klasma.github.io/Logging_0885/kartor/A 9028-2025 karta.png", "A 9028-2025")</f>
        <v/>
      </c>
      <c r="V14">
        <f>HYPERLINK("https://klasma.github.io/Logging_0885/klagomål/A 9028-2025 FSC-klagomål.docx", "A 9028-2025")</f>
        <v/>
      </c>
      <c r="W14">
        <f>HYPERLINK("https://klasma.github.io/Logging_0885/klagomålsmail/A 9028-2025 FSC-klagomål mail.docx", "A 9028-2025")</f>
        <v/>
      </c>
      <c r="X14">
        <f>HYPERLINK("https://klasma.github.io/Logging_0885/tillsyn/A 9028-2025 tillsynsbegäran.docx", "A 9028-2025")</f>
        <v/>
      </c>
      <c r="Y14">
        <f>HYPERLINK("https://klasma.github.io/Logging_0885/tillsynsmail/A 9028-2025 tillsynsbegäran mail.docx", "A 9028-2025")</f>
        <v/>
      </c>
    </row>
    <row r="15" ht="15" customHeight="1">
      <c r="A15" t="inlineStr">
        <is>
          <t>A 47471-2025</t>
        </is>
      </c>
      <c r="B15" s="1" t="n">
        <v>45930.67391203704</v>
      </c>
      <c r="C15" s="1" t="n">
        <v>45965</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4881-2021</t>
        </is>
      </c>
      <c r="B16" s="1" t="n">
        <v>44225</v>
      </c>
      <c r="C16" s="1" t="n">
        <v>45965</v>
      </c>
      <c r="D16" t="inlineStr">
        <is>
          <t>KALMAR LÄN</t>
        </is>
      </c>
      <c r="E16" t="inlineStr">
        <is>
          <t>BORGHOLM</t>
        </is>
      </c>
      <c r="G16" t="n">
        <v>5.3</v>
      </c>
      <c r="H16" t="n">
        <v>2</v>
      </c>
      <c r="I16" t="n">
        <v>3</v>
      </c>
      <c r="J16" t="n">
        <v>0</v>
      </c>
      <c r="K16" t="n">
        <v>1</v>
      </c>
      <c r="L16" t="n">
        <v>0</v>
      </c>
      <c r="M16" t="n">
        <v>0</v>
      </c>
      <c r="N16" t="n">
        <v>0</v>
      </c>
      <c r="O16" t="n">
        <v>1</v>
      </c>
      <c r="P16" t="n">
        <v>1</v>
      </c>
      <c r="Q16" t="n">
        <v>5</v>
      </c>
      <c r="R16" s="2" t="inlineStr">
        <is>
          <t>Olivfjällskivling
Droppklibbskivling
Murgröna
Skogsknipprot
Blåsippa</t>
        </is>
      </c>
      <c r="S16">
        <f>HYPERLINK("https://klasma.github.io/Logging_0885/artfynd/A 4881-2021 artfynd.xlsx", "A 4881-2021")</f>
        <v/>
      </c>
      <c r="T16">
        <f>HYPERLINK("https://klasma.github.io/Logging_0885/kartor/A 4881-2021 karta.png", "A 4881-2021")</f>
        <v/>
      </c>
      <c r="V16">
        <f>HYPERLINK("https://klasma.github.io/Logging_0885/klagomål/A 4881-2021 FSC-klagomål.docx", "A 4881-2021")</f>
        <v/>
      </c>
      <c r="W16">
        <f>HYPERLINK("https://klasma.github.io/Logging_0885/klagomålsmail/A 4881-2021 FSC-klagomål mail.docx", "A 4881-2021")</f>
        <v/>
      </c>
      <c r="X16">
        <f>HYPERLINK("https://klasma.github.io/Logging_0885/tillsyn/A 4881-2021 tillsynsbegäran.docx", "A 4881-2021")</f>
        <v/>
      </c>
      <c r="Y16">
        <f>HYPERLINK("https://klasma.github.io/Logging_0885/tillsynsmail/A 4881-2021 tillsynsbegäran mail.docx", "A 4881-2021")</f>
        <v/>
      </c>
    </row>
    <row r="17" ht="15" customHeight="1">
      <c r="A17" t="inlineStr">
        <is>
          <t>A 46794-2025</t>
        </is>
      </c>
      <c r="B17" s="1" t="n">
        <v>45926</v>
      </c>
      <c r="C17" s="1" t="n">
        <v>45965</v>
      </c>
      <c r="D17" t="inlineStr">
        <is>
          <t>KALMAR LÄN</t>
        </is>
      </c>
      <c r="E17" t="inlineStr">
        <is>
          <t>BORGHOLM</t>
        </is>
      </c>
      <c r="G17" t="n">
        <v>0.7</v>
      </c>
      <c r="H17" t="n">
        <v>2</v>
      </c>
      <c r="I17" t="n">
        <v>3</v>
      </c>
      <c r="J17" t="n">
        <v>0</v>
      </c>
      <c r="K17" t="n">
        <v>0</v>
      </c>
      <c r="L17" t="n">
        <v>0</v>
      </c>
      <c r="M17" t="n">
        <v>0</v>
      </c>
      <c r="N17" t="n">
        <v>0</v>
      </c>
      <c r="O17" t="n">
        <v>0</v>
      </c>
      <c r="P17" t="n">
        <v>0</v>
      </c>
      <c r="Q17" t="n">
        <v>4</v>
      </c>
      <c r="R17" s="2" t="inlineStr">
        <is>
          <t>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32640-2022</t>
        </is>
      </c>
      <c r="B18" s="1" t="n">
        <v>44783</v>
      </c>
      <c r="C18" s="1" t="n">
        <v>45965</v>
      </c>
      <c r="D18" t="inlineStr">
        <is>
          <t>KALMAR LÄN</t>
        </is>
      </c>
      <c r="E18" t="inlineStr">
        <is>
          <t>BORGHOLM</t>
        </is>
      </c>
      <c r="F18" t="inlineStr">
        <is>
          <t>Sveaskog</t>
        </is>
      </c>
      <c r="G18" t="n">
        <v>1.2</v>
      </c>
      <c r="H18" t="n">
        <v>0</v>
      </c>
      <c r="I18" t="n">
        <v>3</v>
      </c>
      <c r="J18" t="n">
        <v>0</v>
      </c>
      <c r="K18" t="n">
        <v>0</v>
      </c>
      <c r="L18" t="n">
        <v>0</v>
      </c>
      <c r="M18" t="n">
        <v>0</v>
      </c>
      <c r="N18" t="n">
        <v>0</v>
      </c>
      <c r="O18" t="n">
        <v>0</v>
      </c>
      <c r="P18" t="n">
        <v>0</v>
      </c>
      <c r="Q18" t="n">
        <v>3</v>
      </c>
      <c r="R18" s="2" t="inlineStr">
        <is>
          <t>Kornknutmossa
Murgröna
Svart trolldruva</t>
        </is>
      </c>
      <c r="S18">
        <f>HYPERLINK("https://klasma.github.io/Logging_0885/artfynd/A 32640-2022 artfynd.xlsx", "A 32640-2022")</f>
        <v/>
      </c>
      <c r="T18">
        <f>HYPERLINK("https://klasma.github.io/Logging_0885/kartor/A 32640-2022 karta.png", "A 32640-2022")</f>
        <v/>
      </c>
      <c r="V18">
        <f>HYPERLINK("https://klasma.github.io/Logging_0885/klagomål/A 32640-2022 FSC-klagomål.docx", "A 32640-2022")</f>
        <v/>
      </c>
      <c r="W18">
        <f>HYPERLINK("https://klasma.github.io/Logging_0885/klagomålsmail/A 32640-2022 FSC-klagomål mail.docx", "A 32640-2022")</f>
        <v/>
      </c>
      <c r="X18">
        <f>HYPERLINK("https://klasma.github.io/Logging_0885/tillsyn/A 32640-2022 tillsynsbegäran.docx", "A 32640-2022")</f>
        <v/>
      </c>
      <c r="Y18">
        <f>HYPERLINK("https://klasma.github.io/Logging_0885/tillsynsmail/A 32640-2022 tillsynsbegäran mail.docx", "A 32640-2022")</f>
        <v/>
      </c>
    </row>
    <row r="19" ht="15" customHeight="1">
      <c r="A19" t="inlineStr">
        <is>
          <t>A 16171-2023</t>
        </is>
      </c>
      <c r="B19" s="1" t="n">
        <v>45027</v>
      </c>
      <c r="C19" s="1" t="n">
        <v>45965</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58231-2020</t>
        </is>
      </c>
      <c r="B20" s="1" t="n">
        <v>44144</v>
      </c>
      <c r="C20" s="1" t="n">
        <v>45965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21797-2024</t>
        </is>
      </c>
      <c r="B21" s="1" t="n">
        <v>45442.6512037037</v>
      </c>
      <c r="C21" s="1" t="n">
        <v>45965</v>
      </c>
      <c r="D21" t="inlineStr">
        <is>
          <t>KALMAR LÄN</t>
        </is>
      </c>
      <c r="E21" t="inlineStr">
        <is>
          <t>BORGHOLM</t>
        </is>
      </c>
      <c r="G21" t="n">
        <v>1.4</v>
      </c>
      <c r="H21" t="n">
        <v>2</v>
      </c>
      <c r="I21" t="n">
        <v>2</v>
      </c>
      <c r="J21" t="n">
        <v>0</v>
      </c>
      <c r="K21" t="n">
        <v>0</v>
      </c>
      <c r="L21" t="n">
        <v>0</v>
      </c>
      <c r="M21" t="n">
        <v>0</v>
      </c>
      <c r="N21" t="n">
        <v>0</v>
      </c>
      <c r="O21" t="n">
        <v>0</v>
      </c>
      <c r="P21" t="n">
        <v>0</v>
      </c>
      <c r="Q21" t="n">
        <v>3</v>
      </c>
      <c r="R21" s="2" t="inlineStr">
        <is>
          <t>Murgröna
Skogsknipprot
Revlummer</t>
        </is>
      </c>
      <c r="S21">
        <f>HYPERLINK("https://klasma.github.io/Logging_0885/artfynd/A 21797-2024 artfynd.xlsx", "A 21797-2024")</f>
        <v/>
      </c>
      <c r="T21">
        <f>HYPERLINK("https://klasma.github.io/Logging_0885/kartor/A 21797-2024 karta.png", "A 21797-2024")</f>
        <v/>
      </c>
      <c r="V21">
        <f>HYPERLINK("https://klasma.github.io/Logging_0885/klagomål/A 21797-2024 FSC-klagomål.docx", "A 21797-2024")</f>
        <v/>
      </c>
      <c r="W21">
        <f>HYPERLINK("https://klasma.github.io/Logging_0885/klagomålsmail/A 21797-2024 FSC-klagomål mail.docx", "A 21797-2024")</f>
        <v/>
      </c>
      <c r="X21">
        <f>HYPERLINK("https://klasma.github.io/Logging_0885/tillsyn/A 21797-2024 tillsynsbegäran.docx", "A 21797-2024")</f>
        <v/>
      </c>
      <c r="Y21">
        <f>HYPERLINK("https://klasma.github.io/Logging_0885/tillsynsmail/A 21797-2024 tillsynsbegäran mail.docx", "A 21797-2024")</f>
        <v/>
      </c>
    </row>
    <row r="22" ht="15" customHeight="1">
      <c r="A22" t="inlineStr">
        <is>
          <t>A 32174-2022</t>
        </is>
      </c>
      <c r="B22" s="1" t="n">
        <v>44781</v>
      </c>
      <c r="C22" s="1" t="n">
        <v>45965</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44008-2022</t>
        </is>
      </c>
      <c r="B23" s="1" t="n">
        <v>44838</v>
      </c>
      <c r="C23" s="1" t="n">
        <v>45965</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13556-2025</t>
        </is>
      </c>
      <c r="B24" s="1" t="n">
        <v>45736.54759259259</v>
      </c>
      <c r="C24" s="1" t="n">
        <v>45965</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38860-2025</t>
        </is>
      </c>
      <c r="B25" s="1" t="n">
        <v>45887.5609375</v>
      </c>
      <c r="C25" s="1" t="n">
        <v>45965</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28779-2025</t>
        </is>
      </c>
      <c r="B26" s="1" t="n">
        <v>45820.44920138889</v>
      </c>
      <c r="C26" s="1" t="n">
        <v>45965</v>
      </c>
      <c r="D26" t="inlineStr">
        <is>
          <t>KALMAR LÄN</t>
        </is>
      </c>
      <c r="E26" t="inlineStr">
        <is>
          <t>BORGHOLM</t>
        </is>
      </c>
      <c r="F26" t="inlineStr">
        <is>
          <t>Sveaskog</t>
        </is>
      </c>
      <c r="G26" t="n">
        <v>4.1</v>
      </c>
      <c r="H26" t="n">
        <v>2</v>
      </c>
      <c r="I26" t="n">
        <v>1</v>
      </c>
      <c r="J26" t="n">
        <v>1</v>
      </c>
      <c r="K26" t="n">
        <v>0</v>
      </c>
      <c r="L26" t="n">
        <v>0</v>
      </c>
      <c r="M26" t="n">
        <v>0</v>
      </c>
      <c r="N26" t="n">
        <v>0</v>
      </c>
      <c r="O26" t="n">
        <v>1</v>
      </c>
      <c r="P26" t="n">
        <v>0</v>
      </c>
      <c r="Q26" t="n">
        <v>2</v>
      </c>
      <c r="R26" s="2" t="inlineStr">
        <is>
          <t>Havsörn
Skogsknipprot</t>
        </is>
      </c>
      <c r="S26">
        <f>HYPERLINK("https://klasma.github.io/Logging_0885/artfynd/A 28779-2025 artfynd.xlsx", "A 28779-2025")</f>
        <v/>
      </c>
      <c r="T26">
        <f>HYPERLINK("https://klasma.github.io/Logging_0885/kartor/A 28779-2025 karta.png", "A 28779-2025")</f>
        <v/>
      </c>
      <c r="V26">
        <f>HYPERLINK("https://klasma.github.io/Logging_0885/klagomål/A 28779-2025 FSC-klagomål.docx", "A 28779-2025")</f>
        <v/>
      </c>
      <c r="W26">
        <f>HYPERLINK("https://klasma.github.io/Logging_0885/klagomålsmail/A 28779-2025 FSC-klagomål mail.docx", "A 28779-2025")</f>
        <v/>
      </c>
      <c r="X26">
        <f>HYPERLINK("https://klasma.github.io/Logging_0885/tillsyn/A 28779-2025 tillsynsbegäran.docx", "A 28779-2025")</f>
        <v/>
      </c>
      <c r="Y26">
        <f>HYPERLINK("https://klasma.github.io/Logging_0885/tillsynsmail/A 28779-2025 tillsynsbegäran mail.docx", "A 28779-2025")</f>
        <v/>
      </c>
      <c r="Z26">
        <f>HYPERLINK("https://klasma.github.io/Logging_0885/fåglar/A 28779-2025 prioriterade fågelarter.docx", "A 28779-2025")</f>
        <v/>
      </c>
    </row>
    <row r="27" ht="15" customHeight="1">
      <c r="A27" t="inlineStr">
        <is>
          <t>A 34944-2022</t>
        </is>
      </c>
      <c r="B27" s="1" t="n">
        <v>44796</v>
      </c>
      <c r="C27" s="1" t="n">
        <v>45965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4164-2023</t>
        </is>
      </c>
      <c r="B28" s="1" t="n">
        <v>44953</v>
      </c>
      <c r="C28" s="1" t="n">
        <v>45965</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43756-2022</t>
        </is>
      </c>
      <c r="B29" s="1" t="n">
        <v>44837</v>
      </c>
      <c r="C29" s="1" t="n">
        <v>45965</v>
      </c>
      <c r="D29" t="inlineStr">
        <is>
          <t>KALMAR LÄN</t>
        </is>
      </c>
      <c r="E29" t="inlineStr">
        <is>
          <t>BORGHOLM</t>
        </is>
      </c>
      <c r="G29" t="n">
        <v>2.2</v>
      </c>
      <c r="H29" t="n">
        <v>1</v>
      </c>
      <c r="I29" t="n">
        <v>1</v>
      </c>
      <c r="J29" t="n">
        <v>0</v>
      </c>
      <c r="K29" t="n">
        <v>0</v>
      </c>
      <c r="L29" t="n">
        <v>0</v>
      </c>
      <c r="M29" t="n">
        <v>0</v>
      </c>
      <c r="N29" t="n">
        <v>0</v>
      </c>
      <c r="O29" t="n">
        <v>0</v>
      </c>
      <c r="P29" t="n">
        <v>0</v>
      </c>
      <c r="Q29" t="n">
        <v>2</v>
      </c>
      <c r="R29" s="2" t="inlineStr">
        <is>
          <t>Murgröna
Blåsippa</t>
        </is>
      </c>
      <c r="S29">
        <f>HYPERLINK("https://klasma.github.io/Logging_0885/artfynd/A 43756-2022 artfynd.xlsx", "A 43756-2022")</f>
        <v/>
      </c>
      <c r="T29">
        <f>HYPERLINK("https://klasma.github.io/Logging_0885/kartor/A 43756-2022 karta.png", "A 43756-2022")</f>
        <v/>
      </c>
      <c r="V29">
        <f>HYPERLINK("https://klasma.github.io/Logging_0885/klagomål/A 43756-2022 FSC-klagomål.docx", "A 43756-2022")</f>
        <v/>
      </c>
      <c r="W29">
        <f>HYPERLINK("https://klasma.github.io/Logging_0885/klagomålsmail/A 43756-2022 FSC-klagomål mail.docx", "A 43756-2022")</f>
        <v/>
      </c>
      <c r="X29">
        <f>HYPERLINK("https://klasma.github.io/Logging_0885/tillsyn/A 43756-2022 tillsynsbegäran.docx", "A 43756-2022")</f>
        <v/>
      </c>
      <c r="Y29">
        <f>HYPERLINK("https://klasma.github.io/Logging_0885/tillsynsmail/A 43756-2022 tillsynsbegäran mail.docx", "A 43756-2022")</f>
        <v/>
      </c>
    </row>
    <row r="30" ht="15" customHeight="1">
      <c r="A30" t="inlineStr">
        <is>
          <t>A 3871-2021</t>
        </is>
      </c>
      <c r="B30" s="1" t="n">
        <v>44222</v>
      </c>
      <c r="C30" s="1" t="n">
        <v>45965</v>
      </c>
      <c r="D30" t="inlineStr">
        <is>
          <t>KALMAR LÄN</t>
        </is>
      </c>
      <c r="E30" t="inlineStr">
        <is>
          <t>BORGHOLM</t>
        </is>
      </c>
      <c r="G30" t="n">
        <v>1.7</v>
      </c>
      <c r="H30" t="n">
        <v>0</v>
      </c>
      <c r="I30" t="n">
        <v>1</v>
      </c>
      <c r="J30" t="n">
        <v>0</v>
      </c>
      <c r="K30" t="n">
        <v>0</v>
      </c>
      <c r="L30" t="n">
        <v>0</v>
      </c>
      <c r="M30" t="n">
        <v>0</v>
      </c>
      <c r="N30" t="n">
        <v>0</v>
      </c>
      <c r="O30" t="n">
        <v>0</v>
      </c>
      <c r="P30" t="n">
        <v>0</v>
      </c>
      <c r="Q30" t="n">
        <v>1</v>
      </c>
      <c r="R30" s="2" t="inlineStr">
        <is>
          <t>Scharlakansskål</t>
        </is>
      </c>
      <c r="S30">
        <f>HYPERLINK("https://klasma.github.io/Logging_0885/artfynd/A 3871-2021 artfynd.xlsx", "A 3871-2021")</f>
        <v/>
      </c>
      <c r="T30">
        <f>HYPERLINK("https://klasma.github.io/Logging_0885/kartor/A 3871-2021 karta.png", "A 3871-2021")</f>
        <v/>
      </c>
      <c r="V30">
        <f>HYPERLINK("https://klasma.github.io/Logging_0885/klagomål/A 3871-2021 FSC-klagomål.docx", "A 3871-2021")</f>
        <v/>
      </c>
      <c r="W30">
        <f>HYPERLINK("https://klasma.github.io/Logging_0885/klagomålsmail/A 3871-2021 FSC-klagomål mail.docx", "A 3871-2021")</f>
        <v/>
      </c>
      <c r="X30">
        <f>HYPERLINK("https://klasma.github.io/Logging_0885/tillsyn/A 3871-2021 tillsynsbegäran.docx", "A 3871-2021")</f>
        <v/>
      </c>
      <c r="Y30">
        <f>HYPERLINK("https://klasma.github.io/Logging_0885/tillsynsmail/A 3871-2021 tillsynsbegäran mail.docx", "A 3871-2021")</f>
        <v/>
      </c>
    </row>
    <row r="31" ht="15" customHeight="1">
      <c r="A31" t="inlineStr">
        <is>
          <t>A 31790-2021</t>
        </is>
      </c>
      <c r="B31" s="1" t="n">
        <v>44370</v>
      </c>
      <c r="C31" s="1" t="n">
        <v>45965</v>
      </c>
      <c r="D31" t="inlineStr">
        <is>
          <t>KALMAR LÄN</t>
        </is>
      </c>
      <c r="E31" t="inlineStr">
        <is>
          <t>BORGHOLM</t>
        </is>
      </c>
      <c r="F31" t="inlineStr">
        <is>
          <t>Sveaskog</t>
        </is>
      </c>
      <c r="G31" t="n">
        <v>3.3</v>
      </c>
      <c r="H31" t="n">
        <v>1</v>
      </c>
      <c r="I31" t="n">
        <v>1</v>
      </c>
      <c r="J31" t="n">
        <v>0</v>
      </c>
      <c r="K31" t="n">
        <v>0</v>
      </c>
      <c r="L31" t="n">
        <v>0</v>
      </c>
      <c r="M31" t="n">
        <v>0</v>
      </c>
      <c r="N31" t="n">
        <v>0</v>
      </c>
      <c r="O31" t="n">
        <v>0</v>
      </c>
      <c r="P31" t="n">
        <v>0</v>
      </c>
      <c r="Q31" t="n">
        <v>1</v>
      </c>
      <c r="R31" s="2" t="inlineStr">
        <is>
          <t>Skogsknipprot</t>
        </is>
      </c>
      <c r="S31">
        <f>HYPERLINK("https://klasma.github.io/Logging_0885/artfynd/A 31790-2021 artfynd.xlsx", "A 31790-2021")</f>
        <v/>
      </c>
      <c r="T31">
        <f>HYPERLINK("https://klasma.github.io/Logging_0885/kartor/A 31790-2021 karta.png", "A 31790-2021")</f>
        <v/>
      </c>
      <c r="V31">
        <f>HYPERLINK("https://klasma.github.io/Logging_0885/klagomål/A 31790-2021 FSC-klagomål.docx", "A 31790-2021")</f>
        <v/>
      </c>
      <c r="W31">
        <f>HYPERLINK("https://klasma.github.io/Logging_0885/klagomålsmail/A 31790-2021 FSC-klagomål mail.docx", "A 31790-2021")</f>
        <v/>
      </c>
      <c r="X31">
        <f>HYPERLINK("https://klasma.github.io/Logging_0885/tillsyn/A 31790-2021 tillsynsbegäran.docx", "A 31790-2021")</f>
        <v/>
      </c>
      <c r="Y31">
        <f>HYPERLINK("https://klasma.github.io/Logging_0885/tillsynsmail/A 31790-2021 tillsynsbegäran mail.docx", "A 31790-2021")</f>
        <v/>
      </c>
    </row>
    <row r="32" ht="15" customHeight="1">
      <c r="A32" t="inlineStr">
        <is>
          <t>A 31295-2022</t>
        </is>
      </c>
      <c r="B32" s="1" t="n">
        <v>44772</v>
      </c>
      <c r="C32" s="1" t="n">
        <v>45965</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66329-2020</t>
        </is>
      </c>
      <c r="B33" s="1" t="n">
        <v>44176</v>
      </c>
      <c r="C33" s="1" t="n">
        <v>45965</v>
      </c>
      <c r="D33" t="inlineStr">
        <is>
          <t>KALMAR LÄN</t>
        </is>
      </c>
      <c r="E33" t="inlineStr">
        <is>
          <t>BORGHOLM</t>
        </is>
      </c>
      <c r="G33" t="n">
        <v>7.4</v>
      </c>
      <c r="H33" t="n">
        <v>0</v>
      </c>
      <c r="I33" t="n">
        <v>0</v>
      </c>
      <c r="J33" t="n">
        <v>1</v>
      </c>
      <c r="K33" t="n">
        <v>0</v>
      </c>
      <c r="L33" t="n">
        <v>0</v>
      </c>
      <c r="M33" t="n">
        <v>0</v>
      </c>
      <c r="N33" t="n">
        <v>0</v>
      </c>
      <c r="O33" t="n">
        <v>1</v>
      </c>
      <c r="P33" t="n">
        <v>0</v>
      </c>
      <c r="Q33" t="n">
        <v>1</v>
      </c>
      <c r="R33" s="2" t="inlineStr">
        <is>
          <t>Säfferot</t>
        </is>
      </c>
      <c r="S33">
        <f>HYPERLINK("https://klasma.github.io/Logging_0885/artfynd/A 66329-2020 artfynd.xlsx", "A 66329-2020")</f>
        <v/>
      </c>
      <c r="T33">
        <f>HYPERLINK("https://klasma.github.io/Logging_0885/kartor/A 66329-2020 karta.png", "A 66329-2020")</f>
        <v/>
      </c>
      <c r="V33">
        <f>HYPERLINK("https://klasma.github.io/Logging_0885/klagomål/A 66329-2020 FSC-klagomål.docx", "A 66329-2020")</f>
        <v/>
      </c>
      <c r="W33">
        <f>HYPERLINK("https://klasma.github.io/Logging_0885/klagomålsmail/A 66329-2020 FSC-klagomål mail.docx", "A 66329-2020")</f>
        <v/>
      </c>
      <c r="X33">
        <f>HYPERLINK("https://klasma.github.io/Logging_0885/tillsyn/A 66329-2020 tillsynsbegäran.docx", "A 66329-2020")</f>
        <v/>
      </c>
      <c r="Y33">
        <f>HYPERLINK("https://klasma.github.io/Logging_0885/tillsynsmail/A 66329-2020 tillsynsbegäran mail.docx", "A 66329-2020")</f>
        <v/>
      </c>
    </row>
    <row r="34" ht="15" customHeight="1">
      <c r="A34" t="inlineStr">
        <is>
          <t>A 14789-2021</t>
        </is>
      </c>
      <c r="B34" s="1" t="n">
        <v>44280</v>
      </c>
      <c r="C34" s="1" t="n">
        <v>45965</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24701-2023</t>
        </is>
      </c>
      <c r="B35" s="1" t="n">
        <v>45084</v>
      </c>
      <c r="C35" s="1" t="n">
        <v>45965</v>
      </c>
      <c r="D35" t="inlineStr">
        <is>
          <t>KALMAR LÄN</t>
        </is>
      </c>
      <c r="E35" t="inlineStr">
        <is>
          <t>BORGHOLM</t>
        </is>
      </c>
      <c r="G35" t="n">
        <v>3</v>
      </c>
      <c r="H35" t="n">
        <v>0</v>
      </c>
      <c r="I35" t="n">
        <v>0</v>
      </c>
      <c r="J35" t="n">
        <v>0</v>
      </c>
      <c r="K35" t="n">
        <v>0</v>
      </c>
      <c r="L35" t="n">
        <v>1</v>
      </c>
      <c r="M35" t="n">
        <v>0</v>
      </c>
      <c r="N35" t="n">
        <v>0</v>
      </c>
      <c r="O35" t="n">
        <v>1</v>
      </c>
      <c r="P35" t="n">
        <v>1</v>
      </c>
      <c r="Q35" t="n">
        <v>1</v>
      </c>
      <c r="R35" s="2" t="inlineStr">
        <is>
          <t>Ask</t>
        </is>
      </c>
      <c r="S35">
        <f>HYPERLINK("https://klasma.github.io/Logging_0885/artfynd/A 24701-2023 artfynd.xlsx", "A 24701-2023")</f>
        <v/>
      </c>
      <c r="T35">
        <f>HYPERLINK("https://klasma.github.io/Logging_0885/kartor/A 24701-2023 karta.png", "A 24701-2023")</f>
        <v/>
      </c>
      <c r="V35">
        <f>HYPERLINK("https://klasma.github.io/Logging_0885/klagomål/A 24701-2023 FSC-klagomål.docx", "A 24701-2023")</f>
        <v/>
      </c>
      <c r="W35">
        <f>HYPERLINK("https://klasma.github.io/Logging_0885/klagomålsmail/A 24701-2023 FSC-klagomål mail.docx", "A 24701-2023")</f>
        <v/>
      </c>
      <c r="X35">
        <f>HYPERLINK("https://klasma.github.io/Logging_0885/tillsyn/A 24701-2023 tillsynsbegäran.docx", "A 24701-2023")</f>
        <v/>
      </c>
      <c r="Y35">
        <f>HYPERLINK("https://klasma.github.io/Logging_0885/tillsynsmail/A 24701-2023 tillsynsbegäran mail.docx", "A 24701-2023")</f>
        <v/>
      </c>
    </row>
    <row r="36" ht="15" customHeight="1">
      <c r="A36" t="inlineStr">
        <is>
          <t>A 9745-2023</t>
        </is>
      </c>
      <c r="B36" s="1" t="n">
        <v>44984</v>
      </c>
      <c r="C36" s="1" t="n">
        <v>45965</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45965</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24704-2023</t>
        </is>
      </c>
      <c r="B38" s="1" t="n">
        <v>45084</v>
      </c>
      <c r="C38" s="1" t="n">
        <v>45965</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45693-2025</t>
        </is>
      </c>
      <c r="B39" s="1" t="n">
        <v>45923</v>
      </c>
      <c r="C39" s="1" t="n">
        <v>45965</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12785-2021</t>
        </is>
      </c>
      <c r="B40" s="1" t="n">
        <v>44270</v>
      </c>
      <c r="C40" s="1" t="n">
        <v>45965</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24048-2025</t>
        </is>
      </c>
      <c r="B41" s="1" t="n">
        <v>45796.4959375</v>
      </c>
      <c r="C41" s="1" t="n">
        <v>45965</v>
      </c>
      <c r="D41" t="inlineStr">
        <is>
          <t>KALMAR LÄN</t>
        </is>
      </c>
      <c r="E41" t="inlineStr">
        <is>
          <t>BORGHOLM</t>
        </is>
      </c>
      <c r="G41" t="n">
        <v>2</v>
      </c>
      <c r="H41" t="n">
        <v>0</v>
      </c>
      <c r="I41" t="n">
        <v>0</v>
      </c>
      <c r="J41" t="n">
        <v>1</v>
      </c>
      <c r="K41" t="n">
        <v>0</v>
      </c>
      <c r="L41" t="n">
        <v>0</v>
      </c>
      <c r="M41" t="n">
        <v>0</v>
      </c>
      <c r="N41" t="n">
        <v>0</v>
      </c>
      <c r="O41" t="n">
        <v>1</v>
      </c>
      <c r="P41" t="n">
        <v>0</v>
      </c>
      <c r="Q41" t="n">
        <v>1</v>
      </c>
      <c r="R41" s="2" t="inlineStr">
        <is>
          <t>Loppstarr</t>
        </is>
      </c>
      <c r="S41">
        <f>HYPERLINK("https://klasma.github.io/Logging_0885/artfynd/A 24048-2025 artfynd.xlsx", "A 24048-2025")</f>
        <v/>
      </c>
      <c r="T41">
        <f>HYPERLINK("https://klasma.github.io/Logging_0885/kartor/A 24048-2025 karta.png", "A 24048-2025")</f>
        <v/>
      </c>
      <c r="V41">
        <f>HYPERLINK("https://klasma.github.io/Logging_0885/klagomål/A 24048-2025 FSC-klagomål.docx", "A 24048-2025")</f>
        <v/>
      </c>
      <c r="W41">
        <f>HYPERLINK("https://klasma.github.io/Logging_0885/klagomålsmail/A 24048-2025 FSC-klagomål mail.docx", "A 24048-2025")</f>
        <v/>
      </c>
      <c r="X41">
        <f>HYPERLINK("https://klasma.github.io/Logging_0885/tillsyn/A 24048-2025 tillsynsbegäran.docx", "A 24048-2025")</f>
        <v/>
      </c>
      <c r="Y41">
        <f>HYPERLINK("https://klasma.github.io/Logging_0885/tillsynsmail/A 24048-2025 tillsynsbegäran mail.docx", "A 24048-2025")</f>
        <v/>
      </c>
    </row>
    <row r="42" ht="15" customHeight="1">
      <c r="A42" t="inlineStr">
        <is>
          <t>A 41640-2023</t>
        </is>
      </c>
      <c r="B42" s="1" t="n">
        <v>45175</v>
      </c>
      <c r="C42" s="1" t="n">
        <v>45965</v>
      </c>
      <c r="D42" t="inlineStr">
        <is>
          <t>KALMAR LÄN</t>
        </is>
      </c>
      <c r="E42" t="inlineStr">
        <is>
          <t>BORGHOLM</t>
        </is>
      </c>
      <c r="G42" t="n">
        <v>5</v>
      </c>
      <c r="H42" t="n">
        <v>1</v>
      </c>
      <c r="I42" t="n">
        <v>0</v>
      </c>
      <c r="J42" t="n">
        <v>0</v>
      </c>
      <c r="K42" t="n">
        <v>0</v>
      </c>
      <c r="L42" t="n">
        <v>0</v>
      </c>
      <c r="M42" t="n">
        <v>0</v>
      </c>
      <c r="N42" t="n">
        <v>0</v>
      </c>
      <c r="O42" t="n">
        <v>0</v>
      </c>
      <c r="P42" t="n">
        <v>0</v>
      </c>
      <c r="Q42" t="n">
        <v>1</v>
      </c>
      <c r="R42" s="2" t="inlineStr">
        <is>
          <t>Johannesnycklar</t>
        </is>
      </c>
      <c r="S42">
        <f>HYPERLINK("https://klasma.github.io/Logging_0885/artfynd/A 41640-2023 artfynd.xlsx", "A 41640-2023")</f>
        <v/>
      </c>
      <c r="T42">
        <f>HYPERLINK("https://klasma.github.io/Logging_0885/kartor/A 41640-2023 karta.png", "A 41640-2023")</f>
        <v/>
      </c>
      <c r="V42">
        <f>HYPERLINK("https://klasma.github.io/Logging_0885/klagomål/A 41640-2023 FSC-klagomål.docx", "A 41640-2023")</f>
        <v/>
      </c>
      <c r="W42">
        <f>HYPERLINK("https://klasma.github.io/Logging_0885/klagomålsmail/A 41640-2023 FSC-klagomål mail.docx", "A 41640-2023")</f>
        <v/>
      </c>
      <c r="X42">
        <f>HYPERLINK("https://klasma.github.io/Logging_0885/tillsyn/A 41640-2023 tillsynsbegäran.docx", "A 41640-2023")</f>
        <v/>
      </c>
      <c r="Y42">
        <f>HYPERLINK("https://klasma.github.io/Logging_0885/tillsynsmail/A 41640-2023 tillsynsbegäran mail.docx", "A 41640-2023")</f>
        <v/>
      </c>
    </row>
    <row r="43" ht="15" customHeight="1">
      <c r="A43" t="inlineStr">
        <is>
          <t>A 13558-2025</t>
        </is>
      </c>
      <c r="B43" s="1" t="n">
        <v>45736.54974537037</v>
      </c>
      <c r="C43" s="1" t="n">
        <v>45965</v>
      </c>
      <c r="D43" t="inlineStr">
        <is>
          <t>KALMAR LÄN</t>
        </is>
      </c>
      <c r="E43" t="inlineStr">
        <is>
          <t>BORGHOLM</t>
        </is>
      </c>
      <c r="G43" t="n">
        <v>0.7</v>
      </c>
      <c r="H43" t="n">
        <v>0</v>
      </c>
      <c r="I43" t="n">
        <v>0</v>
      </c>
      <c r="J43" t="n">
        <v>1</v>
      </c>
      <c r="K43" t="n">
        <v>0</v>
      </c>
      <c r="L43" t="n">
        <v>0</v>
      </c>
      <c r="M43" t="n">
        <v>0</v>
      </c>
      <c r="N43" t="n">
        <v>0</v>
      </c>
      <c r="O43" t="n">
        <v>1</v>
      </c>
      <c r="P43" t="n">
        <v>0</v>
      </c>
      <c r="Q43" t="n">
        <v>1</v>
      </c>
      <c r="R43" s="2" t="inlineStr">
        <is>
          <t>Backruta</t>
        </is>
      </c>
      <c r="S43">
        <f>HYPERLINK("https://klasma.github.io/Logging_0885/artfynd/A 13558-2025 artfynd.xlsx", "A 13558-2025")</f>
        <v/>
      </c>
      <c r="T43">
        <f>HYPERLINK("https://klasma.github.io/Logging_0885/kartor/A 13558-2025 karta.png", "A 13558-2025")</f>
        <v/>
      </c>
      <c r="V43">
        <f>HYPERLINK("https://klasma.github.io/Logging_0885/klagomål/A 13558-2025 FSC-klagomål.docx", "A 13558-2025")</f>
        <v/>
      </c>
      <c r="W43">
        <f>HYPERLINK("https://klasma.github.io/Logging_0885/klagomålsmail/A 13558-2025 FSC-klagomål mail.docx", "A 13558-2025")</f>
        <v/>
      </c>
      <c r="X43">
        <f>HYPERLINK("https://klasma.github.io/Logging_0885/tillsyn/A 13558-2025 tillsynsbegäran.docx", "A 13558-2025")</f>
        <v/>
      </c>
      <c r="Y43">
        <f>HYPERLINK("https://klasma.github.io/Logging_0885/tillsynsmail/A 13558-2025 tillsynsbegäran mail.docx", "A 13558-2025")</f>
        <v/>
      </c>
    </row>
    <row r="44" ht="15" customHeight="1">
      <c r="A44" t="inlineStr">
        <is>
          <t>A 28785-2025</t>
        </is>
      </c>
      <c r="B44" s="1" t="n">
        <v>45820.46159722222</v>
      </c>
      <c r="C44" s="1" t="n">
        <v>45965</v>
      </c>
      <c r="D44" t="inlineStr">
        <is>
          <t>KALMAR LÄN</t>
        </is>
      </c>
      <c r="E44" t="inlineStr">
        <is>
          <t>BORGHOLM</t>
        </is>
      </c>
      <c r="F44" t="inlineStr">
        <is>
          <t>Sveaskog</t>
        </is>
      </c>
      <c r="G44" t="n">
        <v>2.3</v>
      </c>
      <c r="H44" t="n">
        <v>1</v>
      </c>
      <c r="I44" t="n">
        <v>0</v>
      </c>
      <c r="J44" t="n">
        <v>1</v>
      </c>
      <c r="K44" t="n">
        <v>0</v>
      </c>
      <c r="L44" t="n">
        <v>0</v>
      </c>
      <c r="M44" t="n">
        <v>0</v>
      </c>
      <c r="N44" t="n">
        <v>0</v>
      </c>
      <c r="O44" t="n">
        <v>1</v>
      </c>
      <c r="P44" t="n">
        <v>0</v>
      </c>
      <c r="Q44" t="n">
        <v>1</v>
      </c>
      <c r="R44" s="2" t="inlineStr">
        <is>
          <t>Havsörn</t>
        </is>
      </c>
      <c r="S44">
        <f>HYPERLINK("https://klasma.github.io/Logging_0885/artfynd/A 28785-2025 artfynd.xlsx", "A 28785-2025")</f>
        <v/>
      </c>
      <c r="T44">
        <f>HYPERLINK("https://klasma.github.io/Logging_0885/kartor/A 28785-2025 karta.png", "A 28785-2025")</f>
        <v/>
      </c>
      <c r="V44">
        <f>HYPERLINK("https://klasma.github.io/Logging_0885/klagomål/A 28785-2025 FSC-klagomål.docx", "A 28785-2025")</f>
        <v/>
      </c>
      <c r="W44">
        <f>HYPERLINK("https://klasma.github.io/Logging_0885/klagomålsmail/A 28785-2025 FSC-klagomål mail.docx", "A 28785-2025")</f>
        <v/>
      </c>
      <c r="X44">
        <f>HYPERLINK("https://klasma.github.io/Logging_0885/tillsyn/A 28785-2025 tillsynsbegäran.docx", "A 28785-2025")</f>
        <v/>
      </c>
      <c r="Y44">
        <f>HYPERLINK("https://klasma.github.io/Logging_0885/tillsynsmail/A 28785-2025 tillsynsbegäran mail.docx", "A 28785-2025")</f>
        <v/>
      </c>
      <c r="Z44">
        <f>HYPERLINK("https://klasma.github.io/Logging_0885/fåglar/A 28785-2025 prioriterade fågelarter.docx", "A 28785-2025")</f>
        <v/>
      </c>
    </row>
    <row r="45" ht="15" customHeight="1">
      <c r="A45" t="inlineStr">
        <is>
          <t>A 29962-2025</t>
        </is>
      </c>
      <c r="B45" s="1" t="n">
        <v>45826.48184027777</v>
      </c>
      <c r="C45" s="1" t="n">
        <v>45965</v>
      </c>
      <c r="D45" t="inlineStr">
        <is>
          <t>KALMAR LÄN</t>
        </is>
      </c>
      <c r="E45" t="inlineStr">
        <is>
          <t>BORGHOLM</t>
        </is>
      </c>
      <c r="G45" t="n">
        <v>3.3</v>
      </c>
      <c r="H45" t="n">
        <v>1</v>
      </c>
      <c r="I45" t="n">
        <v>0</v>
      </c>
      <c r="J45" t="n">
        <v>0</v>
      </c>
      <c r="K45" t="n">
        <v>0</v>
      </c>
      <c r="L45" t="n">
        <v>0</v>
      </c>
      <c r="M45" t="n">
        <v>0</v>
      </c>
      <c r="N45" t="n">
        <v>0</v>
      </c>
      <c r="O45" t="n">
        <v>0</v>
      </c>
      <c r="P45" t="n">
        <v>0</v>
      </c>
      <c r="Q45" t="n">
        <v>1</v>
      </c>
      <c r="R45" s="2" t="inlineStr">
        <is>
          <t>Grönvit nattviol</t>
        </is>
      </c>
      <c r="S45">
        <f>HYPERLINK("https://klasma.github.io/Logging_0885/artfynd/A 29962-2025 artfynd.xlsx", "A 29962-2025")</f>
        <v/>
      </c>
      <c r="T45">
        <f>HYPERLINK("https://klasma.github.io/Logging_0885/kartor/A 29962-2025 karta.png", "A 29962-2025")</f>
        <v/>
      </c>
      <c r="V45">
        <f>HYPERLINK("https://klasma.github.io/Logging_0885/klagomål/A 29962-2025 FSC-klagomål.docx", "A 29962-2025")</f>
        <v/>
      </c>
      <c r="W45">
        <f>HYPERLINK("https://klasma.github.io/Logging_0885/klagomålsmail/A 29962-2025 FSC-klagomål mail.docx", "A 29962-2025")</f>
        <v/>
      </c>
      <c r="X45">
        <f>HYPERLINK("https://klasma.github.io/Logging_0885/tillsyn/A 29962-2025 tillsynsbegäran.docx", "A 29962-2025")</f>
        <v/>
      </c>
      <c r="Y45">
        <f>HYPERLINK("https://klasma.github.io/Logging_0885/tillsynsmail/A 29962-2025 tillsynsbegäran mail.docx", "A 29962-2025")</f>
        <v/>
      </c>
    </row>
    <row r="46" ht="15" customHeight="1">
      <c r="A46" t="inlineStr">
        <is>
          <t>A 34885-2025</t>
        </is>
      </c>
      <c r="B46" s="1" t="n">
        <v>45849.47128472223</v>
      </c>
      <c r="C46" s="1" t="n">
        <v>45965</v>
      </c>
      <c r="D46" t="inlineStr">
        <is>
          <t>KALMAR LÄN</t>
        </is>
      </c>
      <c r="E46" t="inlineStr">
        <is>
          <t>BORGHOLM</t>
        </is>
      </c>
      <c r="G46" t="n">
        <v>4.4</v>
      </c>
      <c r="H46" t="n">
        <v>0</v>
      </c>
      <c r="I46" t="n">
        <v>0</v>
      </c>
      <c r="J46" t="n">
        <v>1</v>
      </c>
      <c r="K46" t="n">
        <v>0</v>
      </c>
      <c r="L46" t="n">
        <v>0</v>
      </c>
      <c r="M46" t="n">
        <v>0</v>
      </c>
      <c r="N46" t="n">
        <v>0</v>
      </c>
      <c r="O46" t="n">
        <v>1</v>
      </c>
      <c r="P46" t="n">
        <v>0</v>
      </c>
      <c r="Q46" t="n">
        <v>1</v>
      </c>
      <c r="R46" s="2" t="inlineStr">
        <is>
          <t>Backfryle</t>
        </is>
      </c>
      <c r="S46">
        <f>HYPERLINK("https://klasma.github.io/Logging_0885/artfynd/A 34885-2025 artfynd.xlsx", "A 34885-2025")</f>
        <v/>
      </c>
      <c r="T46">
        <f>HYPERLINK("https://klasma.github.io/Logging_0885/kartor/A 34885-2025 karta.png", "A 34885-2025")</f>
        <v/>
      </c>
      <c r="V46">
        <f>HYPERLINK("https://klasma.github.io/Logging_0885/klagomål/A 34885-2025 FSC-klagomål.docx", "A 34885-2025")</f>
        <v/>
      </c>
      <c r="W46">
        <f>HYPERLINK("https://klasma.github.io/Logging_0885/klagomålsmail/A 34885-2025 FSC-klagomål mail.docx", "A 34885-2025")</f>
        <v/>
      </c>
      <c r="X46">
        <f>HYPERLINK("https://klasma.github.io/Logging_0885/tillsyn/A 34885-2025 tillsynsbegäran.docx", "A 34885-2025")</f>
        <v/>
      </c>
      <c r="Y46">
        <f>HYPERLINK("https://klasma.github.io/Logging_0885/tillsynsmail/A 34885-2025 tillsynsbegäran mail.docx", "A 34885-2025")</f>
        <v/>
      </c>
    </row>
    <row r="47" ht="15" customHeight="1">
      <c r="A47" t="inlineStr">
        <is>
          <t>A 58113-2020</t>
        </is>
      </c>
      <c r="B47" s="1" t="n">
        <v>44144</v>
      </c>
      <c r="C47" s="1" t="n">
        <v>45965</v>
      </c>
      <c r="D47" t="inlineStr">
        <is>
          <t>KALMAR LÄN</t>
        </is>
      </c>
      <c r="E47" t="inlineStr">
        <is>
          <t>BORGHOLM</t>
        </is>
      </c>
      <c r="F47" t="inlineStr">
        <is>
          <t>Sveaskog</t>
        </is>
      </c>
      <c r="G47" t="n">
        <v>3</v>
      </c>
      <c r="H47" t="n">
        <v>0</v>
      </c>
      <c r="I47" t="n">
        <v>0</v>
      </c>
      <c r="J47" t="n">
        <v>0</v>
      </c>
      <c r="K47" t="n">
        <v>0</v>
      </c>
      <c r="L47" t="n">
        <v>0</v>
      </c>
      <c r="M47" t="n">
        <v>0</v>
      </c>
      <c r="N47" t="n">
        <v>0</v>
      </c>
      <c r="O47" t="n">
        <v>0</v>
      </c>
      <c r="P47" t="n">
        <v>0</v>
      </c>
      <c r="Q47" t="n">
        <v>0</v>
      </c>
      <c r="R47" s="2" t="inlineStr"/>
    </row>
    <row r="48" ht="15" customHeight="1">
      <c r="A48" t="inlineStr">
        <is>
          <t>A 12711-2021</t>
        </is>
      </c>
      <c r="B48" s="1" t="n">
        <v>44270</v>
      </c>
      <c r="C48" s="1" t="n">
        <v>45965</v>
      </c>
      <c r="D48" t="inlineStr">
        <is>
          <t>KALMAR LÄN</t>
        </is>
      </c>
      <c r="E48" t="inlineStr">
        <is>
          <t>BORGHOLM</t>
        </is>
      </c>
      <c r="G48" t="n">
        <v>1.3</v>
      </c>
      <c r="H48" t="n">
        <v>0</v>
      </c>
      <c r="I48" t="n">
        <v>0</v>
      </c>
      <c r="J48" t="n">
        <v>0</v>
      </c>
      <c r="K48" t="n">
        <v>0</v>
      </c>
      <c r="L48" t="n">
        <v>0</v>
      </c>
      <c r="M48" t="n">
        <v>0</v>
      </c>
      <c r="N48" t="n">
        <v>0</v>
      </c>
      <c r="O48" t="n">
        <v>0</v>
      </c>
      <c r="P48" t="n">
        <v>0</v>
      </c>
      <c r="Q48" t="n">
        <v>0</v>
      </c>
      <c r="R48" s="2" t="inlineStr"/>
    </row>
    <row r="49" ht="15" customHeight="1">
      <c r="A49" t="inlineStr">
        <is>
          <t>A 42761-2021</t>
        </is>
      </c>
      <c r="B49" s="1" t="n">
        <v>44428</v>
      </c>
      <c r="C49" s="1" t="n">
        <v>45965</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13325-2021</t>
        </is>
      </c>
      <c r="B50" s="1" t="n">
        <v>44273</v>
      </c>
      <c r="C50" s="1" t="n">
        <v>45965</v>
      </c>
      <c r="D50" t="inlineStr">
        <is>
          <t>KALMAR LÄN</t>
        </is>
      </c>
      <c r="E50" t="inlineStr">
        <is>
          <t>BORGHOLM</t>
        </is>
      </c>
      <c r="G50" t="n">
        <v>0.7</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45965</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45965</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45965</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45965</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45965</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45965</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45965</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45965</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45965</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45965</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62631-2021</t>
        </is>
      </c>
      <c r="B61" s="1" t="n">
        <v>44503</v>
      </c>
      <c r="C61" s="1" t="n">
        <v>45965</v>
      </c>
      <c r="D61" t="inlineStr">
        <is>
          <t>KALMAR LÄN</t>
        </is>
      </c>
      <c r="E61" t="inlineStr">
        <is>
          <t>BORGHOLM</t>
        </is>
      </c>
      <c r="G61" t="n">
        <v>1</v>
      </c>
      <c r="H61" t="n">
        <v>0</v>
      </c>
      <c r="I61" t="n">
        <v>0</v>
      </c>
      <c r="J61" t="n">
        <v>0</v>
      </c>
      <c r="K61" t="n">
        <v>0</v>
      </c>
      <c r="L61" t="n">
        <v>0</v>
      </c>
      <c r="M61" t="n">
        <v>0</v>
      </c>
      <c r="N61" t="n">
        <v>0</v>
      </c>
      <c r="O61" t="n">
        <v>0</v>
      </c>
      <c r="P61" t="n">
        <v>0</v>
      </c>
      <c r="Q61" t="n">
        <v>0</v>
      </c>
      <c r="R61" s="2" t="inlineStr"/>
    </row>
    <row r="62" ht="15" customHeight="1">
      <c r="A62" t="inlineStr">
        <is>
          <t>A 58253-2020</t>
        </is>
      </c>
      <c r="B62" s="1" t="n">
        <v>44144</v>
      </c>
      <c r="C62" s="1" t="n">
        <v>45965</v>
      </c>
      <c r="D62" t="inlineStr">
        <is>
          <t>KALMAR LÄN</t>
        </is>
      </c>
      <c r="E62" t="inlineStr">
        <is>
          <t>BORGHOLM</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32180-2022</t>
        </is>
      </c>
      <c r="B63" s="1" t="n">
        <v>44781</v>
      </c>
      <c r="C63" s="1" t="n">
        <v>45965</v>
      </c>
      <c r="D63" t="inlineStr">
        <is>
          <t>KALMAR LÄN</t>
        </is>
      </c>
      <c r="E63" t="inlineStr">
        <is>
          <t>BORGHOLM</t>
        </is>
      </c>
      <c r="F63" t="inlineStr">
        <is>
          <t>Sveaskog</t>
        </is>
      </c>
      <c r="G63" t="n">
        <v>0.9</v>
      </c>
      <c r="H63" t="n">
        <v>0</v>
      </c>
      <c r="I63" t="n">
        <v>0</v>
      </c>
      <c r="J63" t="n">
        <v>0</v>
      </c>
      <c r="K63" t="n">
        <v>0</v>
      </c>
      <c r="L63" t="n">
        <v>0</v>
      </c>
      <c r="M63" t="n">
        <v>0</v>
      </c>
      <c r="N63" t="n">
        <v>0</v>
      </c>
      <c r="O63" t="n">
        <v>0</v>
      </c>
      <c r="P63" t="n">
        <v>0</v>
      </c>
      <c r="Q63" t="n">
        <v>0</v>
      </c>
      <c r="R63" s="2" t="inlineStr"/>
    </row>
    <row r="64" ht="15" customHeight="1">
      <c r="A64" t="inlineStr">
        <is>
          <t>A 27437-2022</t>
        </is>
      </c>
      <c r="B64" s="1" t="n">
        <v>44742.55567129629</v>
      </c>
      <c r="C64" s="1" t="n">
        <v>45965</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31840-2021</t>
        </is>
      </c>
      <c r="B65" s="1" t="n">
        <v>44370</v>
      </c>
      <c r="C65" s="1" t="n">
        <v>45965</v>
      </c>
      <c r="D65" t="inlineStr">
        <is>
          <t>KALMAR LÄN</t>
        </is>
      </c>
      <c r="E65" t="inlineStr">
        <is>
          <t>BORGHOLM</t>
        </is>
      </c>
      <c r="F65" t="inlineStr">
        <is>
          <t>Sveaskog</t>
        </is>
      </c>
      <c r="G65" t="n">
        <v>2.8</v>
      </c>
      <c r="H65" t="n">
        <v>0</v>
      </c>
      <c r="I65" t="n">
        <v>0</v>
      </c>
      <c r="J65" t="n">
        <v>0</v>
      </c>
      <c r="K65" t="n">
        <v>0</v>
      </c>
      <c r="L65" t="n">
        <v>0</v>
      </c>
      <c r="M65" t="n">
        <v>0</v>
      </c>
      <c r="N65" t="n">
        <v>0</v>
      </c>
      <c r="O65" t="n">
        <v>0</v>
      </c>
      <c r="P65" t="n">
        <v>0</v>
      </c>
      <c r="Q65" t="n">
        <v>0</v>
      </c>
      <c r="R65" s="2" t="inlineStr"/>
    </row>
    <row r="66" ht="15" customHeight="1">
      <c r="A66" t="inlineStr">
        <is>
          <t>A 31699-2022</t>
        </is>
      </c>
      <c r="B66" s="1" t="n">
        <v>44776</v>
      </c>
      <c r="C66" s="1" t="n">
        <v>45965</v>
      </c>
      <c r="D66" t="inlineStr">
        <is>
          <t>KALMAR LÄN</t>
        </is>
      </c>
      <c r="E66" t="inlineStr">
        <is>
          <t>BORGHOLM</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12937-2022</t>
        </is>
      </c>
      <c r="B67" s="1" t="n">
        <v>44642</v>
      </c>
      <c r="C67" s="1" t="n">
        <v>45965</v>
      </c>
      <c r="D67" t="inlineStr">
        <is>
          <t>KALMAR LÄN</t>
        </is>
      </c>
      <c r="E67" t="inlineStr">
        <is>
          <t>BORGHOLM</t>
        </is>
      </c>
      <c r="F67" t="inlineStr">
        <is>
          <t>Sveaskog</t>
        </is>
      </c>
      <c r="G67" t="n">
        <v>1.8</v>
      </c>
      <c r="H67" t="n">
        <v>0</v>
      </c>
      <c r="I67" t="n">
        <v>0</v>
      </c>
      <c r="J67" t="n">
        <v>0</v>
      </c>
      <c r="K67" t="n">
        <v>0</v>
      </c>
      <c r="L67" t="n">
        <v>0</v>
      </c>
      <c r="M67" t="n">
        <v>0</v>
      </c>
      <c r="N67" t="n">
        <v>0</v>
      </c>
      <c r="O67" t="n">
        <v>0</v>
      </c>
      <c r="P67" t="n">
        <v>0</v>
      </c>
      <c r="Q67" t="n">
        <v>0</v>
      </c>
      <c r="R67" s="2" t="inlineStr"/>
    </row>
    <row r="68" ht="15" customHeight="1">
      <c r="A68" t="inlineStr">
        <is>
          <t>A 9044-2025</t>
        </is>
      </c>
      <c r="B68" s="1" t="n">
        <v>45713.6275</v>
      </c>
      <c r="C68" s="1" t="n">
        <v>45965</v>
      </c>
      <c r="D68" t="inlineStr">
        <is>
          <t>KALMAR LÄN</t>
        </is>
      </c>
      <c r="E68" t="inlineStr">
        <is>
          <t>BORGHOLM</t>
        </is>
      </c>
      <c r="F68" t="inlineStr">
        <is>
          <t>Sveaskog</t>
        </is>
      </c>
      <c r="G68" t="n">
        <v>4</v>
      </c>
      <c r="H68" t="n">
        <v>0</v>
      </c>
      <c r="I68" t="n">
        <v>0</v>
      </c>
      <c r="J68" t="n">
        <v>0</v>
      </c>
      <c r="K68" t="n">
        <v>0</v>
      </c>
      <c r="L68" t="n">
        <v>0</v>
      </c>
      <c r="M68" t="n">
        <v>0</v>
      </c>
      <c r="N68" t="n">
        <v>0</v>
      </c>
      <c r="O68" t="n">
        <v>0</v>
      </c>
      <c r="P68" t="n">
        <v>0</v>
      </c>
      <c r="Q68" t="n">
        <v>0</v>
      </c>
      <c r="R68" s="2" t="inlineStr"/>
    </row>
    <row r="69" ht="15" customHeight="1">
      <c r="A69" t="inlineStr">
        <is>
          <t>A 44678-2022</t>
        </is>
      </c>
      <c r="B69" s="1" t="n">
        <v>44840.65100694444</v>
      </c>
      <c r="C69" s="1" t="n">
        <v>45965</v>
      </c>
      <c r="D69" t="inlineStr">
        <is>
          <t>KALMAR LÄN</t>
        </is>
      </c>
      <c r="E69" t="inlineStr">
        <is>
          <t>BORGHOLM</t>
        </is>
      </c>
      <c r="G69" t="n">
        <v>2.4</v>
      </c>
      <c r="H69" t="n">
        <v>0</v>
      </c>
      <c r="I69" t="n">
        <v>0</v>
      </c>
      <c r="J69" t="n">
        <v>0</v>
      </c>
      <c r="K69" t="n">
        <v>0</v>
      </c>
      <c r="L69" t="n">
        <v>0</v>
      </c>
      <c r="M69" t="n">
        <v>0</v>
      </c>
      <c r="N69" t="n">
        <v>0</v>
      </c>
      <c r="O69" t="n">
        <v>0</v>
      </c>
      <c r="P69" t="n">
        <v>0</v>
      </c>
      <c r="Q69" t="n">
        <v>0</v>
      </c>
      <c r="R69" s="2" t="inlineStr"/>
    </row>
    <row r="70" ht="15" customHeight="1">
      <c r="A70" t="inlineStr">
        <is>
          <t>A 7960-2023</t>
        </is>
      </c>
      <c r="B70" s="1" t="n">
        <v>44973</v>
      </c>
      <c r="C70" s="1" t="n">
        <v>45965</v>
      </c>
      <c r="D70" t="inlineStr">
        <is>
          <t>KALMAR LÄN</t>
        </is>
      </c>
      <c r="E70" t="inlineStr">
        <is>
          <t>BORGHOLM</t>
        </is>
      </c>
      <c r="G70" t="n">
        <v>2.1</v>
      </c>
      <c r="H70" t="n">
        <v>0</v>
      </c>
      <c r="I70" t="n">
        <v>0</v>
      </c>
      <c r="J70" t="n">
        <v>0</v>
      </c>
      <c r="K70" t="n">
        <v>0</v>
      </c>
      <c r="L70" t="n">
        <v>0</v>
      </c>
      <c r="M70" t="n">
        <v>0</v>
      </c>
      <c r="N70" t="n">
        <v>0</v>
      </c>
      <c r="O70" t="n">
        <v>0</v>
      </c>
      <c r="P70" t="n">
        <v>0</v>
      </c>
      <c r="Q70" t="n">
        <v>0</v>
      </c>
      <c r="R70" s="2" t="inlineStr"/>
    </row>
    <row r="71" ht="15" customHeight="1">
      <c r="A71" t="inlineStr">
        <is>
          <t>A 61438-2023</t>
        </is>
      </c>
      <c r="B71" s="1" t="n">
        <v>45264</v>
      </c>
      <c r="C71" s="1" t="n">
        <v>45965</v>
      </c>
      <c r="D71" t="inlineStr">
        <is>
          <t>KALMAR LÄN</t>
        </is>
      </c>
      <c r="E71" t="inlineStr">
        <is>
          <t>BORGHOLM</t>
        </is>
      </c>
      <c r="G71" t="n">
        <v>1.1</v>
      </c>
      <c r="H71" t="n">
        <v>0</v>
      </c>
      <c r="I71" t="n">
        <v>0</v>
      </c>
      <c r="J71" t="n">
        <v>0</v>
      </c>
      <c r="K71" t="n">
        <v>0</v>
      </c>
      <c r="L71" t="n">
        <v>0</v>
      </c>
      <c r="M71" t="n">
        <v>0</v>
      </c>
      <c r="N71" t="n">
        <v>0</v>
      </c>
      <c r="O71" t="n">
        <v>0</v>
      </c>
      <c r="P71" t="n">
        <v>0</v>
      </c>
      <c r="Q71" t="n">
        <v>0</v>
      </c>
      <c r="R71" s="2" t="inlineStr"/>
    </row>
    <row r="72" ht="15" customHeight="1">
      <c r="A72" t="inlineStr">
        <is>
          <t>A 13041-2024</t>
        </is>
      </c>
      <c r="B72" s="1" t="n">
        <v>45385.60065972222</v>
      </c>
      <c r="C72" s="1" t="n">
        <v>45965</v>
      </c>
      <c r="D72" t="inlineStr">
        <is>
          <t>KALMAR LÄN</t>
        </is>
      </c>
      <c r="E72" t="inlineStr">
        <is>
          <t>BORGHOLM</t>
        </is>
      </c>
      <c r="G72" t="n">
        <v>0.5</v>
      </c>
      <c r="H72" t="n">
        <v>0</v>
      </c>
      <c r="I72" t="n">
        <v>0</v>
      </c>
      <c r="J72" t="n">
        <v>0</v>
      </c>
      <c r="K72" t="n">
        <v>0</v>
      </c>
      <c r="L72" t="n">
        <v>0</v>
      </c>
      <c r="M72" t="n">
        <v>0</v>
      </c>
      <c r="N72" t="n">
        <v>0</v>
      </c>
      <c r="O72" t="n">
        <v>0</v>
      </c>
      <c r="P72" t="n">
        <v>0</v>
      </c>
      <c r="Q72" t="n">
        <v>0</v>
      </c>
      <c r="R72" s="2" t="inlineStr"/>
    </row>
    <row r="73" ht="15" customHeight="1">
      <c r="A73" t="inlineStr">
        <is>
          <t>A 42785-2021</t>
        </is>
      </c>
      <c r="B73" s="1" t="n">
        <v>44428</v>
      </c>
      <c r="C73" s="1" t="n">
        <v>45965</v>
      </c>
      <c r="D73" t="inlineStr">
        <is>
          <t>KALMAR LÄN</t>
        </is>
      </c>
      <c r="E73" t="inlineStr">
        <is>
          <t>BORGHOLM</t>
        </is>
      </c>
      <c r="G73" t="n">
        <v>2.8</v>
      </c>
      <c r="H73" t="n">
        <v>0</v>
      </c>
      <c r="I73" t="n">
        <v>0</v>
      </c>
      <c r="J73" t="n">
        <v>0</v>
      </c>
      <c r="K73" t="n">
        <v>0</v>
      </c>
      <c r="L73" t="n">
        <v>0</v>
      </c>
      <c r="M73" t="n">
        <v>0</v>
      </c>
      <c r="N73" t="n">
        <v>0</v>
      </c>
      <c r="O73" t="n">
        <v>0</v>
      </c>
      <c r="P73" t="n">
        <v>0</v>
      </c>
      <c r="Q73" t="n">
        <v>0</v>
      </c>
      <c r="R73" s="2" t="inlineStr"/>
    </row>
    <row r="74" ht="15" customHeight="1">
      <c r="A74" t="inlineStr">
        <is>
          <t>A 26160-2024</t>
        </is>
      </c>
      <c r="B74" s="1" t="n">
        <v>45468</v>
      </c>
      <c r="C74" s="1" t="n">
        <v>45965</v>
      </c>
      <c r="D74" t="inlineStr">
        <is>
          <t>KALMAR LÄN</t>
        </is>
      </c>
      <c r="E74" t="inlineStr">
        <is>
          <t>BORGHOLM</t>
        </is>
      </c>
      <c r="G74" t="n">
        <v>0.4</v>
      </c>
      <c r="H74" t="n">
        <v>0</v>
      </c>
      <c r="I74" t="n">
        <v>0</v>
      </c>
      <c r="J74" t="n">
        <v>0</v>
      </c>
      <c r="K74" t="n">
        <v>0</v>
      </c>
      <c r="L74" t="n">
        <v>0</v>
      </c>
      <c r="M74" t="n">
        <v>0</v>
      </c>
      <c r="N74" t="n">
        <v>0</v>
      </c>
      <c r="O74" t="n">
        <v>0</v>
      </c>
      <c r="P74" t="n">
        <v>0</v>
      </c>
      <c r="Q74" t="n">
        <v>0</v>
      </c>
      <c r="R74" s="2" t="inlineStr"/>
      <c r="T74">
        <f>HYPERLINK("https://klasma.github.io/Logging_0885/kartor/A 26160-2024 karta.png", "A 26160-2024")</f>
        <v/>
      </c>
      <c r="V74">
        <f>HYPERLINK("https://klasma.github.io/Logging_0885/klagomål/A 26160-2024 FSC-klagomål.docx", "A 26160-2024")</f>
        <v/>
      </c>
      <c r="W74">
        <f>HYPERLINK("https://klasma.github.io/Logging_0885/klagomålsmail/A 26160-2024 FSC-klagomål mail.docx", "A 26160-2024")</f>
        <v/>
      </c>
      <c r="X74">
        <f>HYPERLINK("https://klasma.github.io/Logging_0885/tillsyn/A 26160-2024 tillsynsbegäran.docx", "A 26160-2024")</f>
        <v/>
      </c>
      <c r="Y74">
        <f>HYPERLINK("https://klasma.github.io/Logging_0885/tillsynsmail/A 26160-2024 tillsynsbegäran mail.docx", "A 26160-2024")</f>
        <v/>
      </c>
    </row>
    <row r="75" ht="15" customHeight="1">
      <c r="A75" t="inlineStr">
        <is>
          <t>A 64303-2023</t>
        </is>
      </c>
      <c r="B75" s="1" t="n">
        <v>45280</v>
      </c>
      <c r="C75" s="1" t="n">
        <v>45965</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1614-2025</t>
        </is>
      </c>
      <c r="B76" s="1" t="n">
        <v>45670.60094907408</v>
      </c>
      <c r="C76" s="1" t="n">
        <v>45965</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44547-2021</t>
        </is>
      </c>
      <c r="B77" s="1" t="n">
        <v>44435</v>
      </c>
      <c r="C77" s="1" t="n">
        <v>45965</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63276-2023</t>
        </is>
      </c>
      <c r="B78" s="1" t="n">
        <v>45273.82195601852</v>
      </c>
      <c r="C78" s="1" t="n">
        <v>45965</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20878-2024</t>
        </is>
      </c>
      <c r="B79" s="1" t="n">
        <v>45439.44748842593</v>
      </c>
      <c r="C79" s="1" t="n">
        <v>45965</v>
      </c>
      <c r="D79" t="inlineStr">
        <is>
          <t>KALMAR LÄN</t>
        </is>
      </c>
      <c r="E79" t="inlineStr">
        <is>
          <t>BORGHOLM</t>
        </is>
      </c>
      <c r="G79" t="n">
        <v>1.9</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45965</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50129-2021</t>
        </is>
      </c>
      <c r="B81" s="1" t="n">
        <v>44456</v>
      </c>
      <c r="C81" s="1" t="n">
        <v>45965</v>
      </c>
      <c r="D81" t="inlineStr">
        <is>
          <t>KALMAR LÄN</t>
        </is>
      </c>
      <c r="E81" t="inlineStr">
        <is>
          <t>BORGHOLM</t>
        </is>
      </c>
      <c r="G81" t="n">
        <v>1.6</v>
      </c>
      <c r="H81" t="n">
        <v>0</v>
      </c>
      <c r="I81" t="n">
        <v>0</v>
      </c>
      <c r="J81" t="n">
        <v>0</v>
      </c>
      <c r="K81" t="n">
        <v>0</v>
      </c>
      <c r="L81" t="n">
        <v>0</v>
      </c>
      <c r="M81" t="n">
        <v>0</v>
      </c>
      <c r="N81" t="n">
        <v>0</v>
      </c>
      <c r="O81" t="n">
        <v>0</v>
      </c>
      <c r="P81" t="n">
        <v>0</v>
      </c>
      <c r="Q81" t="n">
        <v>0</v>
      </c>
      <c r="R81" s="2" t="inlineStr"/>
    </row>
    <row r="82" ht="15" customHeight="1">
      <c r="A82" t="inlineStr">
        <is>
          <t>A 9050-2025</t>
        </is>
      </c>
      <c r="B82" s="1" t="n">
        <v>45713.63512731482</v>
      </c>
      <c r="C82" s="1" t="n">
        <v>45965</v>
      </c>
      <c r="D82" t="inlineStr">
        <is>
          <t>KALMAR LÄN</t>
        </is>
      </c>
      <c r="E82" t="inlineStr">
        <is>
          <t>BORGHOLM</t>
        </is>
      </c>
      <c r="F82" t="inlineStr">
        <is>
          <t>Sveaskog</t>
        </is>
      </c>
      <c r="G82" t="n">
        <v>2.5</v>
      </c>
      <c r="H82" t="n">
        <v>0</v>
      </c>
      <c r="I82" t="n">
        <v>0</v>
      </c>
      <c r="J82" t="n">
        <v>0</v>
      </c>
      <c r="K82" t="n">
        <v>0</v>
      </c>
      <c r="L82" t="n">
        <v>0</v>
      </c>
      <c r="M82" t="n">
        <v>0</v>
      </c>
      <c r="N82" t="n">
        <v>0</v>
      </c>
      <c r="O82" t="n">
        <v>0</v>
      </c>
      <c r="P82" t="n">
        <v>0</v>
      </c>
      <c r="Q82" t="n">
        <v>0</v>
      </c>
      <c r="R82" s="2" t="inlineStr"/>
    </row>
    <row r="83" ht="15" customHeight="1">
      <c r="A83" t="inlineStr">
        <is>
          <t>A 4159-2024</t>
        </is>
      </c>
      <c r="B83" s="1" t="n">
        <v>45323</v>
      </c>
      <c r="C83" s="1" t="n">
        <v>45965</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13043-2024</t>
        </is>
      </c>
      <c r="B84" s="1" t="n">
        <v>45385.60111111111</v>
      </c>
      <c r="C84" s="1" t="n">
        <v>45965</v>
      </c>
      <c r="D84" t="inlineStr">
        <is>
          <t>KALMAR LÄN</t>
        </is>
      </c>
      <c r="E84" t="inlineStr">
        <is>
          <t>BORGHOLM</t>
        </is>
      </c>
      <c r="G84" t="n">
        <v>0.4</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45965</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1757-2025</t>
        </is>
      </c>
      <c r="B86" s="1" t="n">
        <v>45671.42195601852</v>
      </c>
      <c r="C86" s="1" t="n">
        <v>45965</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53050-2021</t>
        </is>
      </c>
      <c r="B87" s="1" t="n">
        <v>44467</v>
      </c>
      <c r="C87" s="1" t="n">
        <v>45965</v>
      </c>
      <c r="D87" t="inlineStr">
        <is>
          <t>KALMAR LÄN</t>
        </is>
      </c>
      <c r="E87" t="inlineStr">
        <is>
          <t>BORGHOLM</t>
        </is>
      </c>
      <c r="G87" t="n">
        <v>3.6</v>
      </c>
      <c r="H87" t="n">
        <v>0</v>
      </c>
      <c r="I87" t="n">
        <v>0</v>
      </c>
      <c r="J87" t="n">
        <v>0</v>
      </c>
      <c r="K87" t="n">
        <v>0</v>
      </c>
      <c r="L87" t="n">
        <v>0</v>
      </c>
      <c r="M87" t="n">
        <v>0</v>
      </c>
      <c r="N87" t="n">
        <v>0</v>
      </c>
      <c r="O87" t="n">
        <v>0</v>
      </c>
      <c r="P87" t="n">
        <v>0</v>
      </c>
      <c r="Q87" t="n">
        <v>0</v>
      </c>
      <c r="R87" s="2" t="inlineStr"/>
    </row>
    <row r="88" ht="15" customHeight="1">
      <c r="A88" t="inlineStr">
        <is>
          <t>A 17699-2025</t>
        </is>
      </c>
      <c r="B88" s="1" t="n">
        <v>45758.41846064815</v>
      </c>
      <c r="C88" s="1" t="n">
        <v>45965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7669-2024</t>
        </is>
      </c>
      <c r="B89" s="1" t="n">
        <v>45348.82498842593</v>
      </c>
      <c r="C89" s="1" t="n">
        <v>45965</v>
      </c>
      <c r="D89" t="inlineStr">
        <is>
          <t>KALMAR LÄN</t>
        </is>
      </c>
      <c r="E89" t="inlineStr">
        <is>
          <t>BORGHOLM</t>
        </is>
      </c>
      <c r="G89" t="n">
        <v>2.3</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45965</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34780-2022</t>
        </is>
      </c>
      <c r="B91" s="1" t="n">
        <v>44795</v>
      </c>
      <c r="C91" s="1" t="n">
        <v>45965</v>
      </c>
      <c r="D91" t="inlineStr">
        <is>
          <t>KALMAR LÄN</t>
        </is>
      </c>
      <c r="E91" t="inlineStr">
        <is>
          <t>BORGHOLM</t>
        </is>
      </c>
      <c r="F91" t="inlineStr">
        <is>
          <t>Sveaskog</t>
        </is>
      </c>
      <c r="G91" t="n">
        <v>6.7</v>
      </c>
      <c r="H91" t="n">
        <v>0</v>
      </c>
      <c r="I91" t="n">
        <v>0</v>
      </c>
      <c r="J91" t="n">
        <v>0</v>
      </c>
      <c r="K91" t="n">
        <v>0</v>
      </c>
      <c r="L91" t="n">
        <v>0</v>
      </c>
      <c r="M91" t="n">
        <v>0</v>
      </c>
      <c r="N91" t="n">
        <v>0</v>
      </c>
      <c r="O91" t="n">
        <v>0</v>
      </c>
      <c r="P91" t="n">
        <v>0</v>
      </c>
      <c r="Q91" t="n">
        <v>0</v>
      </c>
      <c r="R91" s="2" t="inlineStr"/>
    </row>
    <row r="92" ht="15" customHeight="1">
      <c r="A92" t="inlineStr">
        <is>
          <t>A 55367-2024</t>
        </is>
      </c>
      <c r="B92" s="1" t="n">
        <v>45621.87075231481</v>
      </c>
      <c r="C92" s="1" t="n">
        <v>45965</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20287-2025</t>
        </is>
      </c>
      <c r="B93" s="1" t="n">
        <v>45774.60741898148</v>
      </c>
      <c r="C93" s="1" t="n">
        <v>45965</v>
      </c>
      <c r="D93" t="inlineStr">
        <is>
          <t>KALMAR LÄN</t>
        </is>
      </c>
      <c r="E93" t="inlineStr">
        <is>
          <t>BORGHOLM</t>
        </is>
      </c>
      <c r="G93" t="n">
        <v>0.6</v>
      </c>
      <c r="H93" t="n">
        <v>0</v>
      </c>
      <c r="I93" t="n">
        <v>0</v>
      </c>
      <c r="J93" t="n">
        <v>0</v>
      </c>
      <c r="K93" t="n">
        <v>0</v>
      </c>
      <c r="L93" t="n">
        <v>0</v>
      </c>
      <c r="M93" t="n">
        <v>0</v>
      </c>
      <c r="N93" t="n">
        <v>0</v>
      </c>
      <c r="O93" t="n">
        <v>0</v>
      </c>
      <c r="P93" t="n">
        <v>0</v>
      </c>
      <c r="Q93" t="n">
        <v>0</v>
      </c>
      <c r="R93" s="2" t="inlineStr"/>
    </row>
    <row r="94" ht="15" customHeight="1">
      <c r="A94" t="inlineStr">
        <is>
          <t>A 22785-2025</t>
        </is>
      </c>
      <c r="B94" s="1" t="n">
        <v>45789.64186342592</v>
      </c>
      <c r="C94" s="1" t="n">
        <v>45965</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31720-2022</t>
        </is>
      </c>
      <c r="B95" s="1" t="n">
        <v>44776</v>
      </c>
      <c r="C95" s="1" t="n">
        <v>45965</v>
      </c>
      <c r="D95" t="inlineStr">
        <is>
          <t>KALMAR LÄN</t>
        </is>
      </c>
      <c r="E95" t="inlineStr">
        <is>
          <t>BORGHOLM</t>
        </is>
      </c>
      <c r="F95" t="inlineStr">
        <is>
          <t>Sveaskog</t>
        </is>
      </c>
      <c r="G95" t="n">
        <v>4.5</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45965</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9076-2025</t>
        </is>
      </c>
      <c r="B97" s="1" t="n">
        <v>45713.6596875</v>
      </c>
      <c r="C97" s="1" t="n">
        <v>45965</v>
      </c>
      <c r="D97" t="inlineStr">
        <is>
          <t>KALMAR LÄN</t>
        </is>
      </c>
      <c r="E97" t="inlineStr">
        <is>
          <t>BORGHOLM</t>
        </is>
      </c>
      <c r="F97" t="inlineStr">
        <is>
          <t>Sveaskog</t>
        </is>
      </c>
      <c r="G97" t="n">
        <v>4.2</v>
      </c>
      <c r="H97" t="n">
        <v>0</v>
      </c>
      <c r="I97" t="n">
        <v>0</v>
      </c>
      <c r="J97" t="n">
        <v>0</v>
      </c>
      <c r="K97" t="n">
        <v>0</v>
      </c>
      <c r="L97" t="n">
        <v>0</v>
      </c>
      <c r="M97" t="n">
        <v>0</v>
      </c>
      <c r="N97" t="n">
        <v>0</v>
      </c>
      <c r="O97" t="n">
        <v>0</v>
      </c>
      <c r="P97" t="n">
        <v>0</v>
      </c>
      <c r="Q97" t="n">
        <v>0</v>
      </c>
      <c r="R97" s="2" t="inlineStr"/>
    </row>
    <row r="98" ht="15" customHeight="1">
      <c r="A98" t="inlineStr">
        <is>
          <t>A 12534-2022</t>
        </is>
      </c>
      <c r="B98" s="1" t="n">
        <v>44638</v>
      </c>
      <c r="C98" s="1" t="n">
        <v>45965</v>
      </c>
      <c r="D98" t="inlineStr">
        <is>
          <t>KALMAR LÄN</t>
        </is>
      </c>
      <c r="E98" t="inlineStr">
        <is>
          <t>BORGHOLM</t>
        </is>
      </c>
      <c r="G98" t="n">
        <v>8.6</v>
      </c>
      <c r="H98" t="n">
        <v>0</v>
      </c>
      <c r="I98" t="n">
        <v>0</v>
      </c>
      <c r="J98" t="n">
        <v>0</v>
      </c>
      <c r="K98" t="n">
        <v>0</v>
      </c>
      <c r="L98" t="n">
        <v>0</v>
      </c>
      <c r="M98" t="n">
        <v>0</v>
      </c>
      <c r="N98" t="n">
        <v>0</v>
      </c>
      <c r="O98" t="n">
        <v>0</v>
      </c>
      <c r="P98" t="n">
        <v>0</v>
      </c>
      <c r="Q98" t="n">
        <v>0</v>
      </c>
      <c r="R98" s="2" t="inlineStr"/>
    </row>
    <row r="99" ht="15" customHeight="1">
      <c r="A99" t="inlineStr">
        <is>
          <t>A 4165-2023</t>
        </is>
      </c>
      <c r="B99" s="1" t="n">
        <v>44953</v>
      </c>
      <c r="C99" s="1" t="n">
        <v>45965</v>
      </c>
      <c r="D99" t="inlineStr">
        <is>
          <t>KALMAR LÄN</t>
        </is>
      </c>
      <c r="E99" t="inlineStr">
        <is>
          <t>BORGHOLM</t>
        </is>
      </c>
      <c r="G99" t="n">
        <v>0.6</v>
      </c>
      <c r="H99" t="n">
        <v>0</v>
      </c>
      <c r="I99" t="n">
        <v>0</v>
      </c>
      <c r="J99" t="n">
        <v>0</v>
      </c>
      <c r="K99" t="n">
        <v>0</v>
      </c>
      <c r="L99" t="n">
        <v>0</v>
      </c>
      <c r="M99" t="n">
        <v>0</v>
      </c>
      <c r="N99" t="n">
        <v>0</v>
      </c>
      <c r="O99" t="n">
        <v>0</v>
      </c>
      <c r="P99" t="n">
        <v>0</v>
      </c>
      <c r="Q99" t="n">
        <v>0</v>
      </c>
      <c r="R99" s="2" t="inlineStr"/>
    </row>
    <row r="100" ht="15" customHeight="1">
      <c r="A100" t="inlineStr">
        <is>
          <t>A 40339-2023</t>
        </is>
      </c>
      <c r="B100" s="1" t="n">
        <v>45169.62733796296</v>
      </c>
      <c r="C100" s="1" t="n">
        <v>45965</v>
      </c>
      <c r="D100" t="inlineStr">
        <is>
          <t>KALMAR LÄN</t>
        </is>
      </c>
      <c r="E100" t="inlineStr">
        <is>
          <t>BORGHOLM</t>
        </is>
      </c>
      <c r="G100" t="n">
        <v>3.8</v>
      </c>
      <c r="H100" t="n">
        <v>0</v>
      </c>
      <c r="I100" t="n">
        <v>0</v>
      </c>
      <c r="J100" t="n">
        <v>0</v>
      </c>
      <c r="K100" t="n">
        <v>0</v>
      </c>
      <c r="L100" t="n">
        <v>0</v>
      </c>
      <c r="M100" t="n">
        <v>0</v>
      </c>
      <c r="N100" t="n">
        <v>0</v>
      </c>
      <c r="O100" t="n">
        <v>0</v>
      </c>
      <c r="P100" t="n">
        <v>0</v>
      </c>
      <c r="Q100" t="n">
        <v>0</v>
      </c>
      <c r="R100" s="2" t="inlineStr"/>
    </row>
    <row r="101" ht="15" customHeight="1">
      <c r="A101" t="inlineStr">
        <is>
          <t>A 24166-2022</t>
        </is>
      </c>
      <c r="B101" s="1" t="n">
        <v>44725</v>
      </c>
      <c r="C101" s="1" t="n">
        <v>45965</v>
      </c>
      <c r="D101" t="inlineStr">
        <is>
          <t>KALMAR LÄN</t>
        </is>
      </c>
      <c r="E101" t="inlineStr">
        <is>
          <t>BORGHOLM</t>
        </is>
      </c>
      <c r="G101" t="n">
        <v>10.7</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45965</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26160-2025</t>
        </is>
      </c>
      <c r="B103" s="1" t="n">
        <v>45805.4490162037</v>
      </c>
      <c r="C103" s="1" t="n">
        <v>45965</v>
      </c>
      <c r="D103" t="inlineStr">
        <is>
          <t>KALMAR LÄN</t>
        </is>
      </c>
      <c r="E103" t="inlineStr">
        <is>
          <t>BORGHOLM</t>
        </is>
      </c>
      <c r="G103" t="n">
        <v>3.7</v>
      </c>
      <c r="H103" t="n">
        <v>0</v>
      </c>
      <c r="I103" t="n">
        <v>0</v>
      </c>
      <c r="J103" t="n">
        <v>0</v>
      </c>
      <c r="K103" t="n">
        <v>0</v>
      </c>
      <c r="L103" t="n">
        <v>0</v>
      </c>
      <c r="M103" t="n">
        <v>0</v>
      </c>
      <c r="N103" t="n">
        <v>0</v>
      </c>
      <c r="O103" t="n">
        <v>0</v>
      </c>
      <c r="P103" t="n">
        <v>0</v>
      </c>
      <c r="Q103" t="n">
        <v>0</v>
      </c>
      <c r="R103" s="2" t="inlineStr"/>
    </row>
    <row r="104" ht="15" customHeight="1">
      <c r="A104" t="inlineStr">
        <is>
          <t>A 26190-2025</t>
        </is>
      </c>
      <c r="B104" s="1" t="n">
        <v>45805.48349537037</v>
      </c>
      <c r="C104" s="1" t="n">
        <v>45965</v>
      </c>
      <c r="D104" t="inlineStr">
        <is>
          <t>KALMAR LÄN</t>
        </is>
      </c>
      <c r="E104" t="inlineStr">
        <is>
          <t>BORGHOLM</t>
        </is>
      </c>
      <c r="G104" t="n">
        <v>3.2</v>
      </c>
      <c r="H104" t="n">
        <v>0</v>
      </c>
      <c r="I104" t="n">
        <v>0</v>
      </c>
      <c r="J104" t="n">
        <v>0</v>
      </c>
      <c r="K104" t="n">
        <v>0</v>
      </c>
      <c r="L104" t="n">
        <v>0</v>
      </c>
      <c r="M104" t="n">
        <v>0</v>
      </c>
      <c r="N104" t="n">
        <v>0</v>
      </c>
      <c r="O104" t="n">
        <v>0</v>
      </c>
      <c r="P104" t="n">
        <v>0</v>
      </c>
      <c r="Q104" t="n">
        <v>0</v>
      </c>
      <c r="R104" s="2" t="inlineStr"/>
    </row>
    <row r="105" ht="15" customHeight="1">
      <c r="A105" t="inlineStr">
        <is>
          <t>A 27357-2025</t>
        </is>
      </c>
      <c r="B105" s="1" t="n">
        <v>45812.63650462963</v>
      </c>
      <c r="C105" s="1" t="n">
        <v>45965</v>
      </c>
      <c r="D105" t="inlineStr">
        <is>
          <t>KALMAR LÄN</t>
        </is>
      </c>
      <c r="E105" t="inlineStr">
        <is>
          <t>BORGHOLM</t>
        </is>
      </c>
      <c r="F105" t="inlineStr">
        <is>
          <t>Sveaskog</t>
        </is>
      </c>
      <c r="G105" t="n">
        <v>4.5</v>
      </c>
      <c r="H105" t="n">
        <v>0</v>
      </c>
      <c r="I105" t="n">
        <v>0</v>
      </c>
      <c r="J105" t="n">
        <v>0</v>
      </c>
      <c r="K105" t="n">
        <v>0</v>
      </c>
      <c r="L105" t="n">
        <v>0</v>
      </c>
      <c r="M105" t="n">
        <v>0</v>
      </c>
      <c r="N105" t="n">
        <v>0</v>
      </c>
      <c r="O105" t="n">
        <v>0</v>
      </c>
      <c r="P105" t="n">
        <v>0</v>
      </c>
      <c r="Q105" t="n">
        <v>0</v>
      </c>
      <c r="R105" s="2" t="inlineStr"/>
    </row>
    <row r="106" ht="15" customHeight="1">
      <c r="A106" t="inlineStr">
        <is>
          <t>A 27366-2025</t>
        </is>
      </c>
      <c r="B106" s="1" t="n">
        <v>45812.64475694444</v>
      </c>
      <c r="C106" s="1" t="n">
        <v>45965</v>
      </c>
      <c r="D106" t="inlineStr">
        <is>
          <t>KALMAR LÄN</t>
        </is>
      </c>
      <c r="E106" t="inlineStr">
        <is>
          <t>BORGHOLM</t>
        </is>
      </c>
      <c r="F106" t="inlineStr">
        <is>
          <t>Sveaskog</t>
        </is>
      </c>
      <c r="G106" t="n">
        <v>2.5</v>
      </c>
      <c r="H106" t="n">
        <v>0</v>
      </c>
      <c r="I106" t="n">
        <v>0</v>
      </c>
      <c r="J106" t="n">
        <v>0</v>
      </c>
      <c r="K106" t="n">
        <v>0</v>
      </c>
      <c r="L106" t="n">
        <v>0</v>
      </c>
      <c r="M106" t="n">
        <v>0</v>
      </c>
      <c r="N106" t="n">
        <v>0</v>
      </c>
      <c r="O106" t="n">
        <v>0</v>
      </c>
      <c r="P106" t="n">
        <v>0</v>
      </c>
      <c r="Q106" t="n">
        <v>0</v>
      </c>
      <c r="R106" s="2" t="inlineStr"/>
    </row>
    <row r="107" ht="15" customHeight="1">
      <c r="A107" t="inlineStr">
        <is>
          <t>A 13548-2025</t>
        </is>
      </c>
      <c r="B107" s="1" t="n">
        <v>45736.53827546296</v>
      </c>
      <c r="C107" s="1" t="n">
        <v>45965</v>
      </c>
      <c r="D107" t="inlineStr">
        <is>
          <t>KALMAR LÄN</t>
        </is>
      </c>
      <c r="E107" t="inlineStr">
        <is>
          <t>BORGHOLM</t>
        </is>
      </c>
      <c r="G107" t="n">
        <v>1</v>
      </c>
      <c r="H107" t="n">
        <v>0</v>
      </c>
      <c r="I107" t="n">
        <v>0</v>
      </c>
      <c r="J107" t="n">
        <v>0</v>
      </c>
      <c r="K107" t="n">
        <v>0</v>
      </c>
      <c r="L107" t="n">
        <v>0</v>
      </c>
      <c r="M107" t="n">
        <v>0</v>
      </c>
      <c r="N107" t="n">
        <v>0</v>
      </c>
      <c r="O107" t="n">
        <v>0</v>
      </c>
      <c r="P107" t="n">
        <v>0</v>
      </c>
      <c r="Q107" t="n">
        <v>0</v>
      </c>
      <c r="R107" s="2" t="inlineStr"/>
    </row>
    <row r="108" ht="15" customHeight="1">
      <c r="A108" t="inlineStr">
        <is>
          <t>A 32921-2023</t>
        </is>
      </c>
      <c r="B108" s="1" t="n">
        <v>45125</v>
      </c>
      <c r="C108" s="1" t="n">
        <v>45965</v>
      </c>
      <c r="D108" t="inlineStr">
        <is>
          <t>KALMAR LÄN</t>
        </is>
      </c>
      <c r="E108" t="inlineStr">
        <is>
          <t>BORGHOLM</t>
        </is>
      </c>
      <c r="G108" t="n">
        <v>2.9</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45965</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28782-2025</t>
        </is>
      </c>
      <c r="B110" s="1" t="n">
        <v>45820.45572916666</v>
      </c>
      <c r="C110" s="1" t="n">
        <v>45965</v>
      </c>
      <c r="D110" t="inlineStr">
        <is>
          <t>KALMAR LÄN</t>
        </is>
      </c>
      <c r="E110" t="inlineStr">
        <is>
          <t>BORGHOLM</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4878-2021</t>
        </is>
      </c>
      <c r="B111" s="1" t="n">
        <v>44225</v>
      </c>
      <c r="C111" s="1" t="n">
        <v>45965</v>
      </c>
      <c r="D111" t="inlineStr">
        <is>
          <t>KALMAR LÄN</t>
        </is>
      </c>
      <c r="E111" t="inlineStr">
        <is>
          <t>BORGHOLM</t>
        </is>
      </c>
      <c r="G111" t="n">
        <v>3</v>
      </c>
      <c r="H111" t="n">
        <v>0</v>
      </c>
      <c r="I111" t="n">
        <v>0</v>
      </c>
      <c r="J111" t="n">
        <v>0</v>
      </c>
      <c r="K111" t="n">
        <v>0</v>
      </c>
      <c r="L111" t="n">
        <v>0</v>
      </c>
      <c r="M111" t="n">
        <v>0</v>
      </c>
      <c r="N111" t="n">
        <v>0</v>
      </c>
      <c r="O111" t="n">
        <v>0</v>
      </c>
      <c r="P111" t="n">
        <v>0</v>
      </c>
      <c r="Q111" t="n">
        <v>0</v>
      </c>
      <c r="R111" s="2" t="inlineStr"/>
    </row>
    <row r="112" ht="15" customHeight="1">
      <c r="A112" t="inlineStr">
        <is>
          <t>A 34951-2022</t>
        </is>
      </c>
      <c r="B112" s="1" t="n">
        <v>44796</v>
      </c>
      <c r="C112" s="1" t="n">
        <v>45965</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9034-2025</t>
        </is>
      </c>
      <c r="B113" s="1" t="n">
        <v>45713</v>
      </c>
      <c r="C113" s="1" t="n">
        <v>45965</v>
      </c>
      <c r="D113" t="inlineStr">
        <is>
          <t>KALMAR LÄN</t>
        </is>
      </c>
      <c r="E113" t="inlineStr">
        <is>
          <t>BORGHOLM</t>
        </is>
      </c>
      <c r="F113" t="inlineStr">
        <is>
          <t>Sveaskog</t>
        </is>
      </c>
      <c r="G113" t="n">
        <v>6.8</v>
      </c>
      <c r="H113" t="n">
        <v>0</v>
      </c>
      <c r="I113" t="n">
        <v>0</v>
      </c>
      <c r="J113" t="n">
        <v>0</v>
      </c>
      <c r="K113" t="n">
        <v>0</v>
      </c>
      <c r="L113" t="n">
        <v>0</v>
      </c>
      <c r="M113" t="n">
        <v>0</v>
      </c>
      <c r="N113" t="n">
        <v>0</v>
      </c>
      <c r="O113" t="n">
        <v>0</v>
      </c>
      <c r="P113" t="n">
        <v>0</v>
      </c>
      <c r="Q113" t="n">
        <v>0</v>
      </c>
      <c r="R113" s="2" t="inlineStr"/>
    </row>
    <row r="114" ht="15" customHeight="1">
      <c r="A114" t="inlineStr">
        <is>
          <t>A 5175-2024</t>
        </is>
      </c>
      <c r="B114" s="1" t="n">
        <v>45330</v>
      </c>
      <c r="C114" s="1" t="n">
        <v>45965</v>
      </c>
      <c r="D114" t="inlineStr">
        <is>
          <t>KALMAR LÄN</t>
        </is>
      </c>
      <c r="E114" t="inlineStr">
        <is>
          <t>BORGHOLM</t>
        </is>
      </c>
      <c r="G114" t="n">
        <v>1.5</v>
      </c>
      <c r="H114" t="n">
        <v>0</v>
      </c>
      <c r="I114" t="n">
        <v>0</v>
      </c>
      <c r="J114" t="n">
        <v>0</v>
      </c>
      <c r="K114" t="n">
        <v>0</v>
      </c>
      <c r="L114" t="n">
        <v>0</v>
      </c>
      <c r="M114" t="n">
        <v>0</v>
      </c>
      <c r="N114" t="n">
        <v>0</v>
      </c>
      <c r="O114" t="n">
        <v>0</v>
      </c>
      <c r="P114" t="n">
        <v>0</v>
      </c>
      <c r="Q114" t="n">
        <v>0</v>
      </c>
      <c r="R114" s="2" t="inlineStr"/>
    </row>
    <row r="115" ht="15" customHeight="1">
      <c r="A115" t="inlineStr">
        <is>
          <t>A 46845-2025</t>
        </is>
      </c>
      <c r="B115" s="1" t="n">
        <v>45928</v>
      </c>
      <c r="C115" s="1" t="n">
        <v>45965</v>
      </c>
      <c r="D115" t="inlineStr">
        <is>
          <t>KALMAR LÄN</t>
        </is>
      </c>
      <c r="E115" t="inlineStr">
        <is>
          <t>BORGHOLM</t>
        </is>
      </c>
      <c r="G115" t="n">
        <v>2.7</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45965</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41831-2025</t>
        </is>
      </c>
      <c r="B117" s="1" t="n">
        <v>45902.67887731481</v>
      </c>
      <c r="C117" s="1" t="n">
        <v>45965</v>
      </c>
      <c r="D117" t="inlineStr">
        <is>
          <t>KALMAR LÄN</t>
        </is>
      </c>
      <c r="E117" t="inlineStr">
        <is>
          <t>BORGHOLM</t>
        </is>
      </c>
      <c r="G117" t="n">
        <v>1.5</v>
      </c>
      <c r="H117" t="n">
        <v>0</v>
      </c>
      <c r="I117" t="n">
        <v>0</v>
      </c>
      <c r="J117" t="n">
        <v>0</v>
      </c>
      <c r="K117" t="n">
        <v>0</v>
      </c>
      <c r="L117" t="n">
        <v>0</v>
      </c>
      <c r="M117" t="n">
        <v>0</v>
      </c>
      <c r="N117" t="n">
        <v>0</v>
      </c>
      <c r="O117" t="n">
        <v>0</v>
      </c>
      <c r="P117" t="n">
        <v>0</v>
      </c>
      <c r="Q117" t="n">
        <v>0</v>
      </c>
      <c r="R117" s="2" t="inlineStr"/>
    </row>
    <row r="118" ht="15" customHeight="1">
      <c r="A118" t="inlineStr">
        <is>
          <t>A 19867-2024</t>
        </is>
      </c>
      <c r="B118" s="1" t="n">
        <v>45433</v>
      </c>
      <c r="C118" s="1" t="n">
        <v>45965</v>
      </c>
      <c r="D118" t="inlineStr">
        <is>
          <t>KALMAR LÄN</t>
        </is>
      </c>
      <c r="E118" t="inlineStr">
        <is>
          <t>BORGHOLM</t>
        </is>
      </c>
      <c r="G118" t="n">
        <v>3.9</v>
      </c>
      <c r="H118" t="n">
        <v>0</v>
      </c>
      <c r="I118" t="n">
        <v>0</v>
      </c>
      <c r="J118" t="n">
        <v>0</v>
      </c>
      <c r="K118" t="n">
        <v>0</v>
      </c>
      <c r="L118" t="n">
        <v>0</v>
      </c>
      <c r="M118" t="n">
        <v>0</v>
      </c>
      <c r="N118" t="n">
        <v>0</v>
      </c>
      <c r="O118" t="n">
        <v>0</v>
      </c>
      <c r="P118" t="n">
        <v>0</v>
      </c>
      <c r="Q118" t="n">
        <v>0</v>
      </c>
      <c r="R118" s="2" t="inlineStr"/>
    </row>
    <row r="119" ht="15" customHeight="1">
      <c r="A119" t="inlineStr">
        <is>
          <t>A 42232-2025</t>
        </is>
      </c>
      <c r="B119" s="1" t="n">
        <v>45904.55591435185</v>
      </c>
      <c r="C119" s="1" t="n">
        <v>45965</v>
      </c>
      <c r="D119" t="inlineStr">
        <is>
          <t>KALMAR LÄN</t>
        </is>
      </c>
      <c r="E119" t="inlineStr">
        <is>
          <t>BORGHOLM</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36269-2025</t>
        </is>
      </c>
      <c r="B120" s="1" t="n">
        <v>45867.61736111111</v>
      </c>
      <c r="C120" s="1" t="n">
        <v>45965</v>
      </c>
      <c r="D120" t="inlineStr">
        <is>
          <t>KALMAR LÄN</t>
        </is>
      </c>
      <c r="E120" t="inlineStr">
        <is>
          <t>BORGHOLM</t>
        </is>
      </c>
      <c r="F120" t="inlineStr">
        <is>
          <t>Sveaskog</t>
        </is>
      </c>
      <c r="G120" t="n">
        <v>3.3</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45965</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41950-2025</t>
        </is>
      </c>
      <c r="B122" s="1" t="n">
        <v>45903.45767361111</v>
      </c>
      <c r="C122" s="1" t="n">
        <v>45965</v>
      </c>
      <c r="D122" t="inlineStr">
        <is>
          <t>KALMAR LÄN</t>
        </is>
      </c>
      <c r="E122" t="inlineStr">
        <is>
          <t>BORGHOLM</t>
        </is>
      </c>
      <c r="G122" t="n">
        <v>1.8</v>
      </c>
      <c r="H122" t="n">
        <v>0</v>
      </c>
      <c r="I122" t="n">
        <v>0</v>
      </c>
      <c r="J122" t="n">
        <v>0</v>
      </c>
      <c r="K122" t="n">
        <v>0</v>
      </c>
      <c r="L122" t="n">
        <v>0</v>
      </c>
      <c r="M122" t="n">
        <v>0</v>
      </c>
      <c r="N122" t="n">
        <v>0</v>
      </c>
      <c r="O122" t="n">
        <v>0</v>
      </c>
      <c r="P122" t="n">
        <v>0</v>
      </c>
      <c r="Q122" t="n">
        <v>0</v>
      </c>
      <c r="R122" s="2" t="inlineStr"/>
    </row>
    <row r="123" ht="15" customHeight="1">
      <c r="A123" t="inlineStr">
        <is>
          <t>A 45734-2025</t>
        </is>
      </c>
      <c r="B123" s="1" t="n">
        <v>45923.46512731481</v>
      </c>
      <c r="C123" s="1" t="n">
        <v>45965</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45869-2025</t>
        </is>
      </c>
      <c r="B124" s="1" t="n">
        <v>45923.65313657407</v>
      </c>
      <c r="C124" s="1" t="n">
        <v>45965</v>
      </c>
      <c r="D124" t="inlineStr">
        <is>
          <t>KALMAR LÄN</t>
        </is>
      </c>
      <c r="E124" t="inlineStr">
        <is>
          <t>BORGHOLM</t>
        </is>
      </c>
      <c r="G124" t="n">
        <v>4.5</v>
      </c>
      <c r="H124" t="n">
        <v>0</v>
      </c>
      <c r="I124" t="n">
        <v>0</v>
      </c>
      <c r="J124" t="n">
        <v>0</v>
      </c>
      <c r="K124" t="n">
        <v>0</v>
      </c>
      <c r="L124" t="n">
        <v>0</v>
      </c>
      <c r="M124" t="n">
        <v>0</v>
      </c>
      <c r="N124" t="n">
        <v>0</v>
      </c>
      <c r="O124" t="n">
        <v>0</v>
      </c>
      <c r="P124" t="n">
        <v>0</v>
      </c>
      <c r="Q124" t="n">
        <v>0</v>
      </c>
      <c r="R124" s="2" t="inlineStr"/>
    </row>
    <row r="125" ht="15" customHeight="1">
      <c r="A125" t="inlineStr">
        <is>
          <t>A 43542-2025</t>
        </is>
      </c>
      <c r="B125" s="1" t="n">
        <v>45911.61123842592</v>
      </c>
      <c r="C125" s="1" t="n">
        <v>45965</v>
      </c>
      <c r="D125" t="inlineStr">
        <is>
          <t>KALMAR LÄN</t>
        </is>
      </c>
      <c r="E125" t="inlineStr">
        <is>
          <t>BORGHOLM</t>
        </is>
      </c>
      <c r="G125" t="n">
        <v>2.4</v>
      </c>
      <c r="H125" t="n">
        <v>0</v>
      </c>
      <c r="I125" t="n">
        <v>0</v>
      </c>
      <c r="J125" t="n">
        <v>0</v>
      </c>
      <c r="K125" t="n">
        <v>0</v>
      </c>
      <c r="L125" t="n">
        <v>0</v>
      </c>
      <c r="M125" t="n">
        <v>0</v>
      </c>
      <c r="N125" t="n">
        <v>0</v>
      </c>
      <c r="O125" t="n">
        <v>0</v>
      </c>
      <c r="P125" t="n">
        <v>0</v>
      </c>
      <c r="Q125" t="n">
        <v>0</v>
      </c>
      <c r="R125" s="2" t="inlineStr"/>
    </row>
    <row r="126">
      <c r="A126" t="inlineStr">
        <is>
          <t>A 44224-2025</t>
        </is>
      </c>
      <c r="B126" s="1" t="n">
        <v>45915</v>
      </c>
      <c r="C126" s="1" t="n">
        <v>45965</v>
      </c>
      <c r="D126" t="inlineStr">
        <is>
          <t>KALMAR LÄN</t>
        </is>
      </c>
      <c r="E126" t="inlineStr">
        <is>
          <t>BORGHOLM</t>
        </is>
      </c>
      <c r="G126" t="n">
        <v>1.3</v>
      </c>
      <c r="H126" t="n">
        <v>0</v>
      </c>
      <c r="I126" t="n">
        <v>0</v>
      </c>
      <c r="J126" t="n">
        <v>0</v>
      </c>
      <c r="K126" t="n">
        <v>0</v>
      </c>
      <c r="L126" t="n">
        <v>0</v>
      </c>
      <c r="M126" t="n">
        <v>0</v>
      </c>
      <c r="N126" t="n">
        <v>0</v>
      </c>
      <c r="O126" t="n">
        <v>0</v>
      </c>
      <c r="P126" t="n">
        <v>0</v>
      </c>
      <c r="Q126" t="n">
        <v>0</v>
      </c>
      <c r="R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2025-11-04T10:09:09Z</dcterms:created>
  <dcterms:modified xmlns:dcterms="http://purl.org/dc/terms/" xmlns:xsi="http://www.w3.org/2001/XMLSchema-instance" xsi:type="dcterms:W3CDTF">2025-11-04T10:09:09Z</dcterms:modified>
</cp:coreProperties>
</file>