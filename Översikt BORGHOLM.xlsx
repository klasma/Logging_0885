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45743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45743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45743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45743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45743</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45743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45743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45743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45743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45743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45743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45743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45743</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45743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45743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45743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45743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45743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45743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45743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45743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45743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45743</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45743</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45743</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45743</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45743</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45743</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45743</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45743</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45743</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45743</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HYPERLINK("https://klasma.github.io/Logging_0885/artfynd/A 13556-2025 artfynd.xlsx", "A 13556-2025")</f>
        <v/>
      </c>
      <c r="T33">
        <f>HYPERLINK("https://klasma.github.io/Logging_0885/kartor/A 13556-2025 karta.png", "A 13556-2025")</f>
        <v/>
      </c>
      <c r="V33">
        <f>HYPERLINK("https://klasma.github.io/Logging_0885/klagomål/A 13556-2025 FSC-klagomål.docx", "A 13556-2025")</f>
        <v/>
      </c>
      <c r="W33">
        <f>HYPERLINK("https://klasma.github.io/Logging_0885/klagomålsmail/A 13556-2025 FSC-klagomål mail.docx", "A 13556-2025")</f>
        <v/>
      </c>
      <c r="X33">
        <f>HYPERLINK("https://klasma.github.io/Logging_0885/tillsyn/A 13556-2025 tillsynsbegäran.docx", "A 13556-2025")</f>
        <v/>
      </c>
      <c r="Y33">
        <f>HYPERLINK("https://klasma.github.io/Logging_0885/tillsynsmail/A 13556-2025 tillsynsbegäran mail.docx", "A 13556-2025")</f>
        <v/>
      </c>
    </row>
    <row r="34" ht="15" customHeight="1">
      <c r="A34" t="inlineStr">
        <is>
          <t>A 23194-2019</t>
        </is>
      </c>
      <c r="B34" s="1" t="n">
        <v>43592</v>
      </c>
      <c r="C34" s="1" t="n">
        <v>45743</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45743</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45743</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45743</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45743</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45743</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45743</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45743</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45743</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45743</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45743</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45743</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45743</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45743</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45743</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45743</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45743</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45743</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45743</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45743</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45743</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45743</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HYPERLINK("https://klasma.github.io/Logging_0885/artfynd/A 11673-2025 artfynd.xlsx", "A 11673-2025")</f>
        <v/>
      </c>
      <c r="T55">
        <f>HYPERLINK("https://klasma.github.io/Logging_0885/kartor/A 11673-2025 karta.png", "A 11673-2025")</f>
        <v/>
      </c>
      <c r="V55">
        <f>HYPERLINK("https://klasma.github.io/Logging_0885/klagomål/A 11673-2025 FSC-klagomål.docx", "A 11673-2025")</f>
        <v/>
      </c>
      <c r="W55">
        <f>HYPERLINK("https://klasma.github.io/Logging_0885/klagomålsmail/A 11673-2025 FSC-klagomål mail.docx", "A 11673-2025")</f>
        <v/>
      </c>
      <c r="X55">
        <f>HYPERLINK("https://klasma.github.io/Logging_0885/tillsyn/A 11673-2025 tillsynsbegäran.docx", "A 11673-2025")</f>
        <v/>
      </c>
      <c r="Y55">
        <f>HYPERLINK("https://klasma.github.io/Logging_0885/tillsynsmail/A 11673-2025 tillsynsbegäran mail.docx", "A 11673-2025")</f>
        <v/>
      </c>
    </row>
    <row r="56" ht="15" customHeight="1">
      <c r="A56" t="inlineStr">
        <is>
          <t>A 13558-2025</t>
        </is>
      </c>
      <c r="B56" s="1" t="n">
        <v>45736</v>
      </c>
      <c r="C56" s="1" t="n">
        <v>45743</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HYPERLINK("https://klasma.github.io/Logging_0885/artfynd/A 13558-2025 artfynd.xlsx", "A 13558-2025")</f>
        <v/>
      </c>
      <c r="T56">
        <f>HYPERLINK("https://klasma.github.io/Logging_0885/kartor/A 13558-2025 karta.png", "A 13558-2025")</f>
        <v/>
      </c>
      <c r="V56">
        <f>HYPERLINK("https://klasma.github.io/Logging_0885/klagomål/A 13558-2025 FSC-klagomål.docx", "A 13558-2025")</f>
        <v/>
      </c>
      <c r="W56">
        <f>HYPERLINK("https://klasma.github.io/Logging_0885/klagomålsmail/A 13558-2025 FSC-klagomål mail.docx", "A 13558-2025")</f>
        <v/>
      </c>
      <c r="X56">
        <f>HYPERLINK("https://klasma.github.io/Logging_0885/tillsyn/A 13558-2025 tillsynsbegäran.docx", "A 13558-2025")</f>
        <v/>
      </c>
      <c r="Y56">
        <f>HYPERLINK("https://klasma.github.io/Logging_0885/tillsynsmail/A 13558-2025 tillsynsbegäran mail.docx", "A 13558-2025")</f>
        <v/>
      </c>
    </row>
    <row r="57" ht="15" customHeight="1">
      <c r="A57" t="inlineStr">
        <is>
          <t>A 23036-2019</t>
        </is>
      </c>
      <c r="B57" s="1" t="n">
        <v>43591</v>
      </c>
      <c r="C57" s="1" t="n">
        <v>45743</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45743</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45743</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45743</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45743</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45743</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45743</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45743</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45743</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45743</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45743</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45743</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45743</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45743</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45743</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45743</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45743</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45743</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45743</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45743</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45743</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45743</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45743</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45743</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45743</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45743</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45743</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45743</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45743</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45743</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45743</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45743</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45743</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45743</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45743</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45743</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45743</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45743</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45743</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45743</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45743</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45743</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45743</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45743</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45743</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45743</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45743</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45743</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45743</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45743</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45743</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45743</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45743</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45743</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45743</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45743</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45743</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45743</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45743</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45743</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45743</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45743</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45743</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45743</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45743</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45743</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45743</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45743</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45743</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45743</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45743</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45743</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45743</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45743</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45743</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45743</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45743</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45743</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45743</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45743</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45743</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45743</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45743</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45743</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45743</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45743</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45743</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45743</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45743</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45743</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45743</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45743</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45743</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45743</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45743</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45743</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45743</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45743</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45743</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45743</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45743</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45743</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45743</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45743</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45743</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45743</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45743</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45743</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45743</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45743</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45743</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45743</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c r="A169" t="inlineStr">
        <is>
          <t>A 13548-2025</t>
        </is>
      </c>
      <c r="B169" s="1" t="n">
        <v>45736</v>
      </c>
      <c r="C169" s="1" t="n">
        <v>45743</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2025-03-27T18:17:35Z</dcterms:created>
  <dcterms:modified xmlns:dcterms="http://purl.org/dc/terms/" xmlns:xsi="http://www.w3.org/2001/XMLSchema-instance" xsi:type="dcterms:W3CDTF">2025-03-27T18:17:35Z</dcterms:modified>
</cp:coreProperties>
</file>