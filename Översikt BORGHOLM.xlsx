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45884</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45884</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45884</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4881-2021</t>
        </is>
      </c>
      <c r="B10" s="1" t="n">
        <v>44225</v>
      </c>
      <c r="C10" s="1" t="n">
        <v>45884</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45884</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45884</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45884</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45884</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45884</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45884</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4164-2023</t>
        </is>
      </c>
      <c r="B19" s="1" t="n">
        <v>44953</v>
      </c>
      <c r="C19" s="1" t="n">
        <v>45884</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44008-2022</t>
        </is>
      </c>
      <c r="B20" s="1" t="n">
        <v>44838</v>
      </c>
      <c r="C20" s="1" t="n">
        <v>45884</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34944-2022</t>
        </is>
      </c>
      <c r="B21" s="1" t="n">
        <v>44796</v>
      </c>
      <c r="C21" s="1" t="n">
        <v>45884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32174-2022</t>
        </is>
      </c>
      <c r="B22" s="1" t="n">
        <v>44781</v>
      </c>
      <c r="C22" s="1" t="n">
        <v>45884</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43756-2022</t>
        </is>
      </c>
      <c r="B23" s="1" t="n">
        <v>44837</v>
      </c>
      <c r="C23" s="1" t="n">
        <v>45884</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28779-2025</t>
        </is>
      </c>
      <c r="B24" s="1" t="n">
        <v>45820.44920138889</v>
      </c>
      <c r="C24" s="1" t="n">
        <v>45884</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3871-2021</t>
        </is>
      </c>
      <c r="B25" s="1" t="n">
        <v>44222</v>
      </c>
      <c r="C25" s="1" t="n">
        <v>45884</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45884</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45884</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24701-2023</t>
        </is>
      </c>
      <c r="B28" s="1" t="n">
        <v>45084</v>
      </c>
      <c r="C28" s="1" t="n">
        <v>45884</v>
      </c>
      <c r="D28" t="inlineStr">
        <is>
          <t>KALMAR LÄN</t>
        </is>
      </c>
      <c r="E28" t="inlineStr">
        <is>
          <t>BORGHOLM</t>
        </is>
      </c>
      <c r="G28" t="n">
        <v>3</v>
      </c>
      <c r="H28" t="n">
        <v>0</v>
      </c>
      <c r="I28" t="n">
        <v>0</v>
      </c>
      <c r="J28" t="n">
        <v>0</v>
      </c>
      <c r="K28" t="n">
        <v>0</v>
      </c>
      <c r="L28" t="n">
        <v>1</v>
      </c>
      <c r="M28" t="n">
        <v>0</v>
      </c>
      <c r="N28" t="n">
        <v>0</v>
      </c>
      <c r="O28" t="n">
        <v>1</v>
      </c>
      <c r="P28" t="n">
        <v>1</v>
      </c>
      <c r="Q28" t="n">
        <v>1</v>
      </c>
      <c r="R28" s="2" t="inlineStr">
        <is>
          <t>Ask</t>
        </is>
      </c>
      <c r="S28">
        <f>HYPERLINK("https://klasma.github.io/Logging_0885/artfynd/A 24701-2023 artfynd.xlsx", "A 24701-2023")</f>
        <v/>
      </c>
      <c r="T28">
        <f>HYPERLINK("https://klasma.github.io/Logging_0885/kartor/A 24701-2023 karta.png", "A 24701-2023")</f>
        <v/>
      </c>
      <c r="V28">
        <f>HYPERLINK("https://klasma.github.io/Logging_0885/klagomål/A 24701-2023 FSC-klagomål.docx", "A 24701-2023")</f>
        <v/>
      </c>
      <c r="W28">
        <f>HYPERLINK("https://klasma.github.io/Logging_0885/klagomålsmail/A 24701-2023 FSC-klagomål mail.docx", "A 24701-2023")</f>
        <v/>
      </c>
      <c r="X28">
        <f>HYPERLINK("https://klasma.github.io/Logging_0885/tillsyn/A 24701-2023 tillsynsbegäran.docx", "A 24701-2023")</f>
        <v/>
      </c>
      <c r="Y28">
        <f>HYPERLINK("https://klasma.github.io/Logging_0885/tillsynsmail/A 24701-2023 tillsynsbegäran mail.docx", "A 24701-2023")</f>
        <v/>
      </c>
    </row>
    <row r="29" ht="15" customHeight="1">
      <c r="A29" t="inlineStr">
        <is>
          <t>A 13558-2025</t>
        </is>
      </c>
      <c r="B29" s="1" t="n">
        <v>45736.54974537037</v>
      </c>
      <c r="C29" s="1" t="n">
        <v>45884</v>
      </c>
      <c r="D29" t="inlineStr">
        <is>
          <t>KALMAR LÄN</t>
        </is>
      </c>
      <c r="E29" t="inlineStr">
        <is>
          <t>BORGHOLM</t>
        </is>
      </c>
      <c r="G29" t="n">
        <v>0.7</v>
      </c>
      <c r="H29" t="n">
        <v>0</v>
      </c>
      <c r="I29" t="n">
        <v>0</v>
      </c>
      <c r="J29" t="n">
        <v>1</v>
      </c>
      <c r="K29" t="n">
        <v>0</v>
      </c>
      <c r="L29" t="n">
        <v>0</v>
      </c>
      <c r="M29" t="n">
        <v>0</v>
      </c>
      <c r="N29" t="n">
        <v>0</v>
      </c>
      <c r="O29" t="n">
        <v>1</v>
      </c>
      <c r="P29" t="n">
        <v>0</v>
      </c>
      <c r="Q29" t="n">
        <v>1</v>
      </c>
      <c r="R29" s="2" t="inlineStr">
        <is>
          <t>Backruta</t>
        </is>
      </c>
      <c r="S29">
        <f>HYPERLINK("https://klasma.github.io/Logging_0885/artfynd/A 13558-2025 artfynd.xlsx", "A 13558-2025")</f>
        <v/>
      </c>
      <c r="T29">
        <f>HYPERLINK("https://klasma.github.io/Logging_0885/kartor/A 13558-2025 karta.png", "A 13558-2025")</f>
        <v/>
      </c>
      <c r="V29">
        <f>HYPERLINK("https://klasma.github.io/Logging_0885/klagomål/A 13558-2025 FSC-klagomål.docx", "A 13558-2025")</f>
        <v/>
      </c>
      <c r="W29">
        <f>HYPERLINK("https://klasma.github.io/Logging_0885/klagomålsmail/A 13558-2025 FSC-klagomål mail.docx", "A 13558-2025")</f>
        <v/>
      </c>
      <c r="X29">
        <f>HYPERLINK("https://klasma.github.io/Logging_0885/tillsyn/A 13558-2025 tillsynsbegäran.docx", "A 13558-2025")</f>
        <v/>
      </c>
      <c r="Y29">
        <f>HYPERLINK("https://klasma.github.io/Logging_0885/tillsynsmail/A 13558-2025 tillsynsbegäran mail.docx", "A 13558-2025")</f>
        <v/>
      </c>
    </row>
    <row r="30" ht="15" customHeight="1">
      <c r="A30" t="inlineStr">
        <is>
          <t>A 24704-2023</t>
        </is>
      </c>
      <c r="B30" s="1" t="n">
        <v>45084</v>
      </c>
      <c r="C30" s="1" t="n">
        <v>45884</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12785-2021</t>
        </is>
      </c>
      <c r="B31" s="1" t="n">
        <v>44270</v>
      </c>
      <c r="C31" s="1" t="n">
        <v>45884</v>
      </c>
      <c r="D31" t="inlineStr">
        <is>
          <t>KALMAR LÄN</t>
        </is>
      </c>
      <c r="E31" t="inlineStr">
        <is>
          <t>BORGHOLM</t>
        </is>
      </c>
      <c r="G31" t="n">
        <v>1.2</v>
      </c>
      <c r="H31" t="n">
        <v>0</v>
      </c>
      <c r="I31" t="n">
        <v>0</v>
      </c>
      <c r="J31" t="n">
        <v>0</v>
      </c>
      <c r="K31" t="n">
        <v>0</v>
      </c>
      <c r="L31" t="n">
        <v>1</v>
      </c>
      <c r="M31" t="n">
        <v>0</v>
      </c>
      <c r="N31" t="n">
        <v>0</v>
      </c>
      <c r="O31" t="n">
        <v>1</v>
      </c>
      <c r="P31" t="n">
        <v>1</v>
      </c>
      <c r="Q31" t="n">
        <v>1</v>
      </c>
      <c r="R31" s="2" t="inlineStr">
        <is>
          <t>Ask</t>
        </is>
      </c>
      <c r="S31">
        <f>HYPERLINK("https://klasma.github.io/Logging_0885/artfynd/A 12785-2021 artfynd.xlsx", "A 12785-2021")</f>
        <v/>
      </c>
      <c r="T31">
        <f>HYPERLINK("https://klasma.github.io/Logging_0885/kartor/A 12785-2021 karta.png", "A 12785-2021")</f>
        <v/>
      </c>
      <c r="V31">
        <f>HYPERLINK("https://klasma.github.io/Logging_0885/klagomål/A 12785-2021 FSC-klagomål.docx", "A 12785-2021")</f>
        <v/>
      </c>
      <c r="W31">
        <f>HYPERLINK("https://klasma.github.io/Logging_0885/klagomålsmail/A 12785-2021 FSC-klagomål mail.docx", "A 12785-2021")</f>
        <v/>
      </c>
      <c r="X31">
        <f>HYPERLINK("https://klasma.github.io/Logging_0885/tillsyn/A 12785-2021 tillsynsbegäran.docx", "A 12785-2021")</f>
        <v/>
      </c>
      <c r="Y31">
        <f>HYPERLINK("https://klasma.github.io/Logging_0885/tillsynsmail/A 12785-2021 tillsynsbegäran mail.docx", "A 12785-2021")</f>
        <v/>
      </c>
    </row>
    <row r="32" ht="15" customHeight="1">
      <c r="A32" t="inlineStr">
        <is>
          <t>A 9745-2023</t>
        </is>
      </c>
      <c r="B32" s="1" t="n">
        <v>44984</v>
      </c>
      <c r="C32" s="1" t="n">
        <v>45884</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43603-2024</t>
        </is>
      </c>
      <c r="B33" s="1" t="n">
        <v>45569.44700231482</v>
      </c>
      <c r="C33" s="1" t="n">
        <v>45884</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14789-2021</t>
        </is>
      </c>
      <c r="B34" s="1" t="n">
        <v>44280</v>
      </c>
      <c r="C34" s="1" t="n">
        <v>45884</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24048-2025</t>
        </is>
      </c>
      <c r="B35" s="1" t="n">
        <v>45796.4959375</v>
      </c>
      <c r="C35" s="1" t="n">
        <v>45884</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45884</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34885-2025</t>
        </is>
      </c>
      <c r="B37" s="1" t="n">
        <v>45849.47128472223</v>
      </c>
      <c r="C37" s="1" t="n">
        <v>45884</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28785-2025</t>
        </is>
      </c>
      <c r="B38" s="1" t="n">
        <v>45820.46159722222</v>
      </c>
      <c r="C38" s="1" t="n">
        <v>45884</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45884</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56499-2020</t>
        </is>
      </c>
      <c r="B40" s="1" t="n">
        <v>44137</v>
      </c>
      <c r="C40" s="1" t="n">
        <v>45884</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58113-2020</t>
        </is>
      </c>
      <c r="B41" s="1" t="n">
        <v>44144</v>
      </c>
      <c r="C41" s="1" t="n">
        <v>45884</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45884</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45884</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56488-2020</t>
        </is>
      </c>
      <c r="B44" s="1" t="n">
        <v>44137</v>
      </c>
      <c r="C44" s="1" t="n">
        <v>45884</v>
      </c>
      <c r="D44" t="inlineStr">
        <is>
          <t>KALMAR LÄN</t>
        </is>
      </c>
      <c r="E44" t="inlineStr">
        <is>
          <t>BORGHOLM</t>
        </is>
      </c>
      <c r="F44" t="inlineStr">
        <is>
          <t>Sveaskog</t>
        </is>
      </c>
      <c r="G44" t="n">
        <v>1.4</v>
      </c>
      <c r="H44" t="n">
        <v>0</v>
      </c>
      <c r="I44" t="n">
        <v>0</v>
      </c>
      <c r="J44" t="n">
        <v>0</v>
      </c>
      <c r="K44" t="n">
        <v>0</v>
      </c>
      <c r="L44" t="n">
        <v>0</v>
      </c>
      <c r="M44" t="n">
        <v>0</v>
      </c>
      <c r="N44" t="n">
        <v>0</v>
      </c>
      <c r="O44" t="n">
        <v>0</v>
      </c>
      <c r="P44" t="n">
        <v>0</v>
      </c>
      <c r="Q44" t="n">
        <v>0</v>
      </c>
      <c r="R44" s="2" t="inlineStr"/>
    </row>
    <row r="45" ht="15" customHeight="1">
      <c r="A45" t="inlineStr">
        <is>
          <t>A 56506-2020</t>
        </is>
      </c>
      <c r="B45" s="1" t="n">
        <v>44137</v>
      </c>
      <c r="C45" s="1" t="n">
        <v>45884</v>
      </c>
      <c r="D45" t="inlineStr">
        <is>
          <t>KALMAR LÄN</t>
        </is>
      </c>
      <c r="E45" t="inlineStr">
        <is>
          <t>BORGHOLM</t>
        </is>
      </c>
      <c r="F45" t="inlineStr">
        <is>
          <t>Sveaskog</t>
        </is>
      </c>
      <c r="G45" t="n">
        <v>1.7</v>
      </c>
      <c r="H45" t="n">
        <v>0</v>
      </c>
      <c r="I45" t="n">
        <v>0</v>
      </c>
      <c r="J45" t="n">
        <v>0</v>
      </c>
      <c r="K45" t="n">
        <v>0</v>
      </c>
      <c r="L45" t="n">
        <v>0</v>
      </c>
      <c r="M45" t="n">
        <v>0</v>
      </c>
      <c r="N45" t="n">
        <v>0</v>
      </c>
      <c r="O45" t="n">
        <v>0</v>
      </c>
      <c r="P45" t="n">
        <v>0</v>
      </c>
      <c r="Q45" t="n">
        <v>0</v>
      </c>
      <c r="R45" s="2" t="inlineStr"/>
    </row>
    <row r="46" ht="15" customHeight="1">
      <c r="A46" t="inlineStr">
        <is>
          <t>A 12711-2021</t>
        </is>
      </c>
      <c r="B46" s="1" t="n">
        <v>44270</v>
      </c>
      <c r="C46" s="1" t="n">
        <v>45884</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45884</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45884</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45884</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45884</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45884</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45884</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45884</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45884</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45884</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45884</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45884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56479-2020</t>
        </is>
      </c>
      <c r="B59" s="1" t="n">
        <v>44137</v>
      </c>
      <c r="C59" s="1" t="n">
        <v>45884</v>
      </c>
      <c r="D59" t="inlineStr">
        <is>
          <t>KALMAR LÄN</t>
        </is>
      </c>
      <c r="E59" t="inlineStr">
        <is>
          <t>BORGHOLM</t>
        </is>
      </c>
      <c r="F59" t="inlineStr">
        <is>
          <t>Sveaskog</t>
        </is>
      </c>
      <c r="G59" t="n">
        <v>2.6</v>
      </c>
      <c r="H59" t="n">
        <v>0</v>
      </c>
      <c r="I59" t="n">
        <v>0</v>
      </c>
      <c r="J59" t="n">
        <v>0</v>
      </c>
      <c r="K59" t="n">
        <v>0</v>
      </c>
      <c r="L59" t="n">
        <v>0</v>
      </c>
      <c r="M59" t="n">
        <v>0</v>
      </c>
      <c r="N59" t="n">
        <v>0</v>
      </c>
      <c r="O59" t="n">
        <v>0</v>
      </c>
      <c r="P59" t="n">
        <v>0</v>
      </c>
      <c r="Q59" t="n">
        <v>0</v>
      </c>
      <c r="R59" s="2" t="inlineStr"/>
    </row>
    <row r="60" ht="15" customHeight="1">
      <c r="A60" t="inlineStr">
        <is>
          <t>A 58253-2020</t>
        </is>
      </c>
      <c r="B60" s="1" t="n">
        <v>44144</v>
      </c>
      <c r="C60" s="1" t="n">
        <v>45884</v>
      </c>
      <c r="D60" t="inlineStr">
        <is>
          <t>KALMAR LÄN</t>
        </is>
      </c>
      <c r="E60" t="inlineStr">
        <is>
          <t>BORGHOLM</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56188-2021</t>
        </is>
      </c>
      <c r="B61" s="1" t="n">
        <v>44477.83525462963</v>
      </c>
      <c r="C61" s="1" t="n">
        <v>45884</v>
      </c>
      <c r="D61" t="inlineStr">
        <is>
          <t>KALMAR LÄN</t>
        </is>
      </c>
      <c r="E61" t="inlineStr">
        <is>
          <t>BORGHOLM</t>
        </is>
      </c>
      <c r="G61" t="n">
        <v>1.8</v>
      </c>
      <c r="H61" t="n">
        <v>0</v>
      </c>
      <c r="I61" t="n">
        <v>0</v>
      </c>
      <c r="J61" t="n">
        <v>0</v>
      </c>
      <c r="K61" t="n">
        <v>0</v>
      </c>
      <c r="L61" t="n">
        <v>0</v>
      </c>
      <c r="M61" t="n">
        <v>0</v>
      </c>
      <c r="N61" t="n">
        <v>0</v>
      </c>
      <c r="O61" t="n">
        <v>0</v>
      </c>
      <c r="P61" t="n">
        <v>0</v>
      </c>
      <c r="Q61" t="n">
        <v>0</v>
      </c>
      <c r="R61" s="2" t="inlineStr"/>
    </row>
    <row r="62" ht="15" customHeight="1">
      <c r="A62" t="inlineStr">
        <is>
          <t>A 56983-2021</t>
        </is>
      </c>
      <c r="B62" s="1" t="n">
        <v>44482</v>
      </c>
      <c r="C62" s="1" t="n">
        <v>45884</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58394-2020</t>
        </is>
      </c>
      <c r="B63" s="1" t="n">
        <v>44145</v>
      </c>
      <c r="C63" s="1" t="n">
        <v>45884</v>
      </c>
      <c r="D63" t="inlineStr">
        <is>
          <t>KALMAR LÄN</t>
        </is>
      </c>
      <c r="E63" t="inlineStr">
        <is>
          <t>BORGHOLM</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56495-2020</t>
        </is>
      </c>
      <c r="B64" s="1" t="n">
        <v>44137</v>
      </c>
      <c r="C64" s="1" t="n">
        <v>45884</v>
      </c>
      <c r="D64" t="inlineStr">
        <is>
          <t>KALMAR LÄN</t>
        </is>
      </c>
      <c r="E64" t="inlineStr">
        <is>
          <t>BORGHOLM</t>
        </is>
      </c>
      <c r="F64" t="inlineStr">
        <is>
          <t>Sveaskog</t>
        </is>
      </c>
      <c r="G64" t="n">
        <v>1.4</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45884</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45884</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45884</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62631-2021</t>
        </is>
      </c>
      <c r="B68" s="1" t="n">
        <v>44503</v>
      </c>
      <c r="C68" s="1" t="n">
        <v>45884</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34951-2022</t>
        </is>
      </c>
      <c r="B69" s="1" t="n">
        <v>44796</v>
      </c>
      <c r="C69" s="1" t="n">
        <v>45884</v>
      </c>
      <c r="D69" t="inlineStr">
        <is>
          <t>KALMAR LÄN</t>
        </is>
      </c>
      <c r="E69" t="inlineStr">
        <is>
          <t>BORGHOLM</t>
        </is>
      </c>
      <c r="F69" t="inlineStr">
        <is>
          <t>Sveaskog</t>
        </is>
      </c>
      <c r="G69" t="n">
        <v>4.6</v>
      </c>
      <c r="H69" t="n">
        <v>0</v>
      </c>
      <c r="I69" t="n">
        <v>0</v>
      </c>
      <c r="J69" t="n">
        <v>0</v>
      </c>
      <c r="K69" t="n">
        <v>0</v>
      </c>
      <c r="L69" t="n">
        <v>0</v>
      </c>
      <c r="M69" t="n">
        <v>0</v>
      </c>
      <c r="N69" t="n">
        <v>0</v>
      </c>
      <c r="O69" t="n">
        <v>0</v>
      </c>
      <c r="P69" t="n">
        <v>0</v>
      </c>
      <c r="Q69" t="n">
        <v>0</v>
      </c>
      <c r="R69" s="2" t="inlineStr"/>
    </row>
    <row r="70" ht="15" customHeight="1">
      <c r="A70" t="inlineStr">
        <is>
          <t>A 19867-2024</t>
        </is>
      </c>
      <c r="B70" s="1" t="n">
        <v>45433</v>
      </c>
      <c r="C70" s="1" t="n">
        <v>45884</v>
      </c>
      <c r="D70" t="inlineStr">
        <is>
          <t>KALMAR LÄN</t>
        </is>
      </c>
      <c r="E70" t="inlineStr">
        <is>
          <t>BORGHOLM</t>
        </is>
      </c>
      <c r="G70" t="n">
        <v>3.9</v>
      </c>
      <c r="H70" t="n">
        <v>0</v>
      </c>
      <c r="I70" t="n">
        <v>0</v>
      </c>
      <c r="J70" t="n">
        <v>0</v>
      </c>
      <c r="K70" t="n">
        <v>0</v>
      </c>
      <c r="L70" t="n">
        <v>0</v>
      </c>
      <c r="M70" t="n">
        <v>0</v>
      </c>
      <c r="N70" t="n">
        <v>0</v>
      </c>
      <c r="O70" t="n">
        <v>0</v>
      </c>
      <c r="P70" t="n">
        <v>0</v>
      </c>
      <c r="Q70" t="n">
        <v>0</v>
      </c>
      <c r="R70" s="2" t="inlineStr"/>
    </row>
    <row r="71" ht="15" customHeight="1">
      <c r="A71" t="inlineStr">
        <is>
          <t>A 64303-2023</t>
        </is>
      </c>
      <c r="B71" s="1" t="n">
        <v>45280</v>
      </c>
      <c r="C71" s="1" t="n">
        <v>45884</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3878-2023</t>
        </is>
      </c>
      <c r="B72" s="1" t="n">
        <v>44951</v>
      </c>
      <c r="C72" s="1" t="n">
        <v>45884</v>
      </c>
      <c r="D72" t="inlineStr">
        <is>
          <t>KALMAR LÄN</t>
        </is>
      </c>
      <c r="E72" t="inlineStr">
        <is>
          <t>BORGHOLM</t>
        </is>
      </c>
      <c r="G72" t="n">
        <v>1.7</v>
      </c>
      <c r="H72" t="n">
        <v>0</v>
      </c>
      <c r="I72" t="n">
        <v>0</v>
      </c>
      <c r="J72" t="n">
        <v>0</v>
      </c>
      <c r="K72" t="n">
        <v>0</v>
      </c>
      <c r="L72" t="n">
        <v>0</v>
      </c>
      <c r="M72" t="n">
        <v>0</v>
      </c>
      <c r="N72" t="n">
        <v>0</v>
      </c>
      <c r="O72" t="n">
        <v>0</v>
      </c>
      <c r="P72" t="n">
        <v>0</v>
      </c>
      <c r="Q72" t="n">
        <v>0</v>
      </c>
      <c r="R72" s="2" t="inlineStr"/>
    </row>
    <row r="73" ht="15" customHeight="1">
      <c r="A73" t="inlineStr">
        <is>
          <t>A 13383-2023</t>
        </is>
      </c>
      <c r="B73" s="1" t="n">
        <v>45005</v>
      </c>
      <c r="C73" s="1" t="n">
        <v>45884</v>
      </c>
      <c r="D73" t="inlineStr">
        <is>
          <t>KALMAR LÄN</t>
        </is>
      </c>
      <c r="E73" t="inlineStr">
        <is>
          <t>BORGHOLM</t>
        </is>
      </c>
      <c r="G73" t="n">
        <v>0.8</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45884</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55367-2024</t>
        </is>
      </c>
      <c r="B75" s="1" t="n">
        <v>45621.87075231481</v>
      </c>
      <c r="C75" s="1" t="n">
        <v>45884</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45884</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12937-2022</t>
        </is>
      </c>
      <c r="B77" s="1" t="n">
        <v>44642</v>
      </c>
      <c r="C77" s="1" t="n">
        <v>45884</v>
      </c>
      <c r="D77" t="inlineStr">
        <is>
          <t>KALMAR LÄN</t>
        </is>
      </c>
      <c r="E77" t="inlineStr">
        <is>
          <t>BORGHOLM</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45884</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45884</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45884</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9034-2025</t>
        </is>
      </c>
      <c r="B81" s="1" t="n">
        <v>45713</v>
      </c>
      <c r="C81" s="1" t="n">
        <v>45884</v>
      </c>
      <c r="D81" t="inlineStr">
        <is>
          <t>KALMAR LÄN</t>
        </is>
      </c>
      <c r="E81" t="inlineStr">
        <is>
          <t>BORGHOLM</t>
        </is>
      </c>
      <c r="F81" t="inlineStr">
        <is>
          <t>Sveaskog</t>
        </is>
      </c>
      <c r="G81" t="n">
        <v>6.8</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45884</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45884</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45884</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45884</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12481-2025</t>
        </is>
      </c>
      <c r="B86" s="1" t="n">
        <v>45730.57878472222</v>
      </c>
      <c r="C86" s="1" t="n">
        <v>45884</v>
      </c>
      <c r="D86" t="inlineStr">
        <is>
          <t>KALMAR LÄN</t>
        </is>
      </c>
      <c r="E86" t="inlineStr">
        <is>
          <t>BORGHOLM</t>
        </is>
      </c>
      <c r="G86" t="n">
        <v>7.2</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45884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45884</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45884</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13043-2024</t>
        </is>
      </c>
      <c r="B90" s="1" t="n">
        <v>45385.60111111111</v>
      </c>
      <c r="C90" s="1" t="n">
        <v>45884</v>
      </c>
      <c r="D90" t="inlineStr">
        <is>
          <t>KALMAR LÄN</t>
        </is>
      </c>
      <c r="E90" t="inlineStr">
        <is>
          <t>BORGHOLM</t>
        </is>
      </c>
      <c r="G90" t="n">
        <v>0.4</v>
      </c>
      <c r="H90" t="n">
        <v>0</v>
      </c>
      <c r="I90" t="n">
        <v>0</v>
      </c>
      <c r="J90" t="n">
        <v>0</v>
      </c>
      <c r="K90" t="n">
        <v>0</v>
      </c>
      <c r="L90" t="n">
        <v>0</v>
      </c>
      <c r="M90" t="n">
        <v>0</v>
      </c>
      <c r="N90" t="n">
        <v>0</v>
      </c>
      <c r="O90" t="n">
        <v>0</v>
      </c>
      <c r="P90" t="n">
        <v>0</v>
      </c>
      <c r="Q90" t="n">
        <v>0</v>
      </c>
      <c r="R90" s="2" t="inlineStr"/>
    </row>
    <row r="91" ht="15" customHeight="1">
      <c r="A91" t="inlineStr">
        <is>
          <t>A 34780-2022</t>
        </is>
      </c>
      <c r="B91" s="1" t="n">
        <v>44795</v>
      </c>
      <c r="C91" s="1" t="n">
        <v>45884</v>
      </c>
      <c r="D91" t="inlineStr">
        <is>
          <t>KALMAR LÄN</t>
        </is>
      </c>
      <c r="E91" t="inlineStr">
        <is>
          <t>BORGHOLM</t>
        </is>
      </c>
      <c r="F91" t="inlineStr">
        <is>
          <t>Sveaskog</t>
        </is>
      </c>
      <c r="G91" t="n">
        <v>6.7</v>
      </c>
      <c r="H91" t="n">
        <v>0</v>
      </c>
      <c r="I91" t="n">
        <v>0</v>
      </c>
      <c r="J91" t="n">
        <v>0</v>
      </c>
      <c r="K91" t="n">
        <v>0</v>
      </c>
      <c r="L91" t="n">
        <v>0</v>
      </c>
      <c r="M91" t="n">
        <v>0</v>
      </c>
      <c r="N91" t="n">
        <v>0</v>
      </c>
      <c r="O91" t="n">
        <v>0</v>
      </c>
      <c r="P91" t="n">
        <v>0</v>
      </c>
      <c r="Q91" t="n">
        <v>0</v>
      </c>
      <c r="R91" s="2" t="inlineStr"/>
    </row>
    <row r="92" ht="15" customHeight="1">
      <c r="A92" t="inlineStr">
        <is>
          <t>A 63276-2023</t>
        </is>
      </c>
      <c r="B92" s="1" t="n">
        <v>45273.82195601852</v>
      </c>
      <c r="C92" s="1" t="n">
        <v>45884</v>
      </c>
      <c r="D92" t="inlineStr">
        <is>
          <t>KALMAR LÄN</t>
        </is>
      </c>
      <c r="E92" t="inlineStr">
        <is>
          <t>BORGHOLM</t>
        </is>
      </c>
      <c r="G92" t="n">
        <v>5</v>
      </c>
      <c r="H92" t="n">
        <v>0</v>
      </c>
      <c r="I92" t="n">
        <v>0</v>
      </c>
      <c r="J92" t="n">
        <v>0</v>
      </c>
      <c r="K92" t="n">
        <v>0</v>
      </c>
      <c r="L92" t="n">
        <v>0</v>
      </c>
      <c r="M92" t="n">
        <v>0</v>
      </c>
      <c r="N92" t="n">
        <v>0</v>
      </c>
      <c r="O92" t="n">
        <v>0</v>
      </c>
      <c r="P92" t="n">
        <v>0</v>
      </c>
      <c r="Q92" t="n">
        <v>0</v>
      </c>
      <c r="R92" s="2" t="inlineStr"/>
    </row>
    <row r="93" ht="15" customHeight="1">
      <c r="A93" t="inlineStr">
        <is>
          <t>A 12480-2025</t>
        </is>
      </c>
      <c r="B93" s="1" t="n">
        <v>45730.57706018518</v>
      </c>
      <c r="C93" s="1" t="n">
        <v>45884</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1614-2025</t>
        </is>
      </c>
      <c r="B94" s="1" t="n">
        <v>45670.60094907408</v>
      </c>
      <c r="C94" s="1" t="n">
        <v>45884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9044-2025</t>
        </is>
      </c>
      <c r="B95" s="1" t="n">
        <v>45713.6275</v>
      </c>
      <c r="C95" s="1" t="n">
        <v>45884</v>
      </c>
      <c r="D95" t="inlineStr">
        <is>
          <t>KALMAR LÄN</t>
        </is>
      </c>
      <c r="E95" t="inlineStr">
        <is>
          <t>BORGHOLM</t>
        </is>
      </c>
      <c r="F95" t="inlineStr">
        <is>
          <t>Sveaskog</t>
        </is>
      </c>
      <c r="G95" t="n">
        <v>4</v>
      </c>
      <c r="H95" t="n">
        <v>0</v>
      </c>
      <c r="I95" t="n">
        <v>0</v>
      </c>
      <c r="J95" t="n">
        <v>0</v>
      </c>
      <c r="K95" t="n">
        <v>0</v>
      </c>
      <c r="L95" t="n">
        <v>0</v>
      </c>
      <c r="M95" t="n">
        <v>0</v>
      </c>
      <c r="N95" t="n">
        <v>0</v>
      </c>
      <c r="O95" t="n">
        <v>0</v>
      </c>
      <c r="P95" t="n">
        <v>0</v>
      </c>
      <c r="Q95" t="n">
        <v>0</v>
      </c>
      <c r="R95" s="2" t="inlineStr"/>
    </row>
    <row r="96" ht="15" customHeight="1">
      <c r="A96" t="inlineStr">
        <is>
          <t>A 9076-2025</t>
        </is>
      </c>
      <c r="B96" s="1" t="n">
        <v>45713.6596875</v>
      </c>
      <c r="C96" s="1" t="n">
        <v>45884</v>
      </c>
      <c r="D96" t="inlineStr">
        <is>
          <t>KALMAR LÄN</t>
        </is>
      </c>
      <c r="E96" t="inlineStr">
        <is>
          <t>BORGHOLM</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20878-2024</t>
        </is>
      </c>
      <c r="B97" s="1" t="n">
        <v>45439.44748842593</v>
      </c>
      <c r="C97" s="1" t="n">
        <v>45884</v>
      </c>
      <c r="D97" t="inlineStr">
        <is>
          <t>KALMAR LÄN</t>
        </is>
      </c>
      <c r="E97" t="inlineStr">
        <is>
          <t>BORGHOLM</t>
        </is>
      </c>
      <c r="G97" t="n">
        <v>1.9</v>
      </c>
      <c r="H97" t="n">
        <v>0</v>
      </c>
      <c r="I97" t="n">
        <v>0</v>
      </c>
      <c r="J97" t="n">
        <v>0</v>
      </c>
      <c r="K97" t="n">
        <v>0</v>
      </c>
      <c r="L97" t="n">
        <v>0</v>
      </c>
      <c r="M97" t="n">
        <v>0</v>
      </c>
      <c r="N97" t="n">
        <v>0</v>
      </c>
      <c r="O97" t="n">
        <v>0</v>
      </c>
      <c r="P97" t="n">
        <v>0</v>
      </c>
      <c r="Q97" t="n">
        <v>0</v>
      </c>
      <c r="R97" s="2" t="inlineStr"/>
    </row>
    <row r="98" ht="15" customHeight="1">
      <c r="A98" t="inlineStr">
        <is>
          <t>A 1757-2025</t>
        </is>
      </c>
      <c r="B98" s="1" t="n">
        <v>45671.42195601852</v>
      </c>
      <c r="C98" s="1" t="n">
        <v>45884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45884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7960-2023</t>
        </is>
      </c>
      <c r="B100" s="1" t="n">
        <v>44973</v>
      </c>
      <c r="C100" s="1" t="n">
        <v>45884</v>
      </c>
      <c r="D100" t="inlineStr">
        <is>
          <t>KALMAR LÄN</t>
        </is>
      </c>
      <c r="E100" t="inlineStr">
        <is>
          <t>BORGHOLM</t>
        </is>
      </c>
      <c r="G100" t="n">
        <v>2.1</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45884</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26160-2024</t>
        </is>
      </c>
      <c r="B102" s="1" t="n">
        <v>45468</v>
      </c>
      <c r="C102" s="1" t="n">
        <v>45884</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c r="T102">
        <f>HYPERLINK("https://klasma.github.io/Logging_0885/kartor/A 26160-2024 karta.png", "A 26160-2024")</f>
        <v/>
      </c>
      <c r="V102">
        <f>HYPERLINK("https://klasma.github.io/Logging_0885/klagomål/A 26160-2024 FSC-klagomål.docx", "A 26160-2024")</f>
        <v/>
      </c>
      <c r="W102">
        <f>HYPERLINK("https://klasma.github.io/Logging_0885/klagomålsmail/A 26160-2024 FSC-klagomål mail.docx", "A 26160-2024")</f>
        <v/>
      </c>
      <c r="X102">
        <f>HYPERLINK("https://klasma.github.io/Logging_0885/tillsyn/A 26160-2024 tillsynsbegäran.docx", "A 26160-2024")</f>
        <v/>
      </c>
      <c r="Y102">
        <f>HYPERLINK("https://klasma.github.io/Logging_0885/tillsynsmail/A 26160-2024 tillsynsbegäran mail.docx", "A 26160-2024")</f>
        <v/>
      </c>
    </row>
    <row r="103" ht="15" customHeight="1">
      <c r="A103" t="inlineStr">
        <is>
          <t>A 29656-2023</t>
        </is>
      </c>
      <c r="B103" s="1" t="n">
        <v>45107</v>
      </c>
      <c r="C103" s="1" t="n">
        <v>45884</v>
      </c>
      <c r="D103" t="inlineStr">
        <is>
          <t>KALMAR LÄN</t>
        </is>
      </c>
      <c r="E103" t="inlineStr">
        <is>
          <t>BORGHOLM</t>
        </is>
      </c>
      <c r="G103" t="n">
        <v>4.1</v>
      </c>
      <c r="H103" t="n">
        <v>0</v>
      </c>
      <c r="I103" t="n">
        <v>0</v>
      </c>
      <c r="J103" t="n">
        <v>0</v>
      </c>
      <c r="K103" t="n">
        <v>0</v>
      </c>
      <c r="L103" t="n">
        <v>0</v>
      </c>
      <c r="M103" t="n">
        <v>0</v>
      </c>
      <c r="N103" t="n">
        <v>0</v>
      </c>
      <c r="O103" t="n">
        <v>0</v>
      </c>
      <c r="P103" t="n">
        <v>0</v>
      </c>
      <c r="Q103" t="n">
        <v>0</v>
      </c>
      <c r="R103" s="2" t="inlineStr"/>
    </row>
    <row r="104" ht="15" customHeight="1">
      <c r="A104" t="inlineStr">
        <is>
          <t>A 9028-2025</t>
        </is>
      </c>
      <c r="B104" s="1" t="n">
        <v>45713</v>
      </c>
      <c r="C104" s="1" t="n">
        <v>45884</v>
      </c>
      <c r="D104" t="inlineStr">
        <is>
          <t>KALMAR LÄN</t>
        </is>
      </c>
      <c r="E104" t="inlineStr">
        <is>
          <t>BORGHOLM</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45884</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63075-2023</t>
        </is>
      </c>
      <c r="B106" s="1" t="n">
        <v>45273</v>
      </c>
      <c r="C106" s="1" t="n">
        <v>45884</v>
      </c>
      <c r="D106" t="inlineStr">
        <is>
          <t>KALMAR LÄN</t>
        </is>
      </c>
      <c r="E106" t="inlineStr">
        <is>
          <t>BORGHOLM</t>
        </is>
      </c>
      <c r="G106" t="n">
        <v>1.1</v>
      </c>
      <c r="H106" t="n">
        <v>0</v>
      </c>
      <c r="I106" t="n">
        <v>0</v>
      </c>
      <c r="J106" t="n">
        <v>0</v>
      </c>
      <c r="K106" t="n">
        <v>0</v>
      </c>
      <c r="L106" t="n">
        <v>0</v>
      </c>
      <c r="M106" t="n">
        <v>0</v>
      </c>
      <c r="N106" t="n">
        <v>0</v>
      </c>
      <c r="O106" t="n">
        <v>0</v>
      </c>
      <c r="P106" t="n">
        <v>0</v>
      </c>
      <c r="Q106" t="n">
        <v>0</v>
      </c>
      <c r="R106" s="2" t="inlineStr"/>
    </row>
    <row r="107" ht="15" customHeight="1">
      <c r="A107" t="inlineStr">
        <is>
          <t>A 7669-2024</t>
        </is>
      </c>
      <c r="B107" s="1" t="n">
        <v>45348.82498842593</v>
      </c>
      <c r="C107" s="1" t="n">
        <v>45884</v>
      </c>
      <c r="D107" t="inlineStr">
        <is>
          <t>KALMAR LÄN</t>
        </is>
      </c>
      <c r="E107" t="inlineStr">
        <is>
          <t>BORGHOLM</t>
        </is>
      </c>
      <c r="G107" t="n">
        <v>2.3</v>
      </c>
      <c r="H107" t="n">
        <v>0</v>
      </c>
      <c r="I107" t="n">
        <v>0</v>
      </c>
      <c r="J107" t="n">
        <v>0</v>
      </c>
      <c r="K107" t="n">
        <v>0</v>
      </c>
      <c r="L107" t="n">
        <v>0</v>
      </c>
      <c r="M107" t="n">
        <v>0</v>
      </c>
      <c r="N107" t="n">
        <v>0</v>
      </c>
      <c r="O107" t="n">
        <v>0</v>
      </c>
      <c r="P107" t="n">
        <v>0</v>
      </c>
      <c r="Q107" t="n">
        <v>0</v>
      </c>
      <c r="R107" s="2" t="inlineStr"/>
    </row>
    <row r="108" ht="15" customHeight="1">
      <c r="A108" t="inlineStr">
        <is>
          <t>A 17978-2021</t>
        </is>
      </c>
      <c r="B108" s="1" t="n">
        <v>44301</v>
      </c>
      <c r="C108" s="1" t="n">
        <v>45884</v>
      </c>
      <c r="D108" t="inlineStr">
        <is>
          <t>KALMAR LÄN</t>
        </is>
      </c>
      <c r="E108" t="inlineStr">
        <is>
          <t>BORGHOLM</t>
        </is>
      </c>
      <c r="G108" t="n">
        <v>6</v>
      </c>
      <c r="H108" t="n">
        <v>0</v>
      </c>
      <c r="I108" t="n">
        <v>0</v>
      </c>
      <c r="J108" t="n">
        <v>0</v>
      </c>
      <c r="K108" t="n">
        <v>0</v>
      </c>
      <c r="L108" t="n">
        <v>0</v>
      </c>
      <c r="M108" t="n">
        <v>0</v>
      </c>
      <c r="N108" t="n">
        <v>0</v>
      </c>
      <c r="O108" t="n">
        <v>0</v>
      </c>
      <c r="P108" t="n">
        <v>0</v>
      </c>
      <c r="Q108" t="n">
        <v>0</v>
      </c>
      <c r="R108" s="2" t="inlineStr"/>
    </row>
    <row r="109" ht="15" customHeight="1">
      <c r="A109" t="inlineStr">
        <is>
          <t>A 22785-2025</t>
        </is>
      </c>
      <c r="B109" s="1" t="n">
        <v>45789.64186342592</v>
      </c>
      <c r="C109" s="1" t="n">
        <v>45884</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45884</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31840-2021</t>
        </is>
      </c>
      <c r="B111" s="1" t="n">
        <v>44370</v>
      </c>
      <c r="C111" s="1" t="n">
        <v>45884</v>
      </c>
      <c r="D111" t="inlineStr">
        <is>
          <t>KALMAR LÄN</t>
        </is>
      </c>
      <c r="E111" t="inlineStr">
        <is>
          <t>BORGHOLM</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40339-2023</t>
        </is>
      </c>
      <c r="B112" s="1" t="n">
        <v>45169.62733796296</v>
      </c>
      <c r="C112" s="1" t="n">
        <v>45884</v>
      </c>
      <c r="D112" t="inlineStr">
        <is>
          <t>KALMAR LÄN</t>
        </is>
      </c>
      <c r="E112" t="inlineStr">
        <is>
          <t>BORGHOLM</t>
        </is>
      </c>
      <c r="G112" t="n">
        <v>3.8</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45884</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26190-2025</t>
        </is>
      </c>
      <c r="B114" s="1" t="n">
        <v>45805.48349537037</v>
      </c>
      <c r="C114" s="1" t="n">
        <v>45884</v>
      </c>
      <c r="D114" t="inlineStr">
        <is>
          <t>KALMAR LÄN</t>
        </is>
      </c>
      <c r="E114" t="inlineStr">
        <is>
          <t>BORGHOLM</t>
        </is>
      </c>
      <c r="G114" t="n">
        <v>3.2</v>
      </c>
      <c r="H114" t="n">
        <v>0</v>
      </c>
      <c r="I114" t="n">
        <v>0</v>
      </c>
      <c r="J114" t="n">
        <v>0</v>
      </c>
      <c r="K114" t="n">
        <v>0</v>
      </c>
      <c r="L114" t="n">
        <v>0</v>
      </c>
      <c r="M114" t="n">
        <v>0</v>
      </c>
      <c r="N114" t="n">
        <v>0</v>
      </c>
      <c r="O114" t="n">
        <v>0</v>
      </c>
      <c r="P114" t="n">
        <v>0</v>
      </c>
      <c r="Q114" t="n">
        <v>0</v>
      </c>
      <c r="R114" s="2" t="inlineStr"/>
    </row>
    <row r="115" ht="15" customHeight="1">
      <c r="A115" t="inlineStr">
        <is>
          <t>A 26160-2025</t>
        </is>
      </c>
      <c r="B115" s="1" t="n">
        <v>45805.4490162037</v>
      </c>
      <c r="C115" s="1" t="n">
        <v>45884</v>
      </c>
      <c r="D115" t="inlineStr">
        <is>
          <t>KALMAR LÄN</t>
        </is>
      </c>
      <c r="E115" t="inlineStr">
        <is>
          <t>BORGHOLM</t>
        </is>
      </c>
      <c r="G115" t="n">
        <v>3.7</v>
      </c>
      <c r="H115" t="n">
        <v>0</v>
      </c>
      <c r="I115" t="n">
        <v>0</v>
      </c>
      <c r="J115" t="n">
        <v>0</v>
      </c>
      <c r="K115" t="n">
        <v>0</v>
      </c>
      <c r="L115" t="n">
        <v>0</v>
      </c>
      <c r="M115" t="n">
        <v>0</v>
      </c>
      <c r="N115" t="n">
        <v>0</v>
      </c>
      <c r="O115" t="n">
        <v>0</v>
      </c>
      <c r="P115" t="n">
        <v>0</v>
      </c>
      <c r="Q115" t="n">
        <v>0</v>
      </c>
      <c r="R115" s="2" t="inlineStr"/>
    </row>
    <row r="116" ht="15" customHeight="1">
      <c r="A116" t="inlineStr">
        <is>
          <t>A 32919-2023</t>
        </is>
      </c>
      <c r="B116" s="1" t="n">
        <v>45125</v>
      </c>
      <c r="C116" s="1" t="n">
        <v>45884</v>
      </c>
      <c r="D116" t="inlineStr">
        <is>
          <t>KALMAR LÄN</t>
        </is>
      </c>
      <c r="E116" t="inlineStr">
        <is>
          <t>BORGHOLM</t>
        </is>
      </c>
      <c r="G116" t="n">
        <v>2.7</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44840.65100694444</v>
      </c>
      <c r="C117" s="1" t="n">
        <v>45884</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45884</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45884</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31720-2022</t>
        </is>
      </c>
      <c r="B120" s="1" t="n">
        <v>44776</v>
      </c>
      <c r="C120" s="1" t="n">
        <v>45884</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44547-2021</t>
        </is>
      </c>
      <c r="B121" s="1" t="n">
        <v>44435</v>
      </c>
      <c r="C121" s="1" t="n">
        <v>45884</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5175-2024</t>
        </is>
      </c>
      <c r="B122" s="1" t="n">
        <v>45330</v>
      </c>
      <c r="C122" s="1" t="n">
        <v>45884</v>
      </c>
      <c r="D122" t="inlineStr">
        <is>
          <t>KALMAR LÄN</t>
        </is>
      </c>
      <c r="E122" t="inlineStr">
        <is>
          <t>BORGHOLM</t>
        </is>
      </c>
      <c r="G122" t="n">
        <v>1.5</v>
      </c>
      <c r="H122" t="n">
        <v>0</v>
      </c>
      <c r="I122" t="n">
        <v>0</v>
      </c>
      <c r="J122" t="n">
        <v>0</v>
      </c>
      <c r="K122" t="n">
        <v>0</v>
      </c>
      <c r="L122" t="n">
        <v>0</v>
      </c>
      <c r="M122" t="n">
        <v>0</v>
      </c>
      <c r="N122" t="n">
        <v>0</v>
      </c>
      <c r="O122" t="n">
        <v>0</v>
      </c>
      <c r="P122" t="n">
        <v>0</v>
      </c>
      <c r="Q122" t="n">
        <v>0</v>
      </c>
      <c r="R122" s="2" t="inlineStr"/>
    </row>
    <row r="123" ht="15" customHeight="1">
      <c r="A123" t="inlineStr">
        <is>
          <t>A 28782-2025</t>
        </is>
      </c>
      <c r="B123" s="1" t="n">
        <v>45820.45572916666</v>
      </c>
      <c r="C123" s="1" t="n">
        <v>45884</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36269-2025</t>
        </is>
      </c>
      <c r="B124" s="1" t="n">
        <v>45867.61736111111</v>
      </c>
      <c r="C124" s="1" t="n">
        <v>45884</v>
      </c>
      <c r="D124" t="inlineStr">
        <is>
          <t>KALMAR LÄN</t>
        </is>
      </c>
      <c r="E124" t="inlineStr">
        <is>
          <t>BORGHOLM</t>
        </is>
      </c>
      <c r="F124" t="inlineStr">
        <is>
          <t>Sveaskog</t>
        </is>
      </c>
      <c r="G124" t="n">
        <v>3.3</v>
      </c>
      <c r="H124" t="n">
        <v>0</v>
      </c>
      <c r="I124" t="n">
        <v>0</v>
      </c>
      <c r="J124" t="n">
        <v>0</v>
      </c>
      <c r="K124" t="n">
        <v>0</v>
      </c>
      <c r="L124" t="n">
        <v>0</v>
      </c>
      <c r="M124" t="n">
        <v>0</v>
      </c>
      <c r="N124" t="n">
        <v>0</v>
      </c>
      <c r="O124" t="n">
        <v>0</v>
      </c>
      <c r="P124" t="n">
        <v>0</v>
      </c>
      <c r="Q124" t="n">
        <v>0</v>
      </c>
      <c r="R124" s="2" t="inlineStr"/>
    </row>
    <row r="125">
      <c r="A125" t="inlineStr">
        <is>
          <t>A 27326-2025</t>
        </is>
      </c>
      <c r="B125" s="1" t="n">
        <v>45812</v>
      </c>
      <c r="C125" s="1" t="n">
        <v>45884</v>
      </c>
      <c r="D125" t="inlineStr">
        <is>
          <t>KALMAR LÄN</t>
        </is>
      </c>
      <c r="E125" t="inlineStr">
        <is>
          <t>BORGHOLM</t>
        </is>
      </c>
      <c r="G125" t="n">
        <v>1.5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2025-08-15T08:27:07Z</dcterms:created>
  <dcterms:modified xmlns:dcterms="http://purl.org/dc/terms/" xmlns:xsi="http://www.w3.org/2001/XMLSchema-instance" xsi:type="dcterms:W3CDTF">2025-08-15T08:27:07Z</dcterms:modified>
</cp:coreProperties>
</file>