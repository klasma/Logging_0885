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46301</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46301</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46301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46301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46301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46301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46301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46301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46301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46301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46301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46301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46301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46301</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46301</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46301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46301</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46301</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46301</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46301</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46301</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46301</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46301</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46301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46301</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46301</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46301</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46301</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46301</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46301</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27290-2026</t>
        </is>
      </c>
      <c r="B45" t="inlineStr">
        <is>
          <t>avverkningsanmälan</t>
        </is>
      </c>
      <c r="C45" t="inlineStr">
        <is>
          <t>Avverkning för att bevara och utveckla /försöksver</t>
        </is>
      </c>
      <c r="D45" s="1" t="n">
        <v>46188</v>
      </c>
      <c r="E45" s="1" t="n">
        <v>46301</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46301</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46301</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46301</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46301</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46301</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46301</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46301</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46301</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15285-2026</t>
        </is>
      </c>
      <c r="B54" t="inlineStr">
        <is>
          <t>avverkningsanmälan</t>
        </is>
      </c>
      <c r="C54" t="inlineStr">
        <is>
          <t>Avverkning för att bevara och utveckla /försöksver</t>
        </is>
      </c>
      <c r="D54" s="1" t="n">
        <v>46105</v>
      </c>
      <c r="E54" s="1" t="n">
        <v>46301</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26849-2026</t>
        </is>
      </c>
      <c r="B55" t="inlineStr">
        <is>
          <t>avverkningsanmälan</t>
        </is>
      </c>
      <c r="C55" t="inlineStr">
        <is>
          <t>Föryngringsavverkning</t>
        </is>
      </c>
      <c r="D55" s="1" t="n">
        <v>46185</v>
      </c>
      <c r="E55" s="1" t="n">
        <v>46301</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46301</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46301</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31520-2026</t>
        </is>
      </c>
      <c r="B58" t="inlineStr">
        <is>
          <t>avverkningsanmälan</t>
        </is>
      </c>
      <c r="C58" t="inlineStr">
        <is>
          <t>Avverkning för att bevara och utveckla /försöksver</t>
        </is>
      </c>
      <c r="D58" s="1" t="n">
        <v>46223</v>
      </c>
      <c r="E58" s="1" t="n">
        <v>46301</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24048-2025</t>
        </is>
      </c>
      <c r="B59" t="inlineStr">
        <is>
          <t>avverkningsanmälan</t>
        </is>
      </c>
      <c r="C59" t="inlineStr">
        <is>
          <t>Föryngringsavverkning</t>
        </is>
      </c>
      <c r="D59" s="1" t="n">
        <v>45796</v>
      </c>
      <c r="E59" s="1" t="n">
        <v>46301</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46301</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46301</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46301</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46301</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9253-2026</t>
        </is>
      </c>
      <c r="B64" t="inlineStr">
        <is>
          <t>avverkningsanmälan</t>
        </is>
      </c>
      <c r="C64" t="inlineStr">
        <is>
          <t>Föryngringsavverkning</t>
        </is>
      </c>
      <c r="D64" s="1" t="n">
        <v>46070</v>
      </c>
      <c r="E64" s="1" t="n">
        <v>46301</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44678-2022</t>
        </is>
      </c>
      <c r="B65" t="inlineStr">
        <is>
          <t>avverkningsanmälan</t>
        </is>
      </c>
      <c r="C65" t="inlineStr">
        <is>
          <t>Föryngringsavverkning</t>
        </is>
      </c>
      <c r="D65" s="1" t="n">
        <v>44840</v>
      </c>
      <c r="E65" s="1" t="n">
        <v>46301</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60141-2025</t>
        </is>
      </c>
      <c r="B66" t="inlineStr">
        <is>
          <t>avverkningsanmälan</t>
        </is>
      </c>
      <c r="C66" t="inlineStr">
        <is>
          <t>Föryngringsavverkning</t>
        </is>
      </c>
      <c r="D66" s="1" t="n">
        <v>45994</v>
      </c>
      <c r="E66" s="1" t="n">
        <v>46301</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46301</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17699-2025</t>
        </is>
      </c>
      <c r="B68" t="inlineStr">
        <is>
          <t>avverkningsanmälan</t>
        </is>
      </c>
      <c r="C68" t="inlineStr">
        <is>
          <t>Föryngringsavverkning</t>
        </is>
      </c>
      <c r="D68" s="1" t="n">
        <v>45758</v>
      </c>
      <c r="E68" s="1" t="n">
        <v>46301</v>
      </c>
      <c r="F68" t="inlineStr">
        <is>
          <t>KALMAR LÄN</t>
        </is>
      </c>
      <c r="G68" t="inlineStr">
        <is>
          <t>BORGHOLM</t>
        </is>
      </c>
      <c r="I68" t="n">
        <v>0.7</v>
      </c>
      <c r="J68" t="n">
        <v>0</v>
      </c>
      <c r="K68" t="n">
        <v>0</v>
      </c>
      <c r="L68" t="n">
        <v>2</v>
      </c>
      <c r="M68" t="n">
        <v>0</v>
      </c>
      <c r="N68" t="n">
        <v>0</v>
      </c>
      <c r="O68" t="n">
        <v>0</v>
      </c>
      <c r="P68" t="n">
        <v>0</v>
      </c>
      <c r="Q68" t="n">
        <v>2</v>
      </c>
      <c r="R68" t="n">
        <v>0</v>
      </c>
      <c r="S68" t="n">
        <v>2</v>
      </c>
      <c r="T68" t="n">
        <v>2</v>
      </c>
      <c r="U68" t="n">
        <v>2</v>
      </c>
      <c r="V68" s="2" t="inlineStr">
        <is>
          <t>Backtimjan
Klibbveronika</t>
        </is>
      </c>
      <c r="W68">
        <f>HYPERLINK("https://klasma.github.io/Logging_0885/artfynd/A 17699-2025 artfynd.xlsx", "A 17699-2025")</f>
        <v/>
      </c>
      <c r="X68">
        <f>HYPERLINK("https://klasma.github.io/Logging_0885/kartor/A 17699-2025 karta.png", "A 17699-2025")</f>
        <v/>
      </c>
      <c r="Y68">
        <f>HYPERLINK("https://klasma.github.io/Logging_0885/kartor_geotiff/A 17699-2025 georefererad karta.tif", "A 17699-2025")</f>
        <v/>
      </c>
      <c r="AA68">
        <f>HYPERLINK("https://klasma.github.io/Logging_0885/klagomål/A 17699-2025 FSC-klagomål.docx", "A 17699-2025")</f>
        <v/>
      </c>
      <c r="AB68">
        <f>HYPERLINK("https://klasma.github.io/Logging_0885/klagomålsmail/A 17699-2025 FSC-klagomål mail.docx", "A 17699-2025")</f>
        <v/>
      </c>
      <c r="AC68">
        <f>HYPERLINK("https://klasma.github.io/Logging_0885/tillsyn/A 17699-2025 tillsynsbegäran.docx", "A 17699-2025")</f>
        <v/>
      </c>
      <c r="AD68">
        <f>HYPERLINK("https://klasma.github.io/Logging_0885/tillsynsmail/A 17699-2025 tillsynsbegäran mail.docx", "A 17699-2025")</f>
        <v/>
      </c>
    </row>
    <row r="69" ht="15" customHeight="1">
      <c r="A69" t="inlineStr">
        <is>
          <t>A 24322-2026</t>
        </is>
      </c>
      <c r="B69" t="inlineStr">
        <is>
          <t>avverkningsanmälan</t>
        </is>
      </c>
      <c r="C69" t="inlineStr">
        <is>
          <t>Föryngringsavverkning</t>
        </is>
      </c>
      <c r="D69" s="1" t="n">
        <v>46169</v>
      </c>
      <c r="E69" s="1" t="n">
        <v>46301</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21908-2022</t>
        </is>
      </c>
      <c r="B70" t="inlineStr">
        <is>
          <t>avverkningsanmälan</t>
        </is>
      </c>
      <c r="C70" t="inlineStr">
        <is>
          <t>Föryngringsavverkning</t>
        </is>
      </c>
      <c r="D70" s="1" t="n">
        <v>44711</v>
      </c>
      <c r="E70" s="1" t="n">
        <v>46301</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29411-2026</t>
        </is>
      </c>
      <c r="B71" t="inlineStr">
        <is>
          <t>avverkningsanmälan</t>
        </is>
      </c>
      <c r="C71" t="inlineStr">
        <is>
          <t>Avverkning för att bevara och utveckla /försöksver</t>
        </is>
      </c>
      <c r="D71" s="1" t="n">
        <v>46203</v>
      </c>
      <c r="E71" s="1" t="n">
        <v>46301</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29434-2026</t>
        </is>
      </c>
      <c r="B72" t="inlineStr">
        <is>
          <t>avverkningsanmälan</t>
        </is>
      </c>
      <c r="C72" t="inlineStr">
        <is>
          <t>Avverkning för att bevara och utveckla /försöksver</t>
        </is>
      </c>
      <c r="D72" s="1" t="n">
        <v>46203</v>
      </c>
      <c r="E72" s="1" t="n">
        <v>46301</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24166-2022</t>
        </is>
      </c>
      <c r="B73" t="inlineStr">
        <is>
          <t>avverkningsanmälan</t>
        </is>
      </c>
      <c r="C73" t="inlineStr">
        <is>
          <t>Avverkning för annat ändamål</t>
        </is>
      </c>
      <c r="D73" s="1" t="n">
        <v>44725</v>
      </c>
      <c r="E73" s="1" t="n">
        <v>46301</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46301</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46301</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46301</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46301</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46301</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46301</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20878-2024</t>
        </is>
      </c>
      <c r="B80" t="inlineStr">
        <is>
          <t>avverkningsanmälan</t>
        </is>
      </c>
      <c r="C80" t="inlineStr">
        <is>
          <t>Föryngringsavverkning</t>
        </is>
      </c>
      <c r="D80" s="1" t="n">
        <v>45439</v>
      </c>
      <c r="E80" s="1" t="n">
        <v>46301</v>
      </c>
      <c r="F80" t="inlineStr">
        <is>
          <t>KALMAR LÄN</t>
        </is>
      </c>
      <c r="G80" t="inlineStr">
        <is>
          <t>BORGHOLM</t>
        </is>
      </c>
      <c r="I80" t="n">
        <v>1.9</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HYPERLINK("https://klasma.github.io/Logging_0885/artfynd/A 20878-2024 artfynd.xlsx", "A 20878-2024")</f>
        <v/>
      </c>
      <c r="X80">
        <f>HYPERLINK("https://klasma.github.io/Logging_0885/kartor/A 20878-2024 karta.png", "A 20878-2024")</f>
        <v/>
      </c>
      <c r="Y80">
        <f>HYPERLINK("https://klasma.github.io/Logging_0885/kartor_geotiff/A 20878-2024 georefererad karta.tif", "A 20878-2024")</f>
        <v/>
      </c>
      <c r="AA80">
        <f>HYPERLINK("https://klasma.github.io/Logging_0885/klagomål/A 20878-2024 FSC-klagomål.docx", "A 20878-2024")</f>
        <v/>
      </c>
      <c r="AB80">
        <f>HYPERLINK("https://klasma.github.io/Logging_0885/klagomålsmail/A 20878-2024 FSC-klagomål mail.docx", "A 20878-2024")</f>
        <v/>
      </c>
      <c r="AC80">
        <f>HYPERLINK("https://klasma.github.io/Logging_0885/tillsyn/A 20878-2024 tillsynsbegäran.docx", "A 20878-2024")</f>
        <v/>
      </c>
      <c r="AD80">
        <f>HYPERLINK("https://klasma.github.io/Logging_0885/tillsynsmail/A 20878-2024 tillsynsbegäran mail.docx", "A 20878-2024")</f>
        <v/>
      </c>
    </row>
    <row r="81" ht="15" customHeight="1">
      <c r="A81" t="inlineStr">
        <is>
          <t>A 9745-2023</t>
        </is>
      </c>
      <c r="B81" t="inlineStr">
        <is>
          <t>avverkningsanmälan</t>
        </is>
      </c>
      <c r="C81" t="inlineStr">
        <is>
          <t>Föryngringsavverkning</t>
        </is>
      </c>
      <c r="D81" s="1" t="n">
        <v>44984</v>
      </c>
      <c r="E81" s="1" t="n">
        <v>46301</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3302-2026</t>
        </is>
      </c>
      <c r="B82" t="inlineStr">
        <is>
          <t>avverkningsanmälan</t>
        </is>
      </c>
      <c r="C82" t="inlineStr">
        <is>
          <t>Avverkning för annat ändamål</t>
        </is>
      </c>
      <c r="D82" s="1" t="n">
        <v>46041</v>
      </c>
      <c r="E82" s="1" t="n">
        <v>46301</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28782-2025</t>
        </is>
      </c>
      <c r="B83" t="inlineStr">
        <is>
          <t>avverkningsanmälan</t>
        </is>
      </c>
      <c r="C83" t="inlineStr">
        <is>
          <t>Avverkning för att bevara och utveckla /försöksver</t>
        </is>
      </c>
      <c r="D83" s="1" t="n">
        <v>45820</v>
      </c>
      <c r="E83" s="1" t="n">
        <v>46301</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46301</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41831-2025</t>
        </is>
      </c>
      <c r="B85" t="inlineStr">
        <is>
          <t>avverkningsanmälan</t>
        </is>
      </c>
      <c r="C85" t="inlineStr">
        <is>
          <t>Föryngringsavverkning</t>
        </is>
      </c>
      <c r="D85" s="1" t="n">
        <v>45902</v>
      </c>
      <c r="E85" s="1" t="n">
        <v>46301</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31720-2022</t>
        </is>
      </c>
      <c r="B86" t="inlineStr">
        <is>
          <t>avverkningsanmälan</t>
        </is>
      </c>
      <c r="C86" t="inlineStr">
        <is>
          <t>Föryngringsavverkning</t>
        </is>
      </c>
      <c r="D86" s="1" t="n">
        <v>44776</v>
      </c>
      <c r="E86" s="1" t="n">
        <v>46301</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7481-2026</t>
        </is>
      </c>
      <c r="B87" t="inlineStr">
        <is>
          <t>avverkningsanmälan</t>
        </is>
      </c>
      <c r="C87" t="inlineStr">
        <is>
          <t>Föryngringsavverkning</t>
        </is>
      </c>
      <c r="D87" s="1" t="n">
        <v>46059</v>
      </c>
      <c r="E87" s="1" t="n">
        <v>46301</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46301</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46301</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24701-2023</t>
        </is>
      </c>
      <c r="B90" t="inlineStr">
        <is>
          <t>avverkningsanmälan</t>
        </is>
      </c>
      <c r="C90" t="inlineStr">
        <is>
          <t>Föryngringsavverkning</t>
        </is>
      </c>
      <c r="D90" s="1" t="n">
        <v>45084</v>
      </c>
      <c r="E90" s="1" t="n">
        <v>46301</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46301</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26840-2026</t>
        </is>
      </c>
      <c r="B92" t="inlineStr">
        <is>
          <t>avverkningsanmälan</t>
        </is>
      </c>
      <c r="C92" t="inlineStr">
        <is>
          <t>Avverkning för att bevara och utveckla /försöksver</t>
        </is>
      </c>
      <c r="D92" s="1" t="n">
        <v>46185</v>
      </c>
      <c r="E92" s="1" t="n">
        <v>46301</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28430-2026</t>
        </is>
      </c>
      <c r="B93" t="inlineStr">
        <is>
          <t>avverkningsanmälan</t>
        </is>
      </c>
      <c r="C93" t="inlineStr">
        <is>
          <t>Avverkning för att bevara och utveckla /försöksver</t>
        </is>
      </c>
      <c r="D93" s="1" t="n">
        <v>46197</v>
      </c>
      <c r="E93" s="1" t="n">
        <v>46301</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46301</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19867-2024</t>
        </is>
      </c>
      <c r="B95" t="inlineStr">
        <is>
          <t>avverkningsanmälan</t>
        </is>
      </c>
      <c r="C95" t="inlineStr">
        <is>
          <t>Föryngringsavverkning</t>
        </is>
      </c>
      <c r="D95" s="1" t="n">
        <v>45433</v>
      </c>
      <c r="E95" s="1" t="n">
        <v>46301</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63276-2023</t>
        </is>
      </c>
      <c r="B96" t="inlineStr">
        <is>
          <t>avverkningsanmälan</t>
        </is>
      </c>
      <c r="C96" t="inlineStr">
        <is>
          <t>Föryngringsavverkning</t>
        </is>
      </c>
      <c r="D96" s="1" t="n">
        <v>45273</v>
      </c>
      <c r="E96" s="1" t="n">
        <v>46301</v>
      </c>
      <c r="F96" t="inlineStr">
        <is>
          <t>KALMAR LÄN</t>
        </is>
      </c>
      <c r="G96" t="inlineStr">
        <is>
          <t>BORGHOLM</t>
        </is>
      </c>
      <c r="I96" t="n">
        <v>5</v>
      </c>
      <c r="J96" t="n">
        <v>0</v>
      </c>
      <c r="K96" t="n">
        <v>0</v>
      </c>
      <c r="L96" t="n">
        <v>0</v>
      </c>
      <c r="M96" t="n">
        <v>1</v>
      </c>
      <c r="N96" t="n">
        <v>0</v>
      </c>
      <c r="O96" t="n">
        <v>0</v>
      </c>
      <c r="P96" t="n">
        <v>0</v>
      </c>
      <c r="Q96" t="n">
        <v>1</v>
      </c>
      <c r="R96" t="n">
        <v>1</v>
      </c>
      <c r="S96" t="n">
        <v>1</v>
      </c>
      <c r="T96" t="n">
        <v>1</v>
      </c>
      <c r="U96" t="n">
        <v>0</v>
      </c>
      <c r="V96" s="2" t="inlineStr">
        <is>
          <t>Elaphomyces barrioi</t>
        </is>
      </c>
      <c r="W96">
        <f>HYPERLINK("https://klasma.github.io/Logging_0885/artfynd/A 63276-2023 artfynd.xlsx", "A 63276-2023")</f>
        <v/>
      </c>
      <c r="X96">
        <f>HYPERLINK("https://klasma.github.io/Logging_0885/kartor/A 63276-2023 karta.png", "A 63276-2023")</f>
        <v/>
      </c>
      <c r="Y96">
        <f>HYPERLINK("https://klasma.github.io/Logging_0885/kartor_geotiff/A 63276-2023 georefererad karta.tif", "A 63276-2023")</f>
        <v/>
      </c>
      <c r="AA96">
        <f>HYPERLINK("https://klasma.github.io/Logging_0885/klagomål/A 63276-2023 FSC-klagomål.docx", "A 63276-2023")</f>
        <v/>
      </c>
      <c r="AB96">
        <f>HYPERLINK("https://klasma.github.io/Logging_0885/klagomålsmail/A 63276-2023 FSC-klagomål mail.docx", "A 63276-2023")</f>
        <v/>
      </c>
      <c r="AC96">
        <f>HYPERLINK("https://klasma.github.io/Logging_0885/tillsyn/A 63276-2023 tillsynsbegäran.docx", "A 63276-2023")</f>
        <v/>
      </c>
      <c r="AD96">
        <f>HYPERLINK("https://klasma.github.io/Logging_0885/tillsynsmail/A 63276-2023 tillsynsbegäran mail.docx", "A 63276-2023")</f>
        <v/>
      </c>
    </row>
    <row r="97" ht="15" customHeight="1">
      <c r="A97" t="inlineStr">
        <is>
          <t>A 33293-2026</t>
        </is>
      </c>
      <c r="B97" t="inlineStr">
        <is>
          <t>avverkningsanmälan</t>
        </is>
      </c>
      <c r="C97" t="inlineStr">
        <is>
          <t>Avverkning för att bevara och utveckla /försöksver</t>
        </is>
      </c>
      <c r="D97" s="1" t="n">
        <v>46246</v>
      </c>
      <c r="E97" s="1" t="n">
        <v>46301</v>
      </c>
      <c r="F97" t="inlineStr">
        <is>
          <t>KALMAR LÄN</t>
        </is>
      </c>
      <c r="G97" t="inlineStr">
        <is>
          <t>BORGHOLM</t>
        </is>
      </c>
      <c r="H97" t="inlineStr">
        <is>
          <t>Sveaskog</t>
        </is>
      </c>
      <c r="I97" t="n">
        <v>3.8</v>
      </c>
      <c r="J97" t="n">
        <v>1</v>
      </c>
      <c r="K97" t="n">
        <v>1</v>
      </c>
      <c r="L97" t="n">
        <v>0</v>
      </c>
      <c r="M97" t="n">
        <v>0</v>
      </c>
      <c r="N97" t="n">
        <v>0</v>
      </c>
      <c r="O97" t="n">
        <v>0</v>
      </c>
      <c r="P97" t="n">
        <v>0</v>
      </c>
      <c r="Q97" t="n">
        <v>0</v>
      </c>
      <c r="R97" t="n">
        <v>0</v>
      </c>
      <c r="S97" t="n">
        <v>1</v>
      </c>
      <c r="T97" t="n">
        <v>2</v>
      </c>
      <c r="U97" t="n">
        <v>0</v>
      </c>
      <c r="V97" s="2" t="inlineStr">
        <is>
          <t>Skogsknipprot</t>
        </is>
      </c>
      <c r="W97">
        <f>HYPERLINK("https://klasma.github.io/Logging_0885/artfynd/A 33293-2026 artfynd.xlsx", "A 33293-2026")</f>
        <v/>
      </c>
      <c r="X97">
        <f>HYPERLINK("https://klasma.github.io/Logging_0885/kartor/A 33293-2026 karta.png", "A 33293-2026")</f>
        <v/>
      </c>
      <c r="Y97">
        <f>HYPERLINK("https://klasma.github.io/Logging_0885/kartor_geotiff/A 33293-2026 georefererad karta.tif", "A 33293-2026")</f>
        <v/>
      </c>
      <c r="AA97">
        <f>HYPERLINK("https://klasma.github.io/Logging_0885/klagomål/A 33293-2026 FSC-klagomål.docx", "A 33293-2026")</f>
        <v/>
      </c>
      <c r="AB97">
        <f>HYPERLINK("https://klasma.github.io/Logging_0885/klagomålsmail/A 33293-2026 FSC-klagomål mail.docx", "A 33293-2026")</f>
        <v/>
      </c>
      <c r="AC97">
        <f>HYPERLINK("https://klasma.github.io/Logging_0885/tillsyn/A 33293-2026 tillsynsbegäran.docx", "A 33293-2026")</f>
        <v/>
      </c>
      <c r="AD97">
        <f>HYPERLINK("https://klasma.github.io/Logging_0885/tillsynsmail/A 33293-2026 tillsynsbegäran mail.docx", "A 33293-2026")</f>
        <v/>
      </c>
    </row>
    <row r="98" ht="15" customHeight="1">
      <c r="A98" t="inlineStr">
        <is>
          <t>A 13043-2024</t>
        </is>
      </c>
      <c r="B98" t="inlineStr">
        <is>
          <t>avverkningsanmälan</t>
        </is>
      </c>
      <c r="C98" t="inlineStr">
        <is>
          <t>Föryngringsavverkning</t>
        </is>
      </c>
      <c r="D98" s="1" t="n">
        <v>45385</v>
      </c>
      <c r="E98" s="1" t="n">
        <v>46301</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46301</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46301</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46301</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46301</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46301</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46301</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46301</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46301</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46301</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46301</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46301</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46301</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46301</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46301</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46301</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46301</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26190-2025</t>
        </is>
      </c>
      <c r="B115" t="inlineStr">
        <is>
          <t>avverkningsanmälan</t>
        </is>
      </c>
      <c r="C115" t="inlineStr">
        <is>
          <t>Föryngringsavverkning</t>
        </is>
      </c>
      <c r="D115" s="1" t="n">
        <v>45805</v>
      </c>
      <c r="E115" s="1" t="n">
        <v>46301</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46301</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46301</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36269-2025</t>
        </is>
      </c>
      <c r="B118" t="inlineStr">
        <is>
          <t>avverkningsanmälan</t>
        </is>
      </c>
      <c r="C118" t="inlineStr">
        <is>
          <t>Föryngringsavverkning</t>
        </is>
      </c>
      <c r="D118" s="1" t="n">
        <v>45867</v>
      </c>
      <c r="E118" s="1" t="n">
        <v>46301</v>
      </c>
      <c r="F118" t="inlineStr">
        <is>
          <t>KALMAR LÄN</t>
        </is>
      </c>
      <c r="G118" t="inlineStr">
        <is>
          <t>BORGHOLM</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46301</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46301</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46301</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9259-2026</t>
        </is>
      </c>
      <c r="B122" t="inlineStr">
        <is>
          <t>avverkningsanmälan</t>
        </is>
      </c>
      <c r="C122" t="inlineStr">
        <is>
          <t>Föryngringsavverkning</t>
        </is>
      </c>
      <c r="D122" s="1" t="n">
        <v>46070</v>
      </c>
      <c r="E122" s="1" t="n">
        <v>46301</v>
      </c>
      <c r="F122" t="inlineStr">
        <is>
          <t>KALMAR LÄN</t>
        </is>
      </c>
      <c r="G122" t="inlineStr">
        <is>
          <t>BORGHOLM</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32921-2023</t>
        </is>
      </c>
      <c r="B123" t="inlineStr">
        <is>
          <t>avverkningsanmälan</t>
        </is>
      </c>
      <c r="C123" t="inlineStr">
        <is>
          <t>Föryngringsavverkning</t>
        </is>
      </c>
      <c r="D123" s="1" t="n">
        <v>45125</v>
      </c>
      <c r="E123" s="1" t="n">
        <v>46301</v>
      </c>
      <c r="F123" t="inlineStr">
        <is>
          <t>KALMAR LÄN</t>
        </is>
      </c>
      <c r="G123" t="inlineStr">
        <is>
          <t>BORGHOLM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15272-2026</t>
        </is>
      </c>
      <c r="B124" t="inlineStr">
        <is>
          <t>avverkningsanmälan</t>
        </is>
      </c>
      <c r="C124" t="inlineStr">
        <is>
          <t>Avverkning för att bevara och utveckla /försöksver</t>
        </is>
      </c>
      <c r="D124" s="1" t="n">
        <v>46105</v>
      </c>
      <c r="E124" s="1" t="n">
        <v>46301</v>
      </c>
      <c r="F124" t="inlineStr">
        <is>
          <t>KALMAR LÄN</t>
        </is>
      </c>
      <c r="G124" t="inlineStr">
        <is>
          <t>BORGHOLM</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15279-2026</t>
        </is>
      </c>
      <c r="B125" t="inlineStr">
        <is>
          <t>avverkningsanmälan</t>
        </is>
      </c>
      <c r="C125" t="inlineStr">
        <is>
          <t>Avverkning för att bevara och utveckla /försöksver</t>
        </is>
      </c>
      <c r="D125" s="1" t="n">
        <v>46105</v>
      </c>
      <c r="E125" s="1" t="n">
        <v>46301</v>
      </c>
      <c r="F125" t="inlineStr">
        <is>
          <t>KALMAR LÄN</t>
        </is>
      </c>
      <c r="G125" t="inlineStr">
        <is>
          <t>BORGHOLM</t>
        </is>
      </c>
      <c r="H125" t="inlineStr">
        <is>
          <t>Sveaskog</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15264-2026</t>
        </is>
      </c>
      <c r="B126" t="inlineStr">
        <is>
          <t>avverkningsanmälan</t>
        </is>
      </c>
      <c r="C126" t="inlineStr">
        <is>
          <t>Avverkning för att bevara och utveckla /försöksver</t>
        </is>
      </c>
      <c r="D126" s="1" t="n">
        <v>46105</v>
      </c>
      <c r="E126" s="1" t="n">
        <v>46301</v>
      </c>
      <c r="F126" t="inlineStr">
        <is>
          <t>KALMAR LÄN</t>
        </is>
      </c>
      <c r="G126" t="inlineStr">
        <is>
          <t>BORGHOLM</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64303-2023</t>
        </is>
      </c>
      <c r="B127" t="inlineStr">
        <is>
          <t>avverkningsanmälan</t>
        </is>
      </c>
      <c r="C127" t="inlineStr">
        <is>
          <t>Avverkning för annat ändamål</t>
        </is>
      </c>
      <c r="D127" s="1" t="n">
        <v>45280</v>
      </c>
      <c r="E127" s="1" t="n">
        <v>46301</v>
      </c>
      <c r="F127" t="inlineStr">
        <is>
          <t>KALMAR LÄN</t>
        </is>
      </c>
      <c r="G127" t="inlineStr">
        <is>
          <t>BORGHOLM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46301</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63075-2023</t>
        </is>
      </c>
      <c r="B129" t="inlineStr">
        <is>
          <t>avverkningsanmälan</t>
        </is>
      </c>
      <c r="C129" t="inlineStr">
        <is>
          <t>Avverkning för annat ändamål</t>
        </is>
      </c>
      <c r="D129" s="1" t="n">
        <v>45273</v>
      </c>
      <c r="E129" s="1" t="n">
        <v>46301</v>
      </c>
      <c r="F129" t="inlineStr">
        <is>
          <t>KALMAR LÄN</t>
        </is>
      </c>
      <c r="G129" t="inlineStr">
        <is>
          <t>BORGHOLM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46301</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34780-2022</t>
        </is>
      </c>
      <c r="B131" t="inlineStr">
        <is>
          <t>avverkningsanmälan</t>
        </is>
      </c>
      <c r="C131" t="inlineStr">
        <is>
          <t>Föryngringsavverkning</t>
        </is>
      </c>
      <c r="D131" s="1" t="n">
        <v>44795</v>
      </c>
      <c r="E131" s="1" t="n">
        <v>46301</v>
      </c>
      <c r="F131" t="inlineStr">
        <is>
          <t>KALMAR LÄN</t>
        </is>
      </c>
      <c r="G131" t="inlineStr">
        <is>
          <t>BORGHOLM</t>
        </is>
      </c>
      <c r="H131" t="inlineStr">
        <is>
          <t>Sveaskog</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55367-2024</t>
        </is>
      </c>
      <c r="B132" t="inlineStr">
        <is>
          <t>avverkningsanmälan</t>
        </is>
      </c>
      <c r="C132" t="inlineStr">
        <is>
          <t>Föryngringsavverkning</t>
        </is>
      </c>
      <c r="D132" s="1" t="n">
        <v>45621</v>
      </c>
      <c r="E132" s="1" t="n">
        <v>46301</v>
      </c>
      <c r="F132" t="inlineStr">
        <is>
          <t>KALMAR LÄN</t>
        </is>
      </c>
      <c r="G132" t="inlineStr">
        <is>
          <t>BORGHOLM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27357-2025</t>
        </is>
      </c>
      <c r="B133" t="inlineStr">
        <is>
          <t>avverkningsanmälan</t>
        </is>
      </c>
      <c r="C133" t="inlineStr">
        <is>
          <t>Avverkning för att bevara och utveckla /försöksver</t>
        </is>
      </c>
      <c r="D133" s="1" t="n">
        <v>45812</v>
      </c>
      <c r="E133" s="1" t="n">
        <v>46301</v>
      </c>
      <c r="F133" t="inlineStr">
        <is>
          <t>KALMAR LÄN</t>
        </is>
      </c>
      <c r="G133" t="inlineStr">
        <is>
          <t>BORGHOLM</t>
        </is>
      </c>
      <c r="H133" t="inlineStr">
        <is>
          <t>Sveaskog</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7669-2024</t>
        </is>
      </c>
      <c r="B134" t="inlineStr">
        <is>
          <t>avverkningsanmälan</t>
        </is>
      </c>
      <c r="C134" t="inlineStr">
        <is>
          <t>Föryngringsavverkning</t>
        </is>
      </c>
      <c r="D134" s="1" t="n">
        <v>45348</v>
      </c>
      <c r="E134" s="1" t="n">
        <v>46301</v>
      </c>
      <c r="F134" t="inlineStr">
        <is>
          <t>KALMAR LÄN</t>
        </is>
      </c>
      <c r="G134" t="inlineStr">
        <is>
          <t>BORGHOLM</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20287-2025</t>
        </is>
      </c>
      <c r="B135" t="inlineStr">
        <is>
          <t>avverkningsanmälan</t>
        </is>
      </c>
      <c r="C135" t="inlineStr">
        <is>
          <t>Avverkning för att bevara och utveckla /försöksver</t>
        </is>
      </c>
      <c r="D135" s="1" t="n">
        <v>45774</v>
      </c>
      <c r="E135" s="1" t="n">
        <v>46301</v>
      </c>
      <c r="F135" t="inlineStr">
        <is>
          <t>KALMAR LÄN</t>
        </is>
      </c>
      <c r="G135" t="inlineStr">
        <is>
          <t>BORGHOLM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9076-2025</t>
        </is>
      </c>
      <c r="B136" t="inlineStr">
        <is>
          <t>avverkningsanmälan</t>
        </is>
      </c>
      <c r="C136" t="inlineStr">
        <is>
          <t>Föryngringsavverkning</t>
        </is>
      </c>
      <c r="D136" s="1" t="n">
        <v>45713</v>
      </c>
      <c r="E136" s="1" t="n">
        <v>46301</v>
      </c>
      <c r="F136" t="inlineStr">
        <is>
          <t>KALMAR LÄN</t>
        </is>
      </c>
      <c r="G136" t="inlineStr">
        <is>
          <t>BORGHOLM</t>
        </is>
      </c>
      <c r="H136" t="inlineStr">
        <is>
          <t>Sveaskog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24323-2026</t>
        </is>
      </c>
      <c r="B137" t="inlineStr">
        <is>
          <t>avverkningsanmälan</t>
        </is>
      </c>
      <c r="C137" t="inlineStr">
        <is>
          <t>Föryngringsavverkning</t>
        </is>
      </c>
      <c r="D137" s="1" t="n">
        <v>46169</v>
      </c>
      <c r="E137" s="1" t="n">
        <v>46301</v>
      </c>
      <c r="F137" t="inlineStr">
        <is>
          <t>KALMAR LÄN</t>
        </is>
      </c>
      <c r="G137" t="inlineStr">
        <is>
          <t>BORGHOLM</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46301</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34951-2022</t>
        </is>
      </c>
      <c r="B139" t="inlineStr">
        <is>
          <t>avverkningsanmälan</t>
        </is>
      </c>
      <c r="C139" t="inlineStr">
        <is>
          <t>Avverkning för att bevara och utveckla /försöksver</t>
        </is>
      </c>
      <c r="D139" s="1" t="n">
        <v>44796</v>
      </c>
      <c r="E139" s="1" t="n">
        <v>46301</v>
      </c>
      <c r="F139" t="inlineStr">
        <is>
          <t>KALMAR LÄN</t>
        </is>
      </c>
      <c r="G139" t="inlineStr">
        <is>
          <t>BORGHOLM</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46301</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5175-2024</t>
        </is>
      </c>
      <c r="B141" t="inlineStr">
        <is>
          <t>avverkningsanmälan</t>
        </is>
      </c>
      <c r="C141" t="inlineStr">
        <is>
          <t>Föryngringsavverkning</t>
        </is>
      </c>
      <c r="D141" s="1" t="n">
        <v>45330</v>
      </c>
      <c r="E141" s="1" t="n">
        <v>46301</v>
      </c>
      <c r="F141" t="inlineStr">
        <is>
          <t>KALMAR LÄN</t>
        </is>
      </c>
      <c r="G141" t="inlineStr">
        <is>
          <t>BORGHOLM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46301</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28411-2026</t>
        </is>
      </c>
      <c r="B143" t="inlineStr">
        <is>
          <t>avverkningsanmälan</t>
        </is>
      </c>
      <c r="C143" t="inlineStr">
        <is>
          <t>Avverkning för att bevara och utveckla /försöksver</t>
        </is>
      </c>
      <c r="D143" s="1" t="n">
        <v>46197</v>
      </c>
      <c r="E143" s="1" t="n">
        <v>46301</v>
      </c>
      <c r="F143" t="inlineStr">
        <is>
          <t>KALMAR LÄN</t>
        </is>
      </c>
      <c r="G143" t="inlineStr">
        <is>
          <t>BORGHOLM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29413-2026</t>
        </is>
      </c>
      <c r="B144" t="inlineStr">
        <is>
          <t>avverkningsanmälan</t>
        </is>
      </c>
      <c r="C144" t="inlineStr">
        <is>
          <t>Avverkning för att bevara och utveckla /försöksver</t>
        </is>
      </c>
      <c r="D144" s="1" t="n">
        <v>46203</v>
      </c>
      <c r="E144" s="1" t="n">
        <v>46301</v>
      </c>
      <c r="F144" t="inlineStr">
        <is>
          <t>KALMAR LÄN</t>
        </is>
      </c>
      <c r="G144" t="inlineStr">
        <is>
          <t>BORGHOLM</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29414-2026</t>
        </is>
      </c>
      <c r="B145" t="inlineStr">
        <is>
          <t>avverkningsanmälan</t>
        </is>
      </c>
      <c r="C145" t="inlineStr">
        <is>
          <t>Avverkning för att bevara och utveckla /försöksver</t>
        </is>
      </c>
      <c r="D145" s="1" t="n">
        <v>46203</v>
      </c>
      <c r="E145" s="1" t="n">
        <v>46301</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29431-2026</t>
        </is>
      </c>
      <c r="B146" t="inlineStr">
        <is>
          <t>avverkningsanmälan</t>
        </is>
      </c>
      <c r="C146" t="inlineStr">
        <is>
          <t>Avverkning för att bevara och utveckla /försöksver</t>
        </is>
      </c>
      <c r="D146" s="1" t="n">
        <v>46203</v>
      </c>
      <c r="E146" s="1" t="n">
        <v>46301</v>
      </c>
      <c r="F146" t="inlineStr">
        <is>
          <t>KALMAR LÄN</t>
        </is>
      </c>
      <c r="G146" t="inlineStr">
        <is>
          <t>BORGHOLM</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29410-2026</t>
        </is>
      </c>
      <c r="B147" t="inlineStr">
        <is>
          <t>avverkningsanmälan</t>
        </is>
      </c>
      <c r="C147" t="inlineStr">
        <is>
          <t>Avverkning för att bevara och utveckla /försöksver</t>
        </is>
      </c>
      <c r="D147" s="1" t="n">
        <v>46203</v>
      </c>
      <c r="E147" s="1" t="n">
        <v>46301</v>
      </c>
      <c r="F147" t="inlineStr">
        <is>
          <t>KALMAR LÄN</t>
        </is>
      </c>
      <c r="G147" t="inlineStr">
        <is>
          <t>BORGHOLM</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3878-2023</t>
        </is>
      </c>
      <c r="B148" t="inlineStr">
        <is>
          <t>avverkningsanmälan</t>
        </is>
      </c>
      <c r="C148" t="inlineStr">
        <is>
          <t>Föryngringsavverkning</t>
        </is>
      </c>
      <c r="D148" s="1" t="n">
        <v>44951</v>
      </c>
      <c r="E148" s="1" t="n">
        <v>46301</v>
      </c>
      <c r="F148" t="inlineStr">
        <is>
          <t>KALMAR LÄN</t>
        </is>
      </c>
      <c r="G148" t="inlineStr">
        <is>
          <t>BORGHOLM</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46301</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12937-2022</t>
        </is>
      </c>
      <c r="B150" t="inlineStr">
        <is>
          <t>avverkningsanmälan</t>
        </is>
      </c>
      <c r="C150" t="inlineStr">
        <is>
          <t>Föryngringsavverkning</t>
        </is>
      </c>
      <c r="D150" s="1" t="n">
        <v>44642</v>
      </c>
      <c r="E150" s="1" t="n">
        <v>46301</v>
      </c>
      <c r="F150" t="inlineStr">
        <is>
          <t>KALMAR LÄN</t>
        </is>
      </c>
      <c r="G150" t="inlineStr">
        <is>
          <t>BORGHOLM</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61438-2023</t>
        </is>
      </c>
      <c r="B151" t="inlineStr">
        <is>
          <t>avverkningsanmälan</t>
        </is>
      </c>
      <c r="C151" t="inlineStr">
        <is>
          <t>Avverkning för annat ändamål</t>
        </is>
      </c>
      <c r="D151" s="1" t="n">
        <v>45264</v>
      </c>
      <c r="E151" s="1" t="n">
        <v>46301</v>
      </c>
      <c r="F151" t="inlineStr">
        <is>
          <t>KALMAR LÄN</t>
        </is>
      </c>
      <c r="G151" t="inlineStr">
        <is>
          <t>BORGHOLM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13041-2024</t>
        </is>
      </c>
      <c r="B152" t="inlineStr">
        <is>
          <t>avverkningsanmälan</t>
        </is>
      </c>
      <c r="C152" t="inlineStr">
        <is>
          <t>Föryngringsavverkning</t>
        </is>
      </c>
      <c r="D152" s="1" t="n">
        <v>45385</v>
      </c>
      <c r="E152" s="1" t="n">
        <v>46301</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1614-2025</t>
        </is>
      </c>
      <c r="B153" t="inlineStr">
        <is>
          <t>avverkningsanmälan</t>
        </is>
      </c>
      <c r="C153" t="inlineStr">
        <is>
          <t>Föryngringsavverkning</t>
        </is>
      </c>
      <c r="D153" s="1" t="n">
        <v>45670</v>
      </c>
      <c r="E153" s="1" t="n">
        <v>46301</v>
      </c>
      <c r="F153" t="inlineStr">
        <is>
          <t>KALMAR LÄN</t>
        </is>
      </c>
      <c r="G153" t="inlineStr">
        <is>
          <t>BORGHOLM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9050-2025</t>
        </is>
      </c>
      <c r="B154" t="inlineStr">
        <is>
          <t>avverkningsanmälan</t>
        </is>
      </c>
      <c r="C154" t="inlineStr">
        <is>
          <t>Avverkning för att bevara och utveckla /försöksver</t>
        </is>
      </c>
      <c r="D154" s="1" t="n">
        <v>45713</v>
      </c>
      <c r="E154" s="1" t="n">
        <v>46301</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24338-2026</t>
        </is>
      </c>
      <c r="B155" t="inlineStr">
        <is>
          <t>avverkningsanmälan</t>
        </is>
      </c>
      <c r="C155" t="inlineStr">
        <is>
          <t>Avverkning för att bevara och utveckla /försöksver</t>
        </is>
      </c>
      <c r="D155" s="1" t="n">
        <v>46169</v>
      </c>
      <c r="E155" s="1" t="n">
        <v>46301</v>
      </c>
      <c r="F155" t="inlineStr">
        <is>
          <t>KALMAR LÄN</t>
        </is>
      </c>
      <c r="G155" t="inlineStr">
        <is>
          <t>BORGHOLM</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46301</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40339-2023</t>
        </is>
      </c>
      <c r="B157" t="inlineStr">
        <is>
          <t>avverkningsanmälan</t>
        </is>
      </c>
      <c r="C157" t="inlineStr">
        <is>
          <t>Föryngringsavverkning</t>
        </is>
      </c>
      <c r="D157" s="1" t="n">
        <v>45169</v>
      </c>
      <c r="E157" s="1" t="n">
        <v>46301</v>
      </c>
      <c r="F157" t="inlineStr">
        <is>
          <t>KALMAR LÄN</t>
        </is>
      </c>
      <c r="G157" t="inlineStr">
        <is>
          <t>BORGHOLM</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46301</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46301</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46301</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46301</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46301</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46301</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46301</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46301</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46301</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1806-2026</t>
        </is>
      </c>
      <c r="B167" t="inlineStr">
        <is>
          <t>samrådsanmälan</t>
        </is>
      </c>
      <c r="C167" t="inlineStr">
        <is>
          <t>Annan skogsbruksåtgärd</t>
        </is>
      </c>
      <c r="D167" s="1" t="n">
        <v>46196</v>
      </c>
      <c r="E167" s="1" t="n">
        <v>46301</v>
      </c>
      <c r="F167" t="inlineStr">
        <is>
          <t>KALMAR LÄN</t>
        </is>
      </c>
      <c r="G167" t="inlineStr">
        <is>
          <t>BORGHOLM</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46301</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46301</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46301</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46301</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46301</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2026-10-06T01:54:46Z</dcterms:created>
  <dcterms:modified xmlns:dcterms="http://purl.org/dc/terms/" xmlns:xsi="http://www.w3.org/2001/XMLSchema-instance" xsi:type="dcterms:W3CDTF">2026-10-06T01:54:46Z</dcterms:modified>
</cp:coreProperties>
</file>