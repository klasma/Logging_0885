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46092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46092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60140-2025</t>
        </is>
      </c>
      <c r="B21" s="1" t="n">
        <v>45994.36274305556</v>
      </c>
      <c r="C21" s="1" t="n">
        <v>46092</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9253-2026</t>
        </is>
      </c>
      <c r="B22" s="1" t="n">
        <v>46070.51003472223</v>
      </c>
      <c r="C22" s="1" t="n">
        <v>46092</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28779-2025</t>
        </is>
      </c>
      <c r="B23" s="1" t="n">
        <v>45820.44920138889</v>
      </c>
      <c r="C23" s="1" t="n">
        <v>46092</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44008-2022</t>
        </is>
      </c>
      <c r="B24" s="1" t="n">
        <v>44838</v>
      </c>
      <c r="C24" s="1" t="n">
        <v>46092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46092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46092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46092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46092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46092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46092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46092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46092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46092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46092</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46092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46092</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3302-2026</t>
        </is>
      </c>
      <c r="B38" s="1" t="n">
        <v>46041</v>
      </c>
      <c r="C38" s="1" t="n">
        <v>46092</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24704-2023</t>
        </is>
      </c>
      <c r="B39" s="1" t="n">
        <v>45084</v>
      </c>
      <c r="C39" s="1" t="n">
        <v>46092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34885-2025</t>
        </is>
      </c>
      <c r="B40" s="1" t="n">
        <v>45849.47128472223</v>
      </c>
      <c r="C40" s="1" t="n">
        <v>46092</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46092</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46092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46092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46092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46092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46092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46092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46092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46092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46092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46092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46092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46092</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46092</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46092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46092</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46092</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60141-2025</t>
        </is>
      </c>
      <c r="B66" s="1" t="n">
        <v>45994.36873842592</v>
      </c>
      <c r="C66" s="1" t="n">
        <v>46092</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46092</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46092</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46092</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46092</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40339-2023</t>
        </is>
      </c>
      <c r="B71" s="1" t="n">
        <v>45169.62733796296</v>
      </c>
      <c r="C71" s="1" t="n">
        <v>46092</v>
      </c>
      <c r="D71" t="inlineStr">
        <is>
          <t>KALMAR LÄN</t>
        </is>
      </c>
      <c r="E71" t="inlineStr">
        <is>
          <t>BORGHOLM</t>
        </is>
      </c>
      <c r="G71" t="n">
        <v>3.8</v>
      </c>
      <c r="H71" t="n">
        <v>0</v>
      </c>
      <c r="I71" t="n">
        <v>0</v>
      </c>
      <c r="J71" t="n">
        <v>0</v>
      </c>
      <c r="K71" t="n">
        <v>0</v>
      </c>
      <c r="L71" t="n">
        <v>0</v>
      </c>
      <c r="M71" t="n">
        <v>0</v>
      </c>
      <c r="N71" t="n">
        <v>0</v>
      </c>
      <c r="O71" t="n">
        <v>0</v>
      </c>
      <c r="P71" t="n">
        <v>0</v>
      </c>
      <c r="Q71" t="n">
        <v>0</v>
      </c>
      <c r="R71" s="2" t="inlineStr"/>
    </row>
    <row r="72" ht="15" customHeight="1">
      <c r="A72" t="inlineStr">
        <is>
          <t>A 61723-2025</t>
        </is>
      </c>
      <c r="B72" s="1" t="n">
        <v>46002.58388888889</v>
      </c>
      <c r="C72" s="1" t="n">
        <v>46092</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46092</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46092</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24166-2022</t>
        </is>
      </c>
      <c r="B75" s="1" t="n">
        <v>44725</v>
      </c>
      <c r="C75" s="1" t="n">
        <v>46092</v>
      </c>
      <c r="D75" t="inlineStr">
        <is>
          <t>KALMAR LÄN</t>
        </is>
      </c>
      <c r="E75" t="inlineStr">
        <is>
          <t>BORGHOLM</t>
        </is>
      </c>
      <c r="G75" t="n">
        <v>10.7</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46092</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46092</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46092</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7481-2026</t>
        </is>
      </c>
      <c r="B79" s="1" t="n">
        <v>46059.51359953704</v>
      </c>
      <c r="C79" s="1" t="n">
        <v>46092</v>
      </c>
      <c r="D79" t="inlineStr">
        <is>
          <t>KALMAR LÄN</t>
        </is>
      </c>
      <c r="E79" t="inlineStr">
        <is>
          <t>BORGHOLM</t>
        </is>
      </c>
      <c r="G79" t="n">
        <v>1.9</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46092</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26190-2025</t>
        </is>
      </c>
      <c r="B81" s="1" t="n">
        <v>45805.48349537037</v>
      </c>
      <c r="C81" s="1" t="n">
        <v>46092</v>
      </c>
      <c r="D81" t="inlineStr">
        <is>
          <t>KALMAR LÄN</t>
        </is>
      </c>
      <c r="E81" t="inlineStr">
        <is>
          <t>BORGHOLM</t>
        </is>
      </c>
      <c r="G81" t="n">
        <v>3.2</v>
      </c>
      <c r="H81" t="n">
        <v>0</v>
      </c>
      <c r="I81" t="n">
        <v>0</v>
      </c>
      <c r="J81" t="n">
        <v>0</v>
      </c>
      <c r="K81" t="n">
        <v>0</v>
      </c>
      <c r="L81" t="n">
        <v>0</v>
      </c>
      <c r="M81" t="n">
        <v>0</v>
      </c>
      <c r="N81" t="n">
        <v>0</v>
      </c>
      <c r="O81" t="n">
        <v>0</v>
      </c>
      <c r="P81" t="n">
        <v>0</v>
      </c>
      <c r="Q81" t="n">
        <v>0</v>
      </c>
      <c r="R81" s="2" t="inlineStr"/>
    </row>
    <row r="82" ht="15" customHeight="1">
      <c r="A82" t="inlineStr">
        <is>
          <t>A 4159-2024</t>
        </is>
      </c>
      <c r="B82" s="1" t="n">
        <v>45323</v>
      </c>
      <c r="C82" s="1" t="n">
        <v>46092</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26160-2025</t>
        </is>
      </c>
      <c r="B83" s="1" t="n">
        <v>45805.4490162037</v>
      </c>
      <c r="C83" s="1" t="n">
        <v>46092</v>
      </c>
      <c r="D83" t="inlineStr">
        <is>
          <t>KALMAR LÄN</t>
        </is>
      </c>
      <c r="E83" t="inlineStr">
        <is>
          <t>BORGHOLM</t>
        </is>
      </c>
      <c r="G83" t="n">
        <v>3.7</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46092</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9104-2026</t>
        </is>
      </c>
      <c r="B85" s="1" t="n">
        <v>46069</v>
      </c>
      <c r="C85" s="1" t="n">
        <v>46092</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9259-2026</t>
        </is>
      </c>
      <c r="B86" s="1" t="n">
        <v>46070.51917824074</v>
      </c>
      <c r="C86" s="1" t="n">
        <v>46092</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27357-2025</t>
        </is>
      </c>
      <c r="B87" s="1" t="n">
        <v>45812.63650462963</v>
      </c>
      <c r="C87" s="1" t="n">
        <v>46092</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27366-2025</t>
        </is>
      </c>
      <c r="B88" s="1" t="n">
        <v>45812.64475694444</v>
      </c>
      <c r="C88" s="1" t="n">
        <v>46092</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46092</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46092</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9905-2026</t>
        </is>
      </c>
      <c r="B91" s="1" t="n">
        <v>46073.4108912037</v>
      </c>
      <c r="C91" s="1" t="n">
        <v>46092</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31699-2022</t>
        </is>
      </c>
      <c r="B92" s="1" t="n">
        <v>44776</v>
      </c>
      <c r="C92" s="1" t="n">
        <v>46092</v>
      </c>
      <c r="D92" t="inlineStr">
        <is>
          <t>KALMAR LÄN</t>
        </is>
      </c>
      <c r="E92" t="inlineStr">
        <is>
          <t>BORGHOLM</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63276-2023</t>
        </is>
      </c>
      <c r="B93" s="1" t="n">
        <v>45273.82195601852</v>
      </c>
      <c r="C93" s="1" t="n">
        <v>46092</v>
      </c>
      <c r="D93" t="inlineStr">
        <is>
          <t>KALMAR LÄN</t>
        </is>
      </c>
      <c r="E93" t="inlineStr">
        <is>
          <t>BORGHOLM</t>
        </is>
      </c>
      <c r="G93" t="n">
        <v>5</v>
      </c>
      <c r="H93" t="n">
        <v>0</v>
      </c>
      <c r="I93" t="n">
        <v>0</v>
      </c>
      <c r="J93" t="n">
        <v>0</v>
      </c>
      <c r="K93" t="n">
        <v>0</v>
      </c>
      <c r="L93" t="n">
        <v>0</v>
      </c>
      <c r="M93" t="n">
        <v>0</v>
      </c>
      <c r="N93" t="n">
        <v>0</v>
      </c>
      <c r="O93" t="n">
        <v>0</v>
      </c>
      <c r="P93" t="n">
        <v>0</v>
      </c>
      <c r="Q93" t="n">
        <v>0</v>
      </c>
      <c r="R93" s="2" t="inlineStr"/>
    </row>
    <row r="94" ht="15" customHeight="1">
      <c r="A94" t="inlineStr">
        <is>
          <t>A 1614-2025</t>
        </is>
      </c>
      <c r="B94" s="1" t="n">
        <v>45670.60094907408</v>
      </c>
      <c r="C94" s="1" t="n">
        <v>46092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36269-2025</t>
        </is>
      </c>
      <c r="B95" s="1" t="n">
        <v>45867.61736111111</v>
      </c>
      <c r="C95" s="1" t="n">
        <v>46092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9076-2025</t>
        </is>
      </c>
      <c r="B96" s="1" t="n">
        <v>45713.6596875</v>
      </c>
      <c r="C96" s="1" t="n">
        <v>46092</v>
      </c>
      <c r="D96" t="inlineStr">
        <is>
          <t>KALMAR LÄN</t>
        </is>
      </c>
      <c r="E96" t="inlineStr">
        <is>
          <t>BORGHOLM</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46092</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7960-2023</t>
        </is>
      </c>
      <c r="B98" s="1" t="n">
        <v>44973</v>
      </c>
      <c r="C98" s="1" t="n">
        <v>46092</v>
      </c>
      <c r="D98" t="inlineStr">
        <is>
          <t>KALMAR LÄN</t>
        </is>
      </c>
      <c r="E98" t="inlineStr">
        <is>
          <t>BORGHOLM</t>
        </is>
      </c>
      <c r="G98" t="n">
        <v>2.1</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46092</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9050-2025</t>
        </is>
      </c>
      <c r="B100" s="1" t="n">
        <v>45713.63512731482</v>
      </c>
      <c r="C100" s="1" t="n">
        <v>46092</v>
      </c>
      <c r="D100" t="inlineStr">
        <is>
          <t>KALMAR LÄN</t>
        </is>
      </c>
      <c r="E100" t="inlineStr">
        <is>
          <t>BORGHOLM</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7669-2024</t>
        </is>
      </c>
      <c r="B101" s="1" t="n">
        <v>45348.82498842593</v>
      </c>
      <c r="C101" s="1" t="n">
        <v>46092</v>
      </c>
      <c r="D101" t="inlineStr">
        <is>
          <t>KALMAR LÄN</t>
        </is>
      </c>
      <c r="E101" t="inlineStr">
        <is>
          <t>BORGHOLM</t>
        </is>
      </c>
      <c r="G101" t="n">
        <v>2.3</v>
      </c>
      <c r="H101" t="n">
        <v>0</v>
      </c>
      <c r="I101" t="n">
        <v>0</v>
      </c>
      <c r="J101" t="n">
        <v>0</v>
      </c>
      <c r="K101" t="n">
        <v>0</v>
      </c>
      <c r="L101" t="n">
        <v>0</v>
      </c>
      <c r="M101" t="n">
        <v>0</v>
      </c>
      <c r="N101" t="n">
        <v>0</v>
      </c>
      <c r="O101" t="n">
        <v>0</v>
      </c>
      <c r="P101" t="n">
        <v>0</v>
      </c>
      <c r="Q101" t="n">
        <v>0</v>
      </c>
      <c r="R101" s="2" t="inlineStr"/>
    </row>
    <row r="102" ht="15" customHeight="1">
      <c r="A102" t="inlineStr">
        <is>
          <t>A 31840-2021</t>
        </is>
      </c>
      <c r="B102" s="1" t="n">
        <v>44370</v>
      </c>
      <c r="C102" s="1" t="n">
        <v>46092</v>
      </c>
      <c r="D102" t="inlineStr">
        <is>
          <t>KALMAR LÄN</t>
        </is>
      </c>
      <c r="E102" t="inlineStr">
        <is>
          <t>BORGHOLM</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46092</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44678-2022</t>
        </is>
      </c>
      <c r="B104" s="1" t="n">
        <v>44840.65100694444</v>
      </c>
      <c r="C104" s="1" t="n">
        <v>46092</v>
      </c>
      <c r="D104" t="inlineStr">
        <is>
          <t>KALMAR LÄN</t>
        </is>
      </c>
      <c r="E104" t="inlineStr">
        <is>
          <t>BORGHOLM</t>
        </is>
      </c>
      <c r="G104" t="n">
        <v>2.4</v>
      </c>
      <c r="H104" t="n">
        <v>0</v>
      </c>
      <c r="I104" t="n">
        <v>0</v>
      </c>
      <c r="J104" t="n">
        <v>0</v>
      </c>
      <c r="K104" t="n">
        <v>0</v>
      </c>
      <c r="L104" t="n">
        <v>0</v>
      </c>
      <c r="M104" t="n">
        <v>0</v>
      </c>
      <c r="N104" t="n">
        <v>0</v>
      </c>
      <c r="O104" t="n">
        <v>0</v>
      </c>
      <c r="P104" t="n">
        <v>0</v>
      </c>
      <c r="Q104" t="n">
        <v>0</v>
      </c>
      <c r="R104" s="2" t="inlineStr"/>
    </row>
    <row r="105" ht="15" customHeight="1">
      <c r="A105" t="inlineStr">
        <is>
          <t>A 31720-2022</t>
        </is>
      </c>
      <c r="B105" s="1" t="n">
        <v>44776</v>
      </c>
      <c r="C105" s="1" t="n">
        <v>46092</v>
      </c>
      <c r="D105" t="inlineStr">
        <is>
          <t>KALMAR LÄN</t>
        </is>
      </c>
      <c r="E105" t="inlineStr">
        <is>
          <t>BORGHOLM</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44547-2021</t>
        </is>
      </c>
      <c r="B106" s="1" t="n">
        <v>44435</v>
      </c>
      <c r="C106" s="1" t="n">
        <v>46092</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46092</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46092</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46092</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46092</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61438-2023</t>
        </is>
      </c>
      <c r="B111" s="1" t="n">
        <v>45264</v>
      </c>
      <c r="C111" s="1" t="n">
        <v>46092</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13041-2024</t>
        </is>
      </c>
      <c r="B112" s="1" t="n">
        <v>45385.60065972222</v>
      </c>
      <c r="C112" s="1" t="n">
        <v>46092</v>
      </c>
      <c r="D112" t="inlineStr">
        <is>
          <t>KALMAR LÄN</t>
        </is>
      </c>
      <c r="E112" t="inlineStr">
        <is>
          <t>BORGHOLM</t>
        </is>
      </c>
      <c r="G112" t="n">
        <v>0.5</v>
      </c>
      <c r="H112" t="n">
        <v>0</v>
      </c>
      <c r="I112" t="n">
        <v>0</v>
      </c>
      <c r="J112" t="n">
        <v>0</v>
      </c>
      <c r="K112" t="n">
        <v>0</v>
      </c>
      <c r="L112" t="n">
        <v>0</v>
      </c>
      <c r="M112" t="n">
        <v>0</v>
      </c>
      <c r="N112" t="n">
        <v>0</v>
      </c>
      <c r="O112" t="n">
        <v>0</v>
      </c>
      <c r="P112" t="n">
        <v>0</v>
      </c>
      <c r="Q112" t="n">
        <v>0</v>
      </c>
      <c r="R112" s="2" t="inlineStr"/>
    </row>
    <row r="113" ht="15" customHeight="1">
      <c r="A113" t="inlineStr">
        <is>
          <t>A 53050-2021</t>
        </is>
      </c>
      <c r="B113" s="1" t="n">
        <v>44467</v>
      </c>
      <c r="C113" s="1" t="n">
        <v>46092</v>
      </c>
      <c r="D113" t="inlineStr">
        <is>
          <t>KALMAR LÄN</t>
        </is>
      </c>
      <c r="E113" t="inlineStr">
        <is>
          <t>BORGHOLM</t>
        </is>
      </c>
      <c r="G113" t="n">
        <v>3.6</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46092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46092</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46092</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46092</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46092</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20878-2024</t>
        </is>
      </c>
      <c r="B119" s="1" t="n">
        <v>45439.44748842593</v>
      </c>
      <c r="C119" s="1" t="n">
        <v>46092</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row r="120" ht="15" customHeight="1">
      <c r="A120" t="inlineStr">
        <is>
          <t>A 17699-2025</t>
        </is>
      </c>
      <c r="B120" s="1" t="n">
        <v>45758.41846064815</v>
      </c>
      <c r="C120" s="1" t="n">
        <v>46092</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46092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26160-2024</t>
        </is>
      </c>
      <c r="B122" s="1" t="n">
        <v>45468</v>
      </c>
      <c r="C122" s="1" t="n">
        <v>46092</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c r="T122">
        <f>HYPERLINK("https://klasma.github.io/Logging_0885/kartor/A 26160-2024 karta.png", "A 26160-2024")</f>
        <v/>
      </c>
      <c r="V122">
        <f>HYPERLINK("https://klasma.github.io/Logging_0885/klagomål/A 26160-2024 FSC-klagomål.docx", "A 26160-2024")</f>
        <v/>
      </c>
      <c r="W122">
        <f>HYPERLINK("https://klasma.github.io/Logging_0885/klagomålsmail/A 26160-2024 FSC-klagomål mail.docx", "A 26160-2024")</f>
        <v/>
      </c>
      <c r="X122">
        <f>HYPERLINK("https://klasma.github.io/Logging_0885/tillsyn/A 26160-2024 tillsynsbegäran.docx", "A 26160-2024")</f>
        <v/>
      </c>
      <c r="Y122">
        <f>HYPERLINK("https://klasma.github.io/Logging_0885/tillsynsmail/A 26160-2024 tillsynsbegäran mail.docx", "A 26160-2024")</f>
        <v/>
      </c>
    </row>
    <row r="123">
      <c r="A123" t="inlineStr">
        <is>
          <t>A 63075-2023</t>
        </is>
      </c>
      <c r="B123" s="1" t="n">
        <v>45273</v>
      </c>
      <c r="C123" s="1" t="n">
        <v>46092</v>
      </c>
      <c r="D123" t="inlineStr">
        <is>
          <t>KALMAR LÄN</t>
        </is>
      </c>
      <c r="E123" t="inlineStr">
        <is>
          <t>BORGHOLM</t>
        </is>
      </c>
      <c r="G123" t="n">
        <v>1.1</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2026-03-11T11:23:24Z</dcterms:created>
  <dcterms:modified xmlns:dcterms="http://purl.org/dc/terms/" xmlns:xsi="http://www.w3.org/2001/XMLSchema-instance" xsi:type="dcterms:W3CDTF">2026-03-11T11:23:24Z</dcterms:modified>
</cp:coreProperties>
</file>