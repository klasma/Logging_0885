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46127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46127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46127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46127</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46127</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46127</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60140-2025</t>
        </is>
      </c>
      <c r="B22" s="1" t="n">
        <v>45994.36274305556</v>
      </c>
      <c r="C22" s="1" t="n">
        <v>46127</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44008-2022</t>
        </is>
      </c>
      <c r="B23" s="1" t="n">
        <v>44838</v>
      </c>
      <c r="C23" s="1" t="n">
        <v>46127</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46127</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46127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15285-2026</t>
        </is>
      </c>
      <c r="B26" s="1" t="n">
        <v>46105.6156712963</v>
      </c>
      <c r="C26" s="1" t="n">
        <v>46127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43756-2022</t>
        </is>
      </c>
      <c r="B27" s="1" t="n">
        <v>44837</v>
      </c>
      <c r="C27" s="1" t="n">
        <v>46127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9253-2026</t>
        </is>
      </c>
      <c r="B28" s="1" t="n">
        <v>46070.51003472223</v>
      </c>
      <c r="C28" s="1" t="n">
        <v>46127</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46127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46127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46127</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46127</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46127</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46127</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46127</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46127</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46127</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46127</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46127</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46127</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3302-2026</t>
        </is>
      </c>
      <c r="B42" s="1" t="n">
        <v>46041</v>
      </c>
      <c r="C42" s="1" t="n">
        <v>46127</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43603-2024</t>
        </is>
      </c>
      <c r="B43" s="1" t="n">
        <v>45569.44700231482</v>
      </c>
      <c r="C43" s="1" t="n">
        <v>46127</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42761-2021</t>
        </is>
      </c>
      <c r="B44" s="1" t="n">
        <v>44428</v>
      </c>
      <c r="C44" s="1" t="n">
        <v>46127</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46127</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46127</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46127</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46127</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46127</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46127</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46127</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46127</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46127</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46127</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46127</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46127</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46127</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46127</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46127</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17978-2021</t>
        </is>
      </c>
      <c r="B61" s="1" t="n">
        <v>44301</v>
      </c>
      <c r="C61" s="1" t="n">
        <v>46127</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46127</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46127</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46127</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46127</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64303-2023</t>
        </is>
      </c>
      <c r="B66" s="1" t="n">
        <v>45280</v>
      </c>
      <c r="C66" s="1" t="n">
        <v>46127</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46127</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46127</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46127</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46127</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46127</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46127</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46127</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55367-2024</t>
        </is>
      </c>
      <c r="B74" s="1" t="n">
        <v>45621.87075231481</v>
      </c>
      <c r="C74" s="1" t="n">
        <v>46127</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46127</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46127</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46127</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46127</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46127</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46127</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46127</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46127</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46127</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46127</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63276-2023</t>
        </is>
      </c>
      <c r="B85" s="1" t="n">
        <v>45273.82195601852</v>
      </c>
      <c r="C85" s="1" t="n">
        <v>46127</v>
      </c>
      <c r="D85" t="inlineStr">
        <is>
          <t>KALMAR LÄN</t>
        </is>
      </c>
      <c r="E85" t="inlineStr">
        <is>
          <t>BORGHOLM</t>
        </is>
      </c>
      <c r="G85" t="n">
        <v>5</v>
      </c>
      <c r="H85" t="n">
        <v>0</v>
      </c>
      <c r="I85" t="n">
        <v>0</v>
      </c>
      <c r="J85" t="n">
        <v>0</v>
      </c>
      <c r="K85" t="n">
        <v>0</v>
      </c>
      <c r="L85" t="n">
        <v>0</v>
      </c>
      <c r="M85" t="n">
        <v>0</v>
      </c>
      <c r="N85" t="n">
        <v>0</v>
      </c>
      <c r="O85" t="n">
        <v>0</v>
      </c>
      <c r="P85" t="n">
        <v>0</v>
      </c>
      <c r="Q85" t="n">
        <v>0</v>
      </c>
      <c r="R85" s="2" t="inlineStr"/>
    </row>
    <row r="86" ht="15" customHeight="1">
      <c r="A86" t="inlineStr">
        <is>
          <t>A 36269-2025</t>
        </is>
      </c>
      <c r="B86" s="1" t="n">
        <v>45867.61736111111</v>
      </c>
      <c r="C86" s="1" t="n">
        <v>46127</v>
      </c>
      <c r="D86" t="inlineStr">
        <is>
          <t>KALMAR LÄN</t>
        </is>
      </c>
      <c r="E86" t="inlineStr">
        <is>
          <t>BORGHOLM</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46127</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46127</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9076-2025</t>
        </is>
      </c>
      <c r="B89" s="1" t="n">
        <v>45713.6596875</v>
      </c>
      <c r="C89" s="1" t="n">
        <v>46127</v>
      </c>
      <c r="D89" t="inlineStr">
        <is>
          <t>KALMAR LÄN</t>
        </is>
      </c>
      <c r="E89" t="inlineStr">
        <is>
          <t>BORGHOLM</t>
        </is>
      </c>
      <c r="F89" t="inlineStr">
        <is>
          <t>Sveaskog</t>
        </is>
      </c>
      <c r="G89" t="n">
        <v>4.2</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46127</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7960-2023</t>
        </is>
      </c>
      <c r="B91" s="1" t="n">
        <v>44973</v>
      </c>
      <c r="C91" s="1" t="n">
        <v>46127</v>
      </c>
      <c r="D91" t="inlineStr">
        <is>
          <t>KALMAR LÄN</t>
        </is>
      </c>
      <c r="E91" t="inlineStr">
        <is>
          <t>BORGHOLM</t>
        </is>
      </c>
      <c r="G91" t="n">
        <v>2.1</v>
      </c>
      <c r="H91" t="n">
        <v>0</v>
      </c>
      <c r="I91" t="n">
        <v>0</v>
      </c>
      <c r="J91" t="n">
        <v>0</v>
      </c>
      <c r="K91" t="n">
        <v>0</v>
      </c>
      <c r="L91" t="n">
        <v>0</v>
      </c>
      <c r="M91" t="n">
        <v>0</v>
      </c>
      <c r="N91" t="n">
        <v>0</v>
      </c>
      <c r="O91" t="n">
        <v>0</v>
      </c>
      <c r="P91" t="n">
        <v>0</v>
      </c>
      <c r="Q91" t="n">
        <v>0</v>
      </c>
      <c r="R91" s="2" t="inlineStr"/>
    </row>
    <row r="92" ht="15" customHeight="1">
      <c r="A92" t="inlineStr">
        <is>
          <t>A 29656-2023</t>
        </is>
      </c>
      <c r="B92" s="1" t="n">
        <v>45107</v>
      </c>
      <c r="C92" s="1" t="n">
        <v>46127</v>
      </c>
      <c r="D92" t="inlineStr">
        <is>
          <t>KALMAR LÄN</t>
        </is>
      </c>
      <c r="E92" t="inlineStr">
        <is>
          <t>BORGHOLM</t>
        </is>
      </c>
      <c r="G92" t="n">
        <v>4.1</v>
      </c>
      <c r="H92" t="n">
        <v>0</v>
      </c>
      <c r="I92" t="n">
        <v>0</v>
      </c>
      <c r="J92" t="n">
        <v>0</v>
      </c>
      <c r="K92" t="n">
        <v>0</v>
      </c>
      <c r="L92" t="n">
        <v>0</v>
      </c>
      <c r="M92" t="n">
        <v>0</v>
      </c>
      <c r="N92" t="n">
        <v>0</v>
      </c>
      <c r="O92" t="n">
        <v>0</v>
      </c>
      <c r="P92" t="n">
        <v>0</v>
      </c>
      <c r="Q92" t="n">
        <v>0</v>
      </c>
      <c r="R92" s="2" t="inlineStr"/>
    </row>
    <row r="93" ht="15" customHeight="1">
      <c r="A93" t="inlineStr">
        <is>
          <t>A 9050-2025</t>
        </is>
      </c>
      <c r="B93" s="1" t="n">
        <v>45713.63512731482</v>
      </c>
      <c r="C93" s="1" t="n">
        <v>46127</v>
      </c>
      <c r="D93" t="inlineStr">
        <is>
          <t>KALMAR LÄN</t>
        </is>
      </c>
      <c r="E93" t="inlineStr">
        <is>
          <t>BORGHOLM</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46127</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46127</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7481-2026</t>
        </is>
      </c>
      <c r="B96" s="1" t="n">
        <v>46059.51359953704</v>
      </c>
      <c r="C96" s="1" t="n">
        <v>46127</v>
      </c>
      <c r="D96" t="inlineStr">
        <is>
          <t>KALMAR LÄN</t>
        </is>
      </c>
      <c r="E96" t="inlineStr">
        <is>
          <t>BORGHOLM</t>
        </is>
      </c>
      <c r="G96" t="n">
        <v>1.9</v>
      </c>
      <c r="H96" t="n">
        <v>0</v>
      </c>
      <c r="I96" t="n">
        <v>0</v>
      </c>
      <c r="J96" t="n">
        <v>0</v>
      </c>
      <c r="K96" t="n">
        <v>0</v>
      </c>
      <c r="L96" t="n">
        <v>0</v>
      </c>
      <c r="M96" t="n">
        <v>0</v>
      </c>
      <c r="N96" t="n">
        <v>0</v>
      </c>
      <c r="O96" t="n">
        <v>0</v>
      </c>
      <c r="P96" t="n">
        <v>0</v>
      </c>
      <c r="Q96" t="n">
        <v>0</v>
      </c>
      <c r="R96" s="2" t="inlineStr"/>
    </row>
    <row r="97" ht="15" customHeight="1">
      <c r="A97" t="inlineStr">
        <is>
          <t>A 15272-2026</t>
        </is>
      </c>
      <c r="B97" s="1" t="n">
        <v>46105.60017361111</v>
      </c>
      <c r="C97" s="1" t="n">
        <v>46127</v>
      </c>
      <c r="D97" t="inlineStr">
        <is>
          <t>KALMAR LÄN</t>
        </is>
      </c>
      <c r="E97" t="inlineStr">
        <is>
          <t>BORGHOLM</t>
        </is>
      </c>
      <c r="F97" t="inlineStr">
        <is>
          <t>Sveaskog</t>
        </is>
      </c>
      <c r="G97" t="n">
        <v>2.9</v>
      </c>
      <c r="H97" t="n">
        <v>0</v>
      </c>
      <c r="I97" t="n">
        <v>0</v>
      </c>
      <c r="J97" t="n">
        <v>0</v>
      </c>
      <c r="K97" t="n">
        <v>0</v>
      </c>
      <c r="L97" t="n">
        <v>0</v>
      </c>
      <c r="M97" t="n">
        <v>0</v>
      </c>
      <c r="N97" t="n">
        <v>0</v>
      </c>
      <c r="O97" t="n">
        <v>0</v>
      </c>
      <c r="P97" t="n">
        <v>0</v>
      </c>
      <c r="Q97" t="n">
        <v>0</v>
      </c>
      <c r="R97" s="2" t="inlineStr"/>
    </row>
    <row r="98" ht="15" customHeight="1">
      <c r="A98" t="inlineStr">
        <is>
          <t>A 15264-2026</t>
        </is>
      </c>
      <c r="B98" s="1" t="n">
        <v>46105.59372685185</v>
      </c>
      <c r="C98" s="1" t="n">
        <v>46127</v>
      </c>
      <c r="D98" t="inlineStr">
        <is>
          <t>KALMAR LÄN</t>
        </is>
      </c>
      <c r="E98" t="inlineStr">
        <is>
          <t>BORGHOLM</t>
        </is>
      </c>
      <c r="F98" t="inlineStr">
        <is>
          <t>Sveaskog</t>
        </is>
      </c>
      <c r="G98" t="n">
        <v>1.7</v>
      </c>
      <c r="H98" t="n">
        <v>0</v>
      </c>
      <c r="I98" t="n">
        <v>0</v>
      </c>
      <c r="J98" t="n">
        <v>0</v>
      </c>
      <c r="K98" t="n">
        <v>0</v>
      </c>
      <c r="L98" t="n">
        <v>0</v>
      </c>
      <c r="M98" t="n">
        <v>0</v>
      </c>
      <c r="N98" t="n">
        <v>0</v>
      </c>
      <c r="O98" t="n">
        <v>0</v>
      </c>
      <c r="P98" t="n">
        <v>0</v>
      </c>
      <c r="Q98" t="n">
        <v>0</v>
      </c>
      <c r="R98" s="2" t="inlineStr"/>
    </row>
    <row r="99" ht="15" customHeight="1">
      <c r="A99" t="inlineStr">
        <is>
          <t>A 15279-2026</t>
        </is>
      </c>
      <c r="B99" s="1" t="n">
        <v>46105.61030092592</v>
      </c>
      <c r="C99" s="1" t="n">
        <v>46127</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46127</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46070.51917824074</v>
      </c>
      <c r="C101" s="1" t="n">
        <v>46127</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46127</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9905-2026</t>
        </is>
      </c>
      <c r="B103" s="1" t="n">
        <v>46073.4108912037</v>
      </c>
      <c r="C103" s="1" t="n">
        <v>46127</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44678-2022</t>
        </is>
      </c>
      <c r="B104" s="1" t="n">
        <v>44840.65100694444</v>
      </c>
      <c r="C104" s="1" t="n">
        <v>46127</v>
      </c>
      <c r="D104" t="inlineStr">
        <is>
          <t>KALMAR LÄN</t>
        </is>
      </c>
      <c r="E104" t="inlineStr">
        <is>
          <t>BORGHOLM</t>
        </is>
      </c>
      <c r="G104" t="n">
        <v>2.4</v>
      </c>
      <c r="H104" t="n">
        <v>0</v>
      </c>
      <c r="I104" t="n">
        <v>0</v>
      </c>
      <c r="J104" t="n">
        <v>0</v>
      </c>
      <c r="K104" t="n">
        <v>0</v>
      </c>
      <c r="L104" t="n">
        <v>0</v>
      </c>
      <c r="M104" t="n">
        <v>0</v>
      </c>
      <c r="N104" t="n">
        <v>0</v>
      </c>
      <c r="O104" t="n">
        <v>0</v>
      </c>
      <c r="P104" t="n">
        <v>0</v>
      </c>
      <c r="Q104" t="n">
        <v>0</v>
      </c>
      <c r="R104" s="2" t="inlineStr"/>
    </row>
    <row r="105" ht="15" customHeight="1">
      <c r="A105" t="inlineStr">
        <is>
          <t>A 31720-2022</t>
        </is>
      </c>
      <c r="B105" s="1" t="n">
        <v>44776</v>
      </c>
      <c r="C105" s="1" t="n">
        <v>46127</v>
      </c>
      <c r="D105" t="inlineStr">
        <is>
          <t>KALMAR LÄN</t>
        </is>
      </c>
      <c r="E105" t="inlineStr">
        <is>
          <t>BORGHOLM</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44547-2021</t>
        </is>
      </c>
      <c r="B106" s="1" t="n">
        <v>44435</v>
      </c>
      <c r="C106" s="1" t="n">
        <v>46127</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46127</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46127</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46127</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46127</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61438-2023</t>
        </is>
      </c>
      <c r="B111" s="1" t="n">
        <v>45264</v>
      </c>
      <c r="C111" s="1" t="n">
        <v>46127</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13041-2024</t>
        </is>
      </c>
      <c r="B112" s="1" t="n">
        <v>45385.60065972222</v>
      </c>
      <c r="C112" s="1" t="n">
        <v>46127</v>
      </c>
      <c r="D112" t="inlineStr">
        <is>
          <t>KALMAR LÄN</t>
        </is>
      </c>
      <c r="E112" t="inlineStr">
        <is>
          <t>BORGHOLM</t>
        </is>
      </c>
      <c r="G112" t="n">
        <v>0.5</v>
      </c>
      <c r="H112" t="n">
        <v>0</v>
      </c>
      <c r="I112" t="n">
        <v>0</v>
      </c>
      <c r="J112" t="n">
        <v>0</v>
      </c>
      <c r="K112" t="n">
        <v>0</v>
      </c>
      <c r="L112" t="n">
        <v>0</v>
      </c>
      <c r="M112" t="n">
        <v>0</v>
      </c>
      <c r="N112" t="n">
        <v>0</v>
      </c>
      <c r="O112" t="n">
        <v>0</v>
      </c>
      <c r="P112" t="n">
        <v>0</v>
      </c>
      <c r="Q112" t="n">
        <v>0</v>
      </c>
      <c r="R112" s="2" t="inlineStr"/>
    </row>
    <row r="113" ht="15" customHeight="1">
      <c r="A113" t="inlineStr">
        <is>
          <t>A 53050-2021</t>
        </is>
      </c>
      <c r="B113" s="1" t="n">
        <v>44467</v>
      </c>
      <c r="C113" s="1" t="n">
        <v>46127</v>
      </c>
      <c r="D113" t="inlineStr">
        <is>
          <t>KALMAR LÄN</t>
        </is>
      </c>
      <c r="E113" t="inlineStr">
        <is>
          <t>BORGHOLM</t>
        </is>
      </c>
      <c r="G113" t="n">
        <v>3.6</v>
      </c>
      <c r="H113" t="n">
        <v>0</v>
      </c>
      <c r="I113" t="n">
        <v>0</v>
      </c>
      <c r="J113" t="n">
        <v>0</v>
      </c>
      <c r="K113" t="n">
        <v>0</v>
      </c>
      <c r="L113" t="n">
        <v>0</v>
      </c>
      <c r="M113" t="n">
        <v>0</v>
      </c>
      <c r="N113" t="n">
        <v>0</v>
      </c>
      <c r="O113" t="n">
        <v>0</v>
      </c>
      <c r="P113" t="n">
        <v>0</v>
      </c>
      <c r="Q113" t="n">
        <v>0</v>
      </c>
      <c r="R113" s="2" t="inlineStr"/>
    </row>
    <row r="114" ht="15" customHeight="1">
      <c r="A114" t="inlineStr">
        <is>
          <t>A 4165-2023</t>
        </is>
      </c>
      <c r="B114" s="1" t="n">
        <v>44953</v>
      </c>
      <c r="C114" s="1" t="n">
        <v>46127</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50129-2021</t>
        </is>
      </c>
      <c r="B115" s="1" t="n">
        <v>44456</v>
      </c>
      <c r="C115" s="1" t="n">
        <v>46127</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46127</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46127</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46127</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20878-2024</t>
        </is>
      </c>
      <c r="B119" s="1" t="n">
        <v>45439.44748842593</v>
      </c>
      <c r="C119" s="1" t="n">
        <v>46127</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row r="120" ht="15" customHeight="1">
      <c r="A120" t="inlineStr">
        <is>
          <t>A 17699-2025</t>
        </is>
      </c>
      <c r="B120" s="1" t="n">
        <v>45758.41846064815</v>
      </c>
      <c r="C120" s="1" t="n">
        <v>46127</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46127</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26160-2024</t>
        </is>
      </c>
      <c r="B122" s="1" t="n">
        <v>45468</v>
      </c>
      <c r="C122" s="1" t="n">
        <v>46127</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c r="T122">
        <f>HYPERLINK("https://klasma.github.io/Logging_0885/kartor/A 26160-2024 karta.png", "A 26160-2024")</f>
        <v/>
      </c>
      <c r="V122">
        <f>HYPERLINK("https://klasma.github.io/Logging_0885/klagomål/A 26160-2024 FSC-klagomål.docx", "A 26160-2024")</f>
        <v/>
      </c>
      <c r="W122">
        <f>HYPERLINK("https://klasma.github.io/Logging_0885/klagomålsmail/A 26160-2024 FSC-klagomål mail.docx", "A 26160-2024")</f>
        <v/>
      </c>
      <c r="X122">
        <f>HYPERLINK("https://klasma.github.io/Logging_0885/tillsyn/A 26160-2024 tillsynsbegäran.docx", "A 26160-2024")</f>
        <v/>
      </c>
      <c r="Y122">
        <f>HYPERLINK("https://klasma.github.io/Logging_0885/tillsynsmail/A 26160-2024 tillsynsbegäran mail.docx", "A 26160-2024")</f>
        <v/>
      </c>
    </row>
    <row r="123">
      <c r="A123" t="inlineStr">
        <is>
          <t>A 63075-2023</t>
        </is>
      </c>
      <c r="B123" s="1" t="n">
        <v>45273</v>
      </c>
      <c r="C123" s="1" t="n">
        <v>46127</v>
      </c>
      <c r="D123" t="inlineStr">
        <is>
          <t>KALMAR LÄN</t>
        </is>
      </c>
      <c r="E123" t="inlineStr">
        <is>
          <t>BORGHOLM</t>
        </is>
      </c>
      <c r="G123" t="n">
        <v>1.1</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2026-04-15T14:28:16Z</dcterms:created>
  <dcterms:modified xmlns:dcterms="http://purl.org/dc/terms/" xmlns:xsi="http://www.w3.org/2001/XMLSchema-instance" xsi:type="dcterms:W3CDTF">2026-04-15T14:28:16Z</dcterms:modified>
</cp:coreProperties>
</file>