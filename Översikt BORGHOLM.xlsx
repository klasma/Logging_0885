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45991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45991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45991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45991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45991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45991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45991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45991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45991</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45991</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45991</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45991</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45991</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45991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45991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45991</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45991</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45991</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45991</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45991</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45991</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45991</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45991</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45991</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45991</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45991</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45991</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45991</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45991</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9745-2023</t>
        </is>
      </c>
      <c r="B40" s="1" t="n">
        <v>44984</v>
      </c>
      <c r="C40" s="1" t="n">
        <v>45991</v>
      </c>
      <c r="D40" t="inlineStr">
        <is>
          <t>KALMAR LÄN</t>
        </is>
      </c>
      <c r="E40" t="inlineStr">
        <is>
          <t>BORGHOLM</t>
        </is>
      </c>
      <c r="G40" t="n">
        <v>1.2</v>
      </c>
      <c r="H40" t="n">
        <v>1</v>
      </c>
      <c r="I40" t="n">
        <v>1</v>
      </c>
      <c r="J40" t="n">
        <v>0</v>
      </c>
      <c r="K40" t="n">
        <v>0</v>
      </c>
      <c r="L40" t="n">
        <v>0</v>
      </c>
      <c r="M40" t="n">
        <v>0</v>
      </c>
      <c r="N40" t="n">
        <v>0</v>
      </c>
      <c r="O40" t="n">
        <v>0</v>
      </c>
      <c r="P40" t="n">
        <v>0</v>
      </c>
      <c r="Q40" t="n">
        <v>1</v>
      </c>
      <c r="R40" s="2" t="inlineStr">
        <is>
          <t>Skogsknipprot</t>
        </is>
      </c>
      <c r="S40">
        <f>HYPERLINK("https://klasma.github.io/Logging_0885/artfynd/A 9745-2023 artfynd.xlsx", "A 9745-2023")</f>
        <v/>
      </c>
      <c r="T40">
        <f>HYPERLINK("https://klasma.github.io/Logging_0885/kartor/A 9745-2023 karta.png", "A 9745-2023")</f>
        <v/>
      </c>
      <c r="V40">
        <f>HYPERLINK("https://klasma.github.io/Logging_0885/klagomål/A 9745-2023 FSC-klagomål.docx", "A 9745-2023")</f>
        <v/>
      </c>
      <c r="W40">
        <f>HYPERLINK("https://klasma.github.io/Logging_0885/klagomålsmail/A 9745-2023 FSC-klagomål mail.docx", "A 9745-2023")</f>
        <v/>
      </c>
      <c r="X40">
        <f>HYPERLINK("https://klasma.github.io/Logging_0885/tillsyn/A 9745-2023 tillsynsbegäran.docx", "A 9745-2023")</f>
        <v/>
      </c>
      <c r="Y40">
        <f>HYPERLINK("https://klasma.github.io/Logging_0885/tillsynsmail/A 9745-2023 tillsynsbegäran mail.docx", "A 9745-2023")</f>
        <v/>
      </c>
    </row>
    <row r="41" ht="15" customHeight="1">
      <c r="A41" t="inlineStr">
        <is>
          <t>A 45693-2025</t>
        </is>
      </c>
      <c r="B41" s="1" t="n">
        <v>45923</v>
      </c>
      <c r="C41" s="1" t="n">
        <v>45991</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43603-2024</t>
        </is>
      </c>
      <c r="B42" s="1" t="n">
        <v>45569.44700231482</v>
      </c>
      <c r="C42" s="1" t="n">
        <v>45991</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45991</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45991</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45991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45991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45991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45991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45991</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45991</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45991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45991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45991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45991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45991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45991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45991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45991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45991</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45991</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45991</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45991</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45991</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45991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40339-2023</t>
        </is>
      </c>
      <c r="B65" s="1" t="n">
        <v>45169.62733796296</v>
      </c>
      <c r="C65" s="1" t="n">
        <v>45991</v>
      </c>
      <c r="D65" t="inlineStr">
        <is>
          <t>KALMAR LÄN</t>
        </is>
      </c>
      <c r="E65" t="inlineStr">
        <is>
          <t>BORGHOLM</t>
        </is>
      </c>
      <c r="G65" t="n">
        <v>3.8</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45991</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26190-2025</t>
        </is>
      </c>
      <c r="B67" s="1" t="n">
        <v>45805.48349537037</v>
      </c>
      <c r="C67" s="1" t="n">
        <v>45991</v>
      </c>
      <c r="D67" t="inlineStr">
        <is>
          <t>KALMAR LÄN</t>
        </is>
      </c>
      <c r="E67" t="inlineStr">
        <is>
          <t>BORGHOLM</t>
        </is>
      </c>
      <c r="G67" t="n">
        <v>3.2</v>
      </c>
      <c r="H67" t="n">
        <v>0</v>
      </c>
      <c r="I67" t="n">
        <v>0</v>
      </c>
      <c r="J67" t="n">
        <v>0</v>
      </c>
      <c r="K67" t="n">
        <v>0</v>
      </c>
      <c r="L67" t="n">
        <v>0</v>
      </c>
      <c r="M67" t="n">
        <v>0</v>
      </c>
      <c r="N67" t="n">
        <v>0</v>
      </c>
      <c r="O67" t="n">
        <v>0</v>
      </c>
      <c r="P67" t="n">
        <v>0</v>
      </c>
      <c r="Q67" t="n">
        <v>0</v>
      </c>
      <c r="R67" s="2" t="inlineStr"/>
    </row>
    <row r="68" ht="15" customHeight="1">
      <c r="A68" t="inlineStr">
        <is>
          <t>A 21908-2022</t>
        </is>
      </c>
      <c r="B68" s="1" t="n">
        <v>44711</v>
      </c>
      <c r="C68" s="1" t="n">
        <v>45991</v>
      </c>
      <c r="D68" t="inlineStr">
        <is>
          <t>KALMAR LÄN</t>
        </is>
      </c>
      <c r="E68" t="inlineStr">
        <is>
          <t>BORGHOLM</t>
        </is>
      </c>
      <c r="G68" t="n">
        <v>4.7</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45991</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55367-2024</t>
        </is>
      </c>
      <c r="B70" s="1" t="n">
        <v>45621.87075231481</v>
      </c>
      <c r="C70" s="1" t="n">
        <v>45991</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45991</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45991</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4878-2021</t>
        </is>
      </c>
      <c r="B73" s="1" t="n">
        <v>44225</v>
      </c>
      <c r="C73" s="1" t="n">
        <v>45991</v>
      </c>
      <c r="D73" t="inlineStr">
        <is>
          <t>KALMAR LÄN</t>
        </is>
      </c>
      <c r="E73" t="inlineStr">
        <is>
          <t>BORGHOLM</t>
        </is>
      </c>
      <c r="G73" t="n">
        <v>3</v>
      </c>
      <c r="H73" t="n">
        <v>0</v>
      </c>
      <c r="I73" t="n">
        <v>0</v>
      </c>
      <c r="J73" t="n">
        <v>0</v>
      </c>
      <c r="K73" t="n">
        <v>0</v>
      </c>
      <c r="L73" t="n">
        <v>0</v>
      </c>
      <c r="M73" t="n">
        <v>0</v>
      </c>
      <c r="N73" t="n">
        <v>0</v>
      </c>
      <c r="O73" t="n">
        <v>0</v>
      </c>
      <c r="P73" t="n">
        <v>0</v>
      </c>
      <c r="Q73" t="n">
        <v>0</v>
      </c>
      <c r="R73" s="2" t="inlineStr"/>
    </row>
    <row r="74" ht="15" customHeight="1">
      <c r="A74" t="inlineStr">
        <is>
          <t>A 41831-2025</t>
        </is>
      </c>
      <c r="B74" s="1" t="n">
        <v>45902.67887731481</v>
      </c>
      <c r="C74" s="1" t="n">
        <v>45991</v>
      </c>
      <c r="D74" t="inlineStr">
        <is>
          <t>KALMAR LÄN</t>
        </is>
      </c>
      <c r="E74" t="inlineStr">
        <is>
          <t>BORGHOLM</t>
        </is>
      </c>
      <c r="G74" t="n">
        <v>1.5</v>
      </c>
      <c r="H74" t="n">
        <v>0</v>
      </c>
      <c r="I74" t="n">
        <v>0</v>
      </c>
      <c r="J74" t="n">
        <v>0</v>
      </c>
      <c r="K74" t="n">
        <v>0</v>
      </c>
      <c r="L74" t="n">
        <v>0</v>
      </c>
      <c r="M74" t="n">
        <v>0</v>
      </c>
      <c r="N74" t="n">
        <v>0</v>
      </c>
      <c r="O74" t="n">
        <v>0</v>
      </c>
      <c r="P74" t="n">
        <v>0</v>
      </c>
      <c r="Q74" t="n">
        <v>0</v>
      </c>
      <c r="R74" s="2" t="inlineStr"/>
    </row>
    <row r="75" ht="15" customHeight="1">
      <c r="A75" t="inlineStr">
        <is>
          <t>A 28782-2025</t>
        </is>
      </c>
      <c r="B75" s="1" t="n">
        <v>45820.45572916666</v>
      </c>
      <c r="C75" s="1" t="n">
        <v>45991</v>
      </c>
      <c r="D75" t="inlineStr">
        <is>
          <t>KALMAR LÄN</t>
        </is>
      </c>
      <c r="E75" t="inlineStr">
        <is>
          <t>BORGHOLM</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45991</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65144-2020</t>
        </is>
      </c>
      <c r="B77" s="1" t="n">
        <v>44172</v>
      </c>
      <c r="C77" s="1" t="n">
        <v>45991</v>
      </c>
      <c r="D77" t="inlineStr">
        <is>
          <t>KALMAR LÄN</t>
        </is>
      </c>
      <c r="E77" t="inlineStr">
        <is>
          <t>BORGHOLM</t>
        </is>
      </c>
      <c r="G77" t="n">
        <v>1.7</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45991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4159-2024</t>
        </is>
      </c>
      <c r="B79" s="1" t="n">
        <v>45323</v>
      </c>
      <c r="C79" s="1" t="n">
        <v>45991</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32921-2023</t>
        </is>
      </c>
      <c r="B80" s="1" t="n">
        <v>45125</v>
      </c>
      <c r="C80" s="1" t="n">
        <v>45991</v>
      </c>
      <c r="D80" t="inlineStr">
        <is>
          <t>KALMAR LÄN</t>
        </is>
      </c>
      <c r="E80" t="inlineStr">
        <is>
          <t>BORGHOLM</t>
        </is>
      </c>
      <c r="G80" t="n">
        <v>2.9</v>
      </c>
      <c r="H80" t="n">
        <v>0</v>
      </c>
      <c r="I80" t="n">
        <v>0</v>
      </c>
      <c r="J80" t="n">
        <v>0</v>
      </c>
      <c r="K80" t="n">
        <v>0</v>
      </c>
      <c r="L80" t="n">
        <v>0</v>
      </c>
      <c r="M80" t="n">
        <v>0</v>
      </c>
      <c r="N80" t="n">
        <v>0</v>
      </c>
      <c r="O80" t="n">
        <v>0</v>
      </c>
      <c r="P80" t="n">
        <v>0</v>
      </c>
      <c r="Q80" t="n">
        <v>0</v>
      </c>
      <c r="R80" s="2" t="inlineStr"/>
    </row>
    <row r="81" ht="15" customHeight="1">
      <c r="A81" t="inlineStr">
        <is>
          <t>A 43542-2025</t>
        </is>
      </c>
      <c r="B81" s="1" t="n">
        <v>45911.61123842592</v>
      </c>
      <c r="C81" s="1" t="n">
        <v>45991</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31699-2022</t>
        </is>
      </c>
      <c r="B82" s="1" t="n">
        <v>44776</v>
      </c>
      <c r="C82" s="1" t="n">
        <v>45991</v>
      </c>
      <c r="D82" t="inlineStr">
        <is>
          <t>KALMAR LÄN</t>
        </is>
      </c>
      <c r="E82" t="inlineStr">
        <is>
          <t>BORGHOLM</t>
        </is>
      </c>
      <c r="F82" t="inlineStr">
        <is>
          <t>Sveaskog</t>
        </is>
      </c>
      <c r="G82" t="n">
        <v>1.6</v>
      </c>
      <c r="H82" t="n">
        <v>0</v>
      </c>
      <c r="I82" t="n">
        <v>0</v>
      </c>
      <c r="J82" t="n">
        <v>0</v>
      </c>
      <c r="K82" t="n">
        <v>0</v>
      </c>
      <c r="L82" t="n">
        <v>0</v>
      </c>
      <c r="M82" t="n">
        <v>0</v>
      </c>
      <c r="N82" t="n">
        <v>0</v>
      </c>
      <c r="O82" t="n">
        <v>0</v>
      </c>
      <c r="P82" t="n">
        <v>0</v>
      </c>
      <c r="Q82" t="n">
        <v>0</v>
      </c>
      <c r="R82" s="2" t="inlineStr"/>
    </row>
    <row r="83" ht="15" customHeight="1">
      <c r="A83" t="inlineStr">
        <is>
          <t>A 63276-2023</t>
        </is>
      </c>
      <c r="B83" s="1" t="n">
        <v>45273.82195601852</v>
      </c>
      <c r="C83" s="1" t="n">
        <v>45991</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44224-2025</t>
        </is>
      </c>
      <c r="B84" s="1" t="n">
        <v>45915</v>
      </c>
      <c r="C84" s="1" t="n">
        <v>45991</v>
      </c>
      <c r="D84" t="inlineStr">
        <is>
          <t>KALMAR LÄN</t>
        </is>
      </c>
      <c r="E84" t="inlineStr">
        <is>
          <t>BORGHOLM</t>
        </is>
      </c>
      <c r="G84" t="n">
        <v>1.3</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45991</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45734-2025</t>
        </is>
      </c>
      <c r="B86" s="1" t="n">
        <v>45923.46512731481</v>
      </c>
      <c r="C86" s="1" t="n">
        <v>45991</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45991</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45869-2025</t>
        </is>
      </c>
      <c r="B88" s="1" t="n">
        <v>45923.65313657407</v>
      </c>
      <c r="C88" s="1" t="n">
        <v>45991</v>
      </c>
      <c r="D88" t="inlineStr">
        <is>
          <t>KALMAR LÄN</t>
        </is>
      </c>
      <c r="E88" t="inlineStr">
        <is>
          <t>BORGHOLM</t>
        </is>
      </c>
      <c r="G88" t="n">
        <v>4.5</v>
      </c>
      <c r="H88" t="n">
        <v>0</v>
      </c>
      <c r="I88" t="n">
        <v>0</v>
      </c>
      <c r="J88" t="n">
        <v>0</v>
      </c>
      <c r="K88" t="n">
        <v>0</v>
      </c>
      <c r="L88" t="n">
        <v>0</v>
      </c>
      <c r="M88" t="n">
        <v>0</v>
      </c>
      <c r="N88" t="n">
        <v>0</v>
      </c>
      <c r="O88" t="n">
        <v>0</v>
      </c>
      <c r="P88" t="n">
        <v>0</v>
      </c>
      <c r="Q88" t="n">
        <v>0</v>
      </c>
      <c r="R88" s="2" t="inlineStr"/>
    </row>
    <row r="89" ht="15" customHeight="1">
      <c r="A89" t="inlineStr">
        <is>
          <t>A 46845-2025</t>
        </is>
      </c>
      <c r="B89" s="1" t="n">
        <v>45928</v>
      </c>
      <c r="C89" s="1" t="n">
        <v>45991</v>
      </c>
      <c r="D89" t="inlineStr">
        <is>
          <t>KALMAR LÄN</t>
        </is>
      </c>
      <c r="E89" t="inlineStr">
        <is>
          <t>BORGHOLM</t>
        </is>
      </c>
      <c r="G89" t="n">
        <v>2.7</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45991</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1757-2025</t>
        </is>
      </c>
      <c r="B91" s="1" t="n">
        <v>45671.42195601852</v>
      </c>
      <c r="C91" s="1" t="n">
        <v>45991</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45991</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45991</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9050-2025</t>
        </is>
      </c>
      <c r="B94" s="1" t="n">
        <v>45713.63512731482</v>
      </c>
      <c r="C94" s="1" t="n">
        <v>45991</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45991</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31840-2021</t>
        </is>
      </c>
      <c r="B96" s="1" t="n">
        <v>44370</v>
      </c>
      <c r="C96" s="1" t="n">
        <v>45991</v>
      </c>
      <c r="D96" t="inlineStr">
        <is>
          <t>KALMAR LÄN</t>
        </is>
      </c>
      <c r="E96" t="inlineStr">
        <is>
          <t>BORGHOLM</t>
        </is>
      </c>
      <c r="F96" t="inlineStr">
        <is>
          <t>Sveaskog</t>
        </is>
      </c>
      <c r="G96" t="n">
        <v>2.8</v>
      </c>
      <c r="H96" t="n">
        <v>0</v>
      </c>
      <c r="I96" t="n">
        <v>0</v>
      </c>
      <c r="J96" t="n">
        <v>0</v>
      </c>
      <c r="K96" t="n">
        <v>0</v>
      </c>
      <c r="L96" t="n">
        <v>0</v>
      </c>
      <c r="M96" t="n">
        <v>0</v>
      </c>
      <c r="N96" t="n">
        <v>0</v>
      </c>
      <c r="O96" t="n">
        <v>0</v>
      </c>
      <c r="P96" t="n">
        <v>0</v>
      </c>
      <c r="Q96" t="n">
        <v>0</v>
      </c>
      <c r="R96" s="2" t="inlineStr"/>
    </row>
    <row r="97" ht="15" customHeight="1">
      <c r="A97" t="inlineStr">
        <is>
          <t>A 32919-2023</t>
        </is>
      </c>
      <c r="B97" s="1" t="n">
        <v>45125</v>
      </c>
      <c r="C97" s="1" t="n">
        <v>45991</v>
      </c>
      <c r="D97" t="inlineStr">
        <is>
          <t>KALMAR LÄN</t>
        </is>
      </c>
      <c r="E97" t="inlineStr">
        <is>
          <t>BORGHOLM</t>
        </is>
      </c>
      <c r="G97" t="n">
        <v>2.7</v>
      </c>
      <c r="H97" t="n">
        <v>0</v>
      </c>
      <c r="I97" t="n">
        <v>0</v>
      </c>
      <c r="J97" t="n">
        <v>0</v>
      </c>
      <c r="K97" t="n">
        <v>0</v>
      </c>
      <c r="L97" t="n">
        <v>0</v>
      </c>
      <c r="M97" t="n">
        <v>0</v>
      </c>
      <c r="N97" t="n">
        <v>0</v>
      </c>
      <c r="O97" t="n">
        <v>0</v>
      </c>
      <c r="P97" t="n">
        <v>0</v>
      </c>
      <c r="Q97" t="n">
        <v>0</v>
      </c>
      <c r="R97" s="2" t="inlineStr"/>
    </row>
    <row r="98" ht="15" customHeight="1">
      <c r="A98" t="inlineStr">
        <is>
          <t>A 44678-2022</t>
        </is>
      </c>
      <c r="B98" s="1" t="n">
        <v>44840.65100694444</v>
      </c>
      <c r="C98" s="1" t="n">
        <v>45991</v>
      </c>
      <c r="D98" t="inlineStr">
        <is>
          <t>KALMAR LÄN</t>
        </is>
      </c>
      <c r="E98" t="inlineStr">
        <is>
          <t>BORGHOLM</t>
        </is>
      </c>
      <c r="G98" t="n">
        <v>2.4</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45991</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45991</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45991</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45991</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45991</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45991</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45991</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45991</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45991</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45991</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45991</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45991</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45991</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9044-2025</t>
        </is>
      </c>
      <c r="B112" s="1" t="n">
        <v>45713.6275</v>
      </c>
      <c r="C112" s="1" t="n">
        <v>45991</v>
      </c>
      <c r="D112" t="inlineStr">
        <is>
          <t>KALMAR LÄN</t>
        </is>
      </c>
      <c r="E112" t="inlineStr">
        <is>
          <t>BORGHOLM</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20878-2024</t>
        </is>
      </c>
      <c r="B113" s="1" t="n">
        <v>45439.44748842593</v>
      </c>
      <c r="C113" s="1" t="n">
        <v>45991</v>
      </c>
      <c r="D113" t="inlineStr">
        <is>
          <t>KALMAR LÄN</t>
        </is>
      </c>
      <c r="E113" t="inlineStr">
        <is>
          <t>BORGHOLM</t>
        </is>
      </c>
      <c r="G113" t="n">
        <v>1.9</v>
      </c>
      <c r="H113" t="n">
        <v>0</v>
      </c>
      <c r="I113" t="n">
        <v>0</v>
      </c>
      <c r="J113" t="n">
        <v>0</v>
      </c>
      <c r="K113" t="n">
        <v>0</v>
      </c>
      <c r="L113" t="n">
        <v>0</v>
      </c>
      <c r="M113" t="n">
        <v>0</v>
      </c>
      <c r="N113" t="n">
        <v>0</v>
      </c>
      <c r="O113" t="n">
        <v>0</v>
      </c>
      <c r="P113" t="n">
        <v>0</v>
      </c>
      <c r="Q113" t="n">
        <v>0</v>
      </c>
      <c r="R113" s="2" t="inlineStr"/>
    </row>
    <row r="114" ht="15" customHeight="1">
      <c r="A114" t="inlineStr">
        <is>
          <t>A 17699-2025</t>
        </is>
      </c>
      <c r="B114" s="1" t="n">
        <v>45758.41846064815</v>
      </c>
      <c r="C114" s="1" t="n">
        <v>45991</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20287-2025</t>
        </is>
      </c>
      <c r="B115" s="1" t="n">
        <v>45774.60741898148</v>
      </c>
      <c r="C115" s="1" t="n">
        <v>45991</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26160-2024</t>
        </is>
      </c>
      <c r="B116" s="1" t="n">
        <v>45468</v>
      </c>
      <c r="C116" s="1" t="n">
        <v>45991</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c r="T116">
        <f>HYPERLINK("https://klasma.github.io/Logging_0885/kartor/A 26160-2024 karta.png", "A 26160-2024")</f>
        <v/>
      </c>
      <c r="V116">
        <f>HYPERLINK("https://klasma.github.io/Logging_0885/klagomål/A 26160-2024 FSC-klagomål.docx", "A 26160-2024")</f>
        <v/>
      </c>
      <c r="W116">
        <f>HYPERLINK("https://klasma.github.io/Logging_0885/klagomålsmail/A 26160-2024 FSC-klagomål mail.docx", "A 26160-2024")</f>
        <v/>
      </c>
      <c r="X116">
        <f>HYPERLINK("https://klasma.github.io/Logging_0885/tillsyn/A 26160-2024 tillsynsbegäran.docx", "A 26160-2024")</f>
        <v/>
      </c>
      <c r="Y116">
        <f>HYPERLINK("https://klasma.github.io/Logging_0885/tillsynsmail/A 26160-2024 tillsynsbegäran mail.docx", "A 26160-2024")</f>
        <v/>
      </c>
    </row>
    <row r="117" ht="15" customHeight="1">
      <c r="A117" t="inlineStr">
        <is>
          <t>A 63075-2023</t>
        </is>
      </c>
      <c r="B117" s="1" t="n">
        <v>45273</v>
      </c>
      <c r="C117" s="1" t="n">
        <v>45991</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17978-2021</t>
        </is>
      </c>
      <c r="B118" s="1" t="n">
        <v>44301</v>
      </c>
      <c r="C118" s="1" t="n">
        <v>45991</v>
      </c>
      <c r="D118" t="inlineStr">
        <is>
          <t>KALMAR LÄN</t>
        </is>
      </c>
      <c r="E118" t="inlineStr">
        <is>
          <t>BORGHOLM</t>
        </is>
      </c>
      <c r="G118" t="n">
        <v>6</v>
      </c>
      <c r="H118" t="n">
        <v>0</v>
      </c>
      <c r="I118" t="n">
        <v>0</v>
      </c>
      <c r="J118" t="n">
        <v>0</v>
      </c>
      <c r="K118" t="n">
        <v>0</v>
      </c>
      <c r="L118" t="n">
        <v>0</v>
      </c>
      <c r="M118" t="n">
        <v>0</v>
      </c>
      <c r="N118" t="n">
        <v>0</v>
      </c>
      <c r="O118" t="n">
        <v>0</v>
      </c>
      <c r="P118" t="n">
        <v>0</v>
      </c>
      <c r="Q118" t="n">
        <v>0</v>
      </c>
      <c r="R118" s="2" t="inlineStr"/>
    </row>
    <row r="119" ht="15" customHeight="1">
      <c r="A119" t="inlineStr">
        <is>
          <t>A 22785-2025</t>
        </is>
      </c>
      <c r="B119" s="1" t="n">
        <v>45789.64186342592</v>
      </c>
      <c r="C119" s="1" t="n">
        <v>45991</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c r="A120" t="inlineStr">
        <is>
          <t>A 12534-2022</t>
        </is>
      </c>
      <c r="B120" s="1" t="n">
        <v>44638</v>
      </c>
      <c r="C120" s="1" t="n">
        <v>45991</v>
      </c>
      <c r="D120" t="inlineStr">
        <is>
          <t>KALMAR LÄN</t>
        </is>
      </c>
      <c r="E120" t="inlineStr">
        <is>
          <t>BORGHOLM</t>
        </is>
      </c>
      <c r="G120" t="n">
        <v>8.6</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2025-11-30T10:24:26Z</dcterms:created>
  <dcterms:modified xmlns:dcterms="http://purl.org/dc/terms/" xmlns:xsi="http://www.w3.org/2001/XMLSchema-instance" xsi:type="dcterms:W3CDTF">2025-11-30T10:24:26Z</dcterms:modified>
</cp:coreProperties>
</file>