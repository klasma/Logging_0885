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46316</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46316</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46316</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46316</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46316</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46316</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46316</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46316</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46316</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46316</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46316</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46316</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46316</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12534-2022</t>
        </is>
      </c>
      <c r="B25" t="inlineStr">
        <is>
          <t>avverkningsanmälan</t>
        </is>
      </c>
      <c r="C25" t="inlineStr">
        <is>
          <t>Föryngringsavverkning</t>
        </is>
      </c>
      <c r="D25" s="1" t="n">
        <v>44638</v>
      </c>
      <c r="E25" s="1" t="n">
        <v>46316</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t="n">
        <v>9</v>
      </c>
      <c r="V25" s="2" t="inlineStr">
        <is>
          <t>Backklöver
Backtimjan
Jordtistel
Sårläka
Vårstarr
Krutbrännare
Nattviol
Sankt pers nycklar</t>
        </is>
      </c>
      <c r="W25">
        <f>HYPERLINK("https://klasma.github.io/Logging_0885/artfynd/A 12534-2022 artfynd.xlsx", "A 12534-2022")</f>
        <v/>
      </c>
      <c r="X25">
        <f>HYPERLINK("https://klasma.github.io/Logging_0885/kartor/A 12534-2022 karta.png", "A 12534-2022")</f>
        <v/>
      </c>
      <c r="Y25">
        <f>HYPERLINK("https://klasma.github.io/Logging_0885/kartor_geotiff/A 12534-2022 georefererad karta.tif", "A 12534-2022")</f>
        <v/>
      </c>
      <c r="AA25">
        <f>HYPERLINK("https://klasma.github.io/Logging_0885/klagomål/A 12534-2022 FSC-klagomål.docx", "A 12534-2022")</f>
        <v/>
      </c>
      <c r="AB25">
        <f>HYPERLINK("https://klasma.github.io/Logging_0885/klagomålsmail/A 12534-2022 FSC-klagomål mail.docx", "A 12534-2022")</f>
        <v/>
      </c>
      <c r="AC25">
        <f>HYPERLINK("https://klasma.github.io/Logging_0885/tillsyn/A 12534-2022 tillsynsbegäran.docx", "A 12534-2022")</f>
        <v/>
      </c>
      <c r="AD25">
        <f>HYPERLINK("https://klasma.github.io/Logging_0885/tillsynsmail/A 12534-2022 tillsynsbegäran mail.docx", "A 12534-2022")</f>
        <v/>
      </c>
    </row>
    <row r="26" ht="15" customHeight="1">
      <c r="A26" t="inlineStr">
        <is>
          <t>A 31399-2026</t>
        </is>
      </c>
      <c r="B26" t="inlineStr">
        <is>
          <t>avverkningsanmälan</t>
        </is>
      </c>
      <c r="C26" t="inlineStr">
        <is>
          <t>Föryngringsavverkning</t>
        </is>
      </c>
      <c r="D26" s="1" t="n">
        <v>46220</v>
      </c>
      <c r="E26" s="1" t="n">
        <v>46316</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31515-2026</t>
        </is>
      </c>
      <c r="B27" t="inlineStr">
        <is>
          <t>avverkningsanmälan</t>
        </is>
      </c>
      <c r="C27" t="inlineStr">
        <is>
          <t>Avverkning för att bevara och utveckla /försöksver</t>
        </is>
      </c>
      <c r="D27" s="1" t="n">
        <v>46223</v>
      </c>
      <c r="E27" s="1" t="n">
        <v>46316</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31515-2026 artfynd.xlsx", "A 31515-2026")</f>
        <v/>
      </c>
      <c r="X27">
        <f>HYPERLINK("https://klasma.github.io/Logging_0885/kartor/A 31515-2026 karta.png", "A 31515-2026")</f>
        <v/>
      </c>
      <c r="Y27">
        <f>HYPERLINK("https://klasma.github.io/Logging_0885/kartor_geotiff/A 31515-2026 georefererad karta.tif", "A 31515-2026")</f>
        <v/>
      </c>
      <c r="AA27">
        <f>HYPERLINK("https://klasma.github.io/Logging_0885/klagomål/A 31515-2026 FSC-klagomål.docx", "A 31515-2026")</f>
        <v/>
      </c>
      <c r="AB27">
        <f>HYPERLINK("https://klasma.github.io/Logging_0885/klagomålsmail/A 31515-2026 FSC-klagomål mail.docx", "A 31515-2026")</f>
        <v/>
      </c>
      <c r="AC27">
        <f>HYPERLINK("https://klasma.github.io/Logging_0885/tillsyn/A 31515-2026 tillsynsbegäran.docx", "A 31515-2026")</f>
        <v/>
      </c>
      <c r="AD27">
        <f>HYPERLINK("https://klasma.github.io/Logging_0885/tillsynsmail/A 31515-2026 tillsynsbegäran mail.docx", "A 31515-2026")</f>
        <v/>
      </c>
    </row>
    <row r="28" ht="15" customHeight="1">
      <c r="A28" t="inlineStr">
        <is>
          <t>A 31516-2026</t>
        </is>
      </c>
      <c r="B28" t="inlineStr">
        <is>
          <t>avverkningsanmälan</t>
        </is>
      </c>
      <c r="C28" t="inlineStr">
        <is>
          <t>Avverkning för att bevara och utveckla /försöksver</t>
        </is>
      </c>
      <c r="D28" s="1" t="n">
        <v>46223</v>
      </c>
      <c r="E28" s="1" t="n">
        <v>46316</v>
      </c>
      <c r="F28" t="inlineStr">
        <is>
          <t>KALMAR LÄN</t>
        </is>
      </c>
      <c r="G28" t="inlineStr">
        <is>
          <t>BORGHOLM</t>
        </is>
      </c>
      <c r="H28" t="inlineStr">
        <is>
          <t>Sveaskog</t>
        </is>
      </c>
      <c r="I28" t="n">
        <v>0.8</v>
      </c>
      <c r="J28" t="n">
        <v>3</v>
      </c>
      <c r="K28" t="n">
        <v>3</v>
      </c>
      <c r="L28" t="n">
        <v>3</v>
      </c>
      <c r="M28" t="n">
        <v>0</v>
      </c>
      <c r="N28" t="n">
        <v>0</v>
      </c>
      <c r="O28" t="n">
        <v>0</v>
      </c>
      <c r="P28" t="n">
        <v>0</v>
      </c>
      <c r="Q28" t="n">
        <v>3</v>
      </c>
      <c r="R28" t="n">
        <v>0</v>
      </c>
      <c r="S28" t="n">
        <v>8</v>
      </c>
      <c r="T28" t="n">
        <v>11</v>
      </c>
      <c r="U28" t="n">
        <v>1</v>
      </c>
      <c r="V28" s="2" t="inlineStr">
        <is>
          <t>Blå slemspindling
Sårläka
Vårärt
Anisspindling
Skogsknipprot
Strävlosta
Blåsippa
Grönvit nattviol</t>
        </is>
      </c>
      <c r="W28">
        <f>HYPERLINK("https://klasma.github.io/Logging_0885/artfynd/A 31516-2026 artfynd.xlsx", "A 31516-2026")</f>
        <v/>
      </c>
      <c r="X28">
        <f>HYPERLINK("https://klasma.github.io/Logging_0885/kartor/A 31516-2026 karta.png", "A 31516-2026")</f>
        <v/>
      </c>
      <c r="Y28">
        <f>HYPERLINK("https://klasma.github.io/Logging_0885/kartor_geotiff/A 31516-2026 georefererad karta.tif", "A 31516-2026")</f>
        <v/>
      </c>
      <c r="AA28">
        <f>HYPERLINK("https://klasma.github.io/Logging_0885/klagomål/A 31516-2026 FSC-klagomål.docx", "A 31516-2026")</f>
        <v/>
      </c>
      <c r="AB28">
        <f>HYPERLINK("https://klasma.github.io/Logging_0885/klagomålsmail/A 31516-2026 FSC-klagomål mail.docx", "A 31516-2026")</f>
        <v/>
      </c>
      <c r="AC28">
        <f>HYPERLINK("https://klasma.github.io/Logging_0885/tillsyn/A 31516-2026 tillsynsbegäran.docx", "A 31516-2026")</f>
        <v/>
      </c>
      <c r="AD28">
        <f>HYPERLINK("https://klasma.github.io/Logging_0885/tillsynsmail/A 31516-2026 tillsynsbegäran mail.docx", "A 31516-2026")</f>
        <v/>
      </c>
    </row>
    <row r="29" ht="15" customHeight="1">
      <c r="A29" t="inlineStr">
        <is>
          <t>S 2741-2022</t>
        </is>
      </c>
      <c r="B29" t="inlineStr">
        <is>
          <t>samrådsanmälan</t>
        </is>
      </c>
      <c r="C29" t="inlineStr">
        <is>
          <t>Annan skogsbruksåtgärd</t>
        </is>
      </c>
      <c r="D29" s="1" t="n">
        <v>44704</v>
      </c>
      <c r="E29" s="1" t="n">
        <v>46316</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46316</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46316</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46316</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46316</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46316</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16171-2023</t>
        </is>
      </c>
      <c r="B36" t="inlineStr">
        <is>
          <t>avverkningsanmälan</t>
        </is>
      </c>
      <c r="C36" t="inlineStr">
        <is>
          <t>Föryngringsavverkning</t>
        </is>
      </c>
      <c r="D36" s="1" t="n">
        <v>45027</v>
      </c>
      <c r="E36" s="1" t="n">
        <v>46316</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46316</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46316</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46316</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46316</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46316</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46316</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46316</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46316</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46316</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46316</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46316</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46316</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46316</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46316</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46316</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46316</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24048-2025</t>
        </is>
      </c>
      <c r="B53" t="inlineStr">
        <is>
          <t>avverkningsanmälan</t>
        </is>
      </c>
      <c r="C53" t="inlineStr">
        <is>
          <t>Föryngringsavverkning</t>
        </is>
      </c>
      <c r="D53" s="1" t="n">
        <v>45796</v>
      </c>
      <c r="E53" s="1" t="n">
        <v>46316</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43542-2025</t>
        </is>
      </c>
      <c r="B54" t="inlineStr">
        <is>
          <t>avverkningsanmälan</t>
        </is>
      </c>
      <c r="C54" t="inlineStr">
        <is>
          <t>Föryngringsavverkning</t>
        </is>
      </c>
      <c r="D54" s="1" t="n">
        <v>45911</v>
      </c>
      <c r="E54" s="1" t="n">
        <v>46316</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15285-2026</t>
        </is>
      </c>
      <c r="B55" t="inlineStr">
        <is>
          <t>avverkningsanmälan</t>
        </is>
      </c>
      <c r="C55" t="inlineStr">
        <is>
          <t>Avverkning för att bevara och utveckla /försöksver</t>
        </is>
      </c>
      <c r="D55" s="1" t="n">
        <v>46105</v>
      </c>
      <c r="E55" s="1" t="n">
        <v>46316</v>
      </c>
      <c r="F55" t="inlineStr">
        <is>
          <t>KALMAR LÄN</t>
        </is>
      </c>
      <c r="G55" t="inlineStr">
        <is>
          <t>BORGHOLM</t>
        </is>
      </c>
      <c r="H55" t="inlineStr">
        <is>
          <t>Sveaskog</t>
        </is>
      </c>
      <c r="I55" t="n">
        <v>1.7</v>
      </c>
      <c r="J55" t="n">
        <v>3</v>
      </c>
      <c r="K55" t="n">
        <v>0</v>
      </c>
      <c r="L55" t="n">
        <v>1</v>
      </c>
      <c r="M55" t="n">
        <v>0</v>
      </c>
      <c r="N55" t="n">
        <v>0</v>
      </c>
      <c r="O55" t="n">
        <v>0</v>
      </c>
      <c r="P55" t="n">
        <v>0</v>
      </c>
      <c r="Q55" t="n">
        <v>1</v>
      </c>
      <c r="R55" t="n">
        <v>0</v>
      </c>
      <c r="S55" t="n">
        <v>3</v>
      </c>
      <c r="T55" t="n">
        <v>3</v>
      </c>
      <c r="U55" t="n">
        <v>0</v>
      </c>
      <c r="V55" s="2" t="inlineStr">
        <is>
          <t>Talltita
Havsörn
Kungsfågel</t>
        </is>
      </c>
      <c r="W55">
        <f>HYPERLINK("https://klasma.github.io/Logging_0885/artfynd/A 15285-2026 artfynd.xlsx", "A 15285-2026")</f>
        <v/>
      </c>
      <c r="X55">
        <f>HYPERLINK("https://klasma.github.io/Logging_0885/kartor/A 15285-2026 karta.png", "A 15285-2026")</f>
        <v/>
      </c>
      <c r="Y55">
        <f>HYPERLINK("https://klasma.github.io/Logging_0885/kartor_geotiff/A 15285-2026 georefererad karta.tif", "A 15285-2026")</f>
        <v/>
      </c>
      <c r="AA55">
        <f>HYPERLINK("https://klasma.github.io/Logging_0885/klagomål/A 15285-2026 FSC-klagomål.docx", "A 15285-2026")</f>
        <v/>
      </c>
      <c r="AB55">
        <f>HYPERLINK("https://klasma.github.io/Logging_0885/klagomålsmail/A 15285-2026 FSC-klagomål mail.docx", "A 15285-2026")</f>
        <v/>
      </c>
      <c r="AC55">
        <f>HYPERLINK("https://klasma.github.io/Logging_0885/tillsyn/A 15285-2026 tillsynsbegäran.docx", "A 15285-2026")</f>
        <v/>
      </c>
      <c r="AD55">
        <f>HYPERLINK("https://klasma.github.io/Logging_0885/tillsynsmail/A 15285-2026 tillsynsbegäran mail.docx", "A 15285-2026")</f>
        <v/>
      </c>
      <c r="AE55">
        <f>HYPERLINK("https://klasma.github.io/Logging_0885/fåglar/A 15285-2026 prioriterade fågelarter.docx", "A 15285-2026")</f>
        <v/>
      </c>
    </row>
    <row r="56" ht="15" customHeight="1">
      <c r="A56" t="inlineStr">
        <is>
          <t>A 27283-2026</t>
        </is>
      </c>
      <c r="B56" t="inlineStr">
        <is>
          <t>avverkningsanmälan</t>
        </is>
      </c>
      <c r="C56" t="inlineStr">
        <is>
          <t>Avverkning för att bevara och utveckla /försöksver</t>
        </is>
      </c>
      <c r="D56" s="1" t="n">
        <v>46188</v>
      </c>
      <c r="E56" s="1" t="n">
        <v>46316</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46316</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32174-2022</t>
        </is>
      </c>
      <c r="B58" t="inlineStr">
        <is>
          <t>avverkningsanmälan</t>
        </is>
      </c>
      <c r="C58" t="inlineStr">
        <is>
          <t>Avverkning för att bevara och utveckla /försöksver</t>
        </is>
      </c>
      <c r="D58" s="1" t="n">
        <v>44781</v>
      </c>
      <c r="E58" s="1" t="n">
        <v>46316</v>
      </c>
      <c r="F58" t="inlineStr">
        <is>
          <t>KALMAR LÄN</t>
        </is>
      </c>
      <c r="G58" t="inlineStr">
        <is>
          <t>BORGHOLM</t>
        </is>
      </c>
      <c r="H58" t="inlineStr">
        <is>
          <t>Sveaskog</t>
        </is>
      </c>
      <c r="I58" t="n">
        <v>1.6</v>
      </c>
      <c r="J58" t="n">
        <v>2</v>
      </c>
      <c r="K58" t="n">
        <v>2</v>
      </c>
      <c r="L58" t="n">
        <v>1</v>
      </c>
      <c r="M58" t="n">
        <v>0</v>
      </c>
      <c r="N58" t="n">
        <v>0</v>
      </c>
      <c r="O58" t="n">
        <v>0</v>
      </c>
      <c r="P58" t="n">
        <v>0</v>
      </c>
      <c r="Q58" t="n">
        <v>1</v>
      </c>
      <c r="R58" t="n">
        <v>0</v>
      </c>
      <c r="S58" t="n">
        <v>3</v>
      </c>
      <c r="T58" t="n">
        <v>3</v>
      </c>
      <c r="U58" t="n">
        <v>3</v>
      </c>
      <c r="V58" s="2" t="inlineStr">
        <is>
          <t>Backklöver
Tvåblad
Vit skogslilja</t>
        </is>
      </c>
      <c r="W58">
        <f>HYPERLINK("https://klasma.github.io/Logging_0885/artfynd/A 32174-2022 artfynd.xlsx", "A 32174-2022")</f>
        <v/>
      </c>
      <c r="X58">
        <f>HYPERLINK("https://klasma.github.io/Logging_0885/kartor/A 32174-2022 karta.png", "A 32174-2022")</f>
        <v/>
      </c>
      <c r="Y58">
        <f>HYPERLINK("https://klasma.github.io/Logging_0885/kartor_geotiff/A 32174-2022 georefererad karta.tif", "A 32174-2022")</f>
        <v/>
      </c>
      <c r="AA58">
        <f>HYPERLINK("https://klasma.github.io/Logging_0885/klagomål/A 32174-2022 FSC-klagomål.docx", "A 32174-2022")</f>
        <v/>
      </c>
      <c r="AB58">
        <f>HYPERLINK("https://klasma.github.io/Logging_0885/klagomålsmail/A 32174-2022 FSC-klagomål mail.docx", "A 32174-2022")</f>
        <v/>
      </c>
      <c r="AC58">
        <f>HYPERLINK("https://klasma.github.io/Logging_0885/tillsyn/A 32174-2022 tillsynsbegäran.docx", "A 32174-2022")</f>
        <v/>
      </c>
      <c r="AD58">
        <f>HYPERLINK("https://klasma.github.io/Logging_0885/tillsynsmail/A 32174-2022 tillsynsbegäran mail.docx", "A 32174-2022")</f>
        <v/>
      </c>
    </row>
    <row r="59" ht="15" customHeight="1">
      <c r="A59" t="inlineStr">
        <is>
          <t>A 43756-2022</t>
        </is>
      </c>
      <c r="B59" t="inlineStr">
        <is>
          <t>avverkningsanmälan</t>
        </is>
      </c>
      <c r="C59" t="inlineStr">
        <is>
          <t>Föryngringsavverkning</t>
        </is>
      </c>
      <c r="D59" s="1" t="n">
        <v>44837</v>
      </c>
      <c r="E59" s="1" t="n">
        <v>46316</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A 31520-2026</t>
        </is>
      </c>
      <c r="B60" t="inlineStr">
        <is>
          <t>avverkningsanmälan</t>
        </is>
      </c>
      <c r="C60" t="inlineStr">
        <is>
          <t>Avverkning för att bevara och utveckla /försöksver</t>
        </is>
      </c>
      <c r="D60" s="1" t="n">
        <v>46223</v>
      </c>
      <c r="E60" s="1" t="n">
        <v>46316</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46316</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46316</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46316</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46316</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46316</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46316</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46316</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46316</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46316</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24322-2026</t>
        </is>
      </c>
      <c r="B70" t="inlineStr">
        <is>
          <t>avverkningsanmälan</t>
        </is>
      </c>
      <c r="C70" t="inlineStr">
        <is>
          <t>Föryngringsavverkning</t>
        </is>
      </c>
      <c r="D70" s="1" t="n">
        <v>46169</v>
      </c>
      <c r="E70" s="1" t="n">
        <v>46316</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29411-2026</t>
        </is>
      </c>
      <c r="B71" t="inlineStr">
        <is>
          <t>avverkningsanmälan</t>
        </is>
      </c>
      <c r="C71" t="inlineStr">
        <is>
          <t>Avverkning för att bevara och utveckla /försöksver</t>
        </is>
      </c>
      <c r="D71" s="1" t="n">
        <v>46203</v>
      </c>
      <c r="E71" s="1" t="n">
        <v>46316</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44678-2022</t>
        </is>
      </c>
      <c r="B72" t="inlineStr">
        <is>
          <t>avverkningsanmälan</t>
        </is>
      </c>
      <c r="C72" t="inlineStr">
        <is>
          <t>Föryngringsavverkning</t>
        </is>
      </c>
      <c r="D72" s="1" t="n">
        <v>44840</v>
      </c>
      <c r="E72" s="1" t="n">
        <v>46316</v>
      </c>
      <c r="F72" t="inlineStr">
        <is>
          <t>KALMAR LÄN</t>
        </is>
      </c>
      <c r="G72" t="inlineStr">
        <is>
          <t>BORGHOLM</t>
        </is>
      </c>
      <c r="I72" t="n">
        <v>2.4</v>
      </c>
      <c r="J72" t="n">
        <v>1</v>
      </c>
      <c r="K72" t="n">
        <v>1</v>
      </c>
      <c r="L72" t="n">
        <v>0</v>
      </c>
      <c r="M72" t="n">
        <v>0</v>
      </c>
      <c r="N72" t="n">
        <v>1</v>
      </c>
      <c r="O72" t="n">
        <v>0</v>
      </c>
      <c r="P72" t="n">
        <v>0</v>
      </c>
      <c r="Q72" t="n">
        <v>1</v>
      </c>
      <c r="R72" t="n">
        <v>1</v>
      </c>
      <c r="S72" t="n">
        <v>2</v>
      </c>
      <c r="T72" t="n">
        <v>2</v>
      </c>
      <c r="U72" t="n">
        <v>1</v>
      </c>
      <c r="V72" s="2" t="inlineStr">
        <is>
          <t>Ask
Skogsknipprot</t>
        </is>
      </c>
      <c r="W72">
        <f>HYPERLINK("https://klasma.github.io/Logging_0885/artfynd/A 44678-2022 artfynd.xlsx", "A 44678-2022")</f>
        <v/>
      </c>
      <c r="X72">
        <f>HYPERLINK("https://klasma.github.io/Logging_0885/kartor/A 44678-2022 karta.png", "A 44678-2022")</f>
        <v/>
      </c>
      <c r="Y72">
        <f>HYPERLINK("https://klasma.github.io/Logging_0885/kartor_geotiff/A 44678-2022 georefererad karta.tif", "A 44678-2022")</f>
        <v/>
      </c>
      <c r="AA72">
        <f>HYPERLINK("https://klasma.github.io/Logging_0885/klagomål/A 44678-2022 FSC-klagomål.docx", "A 44678-2022")</f>
        <v/>
      </c>
      <c r="AB72">
        <f>HYPERLINK("https://klasma.github.io/Logging_0885/klagomålsmail/A 44678-2022 FSC-klagomål mail.docx", "A 44678-2022")</f>
        <v/>
      </c>
      <c r="AC72">
        <f>HYPERLINK("https://klasma.github.io/Logging_0885/tillsyn/A 44678-2022 tillsynsbegäran.docx", "A 44678-2022")</f>
        <v/>
      </c>
      <c r="AD72">
        <f>HYPERLINK("https://klasma.github.io/Logging_0885/tillsynsmail/A 44678-2022 tillsynsbegäran mail.docx", "A 44678-2022")</f>
        <v/>
      </c>
    </row>
    <row r="73" ht="15" customHeight="1">
      <c r="A73" t="inlineStr">
        <is>
          <t>A 29434-2026</t>
        </is>
      </c>
      <c r="B73" t="inlineStr">
        <is>
          <t>avverkningsanmälan</t>
        </is>
      </c>
      <c r="C73" t="inlineStr">
        <is>
          <t>Avverkning för att bevara och utveckla /försöksver</t>
        </is>
      </c>
      <c r="D73" s="1" t="n">
        <v>46203</v>
      </c>
      <c r="E73" s="1" t="n">
        <v>46316</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17699-2025</t>
        </is>
      </c>
      <c r="B74" t="inlineStr">
        <is>
          <t>avverkningsanmälan</t>
        </is>
      </c>
      <c r="C74" t="inlineStr">
        <is>
          <t>Föryngringsavverkning</t>
        </is>
      </c>
      <c r="D74" s="1" t="n">
        <v>45758</v>
      </c>
      <c r="E74" s="1" t="n">
        <v>46316</v>
      </c>
      <c r="F74" t="inlineStr">
        <is>
          <t>KALMAR LÄN</t>
        </is>
      </c>
      <c r="G74" t="inlineStr">
        <is>
          <t>BORGHOLM</t>
        </is>
      </c>
      <c r="I74" t="n">
        <v>0.7</v>
      </c>
      <c r="J74" t="n">
        <v>0</v>
      </c>
      <c r="K74" t="n">
        <v>0</v>
      </c>
      <c r="L74" t="n">
        <v>2</v>
      </c>
      <c r="M74" t="n">
        <v>0</v>
      </c>
      <c r="N74" t="n">
        <v>0</v>
      </c>
      <c r="O74" t="n">
        <v>0</v>
      </c>
      <c r="P74" t="n">
        <v>0</v>
      </c>
      <c r="Q74" t="n">
        <v>2</v>
      </c>
      <c r="R74" t="n">
        <v>0</v>
      </c>
      <c r="S74" t="n">
        <v>2</v>
      </c>
      <c r="T74" t="n">
        <v>2</v>
      </c>
      <c r="U74" t="n">
        <v>2</v>
      </c>
      <c r="V74" s="2" t="inlineStr">
        <is>
          <t>Backtimjan
Klibbveronika</t>
        </is>
      </c>
      <c r="W74">
        <f>HYPERLINK("https://klasma.github.io/Logging_0885/artfynd/A 17699-2025 artfynd.xlsx", "A 17699-2025")</f>
        <v/>
      </c>
      <c r="X74">
        <f>HYPERLINK("https://klasma.github.io/Logging_0885/kartor/A 17699-2025 karta.png", "A 17699-2025")</f>
        <v/>
      </c>
      <c r="Y74">
        <f>HYPERLINK("https://klasma.github.io/Logging_0885/kartor_geotiff/A 17699-2025 georefererad karta.tif", "A 17699-2025")</f>
        <v/>
      </c>
      <c r="AA74">
        <f>HYPERLINK("https://klasma.github.io/Logging_0885/klagomål/A 17699-2025 FSC-klagomål.docx", "A 17699-2025")</f>
        <v/>
      </c>
      <c r="AB74">
        <f>HYPERLINK("https://klasma.github.io/Logging_0885/klagomålsmail/A 17699-2025 FSC-klagomål mail.docx", "A 17699-2025")</f>
        <v/>
      </c>
      <c r="AC74">
        <f>HYPERLINK("https://klasma.github.io/Logging_0885/tillsyn/A 17699-2025 tillsynsbegäran.docx", "A 17699-2025")</f>
        <v/>
      </c>
      <c r="AD74">
        <f>HYPERLINK("https://klasma.github.io/Logging_0885/tillsynsmail/A 17699-2025 tillsynsbegäran mail.docx", "A 17699-2025")</f>
        <v/>
      </c>
    </row>
    <row r="75" ht="15" customHeight="1">
      <c r="A75" t="inlineStr">
        <is>
          <t>S 6144-2022</t>
        </is>
      </c>
      <c r="B75" t="inlineStr">
        <is>
          <t>samrådsanmälan</t>
        </is>
      </c>
      <c r="C75" t="inlineStr">
        <is>
          <t>Annan skogsbruksåtgärd</t>
        </is>
      </c>
      <c r="D75" s="1" t="n">
        <v>44865</v>
      </c>
      <c r="E75" s="1" t="n">
        <v>46316</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46316</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46316</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46316</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46316</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46316</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46316</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40339-2023</t>
        </is>
      </c>
      <c r="B82" t="inlineStr">
        <is>
          <t>avverkningsanmälan</t>
        </is>
      </c>
      <c r="C82" t="inlineStr">
        <is>
          <t>Föryngringsavverkning</t>
        </is>
      </c>
      <c r="D82" s="1" t="n">
        <v>45169</v>
      </c>
      <c r="E82" s="1" t="n">
        <v>46316</v>
      </c>
      <c r="F82" t="inlineStr">
        <is>
          <t>KALMAR LÄN</t>
        </is>
      </c>
      <c r="G82" t="inlineStr">
        <is>
          <t>BORGHOLM</t>
        </is>
      </c>
      <c r="I82" t="n">
        <v>3.8</v>
      </c>
      <c r="J82" t="n">
        <v>1</v>
      </c>
      <c r="K82" t="n">
        <v>1</v>
      </c>
      <c r="L82" t="n">
        <v>0</v>
      </c>
      <c r="M82" t="n">
        <v>0</v>
      </c>
      <c r="N82" t="n">
        <v>0</v>
      </c>
      <c r="O82" t="n">
        <v>0</v>
      </c>
      <c r="P82" t="n">
        <v>0</v>
      </c>
      <c r="Q82" t="n">
        <v>0</v>
      </c>
      <c r="R82" t="n">
        <v>0</v>
      </c>
      <c r="S82" t="n">
        <v>1</v>
      </c>
      <c r="T82" t="n">
        <v>1</v>
      </c>
      <c r="U82" t="n">
        <v>1</v>
      </c>
      <c r="V82" s="2" t="inlineStr">
        <is>
          <t>Ekoxe</t>
        </is>
      </c>
      <c r="W82">
        <f>HYPERLINK("https://klasma.github.io/Logging_0885/artfynd/A 40339-2023 artfynd.xlsx", "A 40339-2023")</f>
        <v/>
      </c>
      <c r="X82">
        <f>HYPERLINK("https://klasma.github.io/Logging_0885/kartor/A 40339-2023 karta.png", "A 40339-2023")</f>
        <v/>
      </c>
      <c r="Y82">
        <f>HYPERLINK("https://klasma.github.io/Logging_0885/kartor_geotiff/A 40339-2023 georefererad karta.tif", "A 40339-2023")</f>
        <v/>
      </c>
      <c r="AA82">
        <f>HYPERLINK("https://klasma.github.io/Logging_0885/klagomål/A 40339-2023 FSC-klagomål.docx", "A 40339-2023")</f>
        <v/>
      </c>
      <c r="AB82">
        <f>HYPERLINK("https://klasma.github.io/Logging_0885/klagomålsmail/A 40339-2023 FSC-klagomål mail.docx", "A 40339-2023")</f>
        <v/>
      </c>
      <c r="AC82">
        <f>HYPERLINK("https://klasma.github.io/Logging_0885/tillsyn/A 40339-2023 tillsynsbegäran.docx", "A 40339-2023")</f>
        <v/>
      </c>
      <c r="AD82">
        <f>HYPERLINK("https://klasma.github.io/Logging_0885/tillsynsmail/A 40339-2023 tillsynsbegäran mail.docx", "A 40339-2023")</f>
        <v/>
      </c>
    </row>
    <row r="83" ht="15" customHeight="1">
      <c r="A83" t="inlineStr">
        <is>
          <t>A 41831-2025</t>
        </is>
      </c>
      <c r="B83" t="inlineStr">
        <is>
          <t>avverkningsanmälan</t>
        </is>
      </c>
      <c r="C83" t="inlineStr">
        <is>
          <t>Föryngringsavverkning</t>
        </is>
      </c>
      <c r="D83" s="1" t="n">
        <v>45902</v>
      </c>
      <c r="E83" s="1" t="n">
        <v>46316</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28785-2025</t>
        </is>
      </c>
      <c r="B84" t="inlineStr">
        <is>
          <t>avverkningsanmälan</t>
        </is>
      </c>
      <c r="C84" t="inlineStr">
        <is>
          <t>Avverkning för att bevara och utveckla /försöksver</t>
        </is>
      </c>
      <c r="D84" s="1" t="n">
        <v>45820</v>
      </c>
      <c r="E84" s="1" t="n">
        <v>46316</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28782-2025</t>
        </is>
      </c>
      <c r="B85" t="inlineStr">
        <is>
          <t>avverkningsanmälan</t>
        </is>
      </c>
      <c r="C85" t="inlineStr">
        <is>
          <t>Avverkning för att bevara och utveckla /försöksver</t>
        </is>
      </c>
      <c r="D85" s="1" t="n">
        <v>45820</v>
      </c>
      <c r="E85" s="1" t="n">
        <v>46316</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3302-2026</t>
        </is>
      </c>
      <c r="B86" t="inlineStr">
        <is>
          <t>avverkningsanmälan</t>
        </is>
      </c>
      <c r="C86" t="inlineStr">
        <is>
          <t>Avverkning för annat ändamål</t>
        </is>
      </c>
      <c r="D86" s="1" t="n">
        <v>46041</v>
      </c>
      <c r="E86" s="1" t="n">
        <v>46316</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46316</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46316</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46316</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63276-2023</t>
        </is>
      </c>
      <c r="B90" t="inlineStr">
        <is>
          <t>avverkningsanmälan</t>
        </is>
      </c>
      <c r="C90" t="inlineStr">
        <is>
          <t>Föryngringsavverkning</t>
        </is>
      </c>
      <c r="D90" s="1" t="n">
        <v>45273</v>
      </c>
      <c r="E90" s="1" t="n">
        <v>46316</v>
      </c>
      <c r="F90" t="inlineStr">
        <is>
          <t>KALMAR LÄN</t>
        </is>
      </c>
      <c r="G90" t="inlineStr">
        <is>
          <t>BORGHOLM</t>
        </is>
      </c>
      <c r="I90" t="n">
        <v>5</v>
      </c>
      <c r="J90" t="n">
        <v>0</v>
      </c>
      <c r="K90" t="n">
        <v>0</v>
      </c>
      <c r="L90" t="n">
        <v>0</v>
      </c>
      <c r="M90" t="n">
        <v>1</v>
      </c>
      <c r="N90" t="n">
        <v>0</v>
      </c>
      <c r="O90" t="n">
        <v>0</v>
      </c>
      <c r="P90" t="n">
        <v>0</v>
      </c>
      <c r="Q90" t="n">
        <v>1</v>
      </c>
      <c r="R90" t="n">
        <v>1</v>
      </c>
      <c r="S90" t="n">
        <v>1</v>
      </c>
      <c r="T90" t="n">
        <v>1</v>
      </c>
      <c r="U90" t="n">
        <v>0</v>
      </c>
      <c r="V90" s="2" t="inlineStr">
        <is>
          <t>Elaphomyces barrioi</t>
        </is>
      </c>
      <c r="W90">
        <f>HYPERLINK("https://klasma.github.io/Logging_0885/artfynd/A 63276-2023 artfynd.xlsx", "A 63276-2023")</f>
        <v/>
      </c>
      <c r="X90">
        <f>HYPERLINK("https://klasma.github.io/Logging_0885/kartor/A 63276-2023 karta.png", "A 63276-2023")</f>
        <v/>
      </c>
      <c r="Y90">
        <f>HYPERLINK("https://klasma.github.io/Logging_0885/kartor_geotiff/A 63276-2023 georefererad karta.tif", "A 63276-2023")</f>
        <v/>
      </c>
      <c r="AA90">
        <f>HYPERLINK("https://klasma.github.io/Logging_0885/klagomål/A 63276-2023 FSC-klagomål.docx", "A 63276-2023")</f>
        <v/>
      </c>
      <c r="AB90">
        <f>HYPERLINK("https://klasma.github.io/Logging_0885/klagomålsmail/A 63276-2023 FSC-klagomål mail.docx", "A 63276-2023")</f>
        <v/>
      </c>
      <c r="AC90">
        <f>HYPERLINK("https://klasma.github.io/Logging_0885/tillsyn/A 63276-2023 tillsynsbegäran.docx", "A 63276-2023")</f>
        <v/>
      </c>
      <c r="AD90">
        <f>HYPERLINK("https://klasma.github.io/Logging_0885/tillsynsmail/A 63276-2023 tillsynsbegäran mail.docx", "A 63276-2023")</f>
        <v/>
      </c>
    </row>
    <row r="91" ht="15" customHeight="1">
      <c r="A91" t="inlineStr">
        <is>
          <t>A 24704-2023</t>
        </is>
      </c>
      <c r="B91" t="inlineStr">
        <is>
          <t>avverkningsanmälan</t>
        </is>
      </c>
      <c r="C91" t="inlineStr">
        <is>
          <t>Föryngringsavverkning</t>
        </is>
      </c>
      <c r="D91" s="1" t="n">
        <v>45084</v>
      </c>
      <c r="E91" s="1" t="n">
        <v>46316</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9745-2023</t>
        </is>
      </c>
      <c r="B92" t="inlineStr">
        <is>
          <t>avverkningsanmälan</t>
        </is>
      </c>
      <c r="C92" t="inlineStr">
        <is>
          <t>Föryngringsavverkning</t>
        </is>
      </c>
      <c r="D92" s="1" t="n">
        <v>44984</v>
      </c>
      <c r="E92" s="1" t="n">
        <v>46316</v>
      </c>
      <c r="F92" t="inlineStr">
        <is>
          <t>KALMAR LÄN</t>
        </is>
      </c>
      <c r="G92" t="inlineStr">
        <is>
          <t>BORGHOLM</t>
        </is>
      </c>
      <c r="I92" t="n">
        <v>1.2</v>
      </c>
      <c r="J92" t="n">
        <v>1</v>
      </c>
      <c r="K92" t="n">
        <v>1</v>
      </c>
      <c r="L92" t="n">
        <v>0</v>
      </c>
      <c r="M92" t="n">
        <v>0</v>
      </c>
      <c r="N92" t="n">
        <v>0</v>
      </c>
      <c r="O92" t="n">
        <v>0</v>
      </c>
      <c r="P92" t="n">
        <v>0</v>
      </c>
      <c r="Q92" t="n">
        <v>0</v>
      </c>
      <c r="R92" t="n">
        <v>0</v>
      </c>
      <c r="S92" t="n">
        <v>1</v>
      </c>
      <c r="T92" t="n">
        <v>2</v>
      </c>
      <c r="U92" t="n">
        <v>1</v>
      </c>
      <c r="V92" s="2" t="inlineStr">
        <is>
          <t>Skogsknipprot</t>
        </is>
      </c>
      <c r="W92">
        <f>HYPERLINK("https://klasma.github.io/Logging_0885/artfynd/A 9745-2023 artfynd.xlsx", "A 9745-2023")</f>
        <v/>
      </c>
      <c r="X92">
        <f>HYPERLINK("https://klasma.github.io/Logging_0885/kartor/A 9745-2023 karta.png", "A 9745-2023")</f>
        <v/>
      </c>
      <c r="Y92">
        <f>HYPERLINK("https://klasma.github.io/Logging_0885/kartor_geotiff/A 9745-2023 georefererad karta.tif", "A 9745-2023")</f>
        <v/>
      </c>
      <c r="AA92">
        <f>HYPERLINK("https://klasma.github.io/Logging_0885/klagomål/A 9745-2023 FSC-klagomål.docx", "A 9745-2023")</f>
        <v/>
      </c>
      <c r="AB92">
        <f>HYPERLINK("https://klasma.github.io/Logging_0885/klagomålsmail/A 9745-2023 FSC-klagomål mail.docx", "A 9745-2023")</f>
        <v/>
      </c>
      <c r="AC92">
        <f>HYPERLINK("https://klasma.github.io/Logging_0885/tillsyn/A 9745-2023 tillsynsbegäran.docx", "A 9745-2023")</f>
        <v/>
      </c>
      <c r="AD92">
        <f>HYPERLINK("https://klasma.github.io/Logging_0885/tillsynsmail/A 9745-2023 tillsynsbegäran mail.docx", "A 9745-2023")</f>
        <v/>
      </c>
    </row>
    <row r="93" ht="15" customHeight="1">
      <c r="A93" t="inlineStr">
        <is>
          <t>A 26840-2026</t>
        </is>
      </c>
      <c r="B93" t="inlineStr">
        <is>
          <t>avverkningsanmälan</t>
        </is>
      </c>
      <c r="C93" t="inlineStr">
        <is>
          <t>Avverkning för att bevara och utveckla /försöksver</t>
        </is>
      </c>
      <c r="D93" s="1" t="n">
        <v>46185</v>
      </c>
      <c r="E93" s="1" t="n">
        <v>46316</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46316</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46316</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31720-2022</t>
        </is>
      </c>
      <c r="B96" t="inlineStr">
        <is>
          <t>avverkningsanmälan</t>
        </is>
      </c>
      <c r="C96" t="inlineStr">
        <is>
          <t>Föryngringsavverkning</t>
        </is>
      </c>
      <c r="D96" s="1" t="n">
        <v>44776</v>
      </c>
      <c r="E96" s="1" t="n">
        <v>46316</v>
      </c>
      <c r="F96" t="inlineStr">
        <is>
          <t>KALMAR LÄN</t>
        </is>
      </c>
      <c r="G96" t="inlineStr">
        <is>
          <t>BORGHOLM</t>
        </is>
      </c>
      <c r="H96" t="inlineStr">
        <is>
          <t>Sveaskog</t>
        </is>
      </c>
      <c r="I96" t="n">
        <v>4.5</v>
      </c>
      <c r="J96" t="n">
        <v>1</v>
      </c>
      <c r="K96" t="n">
        <v>1</v>
      </c>
      <c r="L96" t="n">
        <v>0</v>
      </c>
      <c r="M96" t="n">
        <v>0</v>
      </c>
      <c r="N96" t="n">
        <v>0</v>
      </c>
      <c r="O96" t="n">
        <v>0</v>
      </c>
      <c r="P96" t="n">
        <v>0</v>
      </c>
      <c r="Q96" t="n">
        <v>0</v>
      </c>
      <c r="R96" t="n">
        <v>0</v>
      </c>
      <c r="S96" t="n">
        <v>1</v>
      </c>
      <c r="T96" t="n">
        <v>1</v>
      </c>
      <c r="U96" t="n">
        <v>1</v>
      </c>
      <c r="V96" s="2" t="inlineStr">
        <is>
          <t>Tvåblad</t>
        </is>
      </c>
      <c r="W96">
        <f>HYPERLINK("https://klasma.github.io/Logging_0885/artfynd/A 31720-2022 artfynd.xlsx", "A 31720-2022")</f>
        <v/>
      </c>
      <c r="X96">
        <f>HYPERLINK("https://klasma.github.io/Logging_0885/kartor/A 31720-2022 karta.png", "A 31720-2022")</f>
        <v/>
      </c>
      <c r="Y96">
        <f>HYPERLINK("https://klasma.github.io/Logging_0885/kartor_geotiff/A 31720-2022 georefererad karta.tif", "A 31720-2022")</f>
        <v/>
      </c>
      <c r="AA96">
        <f>HYPERLINK("https://klasma.github.io/Logging_0885/klagomål/A 31720-2022 FSC-klagomål.docx", "A 31720-2022")</f>
        <v/>
      </c>
      <c r="AB96">
        <f>HYPERLINK("https://klasma.github.io/Logging_0885/klagomålsmail/A 31720-2022 FSC-klagomål mail.docx", "A 31720-2022")</f>
        <v/>
      </c>
      <c r="AC96">
        <f>HYPERLINK("https://klasma.github.io/Logging_0885/tillsyn/A 31720-2022 tillsynsbegäran.docx", "A 31720-2022")</f>
        <v/>
      </c>
      <c r="AD96">
        <f>HYPERLINK("https://klasma.github.io/Logging_0885/tillsynsmail/A 31720-2022 tillsynsbegäran mail.docx", "A 31720-2022")</f>
        <v/>
      </c>
    </row>
    <row r="97" ht="15" customHeight="1">
      <c r="A97" t="inlineStr">
        <is>
          <t>A 19867-2024</t>
        </is>
      </c>
      <c r="B97" t="inlineStr">
        <is>
          <t>avverkningsanmälan</t>
        </is>
      </c>
      <c r="C97" t="inlineStr">
        <is>
          <t>Föryngringsavverkning</t>
        </is>
      </c>
      <c r="D97" s="1" t="n">
        <v>45433</v>
      </c>
      <c r="E97" s="1" t="n">
        <v>46316</v>
      </c>
      <c r="F97" t="inlineStr">
        <is>
          <t>KALMAR LÄN</t>
        </is>
      </c>
      <c r="G97" t="inlineStr">
        <is>
          <t>BORGHOLM</t>
        </is>
      </c>
      <c r="I97" t="n">
        <v>3.9</v>
      </c>
      <c r="J97" t="n">
        <v>0</v>
      </c>
      <c r="K97" t="n">
        <v>0</v>
      </c>
      <c r="L97" t="n">
        <v>1</v>
      </c>
      <c r="M97" t="n">
        <v>0</v>
      </c>
      <c r="N97" t="n">
        <v>0</v>
      </c>
      <c r="O97" t="n">
        <v>0</v>
      </c>
      <c r="P97" t="n">
        <v>0</v>
      </c>
      <c r="Q97" t="n">
        <v>1</v>
      </c>
      <c r="R97" t="n">
        <v>0</v>
      </c>
      <c r="S97" t="n">
        <v>1</v>
      </c>
      <c r="T97" t="n">
        <v>1</v>
      </c>
      <c r="U97" t="n">
        <v>1</v>
      </c>
      <c r="V97" s="2" t="inlineStr">
        <is>
          <t>Åkerkulla</t>
        </is>
      </c>
      <c r="W97">
        <f>HYPERLINK("https://klasma.github.io/Logging_0885/artfynd/A 19867-2024 artfynd.xlsx", "A 19867-2024")</f>
        <v/>
      </c>
      <c r="X97">
        <f>HYPERLINK("https://klasma.github.io/Logging_0885/kartor/A 19867-2024 karta.png", "A 19867-2024")</f>
        <v/>
      </c>
      <c r="Y97">
        <f>HYPERLINK("https://klasma.github.io/Logging_0885/kartor_geotiff/A 19867-2024 georefererad karta.tif", "A 19867-2024")</f>
        <v/>
      </c>
      <c r="AA97">
        <f>HYPERLINK("https://klasma.github.io/Logging_0885/klagomål/A 19867-2024 FSC-klagomål.docx", "A 19867-2024")</f>
        <v/>
      </c>
      <c r="AB97">
        <f>HYPERLINK("https://klasma.github.io/Logging_0885/klagomålsmail/A 19867-2024 FSC-klagomål mail.docx", "A 19867-2024")</f>
        <v/>
      </c>
      <c r="AC97">
        <f>HYPERLINK("https://klasma.github.io/Logging_0885/tillsyn/A 19867-2024 tillsynsbegäran.docx", "A 19867-2024")</f>
        <v/>
      </c>
      <c r="AD97">
        <f>HYPERLINK("https://klasma.github.io/Logging_0885/tillsynsmail/A 19867-2024 tillsynsbegäran mail.docx", "A 19867-2024")</f>
        <v/>
      </c>
    </row>
    <row r="98" ht="15" customHeight="1">
      <c r="A98" t="inlineStr">
        <is>
          <t>A 33293-2026</t>
        </is>
      </c>
      <c r="B98" t="inlineStr">
        <is>
          <t>avverkningsanmälan</t>
        </is>
      </c>
      <c r="C98" t="inlineStr">
        <is>
          <t>Avverkning för att bevara och utveckla /försöksver</t>
        </is>
      </c>
      <c r="D98" s="1" t="n">
        <v>46246</v>
      </c>
      <c r="E98" s="1" t="n">
        <v>46316</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13043-2024</t>
        </is>
      </c>
      <c r="B99" t="inlineStr">
        <is>
          <t>avverkningsanmälan</t>
        </is>
      </c>
      <c r="C99" t="inlineStr">
        <is>
          <t>Föryngringsavverkning</t>
        </is>
      </c>
      <c r="D99" s="1" t="n">
        <v>45385</v>
      </c>
      <c r="E99" s="1" t="n">
        <v>46316</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A 20878-2024</t>
        </is>
      </c>
      <c r="B100" t="inlineStr">
        <is>
          <t>avverkningsanmälan</t>
        </is>
      </c>
      <c r="C100" t="inlineStr">
        <is>
          <t>Föryngringsavverkning</t>
        </is>
      </c>
      <c r="D100" s="1" t="n">
        <v>45439</v>
      </c>
      <c r="E100" s="1" t="n">
        <v>46316</v>
      </c>
      <c r="F100" t="inlineStr">
        <is>
          <t>KALMAR LÄN</t>
        </is>
      </c>
      <c r="G100" t="inlineStr">
        <is>
          <t>BORGHOLM</t>
        </is>
      </c>
      <c r="I100" t="n">
        <v>1.9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HYPERLINK("https://klasma.github.io/Logging_0885/artfynd/A 20878-2024 artfynd.xlsx", "A 20878-2024")</f>
        <v/>
      </c>
      <c r="X100">
        <f>HYPERLINK("https://klasma.github.io/Logging_0885/kartor/A 20878-2024 karta.png", "A 20878-2024")</f>
        <v/>
      </c>
      <c r="Y100">
        <f>HYPERLINK("https://klasma.github.io/Logging_0885/kartor_geotiff/A 20878-2024 georefererad karta.tif", "A 20878-2024")</f>
        <v/>
      </c>
      <c r="AA100">
        <f>HYPERLINK("https://klasma.github.io/Logging_0885/klagomål/A 20878-2024 FSC-klagomål.docx", "A 20878-2024")</f>
        <v/>
      </c>
      <c r="AB100">
        <f>HYPERLINK("https://klasma.github.io/Logging_0885/klagomålsmail/A 20878-2024 FSC-klagomål mail.docx", "A 20878-2024")</f>
        <v/>
      </c>
      <c r="AC100">
        <f>HYPERLINK("https://klasma.github.io/Logging_0885/tillsyn/A 20878-2024 tillsynsbegäran.docx", "A 20878-2024")</f>
        <v/>
      </c>
      <c r="AD100">
        <f>HYPERLINK("https://klasma.github.io/Logging_0885/tillsynsmail/A 20878-2024 tillsynsbegäran mail.docx", "A 20878-2024")</f>
        <v/>
      </c>
    </row>
    <row r="101" ht="15" customHeight="1">
      <c r="A101" t="inlineStr">
        <is>
          <t>S 2390-2023</t>
        </is>
      </c>
      <c r="B101" t="inlineStr">
        <is>
          <t>samrådsanmälan</t>
        </is>
      </c>
      <c r="C101" t="inlineStr">
        <is>
          <t>Annan skogsbruksåtgärd</t>
        </is>
      </c>
      <c r="D101" s="1" t="n">
        <v>45111</v>
      </c>
      <c r="E101" s="1" t="n">
        <v>46316</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46316</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46316</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46316</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46316</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46316</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46316</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46316</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46316</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46316</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46316</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46316</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46316</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46316</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46316</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46316</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46316</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55367-2024</t>
        </is>
      </c>
      <c r="B118" t="inlineStr">
        <is>
          <t>avverkningsanmälan</t>
        </is>
      </c>
      <c r="C118" t="inlineStr">
        <is>
          <t>Föryngringsavverkning</t>
        </is>
      </c>
      <c r="D118" s="1" t="n">
        <v>45621</v>
      </c>
      <c r="E118" s="1" t="n">
        <v>46316</v>
      </c>
      <c r="F118" t="inlineStr">
        <is>
          <t>KALMAR LÄN</t>
        </is>
      </c>
      <c r="G118" t="inlineStr">
        <is>
          <t>BORGHOLM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46316</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46316</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9259-2026</t>
        </is>
      </c>
      <c r="B121" t="inlineStr">
        <is>
          <t>avverkningsanmälan</t>
        </is>
      </c>
      <c r="C121" t="inlineStr">
        <is>
          <t>Föryngringsavverkning</t>
        </is>
      </c>
      <c r="D121" s="1" t="n">
        <v>46070</v>
      </c>
      <c r="E121" s="1" t="n">
        <v>46316</v>
      </c>
      <c r="F121" t="inlineStr">
        <is>
          <t>KALMAR LÄN</t>
        </is>
      </c>
      <c r="G121" t="inlineStr">
        <is>
          <t>BORGHOLM</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4159-2024</t>
        </is>
      </c>
      <c r="B122" t="inlineStr">
        <is>
          <t>avverkningsanmälan</t>
        </is>
      </c>
      <c r="C122" t="inlineStr">
        <is>
          <t>Föryngringsavverkning</t>
        </is>
      </c>
      <c r="D122" s="1" t="n">
        <v>45323</v>
      </c>
      <c r="E122" s="1" t="n">
        <v>46316</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46316</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15264-2026</t>
        </is>
      </c>
      <c r="B124" t="inlineStr">
        <is>
          <t>avverkningsanmälan</t>
        </is>
      </c>
      <c r="C124" t="inlineStr">
        <is>
          <t>Avverkning för att bevara och utveckla /försöksver</t>
        </is>
      </c>
      <c r="D124" s="1" t="n">
        <v>46105</v>
      </c>
      <c r="E124" s="1" t="n">
        <v>46316</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46316</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46316</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46316</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36269-2025</t>
        </is>
      </c>
      <c r="B128" t="inlineStr">
        <is>
          <t>avverkningsanmälan</t>
        </is>
      </c>
      <c r="C128" t="inlineStr">
        <is>
          <t>Föryngringsavverkning</t>
        </is>
      </c>
      <c r="D128" s="1" t="n">
        <v>45867</v>
      </c>
      <c r="E128" s="1" t="n">
        <v>46316</v>
      </c>
      <c r="F128" t="inlineStr">
        <is>
          <t>KALMAR LÄN</t>
        </is>
      </c>
      <c r="G128" t="inlineStr">
        <is>
          <t>BORGHOLM</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9076-2025</t>
        </is>
      </c>
      <c r="B129" t="inlineStr">
        <is>
          <t>avverkningsanmälan</t>
        </is>
      </c>
      <c r="C129" t="inlineStr">
        <is>
          <t>Föryngringsavverkning</t>
        </is>
      </c>
      <c r="D129" s="1" t="n">
        <v>45713</v>
      </c>
      <c r="E129" s="1" t="n">
        <v>46316</v>
      </c>
      <c r="F129" t="inlineStr">
        <is>
          <t>KALMAR LÄN</t>
        </is>
      </c>
      <c r="G129" t="inlineStr">
        <is>
          <t>BORGHOLM</t>
        </is>
      </c>
      <c r="H129" t="inlineStr">
        <is>
          <t>Sveaskog</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46316</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27357-2025</t>
        </is>
      </c>
      <c r="B131" t="inlineStr">
        <is>
          <t>avverkningsanmälan</t>
        </is>
      </c>
      <c r="C131" t="inlineStr">
        <is>
          <t>Avverkning för att bevara och utveckla /försöksver</t>
        </is>
      </c>
      <c r="D131" s="1" t="n">
        <v>45812</v>
      </c>
      <c r="E131" s="1" t="n">
        <v>46316</v>
      </c>
      <c r="F131" t="inlineStr">
        <is>
          <t>KALMAR LÄN</t>
        </is>
      </c>
      <c r="G131" t="inlineStr">
        <is>
          <t>BORGHOLM</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9050-2025</t>
        </is>
      </c>
      <c r="B132" t="inlineStr">
        <is>
          <t>avverkningsanmälan</t>
        </is>
      </c>
      <c r="C132" t="inlineStr">
        <is>
          <t>Avverkning för att bevara och utveckla /försöksver</t>
        </is>
      </c>
      <c r="D132" s="1" t="n">
        <v>45713</v>
      </c>
      <c r="E132" s="1" t="n">
        <v>46316</v>
      </c>
      <c r="F132" t="inlineStr">
        <is>
          <t>KALMAR LÄN</t>
        </is>
      </c>
      <c r="G132" t="inlineStr">
        <is>
          <t>BORGHOLM</t>
        </is>
      </c>
      <c r="H132" t="inlineStr">
        <is>
          <t>Sveaskog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7669-2024</t>
        </is>
      </c>
      <c r="B133" t="inlineStr">
        <is>
          <t>avverkningsanmälan</t>
        </is>
      </c>
      <c r="C133" t="inlineStr">
        <is>
          <t>Föryngringsavverkning</t>
        </is>
      </c>
      <c r="D133" s="1" t="n">
        <v>45348</v>
      </c>
      <c r="E133" s="1" t="n">
        <v>46316</v>
      </c>
      <c r="F133" t="inlineStr">
        <is>
          <t>KALMAR LÄN</t>
        </is>
      </c>
      <c r="G133" t="inlineStr">
        <is>
          <t>BORGHOLM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46316</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46316</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28381-2026</t>
        </is>
      </c>
      <c r="B136" t="inlineStr">
        <is>
          <t>avverkningsanmälan</t>
        </is>
      </c>
      <c r="C136" t="inlineStr">
        <is>
          <t>Avverkning för att bevara och utveckla /försöksver</t>
        </is>
      </c>
      <c r="D136" s="1" t="n">
        <v>46196</v>
      </c>
      <c r="E136" s="1" t="n">
        <v>46316</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28380-2026</t>
        </is>
      </c>
      <c r="B137" t="inlineStr">
        <is>
          <t>avverkningsanmälan</t>
        </is>
      </c>
      <c r="C137" t="inlineStr">
        <is>
          <t>Avverkning för att bevara och utveckla /försöksver</t>
        </is>
      </c>
      <c r="D137" s="1" t="n">
        <v>46196</v>
      </c>
      <c r="E137" s="1" t="n">
        <v>46316</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46316</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29413-2026</t>
        </is>
      </c>
      <c r="B139" t="inlineStr">
        <is>
          <t>avverkningsanmälan</t>
        </is>
      </c>
      <c r="C139" t="inlineStr">
        <is>
          <t>Avverkning för att bevara och utveckla /försöksver</t>
        </is>
      </c>
      <c r="D139" s="1" t="n">
        <v>46203</v>
      </c>
      <c r="E139" s="1" t="n">
        <v>46316</v>
      </c>
      <c r="F139" t="inlineStr">
        <is>
          <t>KALMAR LÄN</t>
        </is>
      </c>
      <c r="G139" t="inlineStr">
        <is>
          <t>BORGHOLM</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29414-2026</t>
        </is>
      </c>
      <c r="B140" t="inlineStr">
        <is>
          <t>avverkningsanmälan</t>
        </is>
      </c>
      <c r="C140" t="inlineStr">
        <is>
          <t>Avverkning för att bevara och utveckla /försöksver</t>
        </is>
      </c>
      <c r="D140" s="1" t="n">
        <v>46203</v>
      </c>
      <c r="E140" s="1" t="n">
        <v>46316</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29431-2026</t>
        </is>
      </c>
      <c r="B141" t="inlineStr">
        <is>
          <t>avverkningsanmälan</t>
        </is>
      </c>
      <c r="C141" t="inlineStr">
        <is>
          <t>Avverkning för att bevara och utveckla /försöksver</t>
        </is>
      </c>
      <c r="D141" s="1" t="n">
        <v>46203</v>
      </c>
      <c r="E141" s="1" t="n">
        <v>46316</v>
      </c>
      <c r="F141" t="inlineStr">
        <is>
          <t>KALMAR LÄN</t>
        </is>
      </c>
      <c r="G141" t="inlineStr">
        <is>
          <t>BORGHOLM</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29410-2026</t>
        </is>
      </c>
      <c r="B142" t="inlineStr">
        <is>
          <t>avverkningsanmälan</t>
        </is>
      </c>
      <c r="C142" t="inlineStr">
        <is>
          <t>Avverkning för att bevara och utveckla /försöksver</t>
        </is>
      </c>
      <c r="D142" s="1" t="n">
        <v>46203</v>
      </c>
      <c r="E142" s="1" t="n">
        <v>46316</v>
      </c>
      <c r="F142" t="inlineStr">
        <is>
          <t>KALMAR LÄN</t>
        </is>
      </c>
      <c r="G142" t="inlineStr">
        <is>
          <t>BORGHOLM</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32919-2023</t>
        </is>
      </c>
      <c r="B143" t="inlineStr">
        <is>
          <t>avverkningsanmälan</t>
        </is>
      </c>
      <c r="C143" t="inlineStr">
        <is>
          <t>Föryngringsavverkning</t>
        </is>
      </c>
      <c r="D143" s="1" t="n">
        <v>45125</v>
      </c>
      <c r="E143" s="1" t="n">
        <v>46316</v>
      </c>
      <c r="F143" t="inlineStr">
        <is>
          <t>KALMAR LÄN</t>
        </is>
      </c>
      <c r="G143" t="inlineStr">
        <is>
          <t>BORGHOLM</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5175-2024</t>
        </is>
      </c>
      <c r="B144" t="inlineStr">
        <is>
          <t>avverkningsanmälan</t>
        </is>
      </c>
      <c r="C144" t="inlineStr">
        <is>
          <t>Föryngringsavverkning</t>
        </is>
      </c>
      <c r="D144" s="1" t="n">
        <v>45330</v>
      </c>
      <c r="E144" s="1" t="n">
        <v>46316</v>
      </c>
      <c r="F144" t="inlineStr">
        <is>
          <t>KALMAR LÄN</t>
        </is>
      </c>
      <c r="G144" t="inlineStr">
        <is>
          <t>BORGHOLM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34951-2022</t>
        </is>
      </c>
      <c r="B145" t="inlineStr">
        <is>
          <t>avverkningsanmälan</t>
        </is>
      </c>
      <c r="C145" t="inlineStr">
        <is>
          <t>Avverkning för att bevara och utveckla /försöksver</t>
        </is>
      </c>
      <c r="D145" s="1" t="n">
        <v>44796</v>
      </c>
      <c r="E145" s="1" t="n">
        <v>46316</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46316</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46316</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46316</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4165-2023</t>
        </is>
      </c>
      <c r="B149" t="inlineStr">
        <is>
          <t>avverkningsanmälan</t>
        </is>
      </c>
      <c r="C149" t="inlineStr">
        <is>
          <t>Föryngringsavverkning</t>
        </is>
      </c>
      <c r="D149" s="1" t="n">
        <v>44953</v>
      </c>
      <c r="E149" s="1" t="n">
        <v>46316</v>
      </c>
      <c r="F149" t="inlineStr">
        <is>
          <t>KALMAR LÄN</t>
        </is>
      </c>
      <c r="G149" t="inlineStr">
        <is>
          <t>BORGHOLM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24338-2026</t>
        </is>
      </c>
      <c r="B150" t="inlineStr">
        <is>
          <t>avverkningsanmälan</t>
        </is>
      </c>
      <c r="C150" t="inlineStr">
        <is>
          <t>Avverkning för att bevara och utveckla /försöksver</t>
        </is>
      </c>
      <c r="D150" s="1" t="n">
        <v>46169</v>
      </c>
      <c r="E150" s="1" t="n">
        <v>46316</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34780-2022</t>
        </is>
      </c>
      <c r="B151" t="inlineStr">
        <is>
          <t>avverkningsanmälan</t>
        </is>
      </c>
      <c r="C151" t="inlineStr">
        <is>
          <t>Föryngringsavverkning</t>
        </is>
      </c>
      <c r="D151" s="1" t="n">
        <v>44795</v>
      </c>
      <c r="E151" s="1" t="n">
        <v>46316</v>
      </c>
      <c r="F151" t="inlineStr">
        <is>
          <t>KALMAR LÄN</t>
        </is>
      </c>
      <c r="G151" t="inlineStr">
        <is>
          <t>BORGHOLM</t>
        </is>
      </c>
      <c r="H151" t="inlineStr">
        <is>
          <t>Sveaskog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46316</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26160-2024</t>
        </is>
      </c>
      <c r="B153" t="inlineStr">
        <is>
          <t>avverkningsanmälan</t>
        </is>
      </c>
      <c r="C153" t="inlineStr">
        <is>
          <t>Avverkning för annat ändamål</t>
        </is>
      </c>
      <c r="D153" s="1" t="n">
        <v>45468</v>
      </c>
      <c r="E153" s="1" t="n">
        <v>46316</v>
      </c>
      <c r="F153" t="inlineStr">
        <is>
          <t>KALMAR LÄN</t>
        </is>
      </c>
      <c r="G153" t="inlineStr">
        <is>
          <t>BORGHOLM</t>
        </is>
      </c>
      <c r="I153" t="n">
        <v>0.4</v>
      </c>
      <c r="J153" t="n">
        <v>0</v>
      </c>
      <c r="K153" t="n">
        <v>0</v>
      </c>
      <c r="L153" t="n">
        <v>0</v>
      </c>
      <c r="M153" t="n">
        <v>0</v>
      </c>
      <c r="N153" t="n">
        <v>0</v>
      </c>
      <c r="O153" t="n">
        <v>0</v>
      </c>
      <c r="P153" t="n">
        <v>0</v>
      </c>
      <c r="Q153" t="n">
        <v>0</v>
      </c>
      <c r="R153" t="n">
        <v>0</v>
      </c>
      <c r="S153" t="n">
        <v>0</v>
      </c>
      <c r="T153" t="n">
        <v>0</v>
      </c>
      <c r="U153" t="n">
        <v>0</v>
      </c>
      <c r="V153" s="2" t="inlineStr"/>
      <c r="X153">
        <f>HYPERLINK("https://klasma.github.io/Logging_0885/kartor/A 26160-2024 karta.png", "A 26160-2024")</f>
        <v/>
      </c>
      <c r="Y153">
        <f>HYPERLINK("https://klasma.github.io/Logging_0885/kartor_geotiff/A 26160-2024 georefererad karta.tif", "A 26160-2024")</f>
        <v/>
      </c>
      <c r="AA153">
        <f>HYPERLINK("https://klasma.github.io/Logging_0885/klagomål/A 26160-2024 FSC-klagomål.docx", "A 26160-2024")</f>
        <v/>
      </c>
      <c r="AB153">
        <f>HYPERLINK("https://klasma.github.io/Logging_0885/klagomålsmail/A 26160-2024 FSC-klagomål mail.docx", "A 26160-2024")</f>
        <v/>
      </c>
      <c r="AC153">
        <f>HYPERLINK("https://klasma.github.io/Logging_0885/tillsyn/A 26160-2024 tillsynsbegäran.docx", "A 26160-2024")</f>
        <v/>
      </c>
      <c r="AD153">
        <f>HYPERLINK("https://klasma.github.io/Logging_0885/tillsynsmail/A 26160-2024 tillsynsbegäran mail.docx", "A 26160-2024")</f>
        <v/>
      </c>
    </row>
    <row r="154" ht="15" customHeight="1">
      <c r="A154" t="inlineStr">
        <is>
          <t>A 63075-2023</t>
        </is>
      </c>
      <c r="B154" t="inlineStr">
        <is>
          <t>avverkningsanmälan</t>
        </is>
      </c>
      <c r="C154" t="inlineStr">
        <is>
          <t>Avverkning för annat ändamål</t>
        </is>
      </c>
      <c r="D154" s="1" t="n">
        <v>45273</v>
      </c>
      <c r="E154" s="1" t="n">
        <v>46316</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22785-2025</t>
        </is>
      </c>
      <c r="B155" t="inlineStr">
        <is>
          <t>avverkningsanmälan</t>
        </is>
      </c>
      <c r="C155" t="inlineStr">
        <is>
          <t>Föryngringsavverkning</t>
        </is>
      </c>
      <c r="D155" s="1" t="n">
        <v>45789</v>
      </c>
      <c r="E155" s="1" t="n">
        <v>46316</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46316</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46316</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46316</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46316</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46316</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46316</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46316</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46316</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46316</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46316</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46316</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46316</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46316</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46316</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46316</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2026-10-21T02:06:18Z</dcterms:created>
  <dcterms:modified xmlns:dcterms="http://purl.org/dc/terms/" xmlns:xsi="http://www.w3.org/2001/XMLSchema-instance" xsi:type="dcterms:W3CDTF">2026-10-21T02:06:18Z</dcterms:modified>
</cp:coreProperties>
</file>