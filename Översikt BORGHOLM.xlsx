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32174-2022</t>
        </is>
      </c>
      <c r="B19" s="1" t="n">
        <v>44781</v>
      </c>
      <c r="C19" s="1" t="n">
        <v>46077</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13556-2025</t>
        </is>
      </c>
      <c r="B20" s="1" t="n">
        <v>45736.54759259259</v>
      </c>
      <c r="C20" s="1" t="n">
        <v>46077</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34944-2022</t>
        </is>
      </c>
      <c r="B21" s="1" t="n">
        <v>44796</v>
      </c>
      <c r="C21" s="1" t="n">
        <v>46077</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34944-2022 artfynd.xlsx", "A 34944-2022")</f>
        <v/>
      </c>
      <c r="T21">
        <f>HYPERLINK("https://klasma.github.io/Logging_0885/kartor/A 34944-2022 karta.png", "A 34944-2022")</f>
        <v/>
      </c>
      <c r="V21">
        <f>HYPERLINK("https://klasma.github.io/Logging_0885/klagomål/A 34944-2022 FSC-klagomål.docx", "A 34944-2022")</f>
        <v/>
      </c>
      <c r="W21">
        <f>HYPERLINK("https://klasma.github.io/Logging_0885/klagomålsmail/A 34944-2022 FSC-klagomål mail.docx", "A 34944-2022")</f>
        <v/>
      </c>
      <c r="X21">
        <f>HYPERLINK("https://klasma.github.io/Logging_0885/tillsyn/A 34944-2022 tillsynsbegäran.docx", "A 34944-2022")</f>
        <v/>
      </c>
      <c r="Y21">
        <f>HYPERLINK("https://klasma.github.io/Logging_0885/tillsynsmail/A 34944-2022 tillsynsbegäran mail.docx", "A 34944-2022")</f>
        <v/>
      </c>
      <c r="Z21">
        <f>HYPERLINK("https://klasma.github.io/Logging_0885/fåglar/A 34944-2022 prioriterade fågelarter.docx", "A 34944-2022")</f>
        <v/>
      </c>
    </row>
    <row r="22" ht="15" customHeight="1">
      <c r="A22" t="inlineStr">
        <is>
          <t>A 38860-2025</t>
        </is>
      </c>
      <c r="B22" s="1" t="n">
        <v>45887.5609375</v>
      </c>
      <c r="C22" s="1" t="n">
        <v>46077</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4164-2023</t>
        </is>
      </c>
      <c r="B23" s="1" t="n">
        <v>44953</v>
      </c>
      <c r="C23" s="1" t="n">
        <v>46077</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43756-2022</t>
        </is>
      </c>
      <c r="B24" s="1" t="n">
        <v>44837</v>
      </c>
      <c r="C24" s="1" t="n">
        <v>46077</v>
      </c>
      <c r="D24" t="inlineStr">
        <is>
          <t>KALMAR LÄN</t>
        </is>
      </c>
      <c r="E24" t="inlineStr">
        <is>
          <t>BORGHOLM</t>
        </is>
      </c>
      <c r="G24" t="n">
        <v>2.2</v>
      </c>
      <c r="H24" t="n">
        <v>1</v>
      </c>
      <c r="I24" t="n">
        <v>1</v>
      </c>
      <c r="J24" t="n">
        <v>0</v>
      </c>
      <c r="K24" t="n">
        <v>0</v>
      </c>
      <c r="L24" t="n">
        <v>0</v>
      </c>
      <c r="M24" t="n">
        <v>0</v>
      </c>
      <c r="N24" t="n">
        <v>0</v>
      </c>
      <c r="O24" t="n">
        <v>0</v>
      </c>
      <c r="P24" t="n">
        <v>0</v>
      </c>
      <c r="Q24" t="n">
        <v>2</v>
      </c>
      <c r="R24" s="2" t="inlineStr">
        <is>
          <t>Murgröna
Blåsippa</t>
        </is>
      </c>
      <c r="S24">
        <f>HYPERLINK("https://klasma.github.io/Logging_0885/artfynd/A 43756-2022 artfynd.xlsx", "A 43756-2022")</f>
        <v/>
      </c>
      <c r="T24">
        <f>HYPERLINK("https://klasma.github.io/Logging_0885/kartor/A 43756-2022 karta.png", "A 43756-2022")</f>
        <v/>
      </c>
      <c r="V24">
        <f>HYPERLINK("https://klasma.github.io/Logging_0885/klagomål/A 43756-2022 FSC-klagomål.docx", "A 43756-2022")</f>
        <v/>
      </c>
      <c r="W24">
        <f>HYPERLINK("https://klasma.github.io/Logging_0885/klagomålsmail/A 43756-2022 FSC-klagomål mail.docx", "A 43756-2022")</f>
        <v/>
      </c>
      <c r="X24">
        <f>HYPERLINK("https://klasma.github.io/Logging_0885/tillsyn/A 43756-2022 tillsynsbegäran.docx", "A 43756-2022")</f>
        <v/>
      </c>
      <c r="Y24">
        <f>HYPERLINK("https://klasma.github.io/Logging_0885/tillsynsmail/A 43756-2022 tillsynsbegäran mail.docx", "A 43756-2022")</f>
        <v/>
      </c>
    </row>
    <row r="25" ht="15" customHeight="1">
      <c r="A25" t="inlineStr">
        <is>
          <t>A 44008-2022</t>
        </is>
      </c>
      <c r="B25" s="1" t="n">
        <v>44838</v>
      </c>
      <c r="C25" s="1" t="n">
        <v>46077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60140-2025</t>
        </is>
      </c>
      <c r="B26" s="1" t="n">
        <v>45994.36274305556</v>
      </c>
      <c r="C26" s="1" t="n">
        <v>46077</v>
      </c>
      <c r="D26" t="inlineStr">
        <is>
          <t>KALMAR LÄN</t>
        </is>
      </c>
      <c r="E26" t="inlineStr">
        <is>
          <t>BORGHOLM</t>
        </is>
      </c>
      <c r="G26" t="n">
        <v>0.8</v>
      </c>
      <c r="H26" t="n">
        <v>1</v>
      </c>
      <c r="I26" t="n">
        <v>2</v>
      </c>
      <c r="J26" t="n">
        <v>0</v>
      </c>
      <c r="K26" t="n">
        <v>0</v>
      </c>
      <c r="L26" t="n">
        <v>0</v>
      </c>
      <c r="M26" t="n">
        <v>0</v>
      </c>
      <c r="N26" t="n">
        <v>0</v>
      </c>
      <c r="O26" t="n">
        <v>0</v>
      </c>
      <c r="P26" t="n">
        <v>0</v>
      </c>
      <c r="Q26" t="n">
        <v>2</v>
      </c>
      <c r="R26" s="2" t="inlineStr">
        <is>
          <t>Skogsknipprot
Strävlosta</t>
        </is>
      </c>
      <c r="S26">
        <f>HYPERLINK("https://klasma.github.io/Logging_0885/artfynd/A 60140-2025 artfynd.xlsx", "A 60140-2025")</f>
        <v/>
      </c>
      <c r="T26">
        <f>HYPERLINK("https://klasma.github.io/Logging_0885/kartor/A 60140-2025 karta.png", "A 60140-2025")</f>
        <v/>
      </c>
      <c r="V26">
        <f>HYPERLINK("https://klasma.github.io/Logging_0885/klagomål/A 60140-2025 FSC-klagomål.docx", "A 60140-2025")</f>
        <v/>
      </c>
      <c r="W26">
        <f>HYPERLINK("https://klasma.github.io/Logging_0885/klagomålsmail/A 60140-2025 FSC-klagomål mail.docx", "A 60140-2025")</f>
        <v/>
      </c>
      <c r="X26">
        <f>HYPERLINK("https://klasma.github.io/Logging_0885/tillsyn/A 60140-2025 tillsynsbegäran.docx", "A 60140-2025")</f>
        <v/>
      </c>
      <c r="Y26">
        <f>HYPERLINK("https://klasma.github.io/Logging_0885/tillsynsmail/A 60140-2025 tillsynsbegäran mail.docx", "A 60140-2025")</f>
        <v/>
      </c>
    </row>
    <row r="27" ht="15" customHeight="1">
      <c r="A27" t="inlineStr">
        <is>
          <t>A 28779-2025</t>
        </is>
      </c>
      <c r="B27" s="1" t="n">
        <v>45820.44920138889</v>
      </c>
      <c r="C27" s="1" t="n">
        <v>46077</v>
      </c>
      <c r="D27" t="inlineStr">
        <is>
          <t>KALMAR LÄN</t>
        </is>
      </c>
      <c r="E27" t="inlineStr">
        <is>
          <t>BORGHOLM</t>
        </is>
      </c>
      <c r="F27" t="inlineStr">
        <is>
          <t>Sveaskog</t>
        </is>
      </c>
      <c r="G27" t="n">
        <v>4.1</v>
      </c>
      <c r="H27" t="n">
        <v>2</v>
      </c>
      <c r="I27" t="n">
        <v>1</v>
      </c>
      <c r="J27" t="n">
        <v>1</v>
      </c>
      <c r="K27" t="n">
        <v>0</v>
      </c>
      <c r="L27" t="n">
        <v>0</v>
      </c>
      <c r="M27" t="n">
        <v>0</v>
      </c>
      <c r="N27" t="n">
        <v>0</v>
      </c>
      <c r="O27" t="n">
        <v>1</v>
      </c>
      <c r="P27" t="n">
        <v>0</v>
      </c>
      <c r="Q27" t="n">
        <v>2</v>
      </c>
      <c r="R27" s="2" t="inlineStr">
        <is>
          <t>Havsörn
Skogsknipprot</t>
        </is>
      </c>
      <c r="S27">
        <f>HYPERLINK("https://klasma.github.io/Logging_0885/artfynd/A 28779-2025 artfynd.xlsx", "A 28779-2025")</f>
        <v/>
      </c>
      <c r="T27">
        <f>HYPERLINK("https://klasma.github.io/Logging_0885/kartor/A 28779-2025 karta.png", "A 28779-2025")</f>
        <v/>
      </c>
      <c r="V27">
        <f>HYPERLINK("https://klasma.github.io/Logging_0885/klagomål/A 28779-2025 FSC-klagomål.docx", "A 28779-2025")</f>
        <v/>
      </c>
      <c r="W27">
        <f>HYPERLINK("https://klasma.github.io/Logging_0885/klagomålsmail/A 28779-2025 FSC-klagomål mail.docx", "A 28779-2025")</f>
        <v/>
      </c>
      <c r="X27">
        <f>HYPERLINK("https://klasma.github.io/Logging_0885/tillsyn/A 28779-2025 tillsynsbegäran.docx", "A 28779-2025")</f>
        <v/>
      </c>
      <c r="Y27">
        <f>HYPERLINK("https://klasma.github.io/Logging_0885/tillsynsmail/A 28779-2025 tillsynsbegäran mail.docx", "A 28779-2025")</f>
        <v/>
      </c>
      <c r="Z27">
        <f>HYPERLINK("https://klasma.github.io/Logging_0885/fåglar/A 28779-2025 prioriterade fågelarter.docx", "A 28779-2025")</f>
        <v/>
      </c>
    </row>
    <row r="28" ht="15" customHeight="1">
      <c r="A28" t="inlineStr">
        <is>
          <t>A 9253-2026</t>
        </is>
      </c>
      <c r="B28" s="1" t="n">
        <v>46070.51003472223</v>
      </c>
      <c r="C28" s="1" t="n">
        <v>46077</v>
      </c>
      <c r="D28" t="inlineStr">
        <is>
          <t>KALMAR LÄN</t>
        </is>
      </c>
      <c r="E28" t="inlineStr">
        <is>
          <t>BORGHOLM</t>
        </is>
      </c>
      <c r="G28" t="n">
        <v>1.1</v>
      </c>
      <c r="H28" t="n">
        <v>1</v>
      </c>
      <c r="I28" t="n">
        <v>1</v>
      </c>
      <c r="J28" t="n">
        <v>0</v>
      </c>
      <c r="K28" t="n">
        <v>0</v>
      </c>
      <c r="L28" t="n">
        <v>0</v>
      </c>
      <c r="M28" t="n">
        <v>0</v>
      </c>
      <c r="N28" t="n">
        <v>0</v>
      </c>
      <c r="O28" t="n">
        <v>0</v>
      </c>
      <c r="P28" t="n">
        <v>0</v>
      </c>
      <c r="Q28" t="n">
        <v>2</v>
      </c>
      <c r="R28" s="2" t="inlineStr">
        <is>
          <t>Murgröna
Gullviva</t>
        </is>
      </c>
      <c r="S28">
        <f>HYPERLINK("https://klasma.github.io/Logging_0885/artfynd/A 9253-2026 artfynd.xlsx", "A 9253-2026")</f>
        <v/>
      </c>
      <c r="T28">
        <f>HYPERLINK("https://klasma.github.io/Logging_0885/kartor/A 9253-2026 karta.png", "A 9253-2026")</f>
        <v/>
      </c>
      <c r="V28">
        <f>HYPERLINK("https://klasma.github.io/Logging_0885/klagomål/A 9253-2026 FSC-klagomål.docx", "A 9253-2026")</f>
        <v/>
      </c>
      <c r="W28">
        <f>HYPERLINK("https://klasma.github.io/Logging_0885/klagomålsmail/A 9253-2026 FSC-klagomål mail.docx", "A 9253-2026")</f>
        <v/>
      </c>
      <c r="X28">
        <f>HYPERLINK("https://klasma.github.io/Logging_0885/tillsyn/A 9253-2026 tillsynsbegäran.docx", "A 9253-2026")</f>
        <v/>
      </c>
      <c r="Y28">
        <f>HYPERLINK("https://klasma.github.io/Logging_0885/tillsynsmail/A 9253-2026 tillsynsbegäran mail.docx", "A 9253-2026")</f>
        <v/>
      </c>
    </row>
    <row r="29" ht="15" customHeight="1">
      <c r="A29" t="inlineStr">
        <is>
          <t>A 31790-2021</t>
        </is>
      </c>
      <c r="B29" s="1" t="n">
        <v>44370</v>
      </c>
      <c r="C29" s="1" t="n">
        <v>46077</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46077</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46077</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13558-2025</t>
        </is>
      </c>
      <c r="B32" s="1" t="n">
        <v>45736.54974537037</v>
      </c>
      <c r="C32" s="1" t="n">
        <v>46077</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24701-2023</t>
        </is>
      </c>
      <c r="B33" s="1" t="n">
        <v>45084</v>
      </c>
      <c r="C33" s="1" t="n">
        <v>46077</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24704-2023</t>
        </is>
      </c>
      <c r="B34" s="1" t="n">
        <v>45084</v>
      </c>
      <c r="C34" s="1" t="n">
        <v>46077</v>
      </c>
      <c r="D34" t="inlineStr">
        <is>
          <t>KALMAR LÄN</t>
        </is>
      </c>
      <c r="E34" t="inlineStr">
        <is>
          <t>BORGHOLM</t>
        </is>
      </c>
      <c r="G34" t="n">
        <v>3.5</v>
      </c>
      <c r="H34" t="n">
        <v>0</v>
      </c>
      <c r="I34" t="n">
        <v>0</v>
      </c>
      <c r="J34" t="n">
        <v>0</v>
      </c>
      <c r="K34" t="n">
        <v>0</v>
      </c>
      <c r="L34" t="n">
        <v>1</v>
      </c>
      <c r="M34" t="n">
        <v>0</v>
      </c>
      <c r="N34" t="n">
        <v>0</v>
      </c>
      <c r="O34" t="n">
        <v>1</v>
      </c>
      <c r="P34" t="n">
        <v>1</v>
      </c>
      <c r="Q34" t="n">
        <v>1</v>
      </c>
      <c r="R34" s="2" t="inlineStr">
        <is>
          <t>Ask</t>
        </is>
      </c>
      <c r="S34">
        <f>HYPERLINK("https://klasma.github.io/Logging_0885/artfynd/A 24704-2023 artfynd.xlsx", "A 24704-2023")</f>
        <v/>
      </c>
      <c r="T34">
        <f>HYPERLINK("https://klasma.github.io/Logging_0885/kartor/A 24704-2023 karta.png", "A 24704-2023")</f>
        <v/>
      </c>
      <c r="V34">
        <f>HYPERLINK("https://klasma.github.io/Logging_0885/klagomål/A 24704-2023 FSC-klagomål.docx", "A 24704-2023")</f>
        <v/>
      </c>
      <c r="W34">
        <f>HYPERLINK("https://klasma.github.io/Logging_0885/klagomålsmail/A 24704-2023 FSC-klagomål mail.docx", "A 24704-2023")</f>
        <v/>
      </c>
      <c r="X34">
        <f>HYPERLINK("https://klasma.github.io/Logging_0885/tillsyn/A 24704-2023 tillsynsbegäran.docx", "A 24704-2023")</f>
        <v/>
      </c>
      <c r="Y34">
        <f>HYPERLINK("https://klasma.github.io/Logging_0885/tillsynsmail/A 24704-2023 tillsynsbegäran mail.docx", "A 24704-2023")</f>
        <v/>
      </c>
    </row>
    <row r="35" ht="15" customHeight="1">
      <c r="A35" t="inlineStr">
        <is>
          <t>A 12785-2021</t>
        </is>
      </c>
      <c r="B35" s="1" t="n">
        <v>44270</v>
      </c>
      <c r="C35" s="1" t="n">
        <v>46077</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43603-2024</t>
        </is>
      </c>
      <c r="B36" s="1" t="n">
        <v>45569.44700231482</v>
      </c>
      <c r="C36" s="1" t="n">
        <v>46077</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9745-2023</t>
        </is>
      </c>
      <c r="B37" s="1" t="n">
        <v>44984</v>
      </c>
      <c r="C37" s="1" t="n">
        <v>46077</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45693-2025</t>
        </is>
      </c>
      <c r="B38" s="1" t="n">
        <v>45923</v>
      </c>
      <c r="C38" s="1" t="n">
        <v>46077</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24048-2025</t>
        </is>
      </c>
      <c r="B39" s="1" t="n">
        <v>45796.4959375</v>
      </c>
      <c r="C39" s="1" t="n">
        <v>46077</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46077</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46077</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46077</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3302-2026</t>
        </is>
      </c>
      <c r="B43" s="1" t="n">
        <v>46041</v>
      </c>
      <c r="C43" s="1" t="n">
        <v>46077</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34885-2025</t>
        </is>
      </c>
      <c r="B44" s="1" t="n">
        <v>45849.47128472223</v>
      </c>
      <c r="C44" s="1" t="n">
        <v>46077</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46077</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46077</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28345-2022</t>
        </is>
      </c>
      <c r="B48" s="1" t="n">
        <v>44747</v>
      </c>
      <c r="C48" s="1" t="n">
        <v>46077</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46077</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46077</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46077</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46077</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46077</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46077</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46077</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46077</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46077</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4165-2023</t>
        </is>
      </c>
      <c r="B60" s="1" t="n">
        <v>44953</v>
      </c>
      <c r="C60" s="1" t="n">
        <v>46077</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46077</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31699-2022</t>
        </is>
      </c>
      <c r="B62" s="1" t="n">
        <v>44776</v>
      </c>
      <c r="C62" s="1" t="n">
        <v>46077</v>
      </c>
      <c r="D62" t="inlineStr">
        <is>
          <t>KALMAR LÄN</t>
        </is>
      </c>
      <c r="E62" t="inlineStr">
        <is>
          <t>BORGHOLM</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46077</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44678-2022</t>
        </is>
      </c>
      <c r="B64" s="1" t="n">
        <v>44840.65100694444</v>
      </c>
      <c r="C64" s="1" t="n">
        <v>46077</v>
      </c>
      <c r="D64" t="inlineStr">
        <is>
          <t>KALMAR LÄN</t>
        </is>
      </c>
      <c r="E64" t="inlineStr">
        <is>
          <t>BORGHOLM</t>
        </is>
      </c>
      <c r="G64" t="n">
        <v>2.4</v>
      </c>
      <c r="H64" t="n">
        <v>0</v>
      </c>
      <c r="I64" t="n">
        <v>0</v>
      </c>
      <c r="J64" t="n">
        <v>0</v>
      </c>
      <c r="K64" t="n">
        <v>0</v>
      </c>
      <c r="L64" t="n">
        <v>0</v>
      </c>
      <c r="M64" t="n">
        <v>0</v>
      </c>
      <c r="N64" t="n">
        <v>0</v>
      </c>
      <c r="O64" t="n">
        <v>0</v>
      </c>
      <c r="P64" t="n">
        <v>0</v>
      </c>
      <c r="Q64" t="n">
        <v>0</v>
      </c>
      <c r="R64" s="2" t="inlineStr"/>
    </row>
    <row r="65" ht="15" customHeight="1">
      <c r="A65" t="inlineStr">
        <is>
          <t>A 13548-2025</t>
        </is>
      </c>
      <c r="B65" s="1" t="n">
        <v>45736.53827546296</v>
      </c>
      <c r="C65" s="1" t="n">
        <v>46077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53050-2021</t>
        </is>
      </c>
      <c r="B66" s="1" t="n">
        <v>44467</v>
      </c>
      <c r="C66" s="1" t="n">
        <v>46077</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32921-2023</t>
        </is>
      </c>
      <c r="B67" s="1" t="n">
        <v>45125</v>
      </c>
      <c r="C67" s="1" t="n">
        <v>46077</v>
      </c>
      <c r="D67" t="inlineStr">
        <is>
          <t>KALMAR LÄN</t>
        </is>
      </c>
      <c r="E67" t="inlineStr">
        <is>
          <t>BORGHOLM</t>
        </is>
      </c>
      <c r="G67" t="n">
        <v>2.9</v>
      </c>
      <c r="H67" t="n">
        <v>0</v>
      </c>
      <c r="I67" t="n">
        <v>0</v>
      </c>
      <c r="J67" t="n">
        <v>0</v>
      </c>
      <c r="K67" t="n">
        <v>0</v>
      </c>
      <c r="L67" t="n">
        <v>0</v>
      </c>
      <c r="M67" t="n">
        <v>0</v>
      </c>
      <c r="N67" t="n">
        <v>0</v>
      </c>
      <c r="O67" t="n">
        <v>0</v>
      </c>
      <c r="P67" t="n">
        <v>0</v>
      </c>
      <c r="Q67" t="n">
        <v>0</v>
      </c>
      <c r="R67" s="2" t="inlineStr"/>
    </row>
    <row r="68" ht="15" customHeight="1">
      <c r="A68" t="inlineStr">
        <is>
          <t>A 31840-2021</t>
        </is>
      </c>
      <c r="B68" s="1" t="n">
        <v>44370</v>
      </c>
      <c r="C68" s="1" t="n">
        <v>46077</v>
      </c>
      <c r="D68" t="inlineStr">
        <is>
          <t>KALMAR LÄN</t>
        </is>
      </c>
      <c r="E68" t="inlineStr">
        <is>
          <t>BORGHOLM</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46077</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31720-2022</t>
        </is>
      </c>
      <c r="B70" s="1" t="n">
        <v>44776</v>
      </c>
      <c r="C70" s="1" t="n">
        <v>46077</v>
      </c>
      <c r="D70" t="inlineStr">
        <is>
          <t>KALMAR LÄN</t>
        </is>
      </c>
      <c r="E70" t="inlineStr">
        <is>
          <t>BORGHOLM</t>
        </is>
      </c>
      <c r="F70" t="inlineStr">
        <is>
          <t>Sveaskog</t>
        </is>
      </c>
      <c r="G70" t="n">
        <v>4.5</v>
      </c>
      <c r="H70" t="n">
        <v>0</v>
      </c>
      <c r="I70" t="n">
        <v>0</v>
      </c>
      <c r="J70" t="n">
        <v>0</v>
      </c>
      <c r="K70" t="n">
        <v>0</v>
      </c>
      <c r="L70" t="n">
        <v>0</v>
      </c>
      <c r="M70" t="n">
        <v>0</v>
      </c>
      <c r="N70" t="n">
        <v>0</v>
      </c>
      <c r="O70" t="n">
        <v>0</v>
      </c>
      <c r="P70" t="n">
        <v>0</v>
      </c>
      <c r="Q70" t="n">
        <v>0</v>
      </c>
      <c r="R70" s="2" t="inlineStr"/>
    </row>
    <row r="71" ht="15" customHeight="1">
      <c r="A71" t="inlineStr">
        <is>
          <t>A 29656-2023</t>
        </is>
      </c>
      <c r="B71" s="1" t="n">
        <v>45107</v>
      </c>
      <c r="C71" s="1" t="n">
        <v>46077</v>
      </c>
      <c r="D71" t="inlineStr">
        <is>
          <t>KALMAR LÄN</t>
        </is>
      </c>
      <c r="E71" t="inlineStr">
        <is>
          <t>BORGHOLM</t>
        </is>
      </c>
      <c r="G71" t="n">
        <v>4.1</v>
      </c>
      <c r="H71" t="n">
        <v>0</v>
      </c>
      <c r="I71" t="n">
        <v>0</v>
      </c>
      <c r="J71" t="n">
        <v>0</v>
      </c>
      <c r="K71" t="n">
        <v>0</v>
      </c>
      <c r="L71" t="n">
        <v>0</v>
      </c>
      <c r="M71" t="n">
        <v>0</v>
      </c>
      <c r="N71" t="n">
        <v>0</v>
      </c>
      <c r="O71" t="n">
        <v>0</v>
      </c>
      <c r="P71" t="n">
        <v>0</v>
      </c>
      <c r="Q71" t="n">
        <v>0</v>
      </c>
      <c r="R71" s="2" t="inlineStr"/>
    </row>
    <row r="72" ht="15" customHeight="1">
      <c r="A72" t="inlineStr">
        <is>
          <t>A 64303-2023</t>
        </is>
      </c>
      <c r="B72" s="1" t="n">
        <v>45280</v>
      </c>
      <c r="C72" s="1" t="n">
        <v>46077</v>
      </c>
      <c r="D72" t="inlineStr">
        <is>
          <t>KALMAR LÄN</t>
        </is>
      </c>
      <c r="E72" t="inlineStr">
        <is>
          <t>BORGHOLM</t>
        </is>
      </c>
      <c r="G72" t="n">
        <v>1.2</v>
      </c>
      <c r="H72" t="n">
        <v>0</v>
      </c>
      <c r="I72" t="n">
        <v>0</v>
      </c>
      <c r="J72" t="n">
        <v>0</v>
      </c>
      <c r="K72" t="n">
        <v>0</v>
      </c>
      <c r="L72" t="n">
        <v>0</v>
      </c>
      <c r="M72" t="n">
        <v>0</v>
      </c>
      <c r="N72" t="n">
        <v>0</v>
      </c>
      <c r="O72" t="n">
        <v>0</v>
      </c>
      <c r="P72" t="n">
        <v>0</v>
      </c>
      <c r="Q72" t="n">
        <v>0</v>
      </c>
      <c r="R72" s="2" t="inlineStr"/>
    </row>
    <row r="73" ht="15" customHeight="1">
      <c r="A73" t="inlineStr">
        <is>
          <t>A 44547-2021</t>
        </is>
      </c>
      <c r="B73" s="1" t="n">
        <v>44435</v>
      </c>
      <c r="C73" s="1" t="n">
        <v>46077</v>
      </c>
      <c r="D73" t="inlineStr">
        <is>
          <t>KALMAR LÄN</t>
        </is>
      </c>
      <c r="E73" t="inlineStr">
        <is>
          <t>BORGHOLM</t>
        </is>
      </c>
      <c r="G73" t="n">
        <v>1.4</v>
      </c>
      <c r="H73" t="n">
        <v>0</v>
      </c>
      <c r="I73" t="n">
        <v>0</v>
      </c>
      <c r="J73" t="n">
        <v>0</v>
      </c>
      <c r="K73" t="n">
        <v>0</v>
      </c>
      <c r="L73" t="n">
        <v>0</v>
      </c>
      <c r="M73" t="n">
        <v>0</v>
      </c>
      <c r="N73" t="n">
        <v>0</v>
      </c>
      <c r="O73" t="n">
        <v>0</v>
      </c>
      <c r="P73" t="n">
        <v>0</v>
      </c>
      <c r="Q73" t="n">
        <v>0</v>
      </c>
      <c r="R73" s="2" t="inlineStr"/>
    </row>
    <row r="74" ht="15" customHeight="1">
      <c r="A74" t="inlineStr">
        <is>
          <t>A 1757-2025</t>
        </is>
      </c>
      <c r="B74" s="1" t="n">
        <v>45671.42195601852</v>
      </c>
      <c r="C74" s="1" t="n">
        <v>46077</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63075-2023</t>
        </is>
      </c>
      <c r="B75" s="1" t="n">
        <v>45273</v>
      </c>
      <c r="C75" s="1" t="n">
        <v>46077</v>
      </c>
      <c r="D75" t="inlineStr">
        <is>
          <t>KALMAR LÄN</t>
        </is>
      </c>
      <c r="E75" t="inlineStr">
        <is>
          <t>BORGHOLM</t>
        </is>
      </c>
      <c r="G75" t="n">
        <v>1.1</v>
      </c>
      <c r="H75" t="n">
        <v>0</v>
      </c>
      <c r="I75" t="n">
        <v>0</v>
      </c>
      <c r="J75" t="n">
        <v>0</v>
      </c>
      <c r="K75" t="n">
        <v>0</v>
      </c>
      <c r="L75" t="n">
        <v>0</v>
      </c>
      <c r="M75" t="n">
        <v>0</v>
      </c>
      <c r="N75" t="n">
        <v>0</v>
      </c>
      <c r="O75" t="n">
        <v>0</v>
      </c>
      <c r="P75" t="n">
        <v>0</v>
      </c>
      <c r="Q75" t="n">
        <v>0</v>
      </c>
      <c r="R75" s="2" t="inlineStr"/>
    </row>
    <row r="76" ht="15" customHeight="1">
      <c r="A76" t="inlineStr">
        <is>
          <t>A 50129-2021</t>
        </is>
      </c>
      <c r="B76" s="1" t="n">
        <v>44456</v>
      </c>
      <c r="C76" s="1" t="n">
        <v>46077</v>
      </c>
      <c r="D76" t="inlineStr">
        <is>
          <t>KALMAR LÄN</t>
        </is>
      </c>
      <c r="E76" t="inlineStr">
        <is>
          <t>BORGHOLM</t>
        </is>
      </c>
      <c r="G76" t="n">
        <v>1.6</v>
      </c>
      <c r="H76" t="n">
        <v>0</v>
      </c>
      <c r="I76" t="n">
        <v>0</v>
      </c>
      <c r="J76" t="n">
        <v>0</v>
      </c>
      <c r="K76" t="n">
        <v>0</v>
      </c>
      <c r="L76" t="n">
        <v>0</v>
      </c>
      <c r="M76" t="n">
        <v>0</v>
      </c>
      <c r="N76" t="n">
        <v>0</v>
      </c>
      <c r="O76" t="n">
        <v>0</v>
      </c>
      <c r="P76" t="n">
        <v>0</v>
      </c>
      <c r="Q76" t="n">
        <v>0</v>
      </c>
      <c r="R76" s="2" t="inlineStr"/>
    </row>
    <row r="77" ht="15" customHeight="1">
      <c r="A77" t="inlineStr">
        <is>
          <t>A 21908-2022</t>
        </is>
      </c>
      <c r="B77" s="1" t="n">
        <v>44711</v>
      </c>
      <c r="C77" s="1" t="n">
        <v>46077</v>
      </c>
      <c r="D77" t="inlineStr">
        <is>
          <t>KALMAR LÄN</t>
        </is>
      </c>
      <c r="E77" t="inlineStr">
        <is>
          <t>BORGHOLM</t>
        </is>
      </c>
      <c r="G77" t="n">
        <v>4.7</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46077</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46077</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34780-2022</t>
        </is>
      </c>
      <c r="B80" s="1" t="n">
        <v>44795</v>
      </c>
      <c r="C80" s="1" t="n">
        <v>46077</v>
      </c>
      <c r="D80" t="inlineStr">
        <is>
          <t>KALMAR LÄN</t>
        </is>
      </c>
      <c r="E80" t="inlineStr">
        <is>
          <t>BORGHOLM</t>
        </is>
      </c>
      <c r="F80" t="inlineStr">
        <is>
          <t>Sveaskog</t>
        </is>
      </c>
      <c r="G80" t="n">
        <v>6.7</v>
      </c>
      <c r="H80" t="n">
        <v>0</v>
      </c>
      <c r="I80" t="n">
        <v>0</v>
      </c>
      <c r="J80" t="n">
        <v>0</v>
      </c>
      <c r="K80" t="n">
        <v>0</v>
      </c>
      <c r="L80" t="n">
        <v>0</v>
      </c>
      <c r="M80" t="n">
        <v>0</v>
      </c>
      <c r="N80" t="n">
        <v>0</v>
      </c>
      <c r="O80" t="n">
        <v>0</v>
      </c>
      <c r="P80" t="n">
        <v>0</v>
      </c>
      <c r="Q80" t="n">
        <v>0</v>
      </c>
      <c r="R80" s="2" t="inlineStr"/>
    </row>
    <row r="81" ht="15" customHeight="1">
      <c r="A81" t="inlineStr">
        <is>
          <t>A 55367-2024</t>
        </is>
      </c>
      <c r="B81" s="1" t="n">
        <v>45621.87075231481</v>
      </c>
      <c r="C81" s="1" t="n">
        <v>46077</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20287-2025</t>
        </is>
      </c>
      <c r="B82" s="1" t="n">
        <v>45774.60741898148</v>
      </c>
      <c r="C82" s="1" t="n">
        <v>46077</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34951-2022</t>
        </is>
      </c>
      <c r="B83" s="1" t="n">
        <v>44796</v>
      </c>
      <c r="C83" s="1" t="n">
        <v>46077</v>
      </c>
      <c r="D83" t="inlineStr">
        <is>
          <t>KALMAR LÄN</t>
        </is>
      </c>
      <c r="E83" t="inlineStr">
        <is>
          <t>BORGHOLM</t>
        </is>
      </c>
      <c r="F83" t="inlineStr">
        <is>
          <t>Sveaskog</t>
        </is>
      </c>
      <c r="G83" t="n">
        <v>4.6</v>
      </c>
      <c r="H83" t="n">
        <v>0</v>
      </c>
      <c r="I83" t="n">
        <v>0</v>
      </c>
      <c r="J83" t="n">
        <v>0</v>
      </c>
      <c r="K83" t="n">
        <v>0</v>
      </c>
      <c r="L83" t="n">
        <v>0</v>
      </c>
      <c r="M83" t="n">
        <v>0</v>
      </c>
      <c r="N83" t="n">
        <v>0</v>
      </c>
      <c r="O83" t="n">
        <v>0</v>
      </c>
      <c r="P83" t="n">
        <v>0</v>
      </c>
      <c r="Q83" t="n">
        <v>0</v>
      </c>
      <c r="R83" s="2" t="inlineStr"/>
    </row>
    <row r="84" ht="15" customHeight="1">
      <c r="A84" t="inlineStr">
        <is>
          <t>A 9034-2025</t>
        </is>
      </c>
      <c r="B84" s="1" t="n">
        <v>45713</v>
      </c>
      <c r="C84" s="1" t="n">
        <v>46077</v>
      </c>
      <c r="D84" t="inlineStr">
        <is>
          <t>KALMAR LÄN</t>
        </is>
      </c>
      <c r="E84" t="inlineStr">
        <is>
          <t>BORGHOLM</t>
        </is>
      </c>
      <c r="F84" t="inlineStr">
        <is>
          <t>Sveaskog</t>
        </is>
      </c>
      <c r="G84" t="n">
        <v>6.8</v>
      </c>
      <c r="H84" t="n">
        <v>0</v>
      </c>
      <c r="I84" t="n">
        <v>0</v>
      </c>
      <c r="J84" t="n">
        <v>0</v>
      </c>
      <c r="K84" t="n">
        <v>0</v>
      </c>
      <c r="L84" t="n">
        <v>0</v>
      </c>
      <c r="M84" t="n">
        <v>0</v>
      </c>
      <c r="N84" t="n">
        <v>0</v>
      </c>
      <c r="O84" t="n">
        <v>0</v>
      </c>
      <c r="P84" t="n">
        <v>0</v>
      </c>
      <c r="Q84" t="n">
        <v>0</v>
      </c>
      <c r="R84" s="2" t="inlineStr"/>
    </row>
    <row r="85" ht="15" customHeight="1">
      <c r="A85" t="inlineStr">
        <is>
          <t>A 9076-2025</t>
        </is>
      </c>
      <c r="B85" s="1" t="n">
        <v>45713.6596875</v>
      </c>
      <c r="C85" s="1" t="n">
        <v>46077</v>
      </c>
      <c r="D85" t="inlineStr">
        <is>
          <t>KALMAR LÄN</t>
        </is>
      </c>
      <c r="E85" t="inlineStr">
        <is>
          <t>BORGHOLM</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5175-2024</t>
        </is>
      </c>
      <c r="B86" s="1" t="n">
        <v>45330</v>
      </c>
      <c r="C86" s="1" t="n">
        <v>46077</v>
      </c>
      <c r="D86" t="inlineStr">
        <is>
          <t>KALMAR LÄN</t>
        </is>
      </c>
      <c r="E86" t="inlineStr">
        <is>
          <t>BORGHOLM</t>
        </is>
      </c>
      <c r="G86" t="n">
        <v>1.5</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46077</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46077</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3878-2023</t>
        </is>
      </c>
      <c r="B89" s="1" t="n">
        <v>44951</v>
      </c>
      <c r="C89" s="1" t="n">
        <v>46077</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41831-2025</t>
        </is>
      </c>
      <c r="B90" s="1" t="n">
        <v>45902.67887731481</v>
      </c>
      <c r="C90" s="1" t="n">
        <v>46077</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42232-2025</t>
        </is>
      </c>
      <c r="B91" s="1" t="n">
        <v>45904.55591435185</v>
      </c>
      <c r="C91" s="1" t="n">
        <v>46077</v>
      </c>
      <c r="D91" t="inlineStr">
        <is>
          <t>KALMAR LÄN</t>
        </is>
      </c>
      <c r="E91" t="inlineStr">
        <is>
          <t>BORGHOLM</t>
        </is>
      </c>
      <c r="F91" t="inlineStr">
        <is>
          <t>Sveaskog</t>
        </is>
      </c>
      <c r="G91" t="n">
        <v>1.7</v>
      </c>
      <c r="H91" t="n">
        <v>0</v>
      </c>
      <c r="I91" t="n">
        <v>0</v>
      </c>
      <c r="J91" t="n">
        <v>0</v>
      </c>
      <c r="K91" t="n">
        <v>0</v>
      </c>
      <c r="L91" t="n">
        <v>0</v>
      </c>
      <c r="M91" t="n">
        <v>0</v>
      </c>
      <c r="N91" t="n">
        <v>0</v>
      </c>
      <c r="O91" t="n">
        <v>0</v>
      </c>
      <c r="P91" t="n">
        <v>0</v>
      </c>
      <c r="Q91" t="n">
        <v>0</v>
      </c>
      <c r="R91" s="2" t="inlineStr"/>
    </row>
    <row r="92" ht="15" customHeight="1">
      <c r="A92" t="inlineStr">
        <is>
          <t>A 41950-2025</t>
        </is>
      </c>
      <c r="B92" s="1" t="n">
        <v>45903.45767361111</v>
      </c>
      <c r="C92" s="1" t="n">
        <v>46077</v>
      </c>
      <c r="D92" t="inlineStr">
        <is>
          <t>KALMAR LÄN</t>
        </is>
      </c>
      <c r="E92" t="inlineStr">
        <is>
          <t>BORGHOLM</t>
        </is>
      </c>
      <c r="G92" t="n">
        <v>1.8</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46077</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13383-2023</t>
        </is>
      </c>
      <c r="B94" s="1" t="n">
        <v>45005</v>
      </c>
      <c r="C94" s="1" t="n">
        <v>46077</v>
      </c>
      <c r="D94" t="inlineStr">
        <is>
          <t>KALMAR LÄN</t>
        </is>
      </c>
      <c r="E94" t="inlineStr">
        <is>
          <t>BORGHOLM</t>
        </is>
      </c>
      <c r="G94" t="n">
        <v>0.8</v>
      </c>
      <c r="H94" t="n">
        <v>0</v>
      </c>
      <c r="I94" t="n">
        <v>0</v>
      </c>
      <c r="J94" t="n">
        <v>0</v>
      </c>
      <c r="K94" t="n">
        <v>0</v>
      </c>
      <c r="L94" t="n">
        <v>0</v>
      </c>
      <c r="M94" t="n">
        <v>0</v>
      </c>
      <c r="N94" t="n">
        <v>0</v>
      </c>
      <c r="O94" t="n">
        <v>0</v>
      </c>
      <c r="P94" t="n">
        <v>0</v>
      </c>
      <c r="Q94" t="n">
        <v>0</v>
      </c>
      <c r="R94" s="2" t="inlineStr"/>
    </row>
    <row r="95" ht="15" customHeight="1">
      <c r="A95" t="inlineStr">
        <is>
          <t>A 43542-2025</t>
        </is>
      </c>
      <c r="B95" s="1" t="n">
        <v>45911.61123842592</v>
      </c>
      <c r="C95" s="1" t="n">
        <v>46077</v>
      </c>
      <c r="D95" t="inlineStr">
        <is>
          <t>KALMAR LÄN</t>
        </is>
      </c>
      <c r="E95" t="inlineStr">
        <is>
          <t>BORGHOLM</t>
        </is>
      </c>
      <c r="G95" t="n">
        <v>2.4</v>
      </c>
      <c r="H95" t="n">
        <v>0</v>
      </c>
      <c r="I95" t="n">
        <v>0</v>
      </c>
      <c r="J95" t="n">
        <v>0</v>
      </c>
      <c r="K95" t="n">
        <v>0</v>
      </c>
      <c r="L95" t="n">
        <v>0</v>
      </c>
      <c r="M95" t="n">
        <v>0</v>
      </c>
      <c r="N95" t="n">
        <v>0</v>
      </c>
      <c r="O95" t="n">
        <v>0</v>
      </c>
      <c r="P95" t="n">
        <v>0</v>
      </c>
      <c r="Q95" t="n">
        <v>0</v>
      </c>
      <c r="R95" s="2" t="inlineStr"/>
    </row>
    <row r="96" ht="15" customHeight="1">
      <c r="A96" t="inlineStr">
        <is>
          <t>A 12937-2022</t>
        </is>
      </c>
      <c r="B96" s="1" t="n">
        <v>44642</v>
      </c>
      <c r="C96" s="1" t="n">
        <v>46077</v>
      </c>
      <c r="D96" t="inlineStr">
        <is>
          <t>KALMAR LÄN</t>
        </is>
      </c>
      <c r="E96" t="inlineStr">
        <is>
          <t>BORGHOLM</t>
        </is>
      </c>
      <c r="F96" t="inlineStr">
        <is>
          <t>Sveaskog</t>
        </is>
      </c>
      <c r="G96" t="n">
        <v>1.8</v>
      </c>
      <c r="H96" t="n">
        <v>0</v>
      </c>
      <c r="I96" t="n">
        <v>0</v>
      </c>
      <c r="J96" t="n">
        <v>0</v>
      </c>
      <c r="K96" t="n">
        <v>0</v>
      </c>
      <c r="L96" t="n">
        <v>0</v>
      </c>
      <c r="M96" t="n">
        <v>0</v>
      </c>
      <c r="N96" t="n">
        <v>0</v>
      </c>
      <c r="O96" t="n">
        <v>0</v>
      </c>
      <c r="P96" t="n">
        <v>0</v>
      </c>
      <c r="Q96" t="n">
        <v>0</v>
      </c>
      <c r="R96" s="2" t="inlineStr"/>
    </row>
    <row r="97" ht="15" customHeight="1">
      <c r="A97" t="inlineStr">
        <is>
          <t>A 45734-2025</t>
        </is>
      </c>
      <c r="B97" s="1" t="n">
        <v>45923.46512731481</v>
      </c>
      <c r="C97" s="1" t="n">
        <v>46077</v>
      </c>
      <c r="D97" t="inlineStr">
        <is>
          <t>KALMAR LÄN</t>
        </is>
      </c>
      <c r="E97" t="inlineStr">
        <is>
          <t>BORGHOLM</t>
        </is>
      </c>
      <c r="G97" t="n">
        <v>5</v>
      </c>
      <c r="H97" t="n">
        <v>0</v>
      </c>
      <c r="I97" t="n">
        <v>0</v>
      </c>
      <c r="J97" t="n">
        <v>0</v>
      </c>
      <c r="K97" t="n">
        <v>0</v>
      </c>
      <c r="L97" t="n">
        <v>0</v>
      </c>
      <c r="M97" t="n">
        <v>0</v>
      </c>
      <c r="N97" t="n">
        <v>0</v>
      </c>
      <c r="O97" t="n">
        <v>0</v>
      </c>
      <c r="P97" t="n">
        <v>0</v>
      </c>
      <c r="Q97" t="n">
        <v>0</v>
      </c>
      <c r="R97" s="2" t="inlineStr"/>
    </row>
    <row r="98" ht="15" customHeight="1">
      <c r="A98" t="inlineStr">
        <is>
          <t>A 45869-2025</t>
        </is>
      </c>
      <c r="B98" s="1" t="n">
        <v>45923.65313657407</v>
      </c>
      <c r="C98" s="1" t="n">
        <v>46077</v>
      </c>
      <c r="D98" t="inlineStr">
        <is>
          <t>KALMAR LÄN</t>
        </is>
      </c>
      <c r="E98" t="inlineStr">
        <is>
          <t>BORGHOLM</t>
        </is>
      </c>
      <c r="G98" t="n">
        <v>4.5</v>
      </c>
      <c r="H98" t="n">
        <v>0</v>
      </c>
      <c r="I98" t="n">
        <v>0</v>
      </c>
      <c r="J98" t="n">
        <v>0</v>
      </c>
      <c r="K98" t="n">
        <v>0</v>
      </c>
      <c r="L98" t="n">
        <v>0</v>
      </c>
      <c r="M98" t="n">
        <v>0</v>
      </c>
      <c r="N98" t="n">
        <v>0</v>
      </c>
      <c r="O98" t="n">
        <v>0</v>
      </c>
      <c r="P98" t="n">
        <v>0</v>
      </c>
      <c r="Q98" t="n">
        <v>0</v>
      </c>
      <c r="R98" s="2" t="inlineStr"/>
    </row>
    <row r="99" ht="15" customHeight="1">
      <c r="A99" t="inlineStr">
        <is>
          <t>A 46845-2025</t>
        </is>
      </c>
      <c r="B99" s="1" t="n">
        <v>45928</v>
      </c>
      <c r="C99" s="1" t="n">
        <v>46077</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7960-2023</t>
        </is>
      </c>
      <c r="B100" s="1" t="n">
        <v>44973</v>
      </c>
      <c r="C100" s="1" t="n">
        <v>46077</v>
      </c>
      <c r="D100" t="inlineStr">
        <is>
          <t>KALMAR LÄN</t>
        </is>
      </c>
      <c r="E100" t="inlineStr">
        <is>
          <t>BORGHOLM</t>
        </is>
      </c>
      <c r="G100" t="n">
        <v>2.1</v>
      </c>
      <c r="H100" t="n">
        <v>0</v>
      </c>
      <c r="I100" t="n">
        <v>0</v>
      </c>
      <c r="J100" t="n">
        <v>0</v>
      </c>
      <c r="K100" t="n">
        <v>0</v>
      </c>
      <c r="L100" t="n">
        <v>0</v>
      </c>
      <c r="M100" t="n">
        <v>0</v>
      </c>
      <c r="N100" t="n">
        <v>0</v>
      </c>
      <c r="O100" t="n">
        <v>0</v>
      </c>
      <c r="P100" t="n">
        <v>0</v>
      </c>
      <c r="Q100" t="n">
        <v>0</v>
      </c>
      <c r="R100" s="2" t="inlineStr"/>
    </row>
    <row r="101" ht="15" customHeight="1">
      <c r="A101" t="inlineStr">
        <is>
          <t>A 61438-2023</t>
        </is>
      </c>
      <c r="B101" s="1" t="n">
        <v>45264</v>
      </c>
      <c r="C101" s="1" t="n">
        <v>46077</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13041-2024</t>
        </is>
      </c>
      <c r="B102" s="1" t="n">
        <v>45385.60065972222</v>
      </c>
      <c r="C102" s="1" t="n">
        <v>46077</v>
      </c>
      <c r="D102" t="inlineStr">
        <is>
          <t>KALMAR LÄN</t>
        </is>
      </c>
      <c r="E102" t="inlineStr">
        <is>
          <t>BORGHOLM</t>
        </is>
      </c>
      <c r="G102" t="n">
        <v>0.5</v>
      </c>
      <c r="H102" t="n">
        <v>0</v>
      </c>
      <c r="I102" t="n">
        <v>0</v>
      </c>
      <c r="J102" t="n">
        <v>0</v>
      </c>
      <c r="K102" t="n">
        <v>0</v>
      </c>
      <c r="L102" t="n">
        <v>0</v>
      </c>
      <c r="M102" t="n">
        <v>0</v>
      </c>
      <c r="N102" t="n">
        <v>0</v>
      </c>
      <c r="O102" t="n">
        <v>0</v>
      </c>
      <c r="P102" t="n">
        <v>0</v>
      </c>
      <c r="Q102" t="n">
        <v>0</v>
      </c>
      <c r="R102" s="2" t="inlineStr"/>
    </row>
    <row r="103" ht="15" customHeight="1">
      <c r="A103" t="inlineStr">
        <is>
          <t>A 1614-2025</t>
        </is>
      </c>
      <c r="B103" s="1" t="n">
        <v>45670.60094907408</v>
      </c>
      <c r="C103" s="1" t="n">
        <v>46077</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63276-2023</t>
        </is>
      </c>
      <c r="B104" s="1" t="n">
        <v>45273.82195601852</v>
      </c>
      <c r="C104" s="1" t="n">
        <v>46077</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46077</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13043-2024</t>
        </is>
      </c>
      <c r="B106" s="1" t="n">
        <v>45385.60111111111</v>
      </c>
      <c r="C106" s="1" t="n">
        <v>46077</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17978-2021</t>
        </is>
      </c>
      <c r="B107" s="1" t="n">
        <v>44301</v>
      </c>
      <c r="C107" s="1" t="n">
        <v>46077</v>
      </c>
      <c r="D107" t="inlineStr">
        <is>
          <t>KALMAR LÄN</t>
        </is>
      </c>
      <c r="E107" t="inlineStr">
        <is>
          <t>BORGHOLM</t>
        </is>
      </c>
      <c r="G107" t="n">
        <v>6</v>
      </c>
      <c r="H107" t="n">
        <v>0</v>
      </c>
      <c r="I107" t="n">
        <v>0</v>
      </c>
      <c r="J107" t="n">
        <v>0</v>
      </c>
      <c r="K107" t="n">
        <v>0</v>
      </c>
      <c r="L107" t="n">
        <v>0</v>
      </c>
      <c r="M107" t="n">
        <v>0</v>
      </c>
      <c r="N107" t="n">
        <v>0</v>
      </c>
      <c r="O107" t="n">
        <v>0</v>
      </c>
      <c r="P107" t="n">
        <v>0</v>
      </c>
      <c r="Q107" t="n">
        <v>0</v>
      </c>
      <c r="R107" s="2" t="inlineStr"/>
    </row>
    <row r="108" ht="15" customHeight="1">
      <c r="A108" t="inlineStr">
        <is>
          <t>A 60141-2025</t>
        </is>
      </c>
      <c r="B108" s="1" t="n">
        <v>45994.36873842592</v>
      </c>
      <c r="C108" s="1" t="n">
        <v>46077</v>
      </c>
      <c r="D108" t="inlineStr">
        <is>
          <t>KALMAR LÄN</t>
        </is>
      </c>
      <c r="E108" t="inlineStr">
        <is>
          <t>BORGHOLM</t>
        </is>
      </c>
      <c r="G108" t="n">
        <v>0.7</v>
      </c>
      <c r="H108" t="n">
        <v>0</v>
      </c>
      <c r="I108" t="n">
        <v>0</v>
      </c>
      <c r="J108" t="n">
        <v>0</v>
      </c>
      <c r="K108" t="n">
        <v>0</v>
      </c>
      <c r="L108" t="n">
        <v>0</v>
      </c>
      <c r="M108" t="n">
        <v>0</v>
      </c>
      <c r="N108" t="n">
        <v>0</v>
      </c>
      <c r="O108" t="n">
        <v>0</v>
      </c>
      <c r="P108" t="n">
        <v>0</v>
      </c>
      <c r="Q108" t="n">
        <v>0</v>
      </c>
      <c r="R108" s="2" t="inlineStr"/>
    </row>
    <row r="109" ht="15" customHeight="1">
      <c r="A109" t="inlineStr">
        <is>
          <t>A 22785-2025</t>
        </is>
      </c>
      <c r="B109" s="1" t="n">
        <v>45789.64186342592</v>
      </c>
      <c r="C109" s="1" t="n">
        <v>46077</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12534-2022</t>
        </is>
      </c>
      <c r="B110" s="1" t="n">
        <v>44638</v>
      </c>
      <c r="C110" s="1" t="n">
        <v>46077</v>
      </c>
      <c r="D110" t="inlineStr">
        <is>
          <t>KALMAR LÄN</t>
        </is>
      </c>
      <c r="E110" t="inlineStr">
        <is>
          <t>BORGHOLM</t>
        </is>
      </c>
      <c r="G110" t="n">
        <v>8.6</v>
      </c>
      <c r="H110" t="n">
        <v>0</v>
      </c>
      <c r="I110" t="n">
        <v>0</v>
      </c>
      <c r="J110" t="n">
        <v>0</v>
      </c>
      <c r="K110" t="n">
        <v>0</v>
      </c>
      <c r="L110" t="n">
        <v>0</v>
      </c>
      <c r="M110" t="n">
        <v>0</v>
      </c>
      <c r="N110" t="n">
        <v>0</v>
      </c>
      <c r="O110" t="n">
        <v>0</v>
      </c>
      <c r="P110" t="n">
        <v>0</v>
      </c>
      <c r="Q110" t="n">
        <v>0</v>
      </c>
      <c r="R110" s="2" t="inlineStr"/>
    </row>
    <row r="111" ht="15" customHeight="1">
      <c r="A111" t="inlineStr">
        <is>
          <t>A 61723-2025</t>
        </is>
      </c>
      <c r="B111" s="1" t="n">
        <v>46002.58388888889</v>
      </c>
      <c r="C111" s="1" t="n">
        <v>46077</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40339-2023</t>
        </is>
      </c>
      <c r="B112" s="1" t="n">
        <v>45169.62733796296</v>
      </c>
      <c r="C112" s="1" t="n">
        <v>46077</v>
      </c>
      <c r="D112" t="inlineStr">
        <is>
          <t>KALMAR LÄN</t>
        </is>
      </c>
      <c r="E112" t="inlineStr">
        <is>
          <t>BORGHOLM</t>
        </is>
      </c>
      <c r="G112" t="n">
        <v>3.8</v>
      </c>
      <c r="H112" t="n">
        <v>0</v>
      </c>
      <c r="I112" t="n">
        <v>0</v>
      </c>
      <c r="J112" t="n">
        <v>0</v>
      </c>
      <c r="K112" t="n">
        <v>0</v>
      </c>
      <c r="L112" t="n">
        <v>0</v>
      </c>
      <c r="M112" t="n">
        <v>0</v>
      </c>
      <c r="N112" t="n">
        <v>0</v>
      </c>
      <c r="O112" t="n">
        <v>0</v>
      </c>
      <c r="P112" t="n">
        <v>0</v>
      </c>
      <c r="Q112" t="n">
        <v>0</v>
      </c>
      <c r="R112" s="2" t="inlineStr"/>
    </row>
    <row r="113" ht="15" customHeight="1">
      <c r="A113" t="inlineStr">
        <is>
          <t>A 24166-2022</t>
        </is>
      </c>
      <c r="B113" s="1" t="n">
        <v>44725</v>
      </c>
      <c r="C113" s="1" t="n">
        <v>46077</v>
      </c>
      <c r="D113" t="inlineStr">
        <is>
          <t>KALMAR LÄN</t>
        </is>
      </c>
      <c r="E113" t="inlineStr">
        <is>
          <t>BORGHOLM</t>
        </is>
      </c>
      <c r="G113" t="n">
        <v>10.7</v>
      </c>
      <c r="H113" t="n">
        <v>0</v>
      </c>
      <c r="I113" t="n">
        <v>0</v>
      </c>
      <c r="J113" t="n">
        <v>0</v>
      </c>
      <c r="K113" t="n">
        <v>0</v>
      </c>
      <c r="L113" t="n">
        <v>0</v>
      </c>
      <c r="M113" t="n">
        <v>0</v>
      </c>
      <c r="N113" t="n">
        <v>0</v>
      </c>
      <c r="O113" t="n">
        <v>0</v>
      </c>
      <c r="P113" t="n">
        <v>0</v>
      </c>
      <c r="Q113" t="n">
        <v>0</v>
      </c>
      <c r="R113" s="2" t="inlineStr"/>
    </row>
    <row r="114" ht="15" customHeight="1">
      <c r="A114" t="inlineStr">
        <is>
          <t>A 26160-2025</t>
        </is>
      </c>
      <c r="B114" s="1" t="n">
        <v>45805.4490162037</v>
      </c>
      <c r="C114" s="1" t="n">
        <v>46077</v>
      </c>
      <c r="D114" t="inlineStr">
        <is>
          <t>KALMAR LÄN</t>
        </is>
      </c>
      <c r="E114" t="inlineStr">
        <is>
          <t>BORGHOLM</t>
        </is>
      </c>
      <c r="G114" t="n">
        <v>3.7</v>
      </c>
      <c r="H114" t="n">
        <v>0</v>
      </c>
      <c r="I114" t="n">
        <v>0</v>
      </c>
      <c r="J114" t="n">
        <v>0</v>
      </c>
      <c r="K114" t="n">
        <v>0</v>
      </c>
      <c r="L114" t="n">
        <v>0</v>
      </c>
      <c r="M114" t="n">
        <v>0</v>
      </c>
      <c r="N114" t="n">
        <v>0</v>
      </c>
      <c r="O114" t="n">
        <v>0</v>
      </c>
      <c r="P114" t="n">
        <v>0</v>
      </c>
      <c r="Q114" t="n">
        <v>0</v>
      </c>
      <c r="R114" s="2" t="inlineStr"/>
    </row>
    <row r="115" ht="15" customHeight="1">
      <c r="A115" t="inlineStr">
        <is>
          <t>A 26190-2025</t>
        </is>
      </c>
      <c r="B115" s="1" t="n">
        <v>45805.48349537037</v>
      </c>
      <c r="C115" s="1" t="n">
        <v>46077</v>
      </c>
      <c r="D115" t="inlineStr">
        <is>
          <t>KALMAR LÄN</t>
        </is>
      </c>
      <c r="E115" t="inlineStr">
        <is>
          <t>BORGHOLM</t>
        </is>
      </c>
      <c r="G115" t="n">
        <v>3.2</v>
      </c>
      <c r="H115" t="n">
        <v>0</v>
      </c>
      <c r="I115" t="n">
        <v>0</v>
      </c>
      <c r="J115" t="n">
        <v>0</v>
      </c>
      <c r="K115" t="n">
        <v>0</v>
      </c>
      <c r="L115" t="n">
        <v>0</v>
      </c>
      <c r="M115" t="n">
        <v>0</v>
      </c>
      <c r="N115" t="n">
        <v>0</v>
      </c>
      <c r="O115" t="n">
        <v>0</v>
      </c>
      <c r="P115" t="n">
        <v>0</v>
      </c>
      <c r="Q115" t="n">
        <v>0</v>
      </c>
      <c r="R115" s="2" t="inlineStr"/>
    </row>
    <row r="116" ht="15" customHeight="1">
      <c r="A116" t="inlineStr">
        <is>
          <t>A 27357-2025</t>
        </is>
      </c>
      <c r="B116" s="1" t="n">
        <v>45812.63650462963</v>
      </c>
      <c r="C116" s="1" t="n">
        <v>46077</v>
      </c>
      <c r="D116" t="inlineStr">
        <is>
          <t>KALMAR LÄN</t>
        </is>
      </c>
      <c r="E116" t="inlineStr">
        <is>
          <t>BORGHOLM</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27366-2025</t>
        </is>
      </c>
      <c r="B117" s="1" t="n">
        <v>45812.64475694444</v>
      </c>
      <c r="C117" s="1" t="n">
        <v>46077</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7481-2026</t>
        </is>
      </c>
      <c r="B118" s="1" t="n">
        <v>46059.51359953704</v>
      </c>
      <c r="C118" s="1" t="n">
        <v>46077</v>
      </c>
      <c r="D118" t="inlineStr">
        <is>
          <t>KALMAR LÄN</t>
        </is>
      </c>
      <c r="E118" t="inlineStr">
        <is>
          <t>BORGHOLM</t>
        </is>
      </c>
      <c r="G118" t="n">
        <v>1.9</v>
      </c>
      <c r="H118" t="n">
        <v>0</v>
      </c>
      <c r="I118" t="n">
        <v>0</v>
      </c>
      <c r="J118" t="n">
        <v>0</v>
      </c>
      <c r="K118" t="n">
        <v>0</v>
      </c>
      <c r="L118" t="n">
        <v>0</v>
      </c>
      <c r="M118" t="n">
        <v>0</v>
      </c>
      <c r="N118" t="n">
        <v>0</v>
      </c>
      <c r="O118" t="n">
        <v>0</v>
      </c>
      <c r="P118" t="n">
        <v>0</v>
      </c>
      <c r="Q118" t="n">
        <v>0</v>
      </c>
      <c r="R118" s="2" t="inlineStr"/>
    </row>
    <row r="119" ht="15" customHeight="1">
      <c r="A119" t="inlineStr">
        <is>
          <t>A 28782-2025</t>
        </is>
      </c>
      <c r="B119" s="1" t="n">
        <v>45820.45572916666</v>
      </c>
      <c r="C119" s="1" t="n">
        <v>46077</v>
      </c>
      <c r="D119" t="inlineStr">
        <is>
          <t>KALMAR LÄN</t>
        </is>
      </c>
      <c r="E119" t="inlineStr">
        <is>
          <t>BORGHOLM</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9259-2026</t>
        </is>
      </c>
      <c r="B120" s="1" t="n">
        <v>46070.51917824074</v>
      </c>
      <c r="C120" s="1" t="n">
        <v>46077</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9104-2026</t>
        </is>
      </c>
      <c r="B121" s="1" t="n">
        <v>46069</v>
      </c>
      <c r="C121" s="1" t="n">
        <v>46077</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9905-2026</t>
        </is>
      </c>
      <c r="B122" s="1" t="n">
        <v>46073.4108912037</v>
      </c>
      <c r="C122" s="1" t="n">
        <v>46077</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c r="A123" t="inlineStr">
        <is>
          <t>A 36269-2025</t>
        </is>
      </c>
      <c r="B123" s="1" t="n">
        <v>45867.61736111111</v>
      </c>
      <c r="C123" s="1" t="n">
        <v>46077</v>
      </c>
      <c r="D123" t="inlineStr">
        <is>
          <t>KALMAR LÄN</t>
        </is>
      </c>
      <c r="E123" t="inlineStr">
        <is>
          <t>BORGHOLM</t>
        </is>
      </c>
      <c r="F123" t="inlineStr">
        <is>
          <t>Sveaskog</t>
        </is>
      </c>
      <c r="G123" t="n">
        <v>3.3</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2026-02-24T11:09:05Z</dcterms:created>
  <dcterms:modified xmlns:dcterms="http://purl.org/dc/terms/" xmlns:xsi="http://www.w3.org/2001/XMLSchema-instance" xsi:type="dcterms:W3CDTF">2026-02-24T11:09:05Z</dcterms:modified>
</cp:coreProperties>
</file>