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46114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46114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46114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46114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46114</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46114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46114</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46114</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46114</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46114</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46114</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46114</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46114</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46114</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46114</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46114</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46114</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46114</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46114</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44008-2022</t>
        </is>
      </c>
      <c r="B21" s="1" t="n">
        <v>44838</v>
      </c>
      <c r="C21" s="1" t="n">
        <v>46114</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44008-2022 artfynd.xlsx", "A 44008-2022")</f>
        <v/>
      </c>
      <c r="T21">
        <f>HYPERLINK("https://klasma.github.io/Logging_0885/kartor/A 44008-2022 karta.png", "A 44008-2022")</f>
        <v/>
      </c>
      <c r="V21">
        <f>HYPERLINK("https://klasma.github.io/Logging_0885/klagomål/A 44008-2022 FSC-klagomål.docx", "A 44008-2022")</f>
        <v/>
      </c>
      <c r="W21">
        <f>HYPERLINK("https://klasma.github.io/Logging_0885/klagomålsmail/A 44008-2022 FSC-klagomål mail.docx", "A 44008-2022")</f>
        <v/>
      </c>
      <c r="X21">
        <f>HYPERLINK("https://klasma.github.io/Logging_0885/tillsyn/A 44008-2022 tillsynsbegäran.docx", "A 44008-2022")</f>
        <v/>
      </c>
      <c r="Y21">
        <f>HYPERLINK("https://klasma.github.io/Logging_0885/tillsynsmail/A 44008-2022 tillsynsbegäran mail.docx", "A 44008-2022")</f>
        <v/>
      </c>
      <c r="Z21">
        <f>HYPERLINK("https://klasma.github.io/Logging_0885/fåglar/A 44008-2022 prioriterade fågelarter.docx", "A 44008-2022")</f>
        <v/>
      </c>
    </row>
    <row r="22" ht="15" customHeight="1">
      <c r="A22" t="inlineStr">
        <is>
          <t>A 34944-2022</t>
        </is>
      </c>
      <c r="B22" s="1" t="n">
        <v>44796</v>
      </c>
      <c r="C22" s="1" t="n">
        <v>46114</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32174-2022</t>
        </is>
      </c>
      <c r="B23" s="1" t="n">
        <v>44781</v>
      </c>
      <c r="C23" s="1" t="n">
        <v>46114</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60140-2025</t>
        </is>
      </c>
      <c r="B24" s="1" t="n">
        <v>45994.36274305556</v>
      </c>
      <c r="C24" s="1" t="n">
        <v>46114</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43756-2022</t>
        </is>
      </c>
      <c r="B25" s="1" t="n">
        <v>44837</v>
      </c>
      <c r="C25" s="1" t="n">
        <v>46114</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15285-2026</t>
        </is>
      </c>
      <c r="B26" s="1" t="n">
        <v>46105.6156712963</v>
      </c>
      <c r="C26" s="1" t="n">
        <v>46114</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Havsörn
Talltita</t>
        </is>
      </c>
      <c r="S26">
        <f>HYPERLINK("https://klasma.github.io/Logging_0885/artfynd/A 15285-2026 artfynd.xlsx", "A 15285-2026")</f>
        <v/>
      </c>
      <c r="T26">
        <f>HYPERLINK("https://klasma.github.io/Logging_0885/kartor/A 15285-2026 karta.png", "A 15285-2026")</f>
        <v/>
      </c>
      <c r="V26">
        <f>HYPERLINK("https://klasma.github.io/Logging_0885/klagomål/A 15285-2026 FSC-klagomål.docx", "A 15285-2026")</f>
        <v/>
      </c>
      <c r="W26">
        <f>HYPERLINK("https://klasma.github.io/Logging_0885/klagomålsmail/A 15285-2026 FSC-klagomål mail.docx", "A 15285-2026")</f>
        <v/>
      </c>
      <c r="X26">
        <f>HYPERLINK("https://klasma.github.io/Logging_0885/tillsyn/A 15285-2026 tillsynsbegäran.docx", "A 15285-2026")</f>
        <v/>
      </c>
      <c r="Y26">
        <f>HYPERLINK("https://klasma.github.io/Logging_0885/tillsynsmail/A 15285-2026 tillsynsbegäran mail.docx", "A 15285-2026")</f>
        <v/>
      </c>
      <c r="Z26">
        <f>HYPERLINK("https://klasma.github.io/Logging_0885/fåglar/A 15285-2026 prioriterade fågelarter.docx", "A 15285-2026")</f>
        <v/>
      </c>
    </row>
    <row r="27" ht="15" customHeight="1">
      <c r="A27" t="inlineStr">
        <is>
          <t>A 9253-2026</t>
        </is>
      </c>
      <c r="B27" s="1" t="n">
        <v>46070.51003472223</v>
      </c>
      <c r="C27" s="1" t="n">
        <v>46114</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4164-2023</t>
        </is>
      </c>
      <c r="B28" s="1" t="n">
        <v>44953</v>
      </c>
      <c r="C28" s="1" t="n">
        <v>46114</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28779-2025</t>
        </is>
      </c>
      <c r="B29" s="1" t="n">
        <v>45820.44920138889</v>
      </c>
      <c r="C29" s="1" t="n">
        <v>46114</v>
      </c>
      <c r="D29" t="inlineStr">
        <is>
          <t>KALMAR LÄN</t>
        </is>
      </c>
      <c r="E29" t="inlineStr">
        <is>
          <t>BORGHOLM</t>
        </is>
      </c>
      <c r="F29" t="inlineStr">
        <is>
          <t>Sveaskog</t>
        </is>
      </c>
      <c r="G29" t="n">
        <v>4.1</v>
      </c>
      <c r="H29" t="n">
        <v>2</v>
      </c>
      <c r="I29" t="n">
        <v>1</v>
      </c>
      <c r="J29" t="n">
        <v>1</v>
      </c>
      <c r="K29" t="n">
        <v>0</v>
      </c>
      <c r="L29" t="n">
        <v>0</v>
      </c>
      <c r="M29" t="n">
        <v>0</v>
      </c>
      <c r="N29" t="n">
        <v>0</v>
      </c>
      <c r="O29" t="n">
        <v>1</v>
      </c>
      <c r="P29" t="n">
        <v>0</v>
      </c>
      <c r="Q29" t="n">
        <v>2</v>
      </c>
      <c r="R29" s="2" t="inlineStr">
        <is>
          <t>Havsörn
Skogsknipprot</t>
        </is>
      </c>
      <c r="S29">
        <f>HYPERLINK("https://klasma.github.io/Logging_0885/artfynd/A 28779-2025 artfynd.xlsx", "A 28779-2025")</f>
        <v/>
      </c>
      <c r="T29">
        <f>HYPERLINK("https://klasma.github.io/Logging_0885/kartor/A 28779-2025 karta.png", "A 28779-2025")</f>
        <v/>
      </c>
      <c r="V29">
        <f>HYPERLINK("https://klasma.github.io/Logging_0885/klagomål/A 28779-2025 FSC-klagomål.docx", "A 28779-2025")</f>
        <v/>
      </c>
      <c r="W29">
        <f>HYPERLINK("https://klasma.github.io/Logging_0885/klagomålsmail/A 28779-2025 FSC-klagomål mail.docx", "A 28779-2025")</f>
        <v/>
      </c>
      <c r="X29">
        <f>HYPERLINK("https://klasma.github.io/Logging_0885/tillsyn/A 28779-2025 tillsynsbegäran.docx", "A 28779-2025")</f>
        <v/>
      </c>
      <c r="Y29">
        <f>HYPERLINK("https://klasma.github.io/Logging_0885/tillsynsmail/A 28779-2025 tillsynsbegäran mail.docx", "A 28779-2025")</f>
        <v/>
      </c>
      <c r="Z29">
        <f>HYPERLINK("https://klasma.github.io/Logging_0885/fåglar/A 28779-2025 prioriterade fågelarter.docx", "A 28779-2025")</f>
        <v/>
      </c>
    </row>
    <row r="30" ht="15" customHeight="1">
      <c r="A30" t="inlineStr">
        <is>
          <t>A 31790-2021</t>
        </is>
      </c>
      <c r="B30" s="1" t="n">
        <v>44370</v>
      </c>
      <c r="C30" s="1" t="n">
        <v>46114</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46114</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46114</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46114</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34885-2025</t>
        </is>
      </c>
      <c r="B34" s="1" t="n">
        <v>45849.47128472223</v>
      </c>
      <c r="C34" s="1" t="n">
        <v>46114</v>
      </c>
      <c r="D34" t="inlineStr">
        <is>
          <t>KALMAR LÄN</t>
        </is>
      </c>
      <c r="E34" t="inlineStr">
        <is>
          <t>BORGHOLM</t>
        </is>
      </c>
      <c r="G34" t="n">
        <v>4.4</v>
      </c>
      <c r="H34" t="n">
        <v>0</v>
      </c>
      <c r="I34" t="n">
        <v>0</v>
      </c>
      <c r="J34" t="n">
        <v>1</v>
      </c>
      <c r="K34" t="n">
        <v>0</v>
      </c>
      <c r="L34" t="n">
        <v>0</v>
      </c>
      <c r="M34" t="n">
        <v>0</v>
      </c>
      <c r="N34" t="n">
        <v>0</v>
      </c>
      <c r="O34" t="n">
        <v>1</v>
      </c>
      <c r="P34" t="n">
        <v>0</v>
      </c>
      <c r="Q34" t="n">
        <v>1</v>
      </c>
      <c r="R34" s="2" t="inlineStr">
        <is>
          <t>Backfryle</t>
        </is>
      </c>
      <c r="S34">
        <f>HYPERLINK("https://klasma.github.io/Logging_0885/artfynd/A 34885-2025 artfynd.xlsx", "A 34885-2025")</f>
        <v/>
      </c>
      <c r="T34">
        <f>HYPERLINK("https://klasma.github.io/Logging_0885/kartor/A 34885-2025 karta.png", "A 34885-2025")</f>
        <v/>
      </c>
      <c r="V34">
        <f>HYPERLINK("https://klasma.github.io/Logging_0885/klagomål/A 34885-2025 FSC-klagomål.docx", "A 34885-2025")</f>
        <v/>
      </c>
      <c r="W34">
        <f>HYPERLINK("https://klasma.github.io/Logging_0885/klagomålsmail/A 34885-2025 FSC-klagomål mail.docx", "A 34885-2025")</f>
        <v/>
      </c>
      <c r="X34">
        <f>HYPERLINK("https://klasma.github.io/Logging_0885/tillsyn/A 34885-2025 tillsynsbegäran.docx", "A 34885-2025")</f>
        <v/>
      </c>
      <c r="Y34">
        <f>HYPERLINK("https://klasma.github.io/Logging_0885/tillsynsmail/A 34885-2025 tillsynsbegäran mail.docx", "A 34885-2025")</f>
        <v/>
      </c>
    </row>
    <row r="35" ht="15" customHeight="1">
      <c r="A35" t="inlineStr">
        <is>
          <t>A 24704-2023</t>
        </is>
      </c>
      <c r="B35" s="1" t="n">
        <v>45084</v>
      </c>
      <c r="C35" s="1" t="n">
        <v>46114</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9745-2023</t>
        </is>
      </c>
      <c r="B36" s="1" t="n">
        <v>44984</v>
      </c>
      <c r="C36" s="1" t="n">
        <v>46114</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45693-2025</t>
        </is>
      </c>
      <c r="B37" s="1" t="n">
        <v>45923</v>
      </c>
      <c r="C37" s="1" t="n">
        <v>46114</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43603-2024</t>
        </is>
      </c>
      <c r="B38" s="1" t="n">
        <v>45569.44700231482</v>
      </c>
      <c r="C38" s="1" t="n">
        <v>46114</v>
      </c>
      <c r="D38" t="inlineStr">
        <is>
          <t>KALMAR LÄN</t>
        </is>
      </c>
      <c r="E38" t="inlineStr">
        <is>
          <t>BORGHOLM</t>
        </is>
      </c>
      <c r="G38" t="n">
        <v>3.8</v>
      </c>
      <c r="H38" t="n">
        <v>1</v>
      </c>
      <c r="I38" t="n">
        <v>0</v>
      </c>
      <c r="J38" t="n">
        <v>0</v>
      </c>
      <c r="K38" t="n">
        <v>1</v>
      </c>
      <c r="L38" t="n">
        <v>0</v>
      </c>
      <c r="M38" t="n">
        <v>0</v>
      </c>
      <c r="N38" t="n">
        <v>0</v>
      </c>
      <c r="O38" t="n">
        <v>1</v>
      </c>
      <c r="P38" t="n">
        <v>1</v>
      </c>
      <c r="Q38" t="n">
        <v>1</v>
      </c>
      <c r="R38" s="2" t="inlineStr">
        <is>
          <t>Väddnätfjäril</t>
        </is>
      </c>
      <c r="S38">
        <f>HYPERLINK("https://klasma.github.io/Logging_0885/artfynd/A 43603-2024 artfynd.xlsx", "A 43603-2024")</f>
        <v/>
      </c>
      <c r="T38">
        <f>HYPERLINK("https://klasma.github.io/Logging_0885/kartor/A 43603-2024 karta.png", "A 43603-2024")</f>
        <v/>
      </c>
      <c r="V38">
        <f>HYPERLINK("https://klasma.github.io/Logging_0885/klagomål/A 43603-2024 FSC-klagomål.docx", "A 43603-2024")</f>
        <v/>
      </c>
      <c r="W38">
        <f>HYPERLINK("https://klasma.github.io/Logging_0885/klagomålsmail/A 43603-2024 FSC-klagomål mail.docx", "A 43603-2024")</f>
        <v/>
      </c>
      <c r="X38">
        <f>HYPERLINK("https://klasma.github.io/Logging_0885/tillsyn/A 43603-2024 tillsynsbegäran.docx", "A 43603-2024")</f>
        <v/>
      </c>
      <c r="Y38">
        <f>HYPERLINK("https://klasma.github.io/Logging_0885/tillsynsmail/A 43603-2024 tillsynsbegäran mail.docx", "A 43603-2024")</f>
        <v/>
      </c>
    </row>
    <row r="39" ht="15" customHeight="1">
      <c r="A39" t="inlineStr">
        <is>
          <t>A 3302-2026</t>
        </is>
      </c>
      <c r="B39" s="1" t="n">
        <v>46041</v>
      </c>
      <c r="C39" s="1" t="n">
        <v>46114</v>
      </c>
      <c r="D39" t="inlineStr">
        <is>
          <t>KALMAR LÄN</t>
        </is>
      </c>
      <c r="E39" t="inlineStr">
        <is>
          <t>BORGHOLM</t>
        </is>
      </c>
      <c r="G39" t="n">
        <v>3.9</v>
      </c>
      <c r="H39" t="n">
        <v>1</v>
      </c>
      <c r="I39" t="n">
        <v>0</v>
      </c>
      <c r="J39" t="n">
        <v>0</v>
      </c>
      <c r="K39" t="n">
        <v>0</v>
      </c>
      <c r="L39" t="n">
        <v>0</v>
      </c>
      <c r="M39" t="n">
        <v>0</v>
      </c>
      <c r="N39" t="n">
        <v>0</v>
      </c>
      <c r="O39" t="n">
        <v>0</v>
      </c>
      <c r="P39" t="n">
        <v>0</v>
      </c>
      <c r="Q39" t="n">
        <v>1</v>
      </c>
      <c r="R39" s="2" t="inlineStr">
        <is>
          <t>Blåsippa</t>
        </is>
      </c>
      <c r="S39">
        <f>HYPERLINK("https://klasma.github.io/Logging_0885/artfynd/A 3302-2026 artfynd.xlsx", "A 3302-2026")</f>
        <v/>
      </c>
      <c r="T39">
        <f>HYPERLINK("https://klasma.github.io/Logging_0885/kartor/A 3302-2026 karta.png", "A 3302-2026")</f>
        <v/>
      </c>
      <c r="V39">
        <f>HYPERLINK("https://klasma.github.io/Logging_0885/klagomål/A 3302-2026 FSC-klagomål.docx", "A 3302-2026")</f>
        <v/>
      </c>
      <c r="W39">
        <f>HYPERLINK("https://klasma.github.io/Logging_0885/klagomålsmail/A 3302-2026 FSC-klagomål mail.docx", "A 3302-2026")</f>
        <v/>
      </c>
      <c r="X39">
        <f>HYPERLINK("https://klasma.github.io/Logging_0885/tillsyn/A 3302-2026 tillsynsbegäran.docx", "A 3302-2026")</f>
        <v/>
      </c>
      <c r="Y39">
        <f>HYPERLINK("https://klasma.github.io/Logging_0885/tillsynsmail/A 3302-2026 tillsynsbegäran mail.docx", "A 3302-2026")</f>
        <v/>
      </c>
    </row>
    <row r="40" ht="15" customHeight="1">
      <c r="A40" t="inlineStr">
        <is>
          <t>A 24048-2025</t>
        </is>
      </c>
      <c r="B40" s="1" t="n">
        <v>45796.4959375</v>
      </c>
      <c r="C40" s="1" t="n">
        <v>46114</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46114</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46114</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46114</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42761-2021</t>
        </is>
      </c>
      <c r="B44" s="1" t="n">
        <v>44428</v>
      </c>
      <c r="C44" s="1" t="n">
        <v>46114</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46114</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46114</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46114</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46114</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46114</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46114</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46114</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46114</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46114</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46114</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46114</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46114</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46114</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46114</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46114</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13548-2025</t>
        </is>
      </c>
      <c r="B60" s="1" t="n">
        <v>45736.53827546296</v>
      </c>
      <c r="C60" s="1" t="n">
        <v>46114</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64303-2023</t>
        </is>
      </c>
      <c r="B61" s="1" t="n">
        <v>45280</v>
      </c>
      <c r="C61" s="1" t="n">
        <v>46114</v>
      </c>
      <c r="D61" t="inlineStr">
        <is>
          <t>KALMAR LÄN</t>
        </is>
      </c>
      <c r="E61" t="inlineStr">
        <is>
          <t>BORGHOLM</t>
        </is>
      </c>
      <c r="G61" t="n">
        <v>1.2</v>
      </c>
      <c r="H61" t="n">
        <v>0</v>
      </c>
      <c r="I61" t="n">
        <v>0</v>
      </c>
      <c r="J61" t="n">
        <v>0</v>
      </c>
      <c r="K61" t="n">
        <v>0</v>
      </c>
      <c r="L61" t="n">
        <v>0</v>
      </c>
      <c r="M61" t="n">
        <v>0</v>
      </c>
      <c r="N61" t="n">
        <v>0</v>
      </c>
      <c r="O61" t="n">
        <v>0</v>
      </c>
      <c r="P61" t="n">
        <v>0</v>
      </c>
      <c r="Q61" t="n">
        <v>0</v>
      </c>
      <c r="R61" s="2" t="inlineStr"/>
    </row>
    <row r="62" ht="15" customHeight="1">
      <c r="A62" t="inlineStr">
        <is>
          <t>A 21908-2022</t>
        </is>
      </c>
      <c r="B62" s="1" t="n">
        <v>44711</v>
      </c>
      <c r="C62" s="1" t="n">
        <v>46114</v>
      </c>
      <c r="D62" t="inlineStr">
        <is>
          <t>KALMAR LÄN</t>
        </is>
      </c>
      <c r="E62" t="inlineStr">
        <is>
          <t>BORGHOLM</t>
        </is>
      </c>
      <c r="G62" t="n">
        <v>4.7</v>
      </c>
      <c r="H62" t="n">
        <v>0</v>
      </c>
      <c r="I62" t="n">
        <v>0</v>
      </c>
      <c r="J62" t="n">
        <v>0</v>
      </c>
      <c r="K62" t="n">
        <v>0</v>
      </c>
      <c r="L62" t="n">
        <v>0</v>
      </c>
      <c r="M62" t="n">
        <v>0</v>
      </c>
      <c r="N62" t="n">
        <v>0</v>
      </c>
      <c r="O62" t="n">
        <v>0</v>
      </c>
      <c r="P62" t="n">
        <v>0</v>
      </c>
      <c r="Q62" t="n">
        <v>0</v>
      </c>
      <c r="R62" s="2" t="inlineStr"/>
    </row>
    <row r="63" ht="15" customHeight="1">
      <c r="A63" t="inlineStr">
        <is>
          <t>A 55367-2024</t>
        </is>
      </c>
      <c r="B63" s="1" t="n">
        <v>45621.87075231481</v>
      </c>
      <c r="C63" s="1" t="n">
        <v>46114</v>
      </c>
      <c r="D63" t="inlineStr">
        <is>
          <t>KALMAR LÄN</t>
        </is>
      </c>
      <c r="E63" t="inlineStr">
        <is>
          <t>BORGHOLM</t>
        </is>
      </c>
      <c r="G63" t="n">
        <v>0.7</v>
      </c>
      <c r="H63" t="n">
        <v>0</v>
      </c>
      <c r="I63" t="n">
        <v>0</v>
      </c>
      <c r="J63" t="n">
        <v>0</v>
      </c>
      <c r="K63" t="n">
        <v>0</v>
      </c>
      <c r="L63" t="n">
        <v>0</v>
      </c>
      <c r="M63" t="n">
        <v>0</v>
      </c>
      <c r="N63" t="n">
        <v>0</v>
      </c>
      <c r="O63" t="n">
        <v>0</v>
      </c>
      <c r="P63" t="n">
        <v>0</v>
      </c>
      <c r="Q63" t="n">
        <v>0</v>
      </c>
      <c r="R63" s="2" t="inlineStr"/>
    </row>
    <row r="64" ht="15" customHeight="1">
      <c r="A64" t="inlineStr">
        <is>
          <t>A 4159-2024</t>
        </is>
      </c>
      <c r="B64" s="1" t="n">
        <v>45323</v>
      </c>
      <c r="C64" s="1" t="n">
        <v>46114</v>
      </c>
      <c r="D64" t="inlineStr">
        <is>
          <t>KALMAR LÄN</t>
        </is>
      </c>
      <c r="E64" t="inlineStr">
        <is>
          <t>BORGHOLM</t>
        </is>
      </c>
      <c r="G64" t="n">
        <v>0.5</v>
      </c>
      <c r="H64" t="n">
        <v>0</v>
      </c>
      <c r="I64" t="n">
        <v>0</v>
      </c>
      <c r="J64" t="n">
        <v>0</v>
      </c>
      <c r="K64" t="n">
        <v>0</v>
      </c>
      <c r="L64" t="n">
        <v>0</v>
      </c>
      <c r="M64" t="n">
        <v>0</v>
      </c>
      <c r="N64" t="n">
        <v>0</v>
      </c>
      <c r="O64" t="n">
        <v>0</v>
      </c>
      <c r="P64" t="n">
        <v>0</v>
      </c>
      <c r="Q64" t="n">
        <v>0</v>
      </c>
      <c r="R64" s="2" t="inlineStr"/>
    </row>
    <row r="65" ht="15" customHeight="1">
      <c r="A65" t="inlineStr">
        <is>
          <t>A 32921-2023</t>
        </is>
      </c>
      <c r="B65" s="1" t="n">
        <v>45125</v>
      </c>
      <c r="C65" s="1" t="n">
        <v>46114</v>
      </c>
      <c r="D65" t="inlineStr">
        <is>
          <t>KALMAR LÄN</t>
        </is>
      </c>
      <c r="E65" t="inlineStr">
        <is>
          <t>BORGHOLM</t>
        </is>
      </c>
      <c r="G65" t="n">
        <v>2.9</v>
      </c>
      <c r="H65" t="n">
        <v>0</v>
      </c>
      <c r="I65" t="n">
        <v>0</v>
      </c>
      <c r="J65" t="n">
        <v>0</v>
      </c>
      <c r="K65" t="n">
        <v>0</v>
      </c>
      <c r="L65" t="n">
        <v>0</v>
      </c>
      <c r="M65" t="n">
        <v>0</v>
      </c>
      <c r="N65" t="n">
        <v>0</v>
      </c>
      <c r="O65" t="n">
        <v>0</v>
      </c>
      <c r="P65" t="n">
        <v>0</v>
      </c>
      <c r="Q65" t="n">
        <v>0</v>
      </c>
      <c r="R65" s="2" t="inlineStr"/>
    </row>
    <row r="66" ht="15" customHeight="1">
      <c r="A66" t="inlineStr">
        <is>
          <t>A 31699-2022</t>
        </is>
      </c>
      <c r="B66" s="1" t="n">
        <v>44776</v>
      </c>
      <c r="C66" s="1" t="n">
        <v>46114</v>
      </c>
      <c r="D66" t="inlineStr">
        <is>
          <t>KALMAR LÄN</t>
        </is>
      </c>
      <c r="E66" t="inlineStr">
        <is>
          <t>BORGHOLM</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63276-2023</t>
        </is>
      </c>
      <c r="B67" s="1" t="n">
        <v>45273.82195601852</v>
      </c>
      <c r="C67" s="1" t="n">
        <v>46114</v>
      </c>
      <c r="D67" t="inlineStr">
        <is>
          <t>KALMAR LÄN</t>
        </is>
      </c>
      <c r="E67" t="inlineStr">
        <is>
          <t>BORGHOLM</t>
        </is>
      </c>
      <c r="G67" t="n">
        <v>5</v>
      </c>
      <c r="H67" t="n">
        <v>0</v>
      </c>
      <c r="I67" t="n">
        <v>0</v>
      </c>
      <c r="J67" t="n">
        <v>0</v>
      </c>
      <c r="K67" t="n">
        <v>0</v>
      </c>
      <c r="L67" t="n">
        <v>0</v>
      </c>
      <c r="M67" t="n">
        <v>0</v>
      </c>
      <c r="N67" t="n">
        <v>0</v>
      </c>
      <c r="O67" t="n">
        <v>0</v>
      </c>
      <c r="P67" t="n">
        <v>0</v>
      </c>
      <c r="Q67" t="n">
        <v>0</v>
      </c>
      <c r="R67" s="2" t="inlineStr"/>
    </row>
    <row r="68" ht="15" customHeight="1">
      <c r="A68" t="inlineStr">
        <is>
          <t>A 36269-2025</t>
        </is>
      </c>
      <c r="B68" s="1" t="n">
        <v>45867.61736111111</v>
      </c>
      <c r="C68" s="1" t="n">
        <v>46114</v>
      </c>
      <c r="D68" t="inlineStr">
        <is>
          <t>KALMAR LÄN</t>
        </is>
      </c>
      <c r="E68" t="inlineStr">
        <is>
          <t>BORGHOLM</t>
        </is>
      </c>
      <c r="F68" t="inlineStr">
        <is>
          <t>Sveaskog</t>
        </is>
      </c>
      <c r="G68" t="n">
        <v>3.3</v>
      </c>
      <c r="H68" t="n">
        <v>0</v>
      </c>
      <c r="I68" t="n">
        <v>0</v>
      </c>
      <c r="J68" t="n">
        <v>0</v>
      </c>
      <c r="K68" t="n">
        <v>0</v>
      </c>
      <c r="L68" t="n">
        <v>0</v>
      </c>
      <c r="M68" t="n">
        <v>0</v>
      </c>
      <c r="N68" t="n">
        <v>0</v>
      </c>
      <c r="O68" t="n">
        <v>0</v>
      </c>
      <c r="P68" t="n">
        <v>0</v>
      </c>
      <c r="Q68" t="n">
        <v>0</v>
      </c>
      <c r="R68" s="2" t="inlineStr"/>
    </row>
    <row r="69" ht="15" customHeight="1">
      <c r="A69" t="inlineStr">
        <is>
          <t>A 41831-2025</t>
        </is>
      </c>
      <c r="B69" s="1" t="n">
        <v>45902.67887731481</v>
      </c>
      <c r="C69" s="1" t="n">
        <v>46114</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1614-2025</t>
        </is>
      </c>
      <c r="B70" s="1" t="n">
        <v>45670.60094907408</v>
      </c>
      <c r="C70" s="1" t="n">
        <v>46114</v>
      </c>
      <c r="D70" t="inlineStr">
        <is>
          <t>KALMAR LÄN</t>
        </is>
      </c>
      <c r="E70" t="inlineStr">
        <is>
          <t>BORGHOLM</t>
        </is>
      </c>
      <c r="G70" t="n">
        <v>1.4</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46114</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46114</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46114</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45734-2025</t>
        </is>
      </c>
      <c r="B74" s="1" t="n">
        <v>45923.46512731481</v>
      </c>
      <c r="C74" s="1" t="n">
        <v>46114</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45869-2025</t>
        </is>
      </c>
      <c r="B75" s="1" t="n">
        <v>45923.65313657407</v>
      </c>
      <c r="C75" s="1" t="n">
        <v>46114</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9076-2025</t>
        </is>
      </c>
      <c r="B76" s="1" t="n">
        <v>45713.6596875</v>
      </c>
      <c r="C76" s="1" t="n">
        <v>46114</v>
      </c>
      <c r="D76" t="inlineStr">
        <is>
          <t>KALMAR LÄN</t>
        </is>
      </c>
      <c r="E76" t="inlineStr">
        <is>
          <t>BORGHOLM</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1757-2025</t>
        </is>
      </c>
      <c r="B77" s="1" t="n">
        <v>45671.42195601852</v>
      </c>
      <c r="C77" s="1" t="n">
        <v>46114</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46845-2025</t>
        </is>
      </c>
      <c r="B78" s="1" t="n">
        <v>45928</v>
      </c>
      <c r="C78" s="1" t="n">
        <v>46114</v>
      </c>
      <c r="D78" t="inlineStr">
        <is>
          <t>KALMAR LÄN</t>
        </is>
      </c>
      <c r="E78" t="inlineStr">
        <is>
          <t>BORGHOLM</t>
        </is>
      </c>
      <c r="G78" t="n">
        <v>2.7</v>
      </c>
      <c r="H78" t="n">
        <v>0</v>
      </c>
      <c r="I78" t="n">
        <v>0</v>
      </c>
      <c r="J78" t="n">
        <v>0</v>
      </c>
      <c r="K78" t="n">
        <v>0</v>
      </c>
      <c r="L78" t="n">
        <v>0</v>
      </c>
      <c r="M78" t="n">
        <v>0</v>
      </c>
      <c r="N78" t="n">
        <v>0</v>
      </c>
      <c r="O78" t="n">
        <v>0</v>
      </c>
      <c r="P78" t="n">
        <v>0</v>
      </c>
      <c r="Q78" t="n">
        <v>0</v>
      </c>
      <c r="R78" s="2" t="inlineStr"/>
    </row>
    <row r="79" ht="15" customHeight="1">
      <c r="A79" t="inlineStr">
        <is>
          <t>A 7960-2023</t>
        </is>
      </c>
      <c r="B79" s="1" t="n">
        <v>44973</v>
      </c>
      <c r="C79" s="1" t="n">
        <v>46114</v>
      </c>
      <c r="D79" t="inlineStr">
        <is>
          <t>KALMAR LÄN</t>
        </is>
      </c>
      <c r="E79" t="inlineStr">
        <is>
          <t>BORGHOLM</t>
        </is>
      </c>
      <c r="G79" t="n">
        <v>2.1</v>
      </c>
      <c r="H79" t="n">
        <v>0</v>
      </c>
      <c r="I79" t="n">
        <v>0</v>
      </c>
      <c r="J79" t="n">
        <v>0</v>
      </c>
      <c r="K79" t="n">
        <v>0</v>
      </c>
      <c r="L79" t="n">
        <v>0</v>
      </c>
      <c r="M79" t="n">
        <v>0</v>
      </c>
      <c r="N79" t="n">
        <v>0</v>
      </c>
      <c r="O79" t="n">
        <v>0</v>
      </c>
      <c r="P79" t="n">
        <v>0</v>
      </c>
      <c r="Q79" t="n">
        <v>0</v>
      </c>
      <c r="R79" s="2" t="inlineStr"/>
    </row>
    <row r="80" ht="15" customHeight="1">
      <c r="A80" t="inlineStr">
        <is>
          <t>A 29656-2023</t>
        </is>
      </c>
      <c r="B80" s="1" t="n">
        <v>45107</v>
      </c>
      <c r="C80" s="1" t="n">
        <v>46114</v>
      </c>
      <c r="D80" t="inlineStr">
        <is>
          <t>KALMAR LÄN</t>
        </is>
      </c>
      <c r="E80" t="inlineStr">
        <is>
          <t>BORGHOLM</t>
        </is>
      </c>
      <c r="G80" t="n">
        <v>4.1</v>
      </c>
      <c r="H80" t="n">
        <v>0</v>
      </c>
      <c r="I80" t="n">
        <v>0</v>
      </c>
      <c r="J80" t="n">
        <v>0</v>
      </c>
      <c r="K80" t="n">
        <v>0</v>
      </c>
      <c r="L80" t="n">
        <v>0</v>
      </c>
      <c r="M80" t="n">
        <v>0</v>
      </c>
      <c r="N80" t="n">
        <v>0</v>
      </c>
      <c r="O80" t="n">
        <v>0</v>
      </c>
      <c r="P80" t="n">
        <v>0</v>
      </c>
      <c r="Q80" t="n">
        <v>0</v>
      </c>
      <c r="R80" s="2" t="inlineStr"/>
    </row>
    <row r="81" ht="15" customHeight="1">
      <c r="A81" t="inlineStr">
        <is>
          <t>A 9050-2025</t>
        </is>
      </c>
      <c r="B81" s="1" t="n">
        <v>45713.63512731482</v>
      </c>
      <c r="C81" s="1" t="n">
        <v>46114</v>
      </c>
      <c r="D81" t="inlineStr">
        <is>
          <t>KALMAR LÄN</t>
        </is>
      </c>
      <c r="E81" t="inlineStr">
        <is>
          <t>BORGHOLM</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7669-2024</t>
        </is>
      </c>
      <c r="B82" s="1" t="n">
        <v>45348.82498842593</v>
      </c>
      <c r="C82" s="1" t="n">
        <v>46114</v>
      </c>
      <c r="D82" t="inlineStr">
        <is>
          <t>KALMAR LÄN</t>
        </is>
      </c>
      <c r="E82" t="inlineStr">
        <is>
          <t>BORGHOLM</t>
        </is>
      </c>
      <c r="G82" t="n">
        <v>2.3</v>
      </c>
      <c r="H82" t="n">
        <v>0</v>
      </c>
      <c r="I82" t="n">
        <v>0</v>
      </c>
      <c r="J82" t="n">
        <v>0</v>
      </c>
      <c r="K82" t="n">
        <v>0</v>
      </c>
      <c r="L82" t="n">
        <v>0</v>
      </c>
      <c r="M82" t="n">
        <v>0</v>
      </c>
      <c r="N82" t="n">
        <v>0</v>
      </c>
      <c r="O82" t="n">
        <v>0</v>
      </c>
      <c r="P82" t="n">
        <v>0</v>
      </c>
      <c r="Q82" t="n">
        <v>0</v>
      </c>
      <c r="R82" s="2" t="inlineStr"/>
    </row>
    <row r="83" ht="15" customHeight="1">
      <c r="A83" t="inlineStr">
        <is>
          <t>A 31840-2021</t>
        </is>
      </c>
      <c r="B83" s="1" t="n">
        <v>44370</v>
      </c>
      <c r="C83" s="1" t="n">
        <v>46114</v>
      </c>
      <c r="D83" t="inlineStr">
        <is>
          <t>KALMAR LÄN</t>
        </is>
      </c>
      <c r="E83" t="inlineStr">
        <is>
          <t>BORGHOLM</t>
        </is>
      </c>
      <c r="F83" t="inlineStr">
        <is>
          <t>Sveaskog</t>
        </is>
      </c>
      <c r="G83" t="n">
        <v>2.8</v>
      </c>
      <c r="H83" t="n">
        <v>0</v>
      </c>
      <c r="I83" t="n">
        <v>0</v>
      </c>
      <c r="J83" t="n">
        <v>0</v>
      </c>
      <c r="K83" t="n">
        <v>0</v>
      </c>
      <c r="L83" t="n">
        <v>0</v>
      </c>
      <c r="M83" t="n">
        <v>0</v>
      </c>
      <c r="N83" t="n">
        <v>0</v>
      </c>
      <c r="O83" t="n">
        <v>0</v>
      </c>
      <c r="P83" t="n">
        <v>0</v>
      </c>
      <c r="Q83" t="n">
        <v>0</v>
      </c>
      <c r="R83" s="2" t="inlineStr"/>
    </row>
    <row r="84" ht="15" customHeight="1">
      <c r="A84" t="inlineStr">
        <is>
          <t>A 60141-2025</t>
        </is>
      </c>
      <c r="B84" s="1" t="n">
        <v>45994.36873842592</v>
      </c>
      <c r="C84" s="1" t="n">
        <v>46114</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61723-2025</t>
        </is>
      </c>
      <c r="B85" s="1" t="n">
        <v>46002.58388888889</v>
      </c>
      <c r="C85" s="1" t="n">
        <v>46114</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32919-2023</t>
        </is>
      </c>
      <c r="B86" s="1" t="n">
        <v>45125</v>
      </c>
      <c r="C86" s="1" t="n">
        <v>46114</v>
      </c>
      <c r="D86" t="inlineStr">
        <is>
          <t>KALMAR LÄN</t>
        </is>
      </c>
      <c r="E86" t="inlineStr">
        <is>
          <t>BORGHOLM</t>
        </is>
      </c>
      <c r="G86" t="n">
        <v>2.7</v>
      </c>
      <c r="H86" t="n">
        <v>0</v>
      </c>
      <c r="I86" t="n">
        <v>0</v>
      </c>
      <c r="J86" t="n">
        <v>0</v>
      </c>
      <c r="K86" t="n">
        <v>0</v>
      </c>
      <c r="L86" t="n">
        <v>0</v>
      </c>
      <c r="M86" t="n">
        <v>0</v>
      </c>
      <c r="N86" t="n">
        <v>0</v>
      </c>
      <c r="O86" t="n">
        <v>0</v>
      </c>
      <c r="P86" t="n">
        <v>0</v>
      </c>
      <c r="Q86" t="n">
        <v>0</v>
      </c>
      <c r="R86" s="2" t="inlineStr"/>
    </row>
    <row r="87" ht="15" customHeight="1">
      <c r="A87" t="inlineStr">
        <is>
          <t>A 44678-2022</t>
        </is>
      </c>
      <c r="B87" s="1" t="n">
        <v>44840.65100694444</v>
      </c>
      <c r="C87" s="1" t="n">
        <v>46114</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31720-2022</t>
        </is>
      </c>
      <c r="B88" s="1" t="n">
        <v>44776</v>
      </c>
      <c r="C88" s="1" t="n">
        <v>46114</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44547-2021</t>
        </is>
      </c>
      <c r="B89" s="1" t="n">
        <v>44435</v>
      </c>
      <c r="C89" s="1" t="n">
        <v>46114</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5175-2024</t>
        </is>
      </c>
      <c r="B90" s="1" t="n">
        <v>45330</v>
      </c>
      <c r="C90" s="1" t="n">
        <v>46114</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9905-2026</t>
        </is>
      </c>
      <c r="B91" s="1" t="n">
        <v>46073.4108912037</v>
      </c>
      <c r="C91" s="1" t="n">
        <v>46114</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34951-2022</t>
        </is>
      </c>
      <c r="B92" s="1" t="n">
        <v>44796</v>
      </c>
      <c r="C92" s="1" t="n">
        <v>46114</v>
      </c>
      <c r="D92" t="inlineStr">
        <is>
          <t>KALMAR LÄN</t>
        </is>
      </c>
      <c r="E92" t="inlineStr">
        <is>
          <t>BORGHOLM</t>
        </is>
      </c>
      <c r="F92" t="inlineStr">
        <is>
          <t>Sveaskog</t>
        </is>
      </c>
      <c r="G92" t="n">
        <v>4.6</v>
      </c>
      <c r="H92" t="n">
        <v>0</v>
      </c>
      <c r="I92" t="n">
        <v>0</v>
      </c>
      <c r="J92" t="n">
        <v>0</v>
      </c>
      <c r="K92" t="n">
        <v>0</v>
      </c>
      <c r="L92" t="n">
        <v>0</v>
      </c>
      <c r="M92" t="n">
        <v>0</v>
      </c>
      <c r="N92" t="n">
        <v>0</v>
      </c>
      <c r="O92" t="n">
        <v>0</v>
      </c>
      <c r="P92" t="n">
        <v>0</v>
      </c>
      <c r="Q92" t="n">
        <v>0</v>
      </c>
      <c r="R92" s="2" t="inlineStr"/>
    </row>
    <row r="93" ht="15" customHeight="1">
      <c r="A93" t="inlineStr">
        <is>
          <t>A 19867-2024</t>
        </is>
      </c>
      <c r="B93" s="1" t="n">
        <v>45433</v>
      </c>
      <c r="C93" s="1" t="n">
        <v>46114</v>
      </c>
      <c r="D93" t="inlineStr">
        <is>
          <t>KALMAR LÄN</t>
        </is>
      </c>
      <c r="E93" t="inlineStr">
        <is>
          <t>BORGHOLM</t>
        </is>
      </c>
      <c r="G93" t="n">
        <v>3.9</v>
      </c>
      <c r="H93" t="n">
        <v>0</v>
      </c>
      <c r="I93" t="n">
        <v>0</v>
      </c>
      <c r="J93" t="n">
        <v>0</v>
      </c>
      <c r="K93" t="n">
        <v>0</v>
      </c>
      <c r="L93" t="n">
        <v>0</v>
      </c>
      <c r="M93" t="n">
        <v>0</v>
      </c>
      <c r="N93" t="n">
        <v>0</v>
      </c>
      <c r="O93" t="n">
        <v>0</v>
      </c>
      <c r="P93" t="n">
        <v>0</v>
      </c>
      <c r="Q93" t="n">
        <v>0</v>
      </c>
      <c r="R93" s="2" t="inlineStr"/>
    </row>
    <row r="94" ht="15" customHeight="1">
      <c r="A94" t="inlineStr">
        <is>
          <t>A 13383-2023</t>
        </is>
      </c>
      <c r="B94" s="1" t="n">
        <v>45005</v>
      </c>
      <c r="C94" s="1" t="n">
        <v>46114</v>
      </c>
      <c r="D94" t="inlineStr">
        <is>
          <t>KALMAR LÄN</t>
        </is>
      </c>
      <c r="E94" t="inlineStr">
        <is>
          <t>BORGHOLM</t>
        </is>
      </c>
      <c r="G94" t="n">
        <v>0.8</v>
      </c>
      <c r="H94" t="n">
        <v>0</v>
      </c>
      <c r="I94" t="n">
        <v>0</v>
      </c>
      <c r="J94" t="n">
        <v>0</v>
      </c>
      <c r="K94" t="n">
        <v>0</v>
      </c>
      <c r="L94" t="n">
        <v>0</v>
      </c>
      <c r="M94" t="n">
        <v>0</v>
      </c>
      <c r="N94" t="n">
        <v>0</v>
      </c>
      <c r="O94" t="n">
        <v>0</v>
      </c>
      <c r="P94" t="n">
        <v>0</v>
      </c>
      <c r="Q94" t="n">
        <v>0</v>
      </c>
      <c r="R94" s="2" t="inlineStr"/>
    </row>
    <row r="95" ht="15" customHeight="1">
      <c r="A95" t="inlineStr">
        <is>
          <t>A 61438-2023</t>
        </is>
      </c>
      <c r="B95" s="1" t="n">
        <v>45264</v>
      </c>
      <c r="C95" s="1" t="n">
        <v>46114</v>
      </c>
      <c r="D95" t="inlineStr">
        <is>
          <t>KALMAR LÄN</t>
        </is>
      </c>
      <c r="E95" t="inlineStr">
        <is>
          <t>BORGHOLM</t>
        </is>
      </c>
      <c r="G95" t="n">
        <v>1.1</v>
      </c>
      <c r="H95" t="n">
        <v>0</v>
      </c>
      <c r="I95" t="n">
        <v>0</v>
      </c>
      <c r="J95" t="n">
        <v>0</v>
      </c>
      <c r="K95" t="n">
        <v>0</v>
      </c>
      <c r="L95" t="n">
        <v>0</v>
      </c>
      <c r="M95" t="n">
        <v>0</v>
      </c>
      <c r="N95" t="n">
        <v>0</v>
      </c>
      <c r="O95" t="n">
        <v>0</v>
      </c>
      <c r="P95" t="n">
        <v>0</v>
      </c>
      <c r="Q95" t="n">
        <v>0</v>
      </c>
      <c r="R95" s="2" t="inlineStr"/>
    </row>
    <row r="96" ht="15" customHeight="1">
      <c r="A96" t="inlineStr">
        <is>
          <t>A 13041-2024</t>
        </is>
      </c>
      <c r="B96" s="1" t="n">
        <v>45385.60065972222</v>
      </c>
      <c r="C96" s="1" t="n">
        <v>46114</v>
      </c>
      <c r="D96" t="inlineStr">
        <is>
          <t>KALMAR LÄN</t>
        </is>
      </c>
      <c r="E96" t="inlineStr">
        <is>
          <t>BORGHOLM</t>
        </is>
      </c>
      <c r="G96" t="n">
        <v>0.5</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46114</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4165-2023</t>
        </is>
      </c>
      <c r="B98" s="1" t="n">
        <v>44953</v>
      </c>
      <c r="C98" s="1" t="n">
        <v>46114</v>
      </c>
      <c r="D98" t="inlineStr">
        <is>
          <t>KALMAR LÄN</t>
        </is>
      </c>
      <c r="E98" t="inlineStr">
        <is>
          <t>BORGHOLM</t>
        </is>
      </c>
      <c r="G98" t="n">
        <v>0.6</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46114</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7481-2026</t>
        </is>
      </c>
      <c r="B100" s="1" t="n">
        <v>46059.51359953704</v>
      </c>
      <c r="C100" s="1" t="n">
        <v>46114</v>
      </c>
      <c r="D100" t="inlineStr">
        <is>
          <t>KALMAR LÄN</t>
        </is>
      </c>
      <c r="E100" t="inlineStr">
        <is>
          <t>BORGHOLM</t>
        </is>
      </c>
      <c r="G100" t="n">
        <v>1.9</v>
      </c>
      <c r="H100" t="n">
        <v>0</v>
      </c>
      <c r="I100" t="n">
        <v>0</v>
      </c>
      <c r="J100" t="n">
        <v>0</v>
      </c>
      <c r="K100" t="n">
        <v>0</v>
      </c>
      <c r="L100" t="n">
        <v>0</v>
      </c>
      <c r="M100" t="n">
        <v>0</v>
      </c>
      <c r="N100" t="n">
        <v>0</v>
      </c>
      <c r="O100" t="n">
        <v>0</v>
      </c>
      <c r="P100" t="n">
        <v>0</v>
      </c>
      <c r="Q100" t="n">
        <v>0</v>
      </c>
      <c r="R100" s="2" t="inlineStr"/>
    </row>
    <row r="101" ht="15" customHeight="1">
      <c r="A101" t="inlineStr">
        <is>
          <t>A 15272-2026</t>
        </is>
      </c>
      <c r="B101" s="1" t="n">
        <v>46105.60017361111</v>
      </c>
      <c r="C101" s="1" t="n">
        <v>46114</v>
      </c>
      <c r="D101" t="inlineStr">
        <is>
          <t>KALMAR LÄN</t>
        </is>
      </c>
      <c r="E101" t="inlineStr">
        <is>
          <t>BORGHOLM</t>
        </is>
      </c>
      <c r="F101" t="inlineStr">
        <is>
          <t>Sveaskog</t>
        </is>
      </c>
      <c r="G101" t="n">
        <v>2.9</v>
      </c>
      <c r="H101" t="n">
        <v>0</v>
      </c>
      <c r="I101" t="n">
        <v>0</v>
      </c>
      <c r="J101" t="n">
        <v>0</v>
      </c>
      <c r="K101" t="n">
        <v>0</v>
      </c>
      <c r="L101" t="n">
        <v>0</v>
      </c>
      <c r="M101" t="n">
        <v>0</v>
      </c>
      <c r="N101" t="n">
        <v>0</v>
      </c>
      <c r="O101" t="n">
        <v>0</v>
      </c>
      <c r="P101" t="n">
        <v>0</v>
      </c>
      <c r="Q101" t="n">
        <v>0</v>
      </c>
      <c r="R101" s="2" t="inlineStr"/>
    </row>
    <row r="102" ht="15" customHeight="1">
      <c r="A102" t="inlineStr">
        <is>
          <t>A 13043-2024</t>
        </is>
      </c>
      <c r="B102" s="1" t="n">
        <v>45385.60111111111</v>
      </c>
      <c r="C102" s="1" t="n">
        <v>46114</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15264-2026</t>
        </is>
      </c>
      <c r="B103" s="1" t="n">
        <v>46105.59372685185</v>
      </c>
      <c r="C103" s="1" t="n">
        <v>46114</v>
      </c>
      <c r="D103" t="inlineStr">
        <is>
          <t>KALMAR LÄN</t>
        </is>
      </c>
      <c r="E103" t="inlineStr">
        <is>
          <t>BORGHOLM</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34780-2022</t>
        </is>
      </c>
      <c r="B104" s="1" t="n">
        <v>44795</v>
      </c>
      <c r="C104" s="1" t="n">
        <v>46114</v>
      </c>
      <c r="D104" t="inlineStr">
        <is>
          <t>KALMAR LÄN</t>
        </is>
      </c>
      <c r="E104" t="inlineStr">
        <is>
          <t>BORGHOLM</t>
        </is>
      </c>
      <c r="F104" t="inlineStr">
        <is>
          <t>Sveaskog</t>
        </is>
      </c>
      <c r="G104" t="n">
        <v>6.7</v>
      </c>
      <c r="H104" t="n">
        <v>0</v>
      </c>
      <c r="I104" t="n">
        <v>0</v>
      </c>
      <c r="J104" t="n">
        <v>0</v>
      </c>
      <c r="K104" t="n">
        <v>0</v>
      </c>
      <c r="L104" t="n">
        <v>0</v>
      </c>
      <c r="M104" t="n">
        <v>0</v>
      </c>
      <c r="N104" t="n">
        <v>0</v>
      </c>
      <c r="O104" t="n">
        <v>0</v>
      </c>
      <c r="P104" t="n">
        <v>0</v>
      </c>
      <c r="Q104" t="n">
        <v>0</v>
      </c>
      <c r="R104" s="2" t="inlineStr"/>
    </row>
    <row r="105" ht="15" customHeight="1">
      <c r="A105" t="inlineStr">
        <is>
          <t>A 15279-2026</t>
        </is>
      </c>
      <c r="B105" s="1" t="n">
        <v>46105.61030092592</v>
      </c>
      <c r="C105" s="1" t="n">
        <v>46114</v>
      </c>
      <c r="D105" t="inlineStr">
        <is>
          <t>KALMAR LÄN</t>
        </is>
      </c>
      <c r="E105" t="inlineStr">
        <is>
          <t>BORGHOLM</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9104-2026</t>
        </is>
      </c>
      <c r="B106" s="1" t="n">
        <v>46069</v>
      </c>
      <c r="C106" s="1" t="n">
        <v>46114</v>
      </c>
      <c r="D106" t="inlineStr">
        <is>
          <t>KALMAR LÄN</t>
        </is>
      </c>
      <c r="E106" t="inlineStr">
        <is>
          <t>BORGHOLM</t>
        </is>
      </c>
      <c r="G106" t="n">
        <v>1.3</v>
      </c>
      <c r="H106" t="n">
        <v>0</v>
      </c>
      <c r="I106" t="n">
        <v>0</v>
      </c>
      <c r="J106" t="n">
        <v>0</v>
      </c>
      <c r="K106" t="n">
        <v>0</v>
      </c>
      <c r="L106" t="n">
        <v>0</v>
      </c>
      <c r="M106" t="n">
        <v>0</v>
      </c>
      <c r="N106" t="n">
        <v>0</v>
      </c>
      <c r="O106" t="n">
        <v>0</v>
      </c>
      <c r="P106" t="n">
        <v>0</v>
      </c>
      <c r="Q106" t="n">
        <v>0</v>
      </c>
      <c r="R106" s="2" t="inlineStr"/>
    </row>
    <row r="107" ht="15" customHeight="1">
      <c r="A107" t="inlineStr">
        <is>
          <t>A 9259-2026</t>
        </is>
      </c>
      <c r="B107" s="1" t="n">
        <v>46070.51917824074</v>
      </c>
      <c r="C107" s="1" t="n">
        <v>46114</v>
      </c>
      <c r="D107" t="inlineStr">
        <is>
          <t>KALMAR LÄN</t>
        </is>
      </c>
      <c r="E107" t="inlineStr">
        <is>
          <t>BORGHOLM</t>
        </is>
      </c>
      <c r="G107" t="n">
        <v>1.6</v>
      </c>
      <c r="H107" t="n">
        <v>0</v>
      </c>
      <c r="I107" t="n">
        <v>0</v>
      </c>
      <c r="J107" t="n">
        <v>0</v>
      </c>
      <c r="K107" t="n">
        <v>0</v>
      </c>
      <c r="L107" t="n">
        <v>0</v>
      </c>
      <c r="M107" t="n">
        <v>0</v>
      </c>
      <c r="N107" t="n">
        <v>0</v>
      </c>
      <c r="O107" t="n">
        <v>0</v>
      </c>
      <c r="P107" t="n">
        <v>0</v>
      </c>
      <c r="Q107" t="n">
        <v>0</v>
      </c>
      <c r="R107" s="2" t="inlineStr"/>
    </row>
    <row r="108" ht="15" customHeight="1">
      <c r="A108" t="inlineStr">
        <is>
          <t>A 9044-2025</t>
        </is>
      </c>
      <c r="B108" s="1" t="n">
        <v>45713.6275</v>
      </c>
      <c r="C108" s="1" t="n">
        <v>46114</v>
      </c>
      <c r="D108" t="inlineStr">
        <is>
          <t>KALMAR LÄN</t>
        </is>
      </c>
      <c r="E108" t="inlineStr">
        <is>
          <t>BORGHOLM</t>
        </is>
      </c>
      <c r="F108" t="inlineStr">
        <is>
          <t>Sveaskog</t>
        </is>
      </c>
      <c r="G108" t="n">
        <v>4</v>
      </c>
      <c r="H108" t="n">
        <v>0</v>
      </c>
      <c r="I108" t="n">
        <v>0</v>
      </c>
      <c r="J108" t="n">
        <v>0</v>
      </c>
      <c r="K108" t="n">
        <v>0</v>
      </c>
      <c r="L108" t="n">
        <v>0</v>
      </c>
      <c r="M108" t="n">
        <v>0</v>
      </c>
      <c r="N108" t="n">
        <v>0</v>
      </c>
      <c r="O108" t="n">
        <v>0</v>
      </c>
      <c r="P108" t="n">
        <v>0</v>
      </c>
      <c r="Q108" t="n">
        <v>0</v>
      </c>
      <c r="R108" s="2" t="inlineStr"/>
    </row>
    <row r="109" ht="15" customHeight="1">
      <c r="A109" t="inlineStr">
        <is>
          <t>A 20878-2024</t>
        </is>
      </c>
      <c r="B109" s="1" t="n">
        <v>45439.44748842593</v>
      </c>
      <c r="C109" s="1" t="n">
        <v>46114</v>
      </c>
      <c r="D109" t="inlineStr">
        <is>
          <t>KALMAR LÄN</t>
        </is>
      </c>
      <c r="E109" t="inlineStr">
        <is>
          <t>BORGHOLM</t>
        </is>
      </c>
      <c r="G109" t="n">
        <v>1.9</v>
      </c>
      <c r="H109" t="n">
        <v>0</v>
      </c>
      <c r="I109" t="n">
        <v>0</v>
      </c>
      <c r="J109" t="n">
        <v>0</v>
      </c>
      <c r="K109" t="n">
        <v>0</v>
      </c>
      <c r="L109" t="n">
        <v>0</v>
      </c>
      <c r="M109" t="n">
        <v>0</v>
      </c>
      <c r="N109" t="n">
        <v>0</v>
      </c>
      <c r="O109" t="n">
        <v>0</v>
      </c>
      <c r="P109" t="n">
        <v>0</v>
      </c>
      <c r="Q109" t="n">
        <v>0</v>
      </c>
      <c r="R109" s="2" t="inlineStr"/>
    </row>
    <row r="110" ht="15" customHeight="1">
      <c r="A110" t="inlineStr">
        <is>
          <t>A 17699-2025</t>
        </is>
      </c>
      <c r="B110" s="1" t="n">
        <v>45758.41846064815</v>
      </c>
      <c r="C110" s="1" t="n">
        <v>46114</v>
      </c>
      <c r="D110" t="inlineStr">
        <is>
          <t>KALMAR LÄN</t>
        </is>
      </c>
      <c r="E110" t="inlineStr">
        <is>
          <t>BORGHOLM</t>
        </is>
      </c>
      <c r="G110" t="n">
        <v>0.7</v>
      </c>
      <c r="H110" t="n">
        <v>0</v>
      </c>
      <c r="I110" t="n">
        <v>0</v>
      </c>
      <c r="J110" t="n">
        <v>0</v>
      </c>
      <c r="K110" t="n">
        <v>0</v>
      </c>
      <c r="L110" t="n">
        <v>0</v>
      </c>
      <c r="M110" t="n">
        <v>0</v>
      </c>
      <c r="N110" t="n">
        <v>0</v>
      </c>
      <c r="O110" t="n">
        <v>0</v>
      </c>
      <c r="P110" t="n">
        <v>0</v>
      </c>
      <c r="Q110" t="n">
        <v>0</v>
      </c>
      <c r="R110" s="2" t="inlineStr"/>
    </row>
    <row r="111" ht="15" customHeight="1">
      <c r="A111" t="inlineStr">
        <is>
          <t>A 20287-2025</t>
        </is>
      </c>
      <c r="B111" s="1" t="n">
        <v>45774.60741898148</v>
      </c>
      <c r="C111" s="1" t="n">
        <v>46114</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26160-2024</t>
        </is>
      </c>
      <c r="B112" s="1" t="n">
        <v>45468</v>
      </c>
      <c r="C112" s="1" t="n">
        <v>46114</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c r="T112">
        <f>HYPERLINK("https://klasma.github.io/Logging_0885/kartor/A 26160-2024 karta.png", "A 26160-2024")</f>
        <v/>
      </c>
      <c r="V112">
        <f>HYPERLINK("https://klasma.github.io/Logging_0885/klagomål/A 26160-2024 FSC-klagomål.docx", "A 26160-2024")</f>
        <v/>
      </c>
      <c r="W112">
        <f>HYPERLINK("https://klasma.github.io/Logging_0885/klagomålsmail/A 26160-2024 FSC-klagomål mail.docx", "A 26160-2024")</f>
        <v/>
      </c>
      <c r="X112">
        <f>HYPERLINK("https://klasma.github.io/Logging_0885/tillsyn/A 26160-2024 tillsynsbegäran.docx", "A 26160-2024")</f>
        <v/>
      </c>
      <c r="Y112">
        <f>HYPERLINK("https://klasma.github.io/Logging_0885/tillsynsmail/A 26160-2024 tillsynsbegäran mail.docx", "A 26160-2024")</f>
        <v/>
      </c>
    </row>
    <row r="113" ht="15" customHeight="1">
      <c r="A113" t="inlineStr">
        <is>
          <t>A 63075-2023</t>
        </is>
      </c>
      <c r="B113" s="1" t="n">
        <v>45273</v>
      </c>
      <c r="C113" s="1" t="n">
        <v>46114</v>
      </c>
      <c r="D113" t="inlineStr">
        <is>
          <t>KALMAR LÄN</t>
        </is>
      </c>
      <c r="E113" t="inlineStr">
        <is>
          <t>BORGHOLM</t>
        </is>
      </c>
      <c r="G113" t="n">
        <v>1.1</v>
      </c>
      <c r="H113" t="n">
        <v>0</v>
      </c>
      <c r="I113" t="n">
        <v>0</v>
      </c>
      <c r="J113" t="n">
        <v>0</v>
      </c>
      <c r="K113" t="n">
        <v>0</v>
      </c>
      <c r="L113" t="n">
        <v>0</v>
      </c>
      <c r="M113" t="n">
        <v>0</v>
      </c>
      <c r="N113" t="n">
        <v>0</v>
      </c>
      <c r="O113" t="n">
        <v>0</v>
      </c>
      <c r="P113" t="n">
        <v>0</v>
      </c>
      <c r="Q113" t="n">
        <v>0</v>
      </c>
      <c r="R113" s="2" t="inlineStr"/>
    </row>
    <row r="114" ht="15" customHeight="1">
      <c r="A114" t="inlineStr">
        <is>
          <t>A 17978-2021</t>
        </is>
      </c>
      <c r="B114" s="1" t="n">
        <v>44301</v>
      </c>
      <c r="C114" s="1" t="n">
        <v>46114</v>
      </c>
      <c r="D114" t="inlineStr">
        <is>
          <t>KALMAR LÄN</t>
        </is>
      </c>
      <c r="E114" t="inlineStr">
        <is>
          <t>BORGHOLM</t>
        </is>
      </c>
      <c r="G114" t="n">
        <v>6</v>
      </c>
      <c r="H114" t="n">
        <v>0</v>
      </c>
      <c r="I114" t="n">
        <v>0</v>
      </c>
      <c r="J114" t="n">
        <v>0</v>
      </c>
      <c r="K114" t="n">
        <v>0</v>
      </c>
      <c r="L114" t="n">
        <v>0</v>
      </c>
      <c r="M114" t="n">
        <v>0</v>
      </c>
      <c r="N114" t="n">
        <v>0</v>
      </c>
      <c r="O114" t="n">
        <v>0</v>
      </c>
      <c r="P114" t="n">
        <v>0</v>
      </c>
      <c r="Q114" t="n">
        <v>0</v>
      </c>
      <c r="R114" s="2" t="inlineStr"/>
    </row>
    <row r="115" ht="15" customHeight="1">
      <c r="A115" t="inlineStr">
        <is>
          <t>A 22785-2025</t>
        </is>
      </c>
      <c r="B115" s="1" t="n">
        <v>45789.64186342592</v>
      </c>
      <c r="C115" s="1" t="n">
        <v>46114</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12534-2022</t>
        </is>
      </c>
      <c r="B116" s="1" t="n">
        <v>44638</v>
      </c>
      <c r="C116" s="1" t="n">
        <v>46114</v>
      </c>
      <c r="D116" t="inlineStr">
        <is>
          <t>KALMAR LÄN</t>
        </is>
      </c>
      <c r="E116" t="inlineStr">
        <is>
          <t>BORGHOLM</t>
        </is>
      </c>
      <c r="G116" t="n">
        <v>8.6</v>
      </c>
      <c r="H116" t="n">
        <v>0</v>
      </c>
      <c r="I116" t="n">
        <v>0</v>
      </c>
      <c r="J116" t="n">
        <v>0</v>
      </c>
      <c r="K116" t="n">
        <v>0</v>
      </c>
      <c r="L116" t="n">
        <v>0</v>
      </c>
      <c r="M116" t="n">
        <v>0</v>
      </c>
      <c r="N116" t="n">
        <v>0</v>
      </c>
      <c r="O116" t="n">
        <v>0</v>
      </c>
      <c r="P116" t="n">
        <v>0</v>
      </c>
      <c r="Q116" t="n">
        <v>0</v>
      </c>
      <c r="R116" s="2" t="inlineStr"/>
    </row>
    <row r="117" ht="15" customHeight="1">
      <c r="A117" t="inlineStr">
        <is>
          <t>A 40339-2023</t>
        </is>
      </c>
      <c r="B117" s="1" t="n">
        <v>45169.62733796296</v>
      </c>
      <c r="C117" s="1" t="n">
        <v>46114</v>
      </c>
      <c r="D117" t="inlineStr">
        <is>
          <t>KALMAR LÄN</t>
        </is>
      </c>
      <c r="E117" t="inlineStr">
        <is>
          <t>BORGHOLM</t>
        </is>
      </c>
      <c r="G117" t="n">
        <v>3.8</v>
      </c>
      <c r="H117" t="n">
        <v>0</v>
      </c>
      <c r="I117" t="n">
        <v>0</v>
      </c>
      <c r="J117" t="n">
        <v>0</v>
      </c>
      <c r="K117" t="n">
        <v>0</v>
      </c>
      <c r="L117" t="n">
        <v>0</v>
      </c>
      <c r="M117" t="n">
        <v>0</v>
      </c>
      <c r="N117" t="n">
        <v>0</v>
      </c>
      <c r="O117" t="n">
        <v>0</v>
      </c>
      <c r="P117" t="n">
        <v>0</v>
      </c>
      <c r="Q117" t="n">
        <v>0</v>
      </c>
      <c r="R117" s="2" t="inlineStr"/>
    </row>
    <row r="118" ht="15" customHeight="1">
      <c r="A118" t="inlineStr">
        <is>
          <t>A 24166-2022</t>
        </is>
      </c>
      <c r="B118" s="1" t="n">
        <v>44725</v>
      </c>
      <c r="C118" s="1" t="n">
        <v>46114</v>
      </c>
      <c r="D118" t="inlineStr">
        <is>
          <t>KALMAR LÄN</t>
        </is>
      </c>
      <c r="E118" t="inlineStr">
        <is>
          <t>BORGHOLM</t>
        </is>
      </c>
      <c r="G118" t="n">
        <v>10.7</v>
      </c>
      <c r="H118" t="n">
        <v>0</v>
      </c>
      <c r="I118" t="n">
        <v>0</v>
      </c>
      <c r="J118" t="n">
        <v>0</v>
      </c>
      <c r="K118" t="n">
        <v>0</v>
      </c>
      <c r="L118" t="n">
        <v>0</v>
      </c>
      <c r="M118" t="n">
        <v>0</v>
      </c>
      <c r="N118" t="n">
        <v>0</v>
      </c>
      <c r="O118" t="n">
        <v>0</v>
      </c>
      <c r="P118" t="n">
        <v>0</v>
      </c>
      <c r="Q118" t="n">
        <v>0</v>
      </c>
      <c r="R118" s="2" t="inlineStr"/>
    </row>
    <row r="119" ht="15" customHeight="1">
      <c r="A119" t="inlineStr">
        <is>
          <t>A 26190-2025</t>
        </is>
      </c>
      <c r="B119" s="1" t="n">
        <v>45805.48349537037</v>
      </c>
      <c r="C119" s="1" t="n">
        <v>46114</v>
      </c>
      <c r="D119" t="inlineStr">
        <is>
          <t>KALMAR LÄN</t>
        </is>
      </c>
      <c r="E119" t="inlineStr">
        <is>
          <t>BORGHOLM</t>
        </is>
      </c>
      <c r="G119" t="n">
        <v>3.2</v>
      </c>
      <c r="H119" t="n">
        <v>0</v>
      </c>
      <c r="I119" t="n">
        <v>0</v>
      </c>
      <c r="J119" t="n">
        <v>0</v>
      </c>
      <c r="K119" t="n">
        <v>0</v>
      </c>
      <c r="L119" t="n">
        <v>0</v>
      </c>
      <c r="M119" t="n">
        <v>0</v>
      </c>
      <c r="N119" t="n">
        <v>0</v>
      </c>
      <c r="O119" t="n">
        <v>0</v>
      </c>
      <c r="P119" t="n">
        <v>0</v>
      </c>
      <c r="Q119" t="n">
        <v>0</v>
      </c>
      <c r="R119" s="2" t="inlineStr"/>
    </row>
    <row r="120" ht="15" customHeight="1">
      <c r="A120" t="inlineStr">
        <is>
          <t>A 26160-2025</t>
        </is>
      </c>
      <c r="B120" s="1" t="n">
        <v>45805.4490162037</v>
      </c>
      <c r="C120" s="1" t="n">
        <v>46114</v>
      </c>
      <c r="D120" t="inlineStr">
        <is>
          <t>KALMAR LÄN</t>
        </is>
      </c>
      <c r="E120" t="inlineStr">
        <is>
          <t>BORGHOLM</t>
        </is>
      </c>
      <c r="G120" t="n">
        <v>3.7</v>
      </c>
      <c r="H120" t="n">
        <v>0</v>
      </c>
      <c r="I120" t="n">
        <v>0</v>
      </c>
      <c r="J120" t="n">
        <v>0</v>
      </c>
      <c r="K120" t="n">
        <v>0</v>
      </c>
      <c r="L120" t="n">
        <v>0</v>
      </c>
      <c r="M120" t="n">
        <v>0</v>
      </c>
      <c r="N120" t="n">
        <v>0</v>
      </c>
      <c r="O120" t="n">
        <v>0</v>
      </c>
      <c r="P120" t="n">
        <v>0</v>
      </c>
      <c r="Q120" t="n">
        <v>0</v>
      </c>
      <c r="R120" s="2" t="inlineStr"/>
    </row>
    <row r="121" ht="15" customHeight="1">
      <c r="A121" t="inlineStr">
        <is>
          <t>A 27357-2025</t>
        </is>
      </c>
      <c r="B121" s="1" t="n">
        <v>45812.63650462963</v>
      </c>
      <c r="C121" s="1" t="n">
        <v>46114</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27366-2025</t>
        </is>
      </c>
      <c r="B122" s="1" t="n">
        <v>45812.64475694444</v>
      </c>
      <c r="C122" s="1" t="n">
        <v>46114</v>
      </c>
      <c r="D122" t="inlineStr">
        <is>
          <t>KALMAR LÄN</t>
        </is>
      </c>
      <c r="E122" t="inlineStr">
        <is>
          <t>BORGHOLM</t>
        </is>
      </c>
      <c r="F122" t="inlineStr">
        <is>
          <t>Sveaskog</t>
        </is>
      </c>
      <c r="G122" t="n">
        <v>2.5</v>
      </c>
      <c r="H122" t="n">
        <v>0</v>
      </c>
      <c r="I122" t="n">
        <v>0</v>
      </c>
      <c r="J122" t="n">
        <v>0</v>
      </c>
      <c r="K122" t="n">
        <v>0</v>
      </c>
      <c r="L122" t="n">
        <v>0</v>
      </c>
      <c r="M122" t="n">
        <v>0</v>
      </c>
      <c r="N122" t="n">
        <v>0</v>
      </c>
      <c r="O122" t="n">
        <v>0</v>
      </c>
      <c r="P122" t="n">
        <v>0</v>
      </c>
      <c r="Q122" t="n">
        <v>0</v>
      </c>
      <c r="R122" s="2" t="inlineStr"/>
    </row>
    <row r="123">
      <c r="A123" t="inlineStr">
        <is>
          <t>A 28782-2025</t>
        </is>
      </c>
      <c r="B123" s="1" t="n">
        <v>45820.45572916666</v>
      </c>
      <c r="C123" s="1" t="n">
        <v>46114</v>
      </c>
      <c r="D123" t="inlineStr">
        <is>
          <t>KALMAR LÄN</t>
        </is>
      </c>
      <c r="E123" t="inlineStr">
        <is>
          <t>BORGHOLM</t>
        </is>
      </c>
      <c r="F123" t="inlineStr">
        <is>
          <t>Sveaskog</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2026-04-02T10:37:59Z</dcterms:created>
  <dcterms:modified xmlns:dcterms="http://purl.org/dc/terms/" xmlns:xsi="http://www.w3.org/2001/XMLSchema-instance" xsi:type="dcterms:W3CDTF">2026-04-02T10:37:59Z</dcterms:modified>
</cp:coreProperties>
</file>