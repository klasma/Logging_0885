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46122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46122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46122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46122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46122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46122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46122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46122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46122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46122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46122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46122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46122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46122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46122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46122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46122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46122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60140-2025</t>
        </is>
      </c>
      <c r="B20" s="1" t="n">
        <v>45994.36274305556</v>
      </c>
      <c r="C20" s="1" t="n">
        <v>46122</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15285-2026</t>
        </is>
      </c>
      <c r="B21" s="1" t="n">
        <v>46105.6156712963</v>
      </c>
      <c r="C21" s="1" t="n">
        <v>46122</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Havsörn
Talltita</t>
        </is>
      </c>
      <c r="S21">
        <f>HYPERLINK("https://klasma.github.io/Logging_0885/artfynd/A 15285-2026 artfynd.xlsx", "A 15285-2026")</f>
        <v/>
      </c>
      <c r="T21">
        <f>HYPERLINK("https://klasma.github.io/Logging_0885/kartor/A 15285-2026 karta.png", "A 15285-2026")</f>
        <v/>
      </c>
      <c r="V21">
        <f>HYPERLINK("https://klasma.github.io/Logging_0885/klagomål/A 15285-2026 FSC-klagomål.docx", "A 15285-2026")</f>
        <v/>
      </c>
      <c r="W21">
        <f>HYPERLINK("https://klasma.github.io/Logging_0885/klagomålsmail/A 15285-2026 FSC-klagomål mail.docx", "A 15285-2026")</f>
        <v/>
      </c>
      <c r="X21">
        <f>HYPERLINK("https://klasma.github.io/Logging_0885/tillsyn/A 15285-2026 tillsynsbegäran.docx", "A 15285-2026")</f>
        <v/>
      </c>
      <c r="Y21">
        <f>HYPERLINK("https://klasma.github.io/Logging_0885/tillsynsmail/A 15285-2026 tillsynsbegäran mail.docx", "A 15285-2026")</f>
        <v/>
      </c>
      <c r="Z21">
        <f>HYPERLINK("https://klasma.github.io/Logging_0885/fåglar/A 15285-2026 prioriterade fågelarter.docx", "A 15285-2026")</f>
        <v/>
      </c>
    </row>
    <row r="22" ht="15" customHeight="1">
      <c r="A22" t="inlineStr">
        <is>
          <t>A 32174-2022</t>
        </is>
      </c>
      <c r="B22" s="1" t="n">
        <v>44781</v>
      </c>
      <c r="C22" s="1" t="n">
        <v>46122</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9253-2026</t>
        </is>
      </c>
      <c r="B23" s="1" t="n">
        <v>46070.51003472223</v>
      </c>
      <c r="C23" s="1" t="n">
        <v>46122</v>
      </c>
      <c r="D23" t="inlineStr">
        <is>
          <t>KALMAR LÄN</t>
        </is>
      </c>
      <c r="E23" t="inlineStr">
        <is>
          <t>BORGHOLM</t>
        </is>
      </c>
      <c r="G23" t="n">
        <v>1.1</v>
      </c>
      <c r="H23" t="n">
        <v>1</v>
      </c>
      <c r="I23" t="n">
        <v>1</v>
      </c>
      <c r="J23" t="n">
        <v>0</v>
      </c>
      <c r="K23" t="n">
        <v>0</v>
      </c>
      <c r="L23" t="n">
        <v>0</v>
      </c>
      <c r="M23" t="n">
        <v>0</v>
      </c>
      <c r="N23" t="n">
        <v>0</v>
      </c>
      <c r="O23" t="n">
        <v>0</v>
      </c>
      <c r="P23" t="n">
        <v>0</v>
      </c>
      <c r="Q23" t="n">
        <v>2</v>
      </c>
      <c r="R23" s="2" t="inlineStr">
        <is>
          <t>Murgröna
Gullviva</t>
        </is>
      </c>
      <c r="S23">
        <f>HYPERLINK("https://klasma.github.io/Logging_0885/artfynd/A 9253-2026 artfynd.xlsx", "A 9253-2026")</f>
        <v/>
      </c>
      <c r="T23">
        <f>HYPERLINK("https://klasma.github.io/Logging_0885/kartor/A 9253-2026 karta.png", "A 9253-2026")</f>
        <v/>
      </c>
      <c r="V23">
        <f>HYPERLINK("https://klasma.github.io/Logging_0885/klagomål/A 9253-2026 FSC-klagomål.docx", "A 9253-2026")</f>
        <v/>
      </c>
      <c r="W23">
        <f>HYPERLINK("https://klasma.github.io/Logging_0885/klagomålsmail/A 9253-2026 FSC-klagomål mail.docx", "A 9253-2026")</f>
        <v/>
      </c>
      <c r="X23">
        <f>HYPERLINK("https://klasma.github.io/Logging_0885/tillsyn/A 9253-2026 tillsynsbegäran.docx", "A 9253-2026")</f>
        <v/>
      </c>
      <c r="Y23">
        <f>HYPERLINK("https://klasma.github.io/Logging_0885/tillsynsmail/A 9253-2026 tillsynsbegäran mail.docx", "A 9253-2026")</f>
        <v/>
      </c>
    </row>
    <row r="24" ht="15" customHeight="1">
      <c r="A24" t="inlineStr">
        <is>
          <t>A 13556-2025</t>
        </is>
      </c>
      <c r="B24" s="1" t="n">
        <v>45736.54759259259</v>
      </c>
      <c r="C24" s="1" t="n">
        <v>46122</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46122</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34944-2022</t>
        </is>
      </c>
      <c r="B26" s="1" t="n">
        <v>44796</v>
      </c>
      <c r="C26" s="1" t="n">
        <v>46122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46122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46122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46122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46122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46122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46122</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3302-2026</t>
        </is>
      </c>
      <c r="B33" s="1" t="n">
        <v>46041</v>
      </c>
      <c r="C33" s="1" t="n">
        <v>46122</v>
      </c>
      <c r="D33" t="inlineStr">
        <is>
          <t>KALMAR LÄN</t>
        </is>
      </c>
      <c r="E33" t="inlineStr">
        <is>
          <t>BORGHOLM</t>
        </is>
      </c>
      <c r="G33" t="n">
        <v>3.9</v>
      </c>
      <c r="H33" t="n">
        <v>1</v>
      </c>
      <c r="I33" t="n">
        <v>0</v>
      </c>
      <c r="J33" t="n">
        <v>0</v>
      </c>
      <c r="K33" t="n">
        <v>0</v>
      </c>
      <c r="L33" t="n">
        <v>0</v>
      </c>
      <c r="M33" t="n">
        <v>0</v>
      </c>
      <c r="N33" t="n">
        <v>0</v>
      </c>
      <c r="O33" t="n">
        <v>0</v>
      </c>
      <c r="P33" t="n">
        <v>0</v>
      </c>
      <c r="Q33" t="n">
        <v>1</v>
      </c>
      <c r="R33" s="2" t="inlineStr">
        <is>
          <t>Blåsippa</t>
        </is>
      </c>
      <c r="S33">
        <f>HYPERLINK("https://klasma.github.io/Logging_0885/artfynd/A 3302-2026 artfynd.xlsx", "A 3302-2026")</f>
        <v/>
      </c>
      <c r="T33">
        <f>HYPERLINK("https://klasma.github.io/Logging_0885/kartor/A 3302-2026 karta.png", "A 3302-2026")</f>
        <v/>
      </c>
      <c r="V33">
        <f>HYPERLINK("https://klasma.github.io/Logging_0885/klagomål/A 3302-2026 FSC-klagomål.docx", "A 3302-2026")</f>
        <v/>
      </c>
      <c r="W33">
        <f>HYPERLINK("https://klasma.github.io/Logging_0885/klagomålsmail/A 3302-2026 FSC-klagomål mail.docx", "A 3302-2026")</f>
        <v/>
      </c>
      <c r="X33">
        <f>HYPERLINK("https://klasma.github.io/Logging_0885/tillsyn/A 3302-2026 tillsynsbegäran.docx", "A 3302-2026")</f>
        <v/>
      </c>
      <c r="Y33">
        <f>HYPERLINK("https://klasma.github.io/Logging_0885/tillsynsmail/A 3302-2026 tillsynsbegäran mail.docx", "A 3302-2026")</f>
        <v/>
      </c>
    </row>
    <row r="34" ht="15" customHeight="1">
      <c r="A34" t="inlineStr">
        <is>
          <t>A 24048-2025</t>
        </is>
      </c>
      <c r="B34" s="1" t="n">
        <v>45796.4959375</v>
      </c>
      <c r="C34" s="1" t="n">
        <v>46122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45693-2025</t>
        </is>
      </c>
      <c r="B35" s="1" t="n">
        <v>45923</v>
      </c>
      <c r="C35" s="1" t="n">
        <v>46122</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41640-2023</t>
        </is>
      </c>
      <c r="B36" s="1" t="n">
        <v>45175</v>
      </c>
      <c r="C36" s="1" t="n">
        <v>46122</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13558-2025</t>
        </is>
      </c>
      <c r="B37" s="1" t="n">
        <v>45736.54974537037</v>
      </c>
      <c r="C37" s="1" t="n">
        <v>46122</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46122</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28785-2025</t>
        </is>
      </c>
      <c r="B39" s="1" t="n">
        <v>45820.46159722222</v>
      </c>
      <c r="C39" s="1" t="n">
        <v>46122</v>
      </c>
      <c r="D39" t="inlineStr">
        <is>
          <t>KALMAR LÄN</t>
        </is>
      </c>
      <c r="E39" t="inlineStr">
        <is>
          <t>BORGHOLM</t>
        </is>
      </c>
      <c r="F39" t="inlineStr">
        <is>
          <t>Sveaskog</t>
        </is>
      </c>
      <c r="G39" t="n">
        <v>2.3</v>
      </c>
      <c r="H39" t="n">
        <v>1</v>
      </c>
      <c r="I39" t="n">
        <v>0</v>
      </c>
      <c r="J39" t="n">
        <v>1</v>
      </c>
      <c r="K39" t="n">
        <v>0</v>
      </c>
      <c r="L39" t="n">
        <v>0</v>
      </c>
      <c r="M39" t="n">
        <v>0</v>
      </c>
      <c r="N39" t="n">
        <v>0</v>
      </c>
      <c r="O39" t="n">
        <v>1</v>
      </c>
      <c r="P39" t="n">
        <v>0</v>
      </c>
      <c r="Q39" t="n">
        <v>1</v>
      </c>
      <c r="R39" s="2" t="inlineStr">
        <is>
          <t>Havsörn</t>
        </is>
      </c>
      <c r="S39">
        <f>HYPERLINK("https://klasma.github.io/Logging_0885/artfynd/A 28785-2025 artfynd.xlsx", "A 28785-2025")</f>
        <v/>
      </c>
      <c r="T39">
        <f>HYPERLINK("https://klasma.github.io/Logging_0885/kartor/A 28785-2025 karta.png", "A 28785-2025")</f>
        <v/>
      </c>
      <c r="V39">
        <f>HYPERLINK("https://klasma.github.io/Logging_0885/klagomål/A 28785-2025 FSC-klagomål.docx", "A 28785-2025")</f>
        <v/>
      </c>
      <c r="W39">
        <f>HYPERLINK("https://klasma.github.io/Logging_0885/klagomålsmail/A 28785-2025 FSC-klagomål mail.docx", "A 28785-2025")</f>
        <v/>
      </c>
      <c r="X39">
        <f>HYPERLINK("https://klasma.github.io/Logging_0885/tillsyn/A 28785-2025 tillsynsbegäran.docx", "A 28785-2025")</f>
        <v/>
      </c>
      <c r="Y39">
        <f>HYPERLINK("https://klasma.github.io/Logging_0885/tillsynsmail/A 28785-2025 tillsynsbegäran mail.docx", "A 28785-2025")</f>
        <v/>
      </c>
      <c r="Z39">
        <f>HYPERLINK("https://klasma.github.io/Logging_0885/fåglar/A 28785-2025 prioriterade fågelarter.docx", "A 28785-2025")</f>
        <v/>
      </c>
    </row>
    <row r="40" ht="15" customHeight="1">
      <c r="A40" t="inlineStr">
        <is>
          <t>A 43603-2024</t>
        </is>
      </c>
      <c r="B40" s="1" t="n">
        <v>45569.44700231482</v>
      </c>
      <c r="C40" s="1" t="n">
        <v>46122</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29962-2025</t>
        </is>
      </c>
      <c r="B41" s="1" t="n">
        <v>45826.48184027777</v>
      </c>
      <c r="C41" s="1" t="n">
        <v>46122</v>
      </c>
      <c r="D41" t="inlineStr">
        <is>
          <t>KALMAR LÄN</t>
        </is>
      </c>
      <c r="E41" t="inlineStr">
        <is>
          <t>BORGHOLM</t>
        </is>
      </c>
      <c r="G41" t="n">
        <v>3.3</v>
      </c>
      <c r="H41" t="n">
        <v>1</v>
      </c>
      <c r="I41" t="n">
        <v>0</v>
      </c>
      <c r="J41" t="n">
        <v>0</v>
      </c>
      <c r="K41" t="n">
        <v>0</v>
      </c>
      <c r="L41" t="n">
        <v>0</v>
      </c>
      <c r="M41" t="n">
        <v>0</v>
      </c>
      <c r="N41" t="n">
        <v>0</v>
      </c>
      <c r="O41" t="n">
        <v>0</v>
      </c>
      <c r="P41" t="n">
        <v>0</v>
      </c>
      <c r="Q41" t="n">
        <v>1</v>
      </c>
      <c r="R41" s="2" t="inlineStr">
        <is>
          <t>Grönvit nattviol</t>
        </is>
      </c>
      <c r="S41">
        <f>HYPERLINK("https://klasma.github.io/Logging_0885/artfynd/A 29962-2025 artfynd.xlsx", "A 29962-2025")</f>
        <v/>
      </c>
      <c r="T41">
        <f>HYPERLINK("https://klasma.github.io/Logging_0885/kartor/A 29962-2025 karta.png", "A 29962-2025")</f>
        <v/>
      </c>
      <c r="V41">
        <f>HYPERLINK("https://klasma.github.io/Logging_0885/klagomål/A 29962-2025 FSC-klagomål.docx", "A 29962-2025")</f>
        <v/>
      </c>
      <c r="W41">
        <f>HYPERLINK("https://klasma.github.io/Logging_0885/klagomålsmail/A 29962-2025 FSC-klagomål mail.docx", "A 29962-2025")</f>
        <v/>
      </c>
      <c r="X41">
        <f>HYPERLINK("https://klasma.github.io/Logging_0885/tillsyn/A 29962-2025 tillsynsbegäran.docx", "A 29962-2025")</f>
        <v/>
      </c>
      <c r="Y41">
        <f>HYPERLINK("https://klasma.github.io/Logging_0885/tillsynsmail/A 29962-2025 tillsynsbegäran mail.docx", "A 29962-2025")</f>
        <v/>
      </c>
    </row>
    <row r="42" ht="15" customHeight="1">
      <c r="A42" t="inlineStr">
        <is>
          <t>A 24704-2023</t>
        </is>
      </c>
      <c r="B42" s="1" t="n">
        <v>45084</v>
      </c>
      <c r="C42" s="1" t="n">
        <v>46122</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34885-2025</t>
        </is>
      </c>
      <c r="B43" s="1" t="n">
        <v>45849.47128472223</v>
      </c>
      <c r="C43" s="1" t="n">
        <v>46122</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46122</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46122</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46122</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46122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46122</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46122</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46122</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46122</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46122</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46122</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46122</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46122</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46122</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46122</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46122</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46122</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22785-2025</t>
        </is>
      </c>
      <c r="B60" s="1" t="n">
        <v>45789.64186342592</v>
      </c>
      <c r="C60" s="1" t="n">
        <v>46122</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60141-2025</t>
        </is>
      </c>
      <c r="B61" s="1" t="n">
        <v>45994.36873842592</v>
      </c>
      <c r="C61" s="1" t="n">
        <v>46122</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61723-2025</t>
        </is>
      </c>
      <c r="B62" s="1" t="n">
        <v>46002.58388888889</v>
      </c>
      <c r="C62" s="1" t="n">
        <v>46122</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20878-2024</t>
        </is>
      </c>
      <c r="B63" s="1" t="n">
        <v>45439.44748842593</v>
      </c>
      <c r="C63" s="1" t="n">
        <v>46122</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41831-2025</t>
        </is>
      </c>
      <c r="B64" s="1" t="n">
        <v>45902.67887731481</v>
      </c>
      <c r="C64" s="1" t="n">
        <v>46122</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42232-2025</t>
        </is>
      </c>
      <c r="B65" s="1" t="n">
        <v>45904.55591435185</v>
      </c>
      <c r="C65" s="1" t="n">
        <v>46122</v>
      </c>
      <c r="D65" t="inlineStr">
        <is>
          <t>KALMAR LÄN</t>
        </is>
      </c>
      <c r="E65" t="inlineStr">
        <is>
          <t>BORGHOLM</t>
        </is>
      </c>
      <c r="F65" t="inlineStr">
        <is>
          <t>Sveaskog</t>
        </is>
      </c>
      <c r="G65" t="n">
        <v>1.7</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46122</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43542-2025</t>
        </is>
      </c>
      <c r="B67" s="1" t="n">
        <v>45911.61123842592</v>
      </c>
      <c r="C67" s="1" t="n">
        <v>46122</v>
      </c>
      <c r="D67" t="inlineStr">
        <is>
          <t>KALMAR LÄN</t>
        </is>
      </c>
      <c r="E67" t="inlineStr">
        <is>
          <t>BORGHOLM</t>
        </is>
      </c>
      <c r="G67" t="n">
        <v>2.4</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46122</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12534-2022</t>
        </is>
      </c>
      <c r="B69" s="1" t="n">
        <v>44638</v>
      </c>
      <c r="C69" s="1" t="n">
        <v>46122</v>
      </c>
      <c r="D69" t="inlineStr">
        <is>
          <t>KALMAR LÄN</t>
        </is>
      </c>
      <c r="E69" t="inlineStr">
        <is>
          <t>BORGHOLM</t>
        </is>
      </c>
      <c r="G69" t="n">
        <v>8.6</v>
      </c>
      <c r="H69" t="n">
        <v>0</v>
      </c>
      <c r="I69" t="n">
        <v>0</v>
      </c>
      <c r="J69" t="n">
        <v>0</v>
      </c>
      <c r="K69" t="n">
        <v>0</v>
      </c>
      <c r="L69" t="n">
        <v>0</v>
      </c>
      <c r="M69" t="n">
        <v>0</v>
      </c>
      <c r="N69" t="n">
        <v>0</v>
      </c>
      <c r="O69" t="n">
        <v>0</v>
      </c>
      <c r="P69" t="n">
        <v>0</v>
      </c>
      <c r="Q69" t="n">
        <v>0</v>
      </c>
      <c r="R69" s="2" t="inlineStr"/>
    </row>
    <row r="70" ht="15" customHeight="1">
      <c r="A70" t="inlineStr">
        <is>
          <t>A 45734-2025</t>
        </is>
      </c>
      <c r="B70" s="1" t="n">
        <v>45923.46512731481</v>
      </c>
      <c r="C70" s="1" t="n">
        <v>46122</v>
      </c>
      <c r="D70" t="inlineStr">
        <is>
          <t>KALMAR LÄN</t>
        </is>
      </c>
      <c r="E70" t="inlineStr">
        <is>
          <t>BORGHOLM</t>
        </is>
      </c>
      <c r="G70" t="n">
        <v>5</v>
      </c>
      <c r="H70" t="n">
        <v>0</v>
      </c>
      <c r="I70" t="n">
        <v>0</v>
      </c>
      <c r="J70" t="n">
        <v>0</v>
      </c>
      <c r="K70" t="n">
        <v>0</v>
      </c>
      <c r="L70" t="n">
        <v>0</v>
      </c>
      <c r="M70" t="n">
        <v>0</v>
      </c>
      <c r="N70" t="n">
        <v>0</v>
      </c>
      <c r="O70" t="n">
        <v>0</v>
      </c>
      <c r="P70" t="n">
        <v>0</v>
      </c>
      <c r="Q70" t="n">
        <v>0</v>
      </c>
      <c r="R70" s="2" t="inlineStr"/>
    </row>
    <row r="71" ht="15" customHeight="1">
      <c r="A71" t="inlineStr">
        <is>
          <t>A 45869-2025</t>
        </is>
      </c>
      <c r="B71" s="1" t="n">
        <v>45923.65313657407</v>
      </c>
      <c r="C71" s="1" t="n">
        <v>46122</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53050-2021</t>
        </is>
      </c>
      <c r="B72" s="1" t="n">
        <v>44467</v>
      </c>
      <c r="C72" s="1" t="n">
        <v>46122</v>
      </c>
      <c r="D72" t="inlineStr">
        <is>
          <t>KALMAR LÄN</t>
        </is>
      </c>
      <c r="E72" t="inlineStr">
        <is>
          <t>BORGHOLM</t>
        </is>
      </c>
      <c r="G72" t="n">
        <v>3.6</v>
      </c>
      <c r="H72" t="n">
        <v>0</v>
      </c>
      <c r="I72" t="n">
        <v>0</v>
      </c>
      <c r="J72" t="n">
        <v>0</v>
      </c>
      <c r="K72" t="n">
        <v>0</v>
      </c>
      <c r="L72" t="n">
        <v>0</v>
      </c>
      <c r="M72" t="n">
        <v>0</v>
      </c>
      <c r="N72" t="n">
        <v>0</v>
      </c>
      <c r="O72" t="n">
        <v>0</v>
      </c>
      <c r="P72" t="n">
        <v>0</v>
      </c>
      <c r="Q72" t="n">
        <v>0</v>
      </c>
      <c r="R72" s="2" t="inlineStr"/>
    </row>
    <row r="73" ht="15" customHeight="1">
      <c r="A73" t="inlineStr">
        <is>
          <t>A 46845-2025</t>
        </is>
      </c>
      <c r="B73" s="1" t="n">
        <v>45928</v>
      </c>
      <c r="C73" s="1" t="n">
        <v>46122</v>
      </c>
      <c r="D73" t="inlineStr">
        <is>
          <t>KALMAR LÄN</t>
        </is>
      </c>
      <c r="E73" t="inlineStr">
        <is>
          <t>BORGHOLM</t>
        </is>
      </c>
      <c r="G73" t="n">
        <v>2.7</v>
      </c>
      <c r="H73" t="n">
        <v>0</v>
      </c>
      <c r="I73" t="n">
        <v>0</v>
      </c>
      <c r="J73" t="n">
        <v>0</v>
      </c>
      <c r="K73" t="n">
        <v>0</v>
      </c>
      <c r="L73" t="n">
        <v>0</v>
      </c>
      <c r="M73" t="n">
        <v>0</v>
      </c>
      <c r="N73" t="n">
        <v>0</v>
      </c>
      <c r="O73" t="n">
        <v>0</v>
      </c>
      <c r="P73" t="n">
        <v>0</v>
      </c>
      <c r="Q73" t="n">
        <v>0</v>
      </c>
      <c r="R73" s="2" t="inlineStr"/>
    </row>
    <row r="74" ht="15" customHeight="1">
      <c r="A74" t="inlineStr">
        <is>
          <t>A 31720-2022</t>
        </is>
      </c>
      <c r="B74" s="1" t="n">
        <v>44776</v>
      </c>
      <c r="C74" s="1" t="n">
        <v>46122</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46122</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46122</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40339-2023</t>
        </is>
      </c>
      <c r="B77" s="1" t="n">
        <v>45169.62733796296</v>
      </c>
      <c r="C77" s="1" t="n">
        <v>46122</v>
      </c>
      <c r="D77" t="inlineStr">
        <is>
          <t>KALMAR LÄN</t>
        </is>
      </c>
      <c r="E77" t="inlineStr">
        <is>
          <t>BORGHOLM</t>
        </is>
      </c>
      <c r="G77" t="n">
        <v>3.8</v>
      </c>
      <c r="H77" t="n">
        <v>0</v>
      </c>
      <c r="I77" t="n">
        <v>0</v>
      </c>
      <c r="J77" t="n">
        <v>0</v>
      </c>
      <c r="K77" t="n">
        <v>0</v>
      </c>
      <c r="L77" t="n">
        <v>0</v>
      </c>
      <c r="M77" t="n">
        <v>0</v>
      </c>
      <c r="N77" t="n">
        <v>0</v>
      </c>
      <c r="O77" t="n">
        <v>0</v>
      </c>
      <c r="P77" t="n">
        <v>0</v>
      </c>
      <c r="Q77" t="n">
        <v>0</v>
      </c>
      <c r="R77" s="2" t="inlineStr"/>
    </row>
    <row r="78" ht="15" customHeight="1">
      <c r="A78" t="inlineStr">
        <is>
          <t>A 7481-2026</t>
        </is>
      </c>
      <c r="B78" s="1" t="n">
        <v>46059.51359953704</v>
      </c>
      <c r="C78" s="1" t="n">
        <v>46122</v>
      </c>
      <c r="D78" t="inlineStr">
        <is>
          <t>KALMAR LÄN</t>
        </is>
      </c>
      <c r="E78" t="inlineStr">
        <is>
          <t>BORGHOLM</t>
        </is>
      </c>
      <c r="G78" t="n">
        <v>1.9</v>
      </c>
      <c r="H78" t="n">
        <v>0</v>
      </c>
      <c r="I78" t="n">
        <v>0</v>
      </c>
      <c r="J78" t="n">
        <v>0</v>
      </c>
      <c r="K78" t="n">
        <v>0</v>
      </c>
      <c r="L78" t="n">
        <v>0</v>
      </c>
      <c r="M78" t="n">
        <v>0</v>
      </c>
      <c r="N78" t="n">
        <v>0</v>
      </c>
      <c r="O78" t="n">
        <v>0</v>
      </c>
      <c r="P78" t="n">
        <v>0</v>
      </c>
      <c r="Q78" t="n">
        <v>0</v>
      </c>
      <c r="R78" s="2" t="inlineStr"/>
    </row>
    <row r="79" ht="15" customHeight="1">
      <c r="A79" t="inlineStr">
        <is>
          <t>A 24166-2022</t>
        </is>
      </c>
      <c r="B79" s="1" t="n">
        <v>44725</v>
      </c>
      <c r="C79" s="1" t="n">
        <v>46122</v>
      </c>
      <c r="D79" t="inlineStr">
        <is>
          <t>KALMAR LÄN</t>
        </is>
      </c>
      <c r="E79" t="inlineStr">
        <is>
          <t>BORGHOLM</t>
        </is>
      </c>
      <c r="G79" t="n">
        <v>10.7</v>
      </c>
      <c r="H79" t="n">
        <v>0</v>
      </c>
      <c r="I79" t="n">
        <v>0</v>
      </c>
      <c r="J79" t="n">
        <v>0</v>
      </c>
      <c r="K79" t="n">
        <v>0</v>
      </c>
      <c r="L79" t="n">
        <v>0</v>
      </c>
      <c r="M79" t="n">
        <v>0</v>
      </c>
      <c r="N79" t="n">
        <v>0</v>
      </c>
      <c r="O79" t="n">
        <v>0</v>
      </c>
      <c r="P79" t="n">
        <v>0</v>
      </c>
      <c r="Q79" t="n">
        <v>0</v>
      </c>
      <c r="R79" s="2" t="inlineStr"/>
    </row>
    <row r="80" ht="15" customHeight="1">
      <c r="A80" t="inlineStr">
        <is>
          <t>A 13548-2025</t>
        </is>
      </c>
      <c r="B80" s="1" t="n">
        <v>45736.53827546296</v>
      </c>
      <c r="C80" s="1" t="n">
        <v>46122</v>
      </c>
      <c r="D80" t="inlineStr">
        <is>
          <t>KALMAR LÄN</t>
        </is>
      </c>
      <c r="E80" t="inlineStr">
        <is>
          <t>BORGHOLM</t>
        </is>
      </c>
      <c r="G80" t="n">
        <v>1</v>
      </c>
      <c r="H80" t="n">
        <v>0</v>
      </c>
      <c r="I80" t="n">
        <v>0</v>
      </c>
      <c r="J80" t="n">
        <v>0</v>
      </c>
      <c r="K80" t="n">
        <v>0</v>
      </c>
      <c r="L80" t="n">
        <v>0</v>
      </c>
      <c r="M80" t="n">
        <v>0</v>
      </c>
      <c r="N80" t="n">
        <v>0</v>
      </c>
      <c r="O80" t="n">
        <v>0</v>
      </c>
      <c r="P80" t="n">
        <v>0</v>
      </c>
      <c r="Q80" t="n">
        <v>0</v>
      </c>
      <c r="R80" s="2" t="inlineStr"/>
    </row>
    <row r="81" ht="15" customHeight="1">
      <c r="A81" t="inlineStr">
        <is>
          <t>A 15264-2026</t>
        </is>
      </c>
      <c r="B81" s="1" t="n">
        <v>46105.59372685185</v>
      </c>
      <c r="C81" s="1" t="n">
        <v>46122</v>
      </c>
      <c r="D81" t="inlineStr">
        <is>
          <t>KALMAR LÄN</t>
        </is>
      </c>
      <c r="E81" t="inlineStr">
        <is>
          <t>BORGHOLM</t>
        </is>
      </c>
      <c r="F81" t="inlineStr">
        <is>
          <t>Sveaskog</t>
        </is>
      </c>
      <c r="G81" t="n">
        <v>1.7</v>
      </c>
      <c r="H81" t="n">
        <v>0</v>
      </c>
      <c r="I81" t="n">
        <v>0</v>
      </c>
      <c r="J81" t="n">
        <v>0</v>
      </c>
      <c r="K81" t="n">
        <v>0</v>
      </c>
      <c r="L81" t="n">
        <v>0</v>
      </c>
      <c r="M81" t="n">
        <v>0</v>
      </c>
      <c r="N81" t="n">
        <v>0</v>
      </c>
      <c r="O81" t="n">
        <v>0</v>
      </c>
      <c r="P81" t="n">
        <v>0</v>
      </c>
      <c r="Q81" t="n">
        <v>0</v>
      </c>
      <c r="R81" s="2" t="inlineStr"/>
    </row>
    <row r="82" ht="15" customHeight="1">
      <c r="A82" t="inlineStr">
        <is>
          <t>A 32921-2023</t>
        </is>
      </c>
      <c r="B82" s="1" t="n">
        <v>45125</v>
      </c>
      <c r="C82" s="1" t="n">
        <v>46122</v>
      </c>
      <c r="D82" t="inlineStr">
        <is>
          <t>KALMAR LÄN</t>
        </is>
      </c>
      <c r="E82" t="inlineStr">
        <is>
          <t>BORGHOLM</t>
        </is>
      </c>
      <c r="G82" t="n">
        <v>2.9</v>
      </c>
      <c r="H82" t="n">
        <v>0</v>
      </c>
      <c r="I82" t="n">
        <v>0</v>
      </c>
      <c r="J82" t="n">
        <v>0</v>
      </c>
      <c r="K82" t="n">
        <v>0</v>
      </c>
      <c r="L82" t="n">
        <v>0</v>
      </c>
      <c r="M82" t="n">
        <v>0</v>
      </c>
      <c r="N82" t="n">
        <v>0</v>
      </c>
      <c r="O82" t="n">
        <v>0</v>
      </c>
      <c r="P82" t="n">
        <v>0</v>
      </c>
      <c r="Q82" t="n">
        <v>0</v>
      </c>
      <c r="R82" s="2" t="inlineStr"/>
    </row>
    <row r="83" ht="15" customHeight="1">
      <c r="A83" t="inlineStr">
        <is>
          <t>A 15272-2026</t>
        </is>
      </c>
      <c r="B83" s="1" t="n">
        <v>46105.60017361111</v>
      </c>
      <c r="C83" s="1" t="n">
        <v>46122</v>
      </c>
      <c r="D83" t="inlineStr">
        <is>
          <t>KALMAR LÄN</t>
        </is>
      </c>
      <c r="E83" t="inlineStr">
        <is>
          <t>BORGHOLM</t>
        </is>
      </c>
      <c r="F83" t="inlineStr">
        <is>
          <t>Sveaskog</t>
        </is>
      </c>
      <c r="G83" t="n">
        <v>2.9</v>
      </c>
      <c r="H83" t="n">
        <v>0</v>
      </c>
      <c r="I83" t="n">
        <v>0</v>
      </c>
      <c r="J83" t="n">
        <v>0</v>
      </c>
      <c r="K83" t="n">
        <v>0</v>
      </c>
      <c r="L83" t="n">
        <v>0</v>
      </c>
      <c r="M83" t="n">
        <v>0</v>
      </c>
      <c r="N83" t="n">
        <v>0</v>
      </c>
      <c r="O83" t="n">
        <v>0</v>
      </c>
      <c r="P83" t="n">
        <v>0</v>
      </c>
      <c r="Q83" t="n">
        <v>0</v>
      </c>
      <c r="R83" s="2" t="inlineStr"/>
    </row>
    <row r="84" ht="15" customHeight="1">
      <c r="A84" t="inlineStr">
        <is>
          <t>A 15279-2026</t>
        </is>
      </c>
      <c r="B84" s="1" t="n">
        <v>46105.61030092592</v>
      </c>
      <c r="C84" s="1" t="n">
        <v>46122</v>
      </c>
      <c r="D84" t="inlineStr">
        <is>
          <t>KALMAR LÄN</t>
        </is>
      </c>
      <c r="E84" t="inlineStr">
        <is>
          <t>BORGHOLM</t>
        </is>
      </c>
      <c r="F84" t="inlineStr">
        <is>
          <t>Sveaskog</t>
        </is>
      </c>
      <c r="G84" t="n">
        <v>4.6</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46122</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9104-2026</t>
        </is>
      </c>
      <c r="B86" s="1" t="n">
        <v>46069</v>
      </c>
      <c r="C86" s="1" t="n">
        <v>46122</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46122</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44678-2022</t>
        </is>
      </c>
      <c r="B88" s="1" t="n">
        <v>44840.65100694444</v>
      </c>
      <c r="C88" s="1" t="n">
        <v>46122</v>
      </c>
      <c r="D88" t="inlineStr">
        <is>
          <t>KALMAR LÄN</t>
        </is>
      </c>
      <c r="E88" t="inlineStr">
        <is>
          <t>BORGHOLM</t>
        </is>
      </c>
      <c r="G88" t="n">
        <v>2.4</v>
      </c>
      <c r="H88" t="n">
        <v>0</v>
      </c>
      <c r="I88" t="n">
        <v>0</v>
      </c>
      <c r="J88" t="n">
        <v>0</v>
      </c>
      <c r="K88" t="n">
        <v>0</v>
      </c>
      <c r="L88" t="n">
        <v>0</v>
      </c>
      <c r="M88" t="n">
        <v>0</v>
      </c>
      <c r="N88" t="n">
        <v>0</v>
      </c>
      <c r="O88" t="n">
        <v>0</v>
      </c>
      <c r="P88" t="n">
        <v>0</v>
      </c>
      <c r="Q88" t="n">
        <v>0</v>
      </c>
      <c r="R88" s="2" t="inlineStr"/>
    </row>
    <row r="89" ht="15" customHeight="1">
      <c r="A89" t="inlineStr">
        <is>
          <t>A 9259-2026</t>
        </is>
      </c>
      <c r="B89" s="1" t="n">
        <v>46070.51917824074</v>
      </c>
      <c r="C89" s="1" t="n">
        <v>46122</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46122</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9905-2026</t>
        </is>
      </c>
      <c r="B91" s="1" t="n">
        <v>46073.4108912037</v>
      </c>
      <c r="C91" s="1" t="n">
        <v>46122</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46122</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46122</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46122</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46122</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46122</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46122</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46122</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1757-2025</t>
        </is>
      </c>
      <c r="B99" s="1" t="n">
        <v>45671.42195601852</v>
      </c>
      <c r="C99" s="1" t="n">
        <v>46122</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17699-2025</t>
        </is>
      </c>
      <c r="B100" s="1" t="n">
        <v>45758.41846064815</v>
      </c>
      <c r="C100" s="1" t="n">
        <v>46122</v>
      </c>
      <c r="D100" t="inlineStr">
        <is>
          <t>KALMAR LÄN</t>
        </is>
      </c>
      <c r="E100" t="inlineStr">
        <is>
          <t>BORGHOLM</t>
        </is>
      </c>
      <c r="G100" t="n">
        <v>0.7</v>
      </c>
      <c r="H100" t="n">
        <v>0</v>
      </c>
      <c r="I100" t="n">
        <v>0</v>
      </c>
      <c r="J100" t="n">
        <v>0</v>
      </c>
      <c r="K100" t="n">
        <v>0</v>
      </c>
      <c r="L100" t="n">
        <v>0</v>
      </c>
      <c r="M100" t="n">
        <v>0</v>
      </c>
      <c r="N100" t="n">
        <v>0</v>
      </c>
      <c r="O100" t="n">
        <v>0</v>
      </c>
      <c r="P100" t="n">
        <v>0</v>
      </c>
      <c r="Q100" t="n">
        <v>0</v>
      </c>
      <c r="R100" s="2" t="inlineStr"/>
    </row>
    <row r="101" ht="15" customHeight="1">
      <c r="A101" t="inlineStr">
        <is>
          <t>A 7669-2024</t>
        </is>
      </c>
      <c r="B101" s="1" t="n">
        <v>45348.82498842593</v>
      </c>
      <c r="C101" s="1" t="n">
        <v>46122</v>
      </c>
      <c r="D101" t="inlineStr">
        <is>
          <t>KALMAR LÄN</t>
        </is>
      </c>
      <c r="E101" t="inlineStr">
        <is>
          <t>BORGHOLM</t>
        </is>
      </c>
      <c r="G101" t="n">
        <v>2.3</v>
      </c>
      <c r="H101" t="n">
        <v>0</v>
      </c>
      <c r="I101" t="n">
        <v>0</v>
      </c>
      <c r="J101" t="n">
        <v>0</v>
      </c>
      <c r="K101" t="n">
        <v>0</v>
      </c>
      <c r="L101" t="n">
        <v>0</v>
      </c>
      <c r="M101" t="n">
        <v>0</v>
      </c>
      <c r="N101" t="n">
        <v>0</v>
      </c>
      <c r="O101" t="n">
        <v>0</v>
      </c>
      <c r="P101" t="n">
        <v>0</v>
      </c>
      <c r="Q101" t="n">
        <v>0</v>
      </c>
      <c r="R101" s="2" t="inlineStr"/>
    </row>
    <row r="102" ht="15" customHeight="1">
      <c r="A102" t="inlineStr">
        <is>
          <t>A 34780-2022</t>
        </is>
      </c>
      <c r="B102" s="1" t="n">
        <v>44795</v>
      </c>
      <c r="C102" s="1" t="n">
        <v>46122</v>
      </c>
      <c r="D102" t="inlineStr">
        <is>
          <t>KALMAR LÄN</t>
        </is>
      </c>
      <c r="E102" t="inlineStr">
        <is>
          <t>BORGHOLM</t>
        </is>
      </c>
      <c r="F102" t="inlineStr">
        <is>
          <t>Sveaskog</t>
        </is>
      </c>
      <c r="G102" t="n">
        <v>6.7</v>
      </c>
      <c r="H102" t="n">
        <v>0</v>
      </c>
      <c r="I102" t="n">
        <v>0</v>
      </c>
      <c r="J102" t="n">
        <v>0</v>
      </c>
      <c r="K102" t="n">
        <v>0</v>
      </c>
      <c r="L102" t="n">
        <v>0</v>
      </c>
      <c r="M102" t="n">
        <v>0</v>
      </c>
      <c r="N102" t="n">
        <v>0</v>
      </c>
      <c r="O102" t="n">
        <v>0</v>
      </c>
      <c r="P102" t="n">
        <v>0</v>
      </c>
      <c r="Q102" t="n">
        <v>0</v>
      </c>
      <c r="R102" s="2" t="inlineStr"/>
    </row>
    <row r="103" ht="15" customHeight="1">
      <c r="A103" t="inlineStr">
        <is>
          <t>A 55367-2024</t>
        </is>
      </c>
      <c r="B103" s="1" t="n">
        <v>45621.87075231481</v>
      </c>
      <c r="C103" s="1" t="n">
        <v>46122</v>
      </c>
      <c r="D103" t="inlineStr">
        <is>
          <t>KALMAR LÄN</t>
        </is>
      </c>
      <c r="E103" t="inlineStr">
        <is>
          <t>BORGHOLM</t>
        </is>
      </c>
      <c r="G103" t="n">
        <v>0.7</v>
      </c>
      <c r="H103" t="n">
        <v>0</v>
      </c>
      <c r="I103" t="n">
        <v>0</v>
      </c>
      <c r="J103" t="n">
        <v>0</v>
      </c>
      <c r="K103" t="n">
        <v>0</v>
      </c>
      <c r="L103" t="n">
        <v>0</v>
      </c>
      <c r="M103" t="n">
        <v>0</v>
      </c>
      <c r="N103" t="n">
        <v>0</v>
      </c>
      <c r="O103" t="n">
        <v>0</v>
      </c>
      <c r="P103" t="n">
        <v>0</v>
      </c>
      <c r="Q103" t="n">
        <v>0</v>
      </c>
      <c r="R103" s="2" t="inlineStr"/>
    </row>
    <row r="104" ht="15" customHeight="1">
      <c r="A104" t="inlineStr">
        <is>
          <t>A 20287-2025</t>
        </is>
      </c>
      <c r="B104" s="1" t="n">
        <v>45774.60741898148</v>
      </c>
      <c r="C104" s="1" t="n">
        <v>46122</v>
      </c>
      <c r="D104" t="inlineStr">
        <is>
          <t>KALMAR LÄN</t>
        </is>
      </c>
      <c r="E104" t="inlineStr">
        <is>
          <t>BORGHOLM</t>
        </is>
      </c>
      <c r="G104" t="n">
        <v>0.6</v>
      </c>
      <c r="H104" t="n">
        <v>0</v>
      </c>
      <c r="I104" t="n">
        <v>0</v>
      </c>
      <c r="J104" t="n">
        <v>0</v>
      </c>
      <c r="K104" t="n">
        <v>0</v>
      </c>
      <c r="L104" t="n">
        <v>0</v>
      </c>
      <c r="M104" t="n">
        <v>0</v>
      </c>
      <c r="N104" t="n">
        <v>0</v>
      </c>
      <c r="O104" t="n">
        <v>0</v>
      </c>
      <c r="P104" t="n">
        <v>0</v>
      </c>
      <c r="Q104" t="n">
        <v>0</v>
      </c>
      <c r="R104" s="2" t="inlineStr"/>
    </row>
    <row r="105" ht="15" customHeight="1">
      <c r="A105" t="inlineStr">
        <is>
          <t>A 36269-2025</t>
        </is>
      </c>
      <c r="B105" s="1" t="n">
        <v>45867.61736111111</v>
      </c>
      <c r="C105" s="1" t="n">
        <v>46122</v>
      </c>
      <c r="D105" t="inlineStr">
        <is>
          <t>KALMAR LÄN</t>
        </is>
      </c>
      <c r="E105" t="inlineStr">
        <is>
          <t>BORGHOLM</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9076-2025</t>
        </is>
      </c>
      <c r="B106" s="1" t="n">
        <v>45713.6596875</v>
      </c>
      <c r="C106" s="1" t="n">
        <v>46122</v>
      </c>
      <c r="D106" t="inlineStr">
        <is>
          <t>KALMAR LÄN</t>
        </is>
      </c>
      <c r="E106" t="inlineStr">
        <is>
          <t>BORGHOLM</t>
        </is>
      </c>
      <c r="F106" t="inlineStr">
        <is>
          <t>Sveaskog</t>
        </is>
      </c>
      <c r="G106" t="n">
        <v>4.2</v>
      </c>
      <c r="H106" t="n">
        <v>0</v>
      </c>
      <c r="I106" t="n">
        <v>0</v>
      </c>
      <c r="J106" t="n">
        <v>0</v>
      </c>
      <c r="K106" t="n">
        <v>0</v>
      </c>
      <c r="L106" t="n">
        <v>0</v>
      </c>
      <c r="M106" t="n">
        <v>0</v>
      </c>
      <c r="N106" t="n">
        <v>0</v>
      </c>
      <c r="O106" t="n">
        <v>0</v>
      </c>
      <c r="P106" t="n">
        <v>0</v>
      </c>
      <c r="Q106" t="n">
        <v>0</v>
      </c>
      <c r="R106" s="2" t="inlineStr"/>
    </row>
    <row r="107" ht="15" customHeight="1">
      <c r="A107" t="inlineStr">
        <is>
          <t>A 32919-2023</t>
        </is>
      </c>
      <c r="B107" s="1" t="n">
        <v>45125</v>
      </c>
      <c r="C107" s="1" t="n">
        <v>46122</v>
      </c>
      <c r="D107" t="inlineStr">
        <is>
          <t>KALMAR LÄN</t>
        </is>
      </c>
      <c r="E107" t="inlineStr">
        <is>
          <t>BORGHOLM</t>
        </is>
      </c>
      <c r="G107" t="n">
        <v>2.7</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46122</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34951-2022</t>
        </is>
      </c>
      <c r="B109" s="1" t="n">
        <v>44796</v>
      </c>
      <c r="C109" s="1" t="n">
        <v>46122</v>
      </c>
      <c r="D109" t="inlineStr">
        <is>
          <t>KALMAR LÄN</t>
        </is>
      </c>
      <c r="E109" t="inlineStr">
        <is>
          <t>BORGHOLM</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9034-2025</t>
        </is>
      </c>
      <c r="B110" s="1" t="n">
        <v>45713</v>
      </c>
      <c r="C110" s="1" t="n">
        <v>46122</v>
      </c>
      <c r="D110" t="inlineStr">
        <is>
          <t>KALMAR LÄN</t>
        </is>
      </c>
      <c r="E110" t="inlineStr">
        <is>
          <t>BORGHOLM</t>
        </is>
      </c>
      <c r="F110" t="inlineStr">
        <is>
          <t>Sveaskog</t>
        </is>
      </c>
      <c r="G110" t="n">
        <v>6.8</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46122</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46122</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46122</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46122</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12937-2022</t>
        </is>
      </c>
      <c r="B115" s="1" t="n">
        <v>44642</v>
      </c>
      <c r="C115" s="1" t="n">
        <v>46122</v>
      </c>
      <c r="D115" t="inlineStr">
        <is>
          <t>KALMAR LÄN</t>
        </is>
      </c>
      <c r="E115" t="inlineStr">
        <is>
          <t>BORGHOLM</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46122</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46122</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46122</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46122</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63276-2023</t>
        </is>
      </c>
      <c r="B120" s="1" t="n">
        <v>45273.82195601852</v>
      </c>
      <c r="C120" s="1" t="n">
        <v>46122</v>
      </c>
      <c r="D120" t="inlineStr">
        <is>
          <t>KALMAR LÄN</t>
        </is>
      </c>
      <c r="E120" t="inlineStr">
        <is>
          <t>BORGHOLM</t>
        </is>
      </c>
      <c r="G120" t="n">
        <v>5</v>
      </c>
      <c r="H120" t="n">
        <v>0</v>
      </c>
      <c r="I120" t="n">
        <v>0</v>
      </c>
      <c r="J120" t="n">
        <v>0</v>
      </c>
      <c r="K120" t="n">
        <v>0</v>
      </c>
      <c r="L120" t="n">
        <v>0</v>
      </c>
      <c r="M120" t="n">
        <v>0</v>
      </c>
      <c r="N120" t="n">
        <v>0</v>
      </c>
      <c r="O120" t="n">
        <v>0</v>
      </c>
      <c r="P120" t="n">
        <v>0</v>
      </c>
      <c r="Q120" t="n">
        <v>0</v>
      </c>
      <c r="R120" s="2" t="inlineStr"/>
    </row>
    <row r="121" ht="15" customHeight="1">
      <c r="A121" t="inlineStr">
        <is>
          <t>A 9050-2025</t>
        </is>
      </c>
      <c r="B121" s="1" t="n">
        <v>45713.63512731482</v>
      </c>
      <c r="C121" s="1" t="n">
        <v>46122</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ht="15" customHeight="1">
      <c r="A122" t="inlineStr">
        <is>
          <t>A 13043-2024</t>
        </is>
      </c>
      <c r="B122" s="1" t="n">
        <v>45385.60111111111</v>
      </c>
      <c r="C122" s="1" t="n">
        <v>46122</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row r="123">
      <c r="A123" t="inlineStr">
        <is>
          <t>A 17978-2021</t>
        </is>
      </c>
      <c r="B123" s="1" t="n">
        <v>44301</v>
      </c>
      <c r="C123" s="1" t="n">
        <v>46122</v>
      </c>
      <c r="D123" t="inlineStr">
        <is>
          <t>KALMAR LÄN</t>
        </is>
      </c>
      <c r="E123" t="inlineStr">
        <is>
          <t>BORGHOLM</t>
        </is>
      </c>
      <c r="G123" t="n">
        <v>6</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2026-04-10T10:53:53Z</dcterms:created>
  <dcterms:modified xmlns:dcterms="http://purl.org/dc/terms/" xmlns:xsi="http://www.w3.org/2001/XMLSchema-instance" xsi:type="dcterms:W3CDTF">2026-04-10T10:53:53Z</dcterms:modified>
</cp:coreProperties>
</file>