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46124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46124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46124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46124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46124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46124</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46124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46124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46124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46124</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46124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46124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46124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46124</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46124</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46124</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46124</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46124</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46124</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44008-2022</t>
        </is>
      </c>
      <c r="B21" s="1" t="n">
        <v>44838</v>
      </c>
      <c r="C21" s="1" t="n">
        <v>46124</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34944-2022</t>
        </is>
      </c>
      <c r="B22" s="1" t="n">
        <v>44796</v>
      </c>
      <c r="C22" s="1" t="n">
        <v>46124</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28779-2025</t>
        </is>
      </c>
      <c r="B23" s="1" t="n">
        <v>45820.44920138889</v>
      </c>
      <c r="C23" s="1" t="n">
        <v>46124</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60140-2025</t>
        </is>
      </c>
      <c r="B24" s="1" t="n">
        <v>45994.36274305556</v>
      </c>
      <c r="C24" s="1" t="n">
        <v>46124</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46124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46124</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15285-2026</t>
        </is>
      </c>
      <c r="B27" s="1" t="n">
        <v>46105.6156712963</v>
      </c>
      <c r="C27" s="1" t="n">
        <v>46124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Havsörn
Talltita</t>
        </is>
      </c>
      <c r="S27">
        <f>HYPERLINK("https://klasma.github.io/Logging_0885/artfynd/A 15285-2026 artfynd.xlsx", "A 15285-2026")</f>
        <v/>
      </c>
      <c r="T27">
        <f>HYPERLINK("https://klasma.github.io/Logging_0885/kartor/A 15285-2026 karta.png", "A 15285-2026")</f>
        <v/>
      </c>
      <c r="V27">
        <f>HYPERLINK("https://klasma.github.io/Logging_0885/klagomål/A 15285-2026 FSC-klagomål.docx", "A 15285-2026")</f>
        <v/>
      </c>
      <c r="W27">
        <f>HYPERLINK("https://klasma.github.io/Logging_0885/klagomålsmail/A 15285-2026 FSC-klagomål mail.docx", "A 15285-2026")</f>
        <v/>
      </c>
      <c r="X27">
        <f>HYPERLINK("https://klasma.github.io/Logging_0885/tillsyn/A 15285-2026 tillsynsbegäran.docx", "A 15285-2026")</f>
        <v/>
      </c>
      <c r="Y27">
        <f>HYPERLINK("https://klasma.github.io/Logging_0885/tillsynsmail/A 15285-2026 tillsynsbegäran mail.docx", "A 15285-2026")</f>
        <v/>
      </c>
      <c r="Z27">
        <f>HYPERLINK("https://klasma.github.io/Logging_0885/fåglar/A 15285-2026 prioriterade fågelarter.docx", "A 15285-2026")</f>
        <v/>
      </c>
    </row>
    <row r="28" ht="15" customHeight="1">
      <c r="A28" t="inlineStr">
        <is>
          <t>A 9253-2026</t>
        </is>
      </c>
      <c r="B28" s="1" t="n">
        <v>46070.51003472223</v>
      </c>
      <c r="C28" s="1" t="n">
        <v>46124</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4164-2023</t>
        </is>
      </c>
      <c r="B29" s="1" t="n">
        <v>44953</v>
      </c>
      <c r="C29" s="1" t="n">
        <v>46124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46124</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46124</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46124</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46124</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24704-2023</t>
        </is>
      </c>
      <c r="B34" s="1" t="n">
        <v>45084</v>
      </c>
      <c r="C34" s="1" t="n">
        <v>46124</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45693-2025</t>
        </is>
      </c>
      <c r="B35" s="1" t="n">
        <v>45923</v>
      </c>
      <c r="C35" s="1" t="n">
        <v>46124</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24048-2025</t>
        </is>
      </c>
      <c r="B36" s="1" t="n">
        <v>45796.4959375</v>
      </c>
      <c r="C36" s="1" t="n">
        <v>46124</v>
      </c>
      <c r="D36" t="inlineStr">
        <is>
          <t>KALMAR LÄN</t>
        </is>
      </c>
      <c r="E36" t="inlineStr">
        <is>
          <t>BORGHOLM</t>
        </is>
      </c>
      <c r="G36" t="n">
        <v>2</v>
      </c>
      <c r="H36" t="n">
        <v>0</v>
      </c>
      <c r="I36" t="n">
        <v>0</v>
      </c>
      <c r="J36" t="n">
        <v>1</v>
      </c>
      <c r="K36" t="n">
        <v>0</v>
      </c>
      <c r="L36" t="n">
        <v>0</v>
      </c>
      <c r="M36" t="n">
        <v>0</v>
      </c>
      <c r="N36" t="n">
        <v>0</v>
      </c>
      <c r="O36" t="n">
        <v>1</v>
      </c>
      <c r="P36" t="n">
        <v>0</v>
      </c>
      <c r="Q36" t="n">
        <v>1</v>
      </c>
      <c r="R36" s="2" t="inlineStr">
        <is>
          <t>Loppstarr</t>
        </is>
      </c>
      <c r="S36">
        <f>HYPERLINK("https://klasma.github.io/Logging_0885/artfynd/A 24048-2025 artfynd.xlsx", "A 24048-2025")</f>
        <v/>
      </c>
      <c r="T36">
        <f>HYPERLINK("https://klasma.github.io/Logging_0885/kartor/A 24048-2025 karta.png", "A 24048-2025")</f>
        <v/>
      </c>
      <c r="V36">
        <f>HYPERLINK("https://klasma.github.io/Logging_0885/klagomål/A 24048-2025 FSC-klagomål.docx", "A 24048-2025")</f>
        <v/>
      </c>
      <c r="W36">
        <f>HYPERLINK("https://klasma.github.io/Logging_0885/klagomålsmail/A 24048-2025 FSC-klagomål mail.docx", "A 24048-2025")</f>
        <v/>
      </c>
      <c r="X36">
        <f>HYPERLINK("https://klasma.github.io/Logging_0885/tillsyn/A 24048-2025 tillsynsbegäran.docx", "A 24048-2025")</f>
        <v/>
      </c>
      <c r="Y36">
        <f>HYPERLINK("https://klasma.github.io/Logging_0885/tillsynsmail/A 24048-2025 tillsynsbegäran mail.docx", "A 24048-2025")</f>
        <v/>
      </c>
    </row>
    <row r="37" ht="15" customHeight="1">
      <c r="A37" t="inlineStr">
        <is>
          <t>A 41640-2023</t>
        </is>
      </c>
      <c r="B37" s="1" t="n">
        <v>45175</v>
      </c>
      <c r="C37" s="1" t="n">
        <v>46124</v>
      </c>
      <c r="D37" t="inlineStr">
        <is>
          <t>KALMAR LÄN</t>
        </is>
      </c>
      <c r="E37" t="inlineStr">
        <is>
          <t>BORGHOLM</t>
        </is>
      </c>
      <c r="G37" t="n">
        <v>5</v>
      </c>
      <c r="H37" t="n">
        <v>1</v>
      </c>
      <c r="I37" t="n">
        <v>0</v>
      </c>
      <c r="J37" t="n">
        <v>0</v>
      </c>
      <c r="K37" t="n">
        <v>0</v>
      </c>
      <c r="L37" t="n">
        <v>0</v>
      </c>
      <c r="M37" t="n">
        <v>0</v>
      </c>
      <c r="N37" t="n">
        <v>0</v>
      </c>
      <c r="O37" t="n">
        <v>0</v>
      </c>
      <c r="P37" t="n">
        <v>0</v>
      </c>
      <c r="Q37" t="n">
        <v>1</v>
      </c>
      <c r="R37" s="2" t="inlineStr">
        <is>
          <t>Johannesnycklar</t>
        </is>
      </c>
      <c r="S37">
        <f>HYPERLINK("https://klasma.github.io/Logging_0885/artfynd/A 41640-2023 artfynd.xlsx", "A 41640-2023")</f>
        <v/>
      </c>
      <c r="T37">
        <f>HYPERLINK("https://klasma.github.io/Logging_0885/kartor/A 41640-2023 karta.png", "A 41640-2023")</f>
        <v/>
      </c>
      <c r="V37">
        <f>HYPERLINK("https://klasma.github.io/Logging_0885/klagomål/A 41640-2023 FSC-klagomål.docx", "A 41640-2023")</f>
        <v/>
      </c>
      <c r="W37">
        <f>HYPERLINK("https://klasma.github.io/Logging_0885/klagomålsmail/A 41640-2023 FSC-klagomål mail.docx", "A 41640-2023")</f>
        <v/>
      </c>
      <c r="X37">
        <f>HYPERLINK("https://klasma.github.io/Logging_0885/tillsyn/A 41640-2023 tillsynsbegäran.docx", "A 41640-2023")</f>
        <v/>
      </c>
      <c r="Y37">
        <f>HYPERLINK("https://klasma.github.io/Logging_0885/tillsynsmail/A 41640-2023 tillsynsbegäran mail.docx", "A 41640-2023")</f>
        <v/>
      </c>
    </row>
    <row r="38" ht="15" customHeight="1">
      <c r="A38" t="inlineStr">
        <is>
          <t>A 9745-2023</t>
        </is>
      </c>
      <c r="B38" s="1" t="n">
        <v>44984</v>
      </c>
      <c r="C38" s="1" t="n">
        <v>46124</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28785-2025</t>
        </is>
      </c>
      <c r="B39" s="1" t="n">
        <v>45820.46159722222</v>
      </c>
      <c r="C39" s="1" t="n">
        <v>46124</v>
      </c>
      <c r="D39" t="inlineStr">
        <is>
          <t>KALMAR LÄN</t>
        </is>
      </c>
      <c r="E39" t="inlineStr">
        <is>
          <t>BORGHOLM</t>
        </is>
      </c>
      <c r="F39" t="inlineStr">
        <is>
          <t>Sveaskog</t>
        </is>
      </c>
      <c r="G39" t="n">
        <v>2.3</v>
      </c>
      <c r="H39" t="n">
        <v>1</v>
      </c>
      <c r="I39" t="n">
        <v>0</v>
      </c>
      <c r="J39" t="n">
        <v>1</v>
      </c>
      <c r="K39" t="n">
        <v>0</v>
      </c>
      <c r="L39" t="n">
        <v>0</v>
      </c>
      <c r="M39" t="n">
        <v>0</v>
      </c>
      <c r="N39" t="n">
        <v>0</v>
      </c>
      <c r="O39" t="n">
        <v>1</v>
      </c>
      <c r="P39" t="n">
        <v>0</v>
      </c>
      <c r="Q39" t="n">
        <v>1</v>
      </c>
      <c r="R39" s="2" t="inlineStr">
        <is>
          <t>Havsörn</t>
        </is>
      </c>
      <c r="S39">
        <f>HYPERLINK("https://klasma.github.io/Logging_0885/artfynd/A 28785-2025 artfynd.xlsx", "A 28785-2025")</f>
        <v/>
      </c>
      <c r="T39">
        <f>HYPERLINK("https://klasma.github.io/Logging_0885/kartor/A 28785-2025 karta.png", "A 28785-2025")</f>
        <v/>
      </c>
      <c r="V39">
        <f>HYPERLINK("https://klasma.github.io/Logging_0885/klagomål/A 28785-2025 FSC-klagomål.docx", "A 28785-2025")</f>
        <v/>
      </c>
      <c r="W39">
        <f>HYPERLINK("https://klasma.github.io/Logging_0885/klagomålsmail/A 28785-2025 FSC-klagomål mail.docx", "A 28785-2025")</f>
        <v/>
      </c>
      <c r="X39">
        <f>HYPERLINK("https://klasma.github.io/Logging_0885/tillsyn/A 28785-2025 tillsynsbegäran.docx", "A 28785-2025")</f>
        <v/>
      </c>
      <c r="Y39">
        <f>HYPERLINK("https://klasma.github.io/Logging_0885/tillsynsmail/A 28785-2025 tillsynsbegäran mail.docx", "A 28785-2025")</f>
        <v/>
      </c>
      <c r="Z39">
        <f>HYPERLINK("https://klasma.github.io/Logging_0885/fåglar/A 28785-2025 prioriterade fågelarter.docx", "A 28785-2025")</f>
        <v/>
      </c>
    </row>
    <row r="40" ht="15" customHeight="1">
      <c r="A40" t="inlineStr">
        <is>
          <t>A 29962-2025</t>
        </is>
      </c>
      <c r="B40" s="1" t="n">
        <v>45826.48184027777</v>
      </c>
      <c r="C40" s="1" t="n">
        <v>46124</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43603-2024</t>
        </is>
      </c>
      <c r="B41" s="1" t="n">
        <v>45569.44700231482</v>
      </c>
      <c r="C41" s="1" t="n">
        <v>46124</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34885-2025</t>
        </is>
      </c>
      <c r="B42" s="1" t="n">
        <v>45849.47128472223</v>
      </c>
      <c r="C42" s="1" t="n">
        <v>46124</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3302-2026</t>
        </is>
      </c>
      <c r="B43" s="1" t="n">
        <v>46041</v>
      </c>
      <c r="C43" s="1" t="n">
        <v>46124</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46124</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46124</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46124</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46124</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46124</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46124</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46124</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46124</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46124</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46124</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46124</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46124</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21908-2022</t>
        </is>
      </c>
      <c r="B56" s="1" t="n">
        <v>44711</v>
      </c>
      <c r="C56" s="1" t="n">
        <v>46124</v>
      </c>
      <c r="D56" t="inlineStr">
        <is>
          <t>KALMAR LÄN</t>
        </is>
      </c>
      <c r="E56" t="inlineStr">
        <is>
          <t>BORGHOLM</t>
        </is>
      </c>
      <c r="G56" t="n">
        <v>4.7</v>
      </c>
      <c r="H56" t="n">
        <v>0</v>
      </c>
      <c r="I56" t="n">
        <v>0</v>
      </c>
      <c r="J56" t="n">
        <v>0</v>
      </c>
      <c r="K56" t="n">
        <v>0</v>
      </c>
      <c r="L56" t="n">
        <v>0</v>
      </c>
      <c r="M56" t="n">
        <v>0</v>
      </c>
      <c r="N56" t="n">
        <v>0</v>
      </c>
      <c r="O56" t="n">
        <v>0</v>
      </c>
      <c r="P56" t="n">
        <v>0</v>
      </c>
      <c r="Q56" t="n">
        <v>0</v>
      </c>
      <c r="R56" s="2" t="inlineStr"/>
    </row>
    <row r="57" ht="15" customHeight="1">
      <c r="A57" t="inlineStr">
        <is>
          <t>A 55367-2024</t>
        </is>
      </c>
      <c r="B57" s="1" t="n">
        <v>45621.87075231481</v>
      </c>
      <c r="C57" s="1" t="n">
        <v>46124</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63075-2023</t>
        </is>
      </c>
      <c r="B58" s="1" t="n">
        <v>45273</v>
      </c>
      <c r="C58" s="1" t="n">
        <v>46124</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46124</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46124</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46124</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4159-2024</t>
        </is>
      </c>
      <c r="B62" s="1" t="n">
        <v>45323</v>
      </c>
      <c r="C62" s="1" t="n">
        <v>46124</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9034-2025</t>
        </is>
      </c>
      <c r="B63" s="1" t="n">
        <v>45713</v>
      </c>
      <c r="C63" s="1" t="n">
        <v>46124</v>
      </c>
      <c r="D63" t="inlineStr">
        <is>
          <t>KALMAR LÄN</t>
        </is>
      </c>
      <c r="E63" t="inlineStr">
        <is>
          <t>BORGHOLM</t>
        </is>
      </c>
      <c r="F63" t="inlineStr">
        <is>
          <t>Sveaskog</t>
        </is>
      </c>
      <c r="G63" t="n">
        <v>6.8</v>
      </c>
      <c r="H63" t="n">
        <v>0</v>
      </c>
      <c r="I63" t="n">
        <v>0</v>
      </c>
      <c r="J63" t="n">
        <v>0</v>
      </c>
      <c r="K63" t="n">
        <v>0</v>
      </c>
      <c r="L63" t="n">
        <v>0</v>
      </c>
      <c r="M63" t="n">
        <v>0</v>
      </c>
      <c r="N63" t="n">
        <v>0</v>
      </c>
      <c r="O63" t="n">
        <v>0</v>
      </c>
      <c r="P63" t="n">
        <v>0</v>
      </c>
      <c r="Q63" t="n">
        <v>0</v>
      </c>
      <c r="R63" s="2" t="inlineStr"/>
    </row>
    <row r="64" ht="15" customHeight="1">
      <c r="A64" t="inlineStr">
        <is>
          <t>A 41831-2025</t>
        </is>
      </c>
      <c r="B64" s="1" t="n">
        <v>45902.67887731481</v>
      </c>
      <c r="C64" s="1" t="n">
        <v>46124</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41950-2025</t>
        </is>
      </c>
      <c r="B65" s="1" t="n">
        <v>45903.45767361111</v>
      </c>
      <c r="C65" s="1" t="n">
        <v>46124</v>
      </c>
      <c r="D65" t="inlineStr">
        <is>
          <t>KALMAR LÄN</t>
        </is>
      </c>
      <c r="E65" t="inlineStr">
        <is>
          <t>BORGHOLM</t>
        </is>
      </c>
      <c r="G65" t="n">
        <v>1.8</v>
      </c>
      <c r="H65" t="n">
        <v>0</v>
      </c>
      <c r="I65" t="n">
        <v>0</v>
      </c>
      <c r="J65" t="n">
        <v>0</v>
      </c>
      <c r="K65" t="n">
        <v>0</v>
      </c>
      <c r="L65" t="n">
        <v>0</v>
      </c>
      <c r="M65" t="n">
        <v>0</v>
      </c>
      <c r="N65" t="n">
        <v>0</v>
      </c>
      <c r="O65" t="n">
        <v>0</v>
      </c>
      <c r="P65" t="n">
        <v>0</v>
      </c>
      <c r="Q65" t="n">
        <v>0</v>
      </c>
      <c r="R65" s="2" t="inlineStr"/>
    </row>
    <row r="66" ht="15" customHeight="1">
      <c r="A66" t="inlineStr">
        <is>
          <t>A 42232-2025</t>
        </is>
      </c>
      <c r="B66" s="1" t="n">
        <v>45904.55591435185</v>
      </c>
      <c r="C66" s="1" t="n">
        <v>46124</v>
      </c>
      <c r="D66" t="inlineStr">
        <is>
          <t>KALMAR LÄN</t>
        </is>
      </c>
      <c r="E66" t="inlineStr">
        <is>
          <t>BORGHOLM</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13548-2025</t>
        </is>
      </c>
      <c r="B67" s="1" t="n">
        <v>45736.53827546296</v>
      </c>
      <c r="C67" s="1" t="n">
        <v>46124</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32921-2023</t>
        </is>
      </c>
      <c r="B68" s="1" t="n">
        <v>45125</v>
      </c>
      <c r="C68" s="1" t="n">
        <v>46124</v>
      </c>
      <c r="D68" t="inlineStr">
        <is>
          <t>KALMAR LÄN</t>
        </is>
      </c>
      <c r="E68" t="inlineStr">
        <is>
          <t>BORGHOLM</t>
        </is>
      </c>
      <c r="G68" t="n">
        <v>2.9</v>
      </c>
      <c r="H68" t="n">
        <v>0</v>
      </c>
      <c r="I68" t="n">
        <v>0</v>
      </c>
      <c r="J68" t="n">
        <v>0</v>
      </c>
      <c r="K68" t="n">
        <v>0</v>
      </c>
      <c r="L68" t="n">
        <v>0</v>
      </c>
      <c r="M68" t="n">
        <v>0</v>
      </c>
      <c r="N68" t="n">
        <v>0</v>
      </c>
      <c r="O68" t="n">
        <v>0</v>
      </c>
      <c r="P68" t="n">
        <v>0</v>
      </c>
      <c r="Q68" t="n">
        <v>0</v>
      </c>
      <c r="R68" s="2" t="inlineStr"/>
    </row>
    <row r="69" ht="15" customHeight="1">
      <c r="A69" t="inlineStr">
        <is>
          <t>A 43542-2025</t>
        </is>
      </c>
      <c r="B69" s="1" t="n">
        <v>45911.61123842592</v>
      </c>
      <c r="C69" s="1" t="n">
        <v>46124</v>
      </c>
      <c r="D69" t="inlineStr">
        <is>
          <t>KALMAR LÄN</t>
        </is>
      </c>
      <c r="E69" t="inlineStr">
        <is>
          <t>BORGHOLM</t>
        </is>
      </c>
      <c r="G69" t="n">
        <v>2.4</v>
      </c>
      <c r="H69" t="n">
        <v>0</v>
      </c>
      <c r="I69" t="n">
        <v>0</v>
      </c>
      <c r="J69" t="n">
        <v>0</v>
      </c>
      <c r="K69" t="n">
        <v>0</v>
      </c>
      <c r="L69" t="n">
        <v>0</v>
      </c>
      <c r="M69" t="n">
        <v>0</v>
      </c>
      <c r="N69" t="n">
        <v>0</v>
      </c>
      <c r="O69" t="n">
        <v>0</v>
      </c>
      <c r="P69" t="n">
        <v>0</v>
      </c>
      <c r="Q69" t="n">
        <v>0</v>
      </c>
      <c r="R69" s="2" t="inlineStr"/>
    </row>
    <row r="70" ht="15" customHeight="1">
      <c r="A70" t="inlineStr">
        <is>
          <t>A 31699-2022</t>
        </is>
      </c>
      <c r="B70" s="1" t="n">
        <v>44776</v>
      </c>
      <c r="C70" s="1" t="n">
        <v>46124</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63276-2023</t>
        </is>
      </c>
      <c r="B71" s="1" t="n">
        <v>45273.82195601852</v>
      </c>
      <c r="C71" s="1" t="n">
        <v>46124</v>
      </c>
      <c r="D71" t="inlineStr">
        <is>
          <t>KALMAR LÄN</t>
        </is>
      </c>
      <c r="E71" t="inlineStr">
        <is>
          <t>BORGHOLM</t>
        </is>
      </c>
      <c r="G71" t="n">
        <v>5</v>
      </c>
      <c r="H71" t="n">
        <v>0</v>
      </c>
      <c r="I71" t="n">
        <v>0</v>
      </c>
      <c r="J71" t="n">
        <v>0</v>
      </c>
      <c r="K71" t="n">
        <v>0</v>
      </c>
      <c r="L71" t="n">
        <v>0</v>
      </c>
      <c r="M71" t="n">
        <v>0</v>
      </c>
      <c r="N71" t="n">
        <v>0</v>
      </c>
      <c r="O71" t="n">
        <v>0</v>
      </c>
      <c r="P71" t="n">
        <v>0</v>
      </c>
      <c r="Q71" t="n">
        <v>0</v>
      </c>
      <c r="R71" s="2" t="inlineStr"/>
    </row>
    <row r="72" ht="15" customHeight="1">
      <c r="A72" t="inlineStr">
        <is>
          <t>A 45734-2025</t>
        </is>
      </c>
      <c r="B72" s="1" t="n">
        <v>45923.46512731481</v>
      </c>
      <c r="C72" s="1" t="n">
        <v>46124</v>
      </c>
      <c r="D72" t="inlineStr">
        <is>
          <t>KALMAR LÄN</t>
        </is>
      </c>
      <c r="E72" t="inlineStr">
        <is>
          <t>BORGHOLM</t>
        </is>
      </c>
      <c r="G72" t="n">
        <v>5</v>
      </c>
      <c r="H72" t="n">
        <v>0</v>
      </c>
      <c r="I72" t="n">
        <v>0</v>
      </c>
      <c r="J72" t="n">
        <v>0</v>
      </c>
      <c r="K72" t="n">
        <v>0</v>
      </c>
      <c r="L72" t="n">
        <v>0</v>
      </c>
      <c r="M72" t="n">
        <v>0</v>
      </c>
      <c r="N72" t="n">
        <v>0</v>
      </c>
      <c r="O72" t="n">
        <v>0</v>
      </c>
      <c r="P72" t="n">
        <v>0</v>
      </c>
      <c r="Q72" t="n">
        <v>0</v>
      </c>
      <c r="R72" s="2" t="inlineStr"/>
    </row>
    <row r="73" ht="15" customHeight="1">
      <c r="A73" t="inlineStr">
        <is>
          <t>A 45869-2025</t>
        </is>
      </c>
      <c r="B73" s="1" t="n">
        <v>45923.65313657407</v>
      </c>
      <c r="C73" s="1" t="n">
        <v>46124</v>
      </c>
      <c r="D73" t="inlineStr">
        <is>
          <t>KALMAR LÄN</t>
        </is>
      </c>
      <c r="E73" t="inlineStr">
        <is>
          <t>BORGHOLM</t>
        </is>
      </c>
      <c r="G73" t="n">
        <v>4.5</v>
      </c>
      <c r="H73" t="n">
        <v>0</v>
      </c>
      <c r="I73" t="n">
        <v>0</v>
      </c>
      <c r="J73" t="n">
        <v>0</v>
      </c>
      <c r="K73" t="n">
        <v>0</v>
      </c>
      <c r="L73" t="n">
        <v>0</v>
      </c>
      <c r="M73" t="n">
        <v>0</v>
      </c>
      <c r="N73" t="n">
        <v>0</v>
      </c>
      <c r="O73" t="n">
        <v>0</v>
      </c>
      <c r="P73" t="n">
        <v>0</v>
      </c>
      <c r="Q73" t="n">
        <v>0</v>
      </c>
      <c r="R73" s="2" t="inlineStr"/>
    </row>
    <row r="74" ht="15" customHeight="1">
      <c r="A74" t="inlineStr">
        <is>
          <t>A 1614-2025</t>
        </is>
      </c>
      <c r="B74" s="1" t="n">
        <v>45670.60094907408</v>
      </c>
      <c r="C74" s="1" t="n">
        <v>46124</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46845-2025</t>
        </is>
      </c>
      <c r="B75" s="1" t="n">
        <v>45928</v>
      </c>
      <c r="C75" s="1" t="n">
        <v>46124</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64303-2023</t>
        </is>
      </c>
      <c r="B76" s="1" t="n">
        <v>45280</v>
      </c>
      <c r="C76" s="1" t="n">
        <v>46124</v>
      </c>
      <c r="D76" t="inlineStr">
        <is>
          <t>KALMAR LÄN</t>
        </is>
      </c>
      <c r="E76" t="inlineStr">
        <is>
          <t>BORGHOLM</t>
        </is>
      </c>
      <c r="G76" t="n">
        <v>1.2</v>
      </c>
      <c r="H76" t="n">
        <v>0</v>
      </c>
      <c r="I76" t="n">
        <v>0</v>
      </c>
      <c r="J76" t="n">
        <v>0</v>
      </c>
      <c r="K76" t="n">
        <v>0</v>
      </c>
      <c r="L76" t="n">
        <v>0</v>
      </c>
      <c r="M76" t="n">
        <v>0</v>
      </c>
      <c r="N76" t="n">
        <v>0</v>
      </c>
      <c r="O76" t="n">
        <v>0</v>
      </c>
      <c r="P76" t="n">
        <v>0</v>
      </c>
      <c r="Q76" t="n">
        <v>0</v>
      </c>
      <c r="R76" s="2" t="inlineStr"/>
    </row>
    <row r="77" ht="15" customHeight="1">
      <c r="A77" t="inlineStr">
        <is>
          <t>A 17978-2021</t>
        </is>
      </c>
      <c r="B77" s="1" t="n">
        <v>44301</v>
      </c>
      <c r="C77" s="1" t="n">
        <v>46124</v>
      </c>
      <c r="D77" t="inlineStr">
        <is>
          <t>KALMAR LÄN</t>
        </is>
      </c>
      <c r="E77" t="inlineStr">
        <is>
          <t>BORGHOLM</t>
        </is>
      </c>
      <c r="G77" t="n">
        <v>6</v>
      </c>
      <c r="H77" t="n">
        <v>0</v>
      </c>
      <c r="I77" t="n">
        <v>0</v>
      </c>
      <c r="J77" t="n">
        <v>0</v>
      </c>
      <c r="K77" t="n">
        <v>0</v>
      </c>
      <c r="L77" t="n">
        <v>0</v>
      </c>
      <c r="M77" t="n">
        <v>0</v>
      </c>
      <c r="N77" t="n">
        <v>0</v>
      </c>
      <c r="O77" t="n">
        <v>0</v>
      </c>
      <c r="P77" t="n">
        <v>0</v>
      </c>
      <c r="Q77" t="n">
        <v>0</v>
      </c>
      <c r="R77" s="2" t="inlineStr"/>
    </row>
    <row r="78" ht="15" customHeight="1">
      <c r="A78" t="inlineStr">
        <is>
          <t>A 22785-2025</t>
        </is>
      </c>
      <c r="B78" s="1" t="n">
        <v>45789.64186342592</v>
      </c>
      <c r="C78" s="1" t="n">
        <v>46124</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9076-2025</t>
        </is>
      </c>
      <c r="B79" s="1" t="n">
        <v>45713.6596875</v>
      </c>
      <c r="C79" s="1" t="n">
        <v>46124</v>
      </c>
      <c r="D79" t="inlineStr">
        <is>
          <t>KALMAR LÄN</t>
        </is>
      </c>
      <c r="E79" t="inlineStr">
        <is>
          <t>BORGHOLM</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46124</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1757-2025</t>
        </is>
      </c>
      <c r="B81" s="1" t="n">
        <v>45671.42195601852</v>
      </c>
      <c r="C81" s="1" t="n">
        <v>46124</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40339-2023</t>
        </is>
      </c>
      <c r="B82" s="1" t="n">
        <v>45169.62733796296</v>
      </c>
      <c r="C82" s="1" t="n">
        <v>46124</v>
      </c>
      <c r="D82" t="inlineStr">
        <is>
          <t>KALMAR LÄN</t>
        </is>
      </c>
      <c r="E82" t="inlineStr">
        <is>
          <t>BORGHOLM</t>
        </is>
      </c>
      <c r="G82" t="n">
        <v>3.8</v>
      </c>
      <c r="H82" t="n">
        <v>0</v>
      </c>
      <c r="I82" t="n">
        <v>0</v>
      </c>
      <c r="J82" t="n">
        <v>0</v>
      </c>
      <c r="K82" t="n">
        <v>0</v>
      </c>
      <c r="L82" t="n">
        <v>0</v>
      </c>
      <c r="M82" t="n">
        <v>0</v>
      </c>
      <c r="N82" t="n">
        <v>0</v>
      </c>
      <c r="O82" t="n">
        <v>0</v>
      </c>
      <c r="P82" t="n">
        <v>0</v>
      </c>
      <c r="Q82" t="n">
        <v>0</v>
      </c>
      <c r="R82" s="2" t="inlineStr"/>
    </row>
    <row r="83" ht="15" customHeight="1">
      <c r="A83" t="inlineStr">
        <is>
          <t>A 7960-2023</t>
        </is>
      </c>
      <c r="B83" s="1" t="n">
        <v>44973</v>
      </c>
      <c r="C83" s="1" t="n">
        <v>46124</v>
      </c>
      <c r="D83" t="inlineStr">
        <is>
          <t>KALMAR LÄN</t>
        </is>
      </c>
      <c r="E83" t="inlineStr">
        <is>
          <t>BORGHOLM</t>
        </is>
      </c>
      <c r="G83" t="n">
        <v>2.1</v>
      </c>
      <c r="H83" t="n">
        <v>0</v>
      </c>
      <c r="I83" t="n">
        <v>0</v>
      </c>
      <c r="J83" t="n">
        <v>0</v>
      </c>
      <c r="K83" t="n">
        <v>0</v>
      </c>
      <c r="L83" t="n">
        <v>0</v>
      </c>
      <c r="M83" t="n">
        <v>0</v>
      </c>
      <c r="N83" t="n">
        <v>0</v>
      </c>
      <c r="O83" t="n">
        <v>0</v>
      </c>
      <c r="P83" t="n">
        <v>0</v>
      </c>
      <c r="Q83" t="n">
        <v>0</v>
      </c>
      <c r="R83" s="2" t="inlineStr"/>
    </row>
    <row r="84" ht="15" customHeight="1">
      <c r="A84" t="inlineStr">
        <is>
          <t>A 24166-2022</t>
        </is>
      </c>
      <c r="B84" s="1" t="n">
        <v>44725</v>
      </c>
      <c r="C84" s="1" t="n">
        <v>46124</v>
      </c>
      <c r="D84" t="inlineStr">
        <is>
          <t>KALMAR LÄN</t>
        </is>
      </c>
      <c r="E84" t="inlineStr">
        <is>
          <t>BORGHOLM</t>
        </is>
      </c>
      <c r="G84" t="n">
        <v>10.7</v>
      </c>
      <c r="H84" t="n">
        <v>0</v>
      </c>
      <c r="I84" t="n">
        <v>0</v>
      </c>
      <c r="J84" t="n">
        <v>0</v>
      </c>
      <c r="K84" t="n">
        <v>0</v>
      </c>
      <c r="L84" t="n">
        <v>0</v>
      </c>
      <c r="M84" t="n">
        <v>0</v>
      </c>
      <c r="N84" t="n">
        <v>0</v>
      </c>
      <c r="O84" t="n">
        <v>0</v>
      </c>
      <c r="P84" t="n">
        <v>0</v>
      </c>
      <c r="Q84" t="n">
        <v>0</v>
      </c>
      <c r="R84" s="2" t="inlineStr"/>
    </row>
    <row r="85" ht="15" customHeight="1">
      <c r="A85" t="inlineStr">
        <is>
          <t>A 26190-2025</t>
        </is>
      </c>
      <c r="B85" s="1" t="n">
        <v>45805.48349537037</v>
      </c>
      <c r="C85" s="1" t="n">
        <v>46124</v>
      </c>
      <c r="D85" t="inlineStr">
        <is>
          <t>KALMAR LÄN</t>
        </is>
      </c>
      <c r="E85" t="inlineStr">
        <is>
          <t>BORGHOLM</t>
        </is>
      </c>
      <c r="G85" t="n">
        <v>3.2</v>
      </c>
      <c r="H85" t="n">
        <v>0</v>
      </c>
      <c r="I85" t="n">
        <v>0</v>
      </c>
      <c r="J85" t="n">
        <v>0</v>
      </c>
      <c r="K85" t="n">
        <v>0</v>
      </c>
      <c r="L85" t="n">
        <v>0</v>
      </c>
      <c r="M85" t="n">
        <v>0</v>
      </c>
      <c r="N85" t="n">
        <v>0</v>
      </c>
      <c r="O85" t="n">
        <v>0</v>
      </c>
      <c r="P85" t="n">
        <v>0</v>
      </c>
      <c r="Q85" t="n">
        <v>0</v>
      </c>
      <c r="R85" s="2" t="inlineStr"/>
    </row>
    <row r="86" ht="15" customHeight="1">
      <c r="A86" t="inlineStr">
        <is>
          <t>A 29656-2023</t>
        </is>
      </c>
      <c r="B86" s="1" t="n">
        <v>45107</v>
      </c>
      <c r="C86" s="1" t="n">
        <v>46124</v>
      </c>
      <c r="D86" t="inlineStr">
        <is>
          <t>KALMAR LÄN</t>
        </is>
      </c>
      <c r="E86" t="inlineStr">
        <is>
          <t>BORGHOLM</t>
        </is>
      </c>
      <c r="G86" t="n">
        <v>4.1</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46124</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46124</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27366-2025</t>
        </is>
      </c>
      <c r="B89" s="1" t="n">
        <v>45812.64475694444</v>
      </c>
      <c r="C89" s="1" t="n">
        <v>46124</v>
      </c>
      <c r="D89" t="inlineStr">
        <is>
          <t>KALMAR LÄN</t>
        </is>
      </c>
      <c r="E89" t="inlineStr">
        <is>
          <t>BORGHOLM</t>
        </is>
      </c>
      <c r="F89" t="inlineStr">
        <is>
          <t>Sveaskog</t>
        </is>
      </c>
      <c r="G89" t="n">
        <v>2.5</v>
      </c>
      <c r="H89" t="n">
        <v>0</v>
      </c>
      <c r="I89" t="n">
        <v>0</v>
      </c>
      <c r="J89" t="n">
        <v>0</v>
      </c>
      <c r="K89" t="n">
        <v>0</v>
      </c>
      <c r="L89" t="n">
        <v>0</v>
      </c>
      <c r="M89" t="n">
        <v>0</v>
      </c>
      <c r="N89" t="n">
        <v>0</v>
      </c>
      <c r="O89" t="n">
        <v>0</v>
      </c>
      <c r="P89" t="n">
        <v>0</v>
      </c>
      <c r="Q89" t="n">
        <v>0</v>
      </c>
      <c r="R89" s="2" t="inlineStr"/>
    </row>
    <row r="90" ht="15" customHeight="1">
      <c r="A90" t="inlineStr">
        <is>
          <t>A 9050-2025</t>
        </is>
      </c>
      <c r="B90" s="1" t="n">
        <v>45713.63512731482</v>
      </c>
      <c r="C90" s="1" t="n">
        <v>46124</v>
      </c>
      <c r="D90" t="inlineStr">
        <is>
          <t>KALMAR LÄN</t>
        </is>
      </c>
      <c r="E90" t="inlineStr">
        <is>
          <t>BORGHOLM</t>
        </is>
      </c>
      <c r="F90" t="inlineStr">
        <is>
          <t>Sveaskog</t>
        </is>
      </c>
      <c r="G90" t="n">
        <v>2.5</v>
      </c>
      <c r="H90" t="n">
        <v>0</v>
      </c>
      <c r="I90" t="n">
        <v>0</v>
      </c>
      <c r="J90" t="n">
        <v>0</v>
      </c>
      <c r="K90" t="n">
        <v>0</v>
      </c>
      <c r="L90" t="n">
        <v>0</v>
      </c>
      <c r="M90" t="n">
        <v>0</v>
      </c>
      <c r="N90" t="n">
        <v>0</v>
      </c>
      <c r="O90" t="n">
        <v>0</v>
      </c>
      <c r="P90" t="n">
        <v>0</v>
      </c>
      <c r="Q90" t="n">
        <v>0</v>
      </c>
      <c r="R90" s="2" t="inlineStr"/>
    </row>
    <row r="91" ht="15" customHeight="1">
      <c r="A91" t="inlineStr">
        <is>
          <t>A 28782-2025</t>
        </is>
      </c>
      <c r="B91" s="1" t="n">
        <v>45820.45572916666</v>
      </c>
      <c r="C91" s="1" t="n">
        <v>46124</v>
      </c>
      <c r="D91" t="inlineStr">
        <is>
          <t>KALMAR LÄN</t>
        </is>
      </c>
      <c r="E91" t="inlineStr">
        <is>
          <t>BORGHOLM</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46124</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60141-2025</t>
        </is>
      </c>
      <c r="B93" s="1" t="n">
        <v>45994.36873842592</v>
      </c>
      <c r="C93" s="1" t="n">
        <v>46124</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46124</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46124</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36269-2025</t>
        </is>
      </c>
      <c r="B96" s="1" t="n">
        <v>45867.61736111111</v>
      </c>
      <c r="C96" s="1" t="n">
        <v>46124</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32919-2023</t>
        </is>
      </c>
      <c r="B97" s="1" t="n">
        <v>45125</v>
      </c>
      <c r="C97" s="1" t="n">
        <v>46124</v>
      </c>
      <c r="D97" t="inlineStr">
        <is>
          <t>KALMAR LÄN</t>
        </is>
      </c>
      <c r="E97" t="inlineStr">
        <is>
          <t>BORGHOLM</t>
        </is>
      </c>
      <c r="G97" t="n">
        <v>2.7</v>
      </c>
      <c r="H97" t="n">
        <v>0</v>
      </c>
      <c r="I97" t="n">
        <v>0</v>
      </c>
      <c r="J97" t="n">
        <v>0</v>
      </c>
      <c r="K97" t="n">
        <v>0</v>
      </c>
      <c r="L97" t="n">
        <v>0</v>
      </c>
      <c r="M97" t="n">
        <v>0</v>
      </c>
      <c r="N97" t="n">
        <v>0</v>
      </c>
      <c r="O97" t="n">
        <v>0</v>
      </c>
      <c r="P97" t="n">
        <v>0</v>
      </c>
      <c r="Q97" t="n">
        <v>0</v>
      </c>
      <c r="R97" s="2" t="inlineStr"/>
    </row>
    <row r="98" ht="15" customHeight="1">
      <c r="A98" t="inlineStr">
        <is>
          <t>A 44678-2022</t>
        </is>
      </c>
      <c r="B98" s="1" t="n">
        <v>44840.65100694444</v>
      </c>
      <c r="C98" s="1" t="n">
        <v>46124</v>
      </c>
      <c r="D98" t="inlineStr">
        <is>
          <t>KALMAR LÄN</t>
        </is>
      </c>
      <c r="E98" t="inlineStr">
        <is>
          <t>BORGHOLM</t>
        </is>
      </c>
      <c r="G98" t="n">
        <v>2.4</v>
      </c>
      <c r="H98" t="n">
        <v>0</v>
      </c>
      <c r="I98" t="n">
        <v>0</v>
      </c>
      <c r="J98" t="n">
        <v>0</v>
      </c>
      <c r="K98" t="n">
        <v>0</v>
      </c>
      <c r="L98" t="n">
        <v>0</v>
      </c>
      <c r="M98" t="n">
        <v>0</v>
      </c>
      <c r="N98" t="n">
        <v>0</v>
      </c>
      <c r="O98" t="n">
        <v>0</v>
      </c>
      <c r="P98" t="n">
        <v>0</v>
      </c>
      <c r="Q98" t="n">
        <v>0</v>
      </c>
      <c r="R98" s="2" t="inlineStr"/>
    </row>
    <row r="99" ht="15" customHeight="1">
      <c r="A99" t="inlineStr">
        <is>
          <t>A 31720-2022</t>
        </is>
      </c>
      <c r="B99" s="1" t="n">
        <v>44776</v>
      </c>
      <c r="C99" s="1" t="n">
        <v>46124</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46124</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5175-2024</t>
        </is>
      </c>
      <c r="B101" s="1" t="n">
        <v>45330</v>
      </c>
      <c r="C101" s="1" t="n">
        <v>46124</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46124</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19867-2024</t>
        </is>
      </c>
      <c r="B103" s="1" t="n">
        <v>45433</v>
      </c>
      <c r="C103" s="1" t="n">
        <v>46124</v>
      </c>
      <c r="D103" t="inlineStr">
        <is>
          <t>KALMAR LÄN</t>
        </is>
      </c>
      <c r="E103" t="inlineStr">
        <is>
          <t>BORGHOLM</t>
        </is>
      </c>
      <c r="G103" t="n">
        <v>3.9</v>
      </c>
      <c r="H103" t="n">
        <v>0</v>
      </c>
      <c r="I103" t="n">
        <v>0</v>
      </c>
      <c r="J103" t="n">
        <v>0</v>
      </c>
      <c r="K103" t="n">
        <v>0</v>
      </c>
      <c r="L103" t="n">
        <v>0</v>
      </c>
      <c r="M103" t="n">
        <v>0</v>
      </c>
      <c r="N103" t="n">
        <v>0</v>
      </c>
      <c r="O103" t="n">
        <v>0</v>
      </c>
      <c r="P103" t="n">
        <v>0</v>
      </c>
      <c r="Q103" t="n">
        <v>0</v>
      </c>
      <c r="R103" s="2" t="inlineStr"/>
    </row>
    <row r="104" ht="15" customHeight="1">
      <c r="A104" t="inlineStr">
        <is>
          <t>A 13383-2023</t>
        </is>
      </c>
      <c r="B104" s="1" t="n">
        <v>45005</v>
      </c>
      <c r="C104" s="1" t="n">
        <v>46124</v>
      </c>
      <c r="D104" t="inlineStr">
        <is>
          <t>KALMAR LÄN</t>
        </is>
      </c>
      <c r="E104" t="inlineStr">
        <is>
          <t>BORGHOLM</t>
        </is>
      </c>
      <c r="G104" t="n">
        <v>0.8</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46124</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46124</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46124</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46124</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50129-2021</t>
        </is>
      </c>
      <c r="B109" s="1" t="n">
        <v>44456</v>
      </c>
      <c r="C109" s="1" t="n">
        <v>46124</v>
      </c>
      <c r="D109" t="inlineStr">
        <is>
          <t>KALMAR LÄN</t>
        </is>
      </c>
      <c r="E109" t="inlineStr">
        <is>
          <t>BORGHOLM</t>
        </is>
      </c>
      <c r="G109" t="n">
        <v>1.6</v>
      </c>
      <c r="H109" t="n">
        <v>0</v>
      </c>
      <c r="I109" t="n">
        <v>0</v>
      </c>
      <c r="J109" t="n">
        <v>0</v>
      </c>
      <c r="K109" t="n">
        <v>0</v>
      </c>
      <c r="L109" t="n">
        <v>0</v>
      </c>
      <c r="M109" t="n">
        <v>0</v>
      </c>
      <c r="N109" t="n">
        <v>0</v>
      </c>
      <c r="O109" t="n">
        <v>0</v>
      </c>
      <c r="P109" t="n">
        <v>0</v>
      </c>
      <c r="Q109" t="n">
        <v>0</v>
      </c>
      <c r="R109" s="2" t="inlineStr"/>
    </row>
    <row r="110" ht="15" customHeight="1">
      <c r="A110" t="inlineStr">
        <is>
          <t>A 7481-2026</t>
        </is>
      </c>
      <c r="B110" s="1" t="n">
        <v>46059.51359953704</v>
      </c>
      <c r="C110" s="1" t="n">
        <v>46124</v>
      </c>
      <c r="D110" t="inlineStr">
        <is>
          <t>KALMAR LÄN</t>
        </is>
      </c>
      <c r="E110" t="inlineStr">
        <is>
          <t>BORGHOLM</t>
        </is>
      </c>
      <c r="G110" t="n">
        <v>1.9</v>
      </c>
      <c r="H110" t="n">
        <v>0</v>
      </c>
      <c r="I110" t="n">
        <v>0</v>
      </c>
      <c r="J110" t="n">
        <v>0</v>
      </c>
      <c r="K110" t="n">
        <v>0</v>
      </c>
      <c r="L110" t="n">
        <v>0</v>
      </c>
      <c r="M110" t="n">
        <v>0</v>
      </c>
      <c r="N110" t="n">
        <v>0</v>
      </c>
      <c r="O110" t="n">
        <v>0</v>
      </c>
      <c r="P110" t="n">
        <v>0</v>
      </c>
      <c r="Q110" t="n">
        <v>0</v>
      </c>
      <c r="R110" s="2" t="inlineStr"/>
    </row>
    <row r="111" ht="15" customHeight="1">
      <c r="A111" t="inlineStr">
        <is>
          <t>A 15272-2026</t>
        </is>
      </c>
      <c r="B111" s="1" t="n">
        <v>46105.60017361111</v>
      </c>
      <c r="C111" s="1" t="n">
        <v>46124</v>
      </c>
      <c r="D111" t="inlineStr">
        <is>
          <t>KALMAR LÄN</t>
        </is>
      </c>
      <c r="E111" t="inlineStr">
        <is>
          <t>BORGHOLM</t>
        </is>
      </c>
      <c r="F111" t="inlineStr">
        <is>
          <t>Sveaskog</t>
        </is>
      </c>
      <c r="G111" t="n">
        <v>2.9</v>
      </c>
      <c r="H111" t="n">
        <v>0</v>
      </c>
      <c r="I111" t="n">
        <v>0</v>
      </c>
      <c r="J111" t="n">
        <v>0</v>
      </c>
      <c r="K111" t="n">
        <v>0</v>
      </c>
      <c r="L111" t="n">
        <v>0</v>
      </c>
      <c r="M111" t="n">
        <v>0</v>
      </c>
      <c r="N111" t="n">
        <v>0</v>
      </c>
      <c r="O111" t="n">
        <v>0</v>
      </c>
      <c r="P111" t="n">
        <v>0</v>
      </c>
      <c r="Q111" t="n">
        <v>0</v>
      </c>
      <c r="R111" s="2" t="inlineStr"/>
    </row>
    <row r="112" ht="15" customHeight="1">
      <c r="A112" t="inlineStr">
        <is>
          <t>A 15264-2026</t>
        </is>
      </c>
      <c r="B112" s="1" t="n">
        <v>46105.59372685185</v>
      </c>
      <c r="C112" s="1" t="n">
        <v>46124</v>
      </c>
      <c r="D112" t="inlineStr">
        <is>
          <t>KALMAR LÄN</t>
        </is>
      </c>
      <c r="E112" t="inlineStr">
        <is>
          <t>BORGHOLM</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15279-2026</t>
        </is>
      </c>
      <c r="B113" s="1" t="n">
        <v>46105.61030092592</v>
      </c>
      <c r="C113" s="1" t="n">
        <v>46124</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9104-2026</t>
        </is>
      </c>
      <c r="B114" s="1" t="n">
        <v>46069</v>
      </c>
      <c r="C114" s="1" t="n">
        <v>46124</v>
      </c>
      <c r="D114" t="inlineStr">
        <is>
          <t>KALMAR LÄN</t>
        </is>
      </c>
      <c r="E114" t="inlineStr">
        <is>
          <t>BORGHOLM</t>
        </is>
      </c>
      <c r="G114" t="n">
        <v>1.3</v>
      </c>
      <c r="H114" t="n">
        <v>0</v>
      </c>
      <c r="I114" t="n">
        <v>0</v>
      </c>
      <c r="J114" t="n">
        <v>0</v>
      </c>
      <c r="K114" t="n">
        <v>0</v>
      </c>
      <c r="L114" t="n">
        <v>0</v>
      </c>
      <c r="M114" t="n">
        <v>0</v>
      </c>
      <c r="N114" t="n">
        <v>0</v>
      </c>
      <c r="O114" t="n">
        <v>0</v>
      </c>
      <c r="P114" t="n">
        <v>0</v>
      </c>
      <c r="Q114" t="n">
        <v>0</v>
      </c>
      <c r="R114" s="2" t="inlineStr"/>
    </row>
    <row r="115" ht="15" customHeight="1">
      <c r="A115" t="inlineStr">
        <is>
          <t>A 9259-2026</t>
        </is>
      </c>
      <c r="B115" s="1" t="n">
        <v>46070.51917824074</v>
      </c>
      <c r="C115" s="1" t="n">
        <v>46124</v>
      </c>
      <c r="D115" t="inlineStr">
        <is>
          <t>KALMAR LÄN</t>
        </is>
      </c>
      <c r="E115" t="inlineStr">
        <is>
          <t>BORGHOLM</t>
        </is>
      </c>
      <c r="G115" t="n">
        <v>1.6</v>
      </c>
      <c r="H115" t="n">
        <v>0</v>
      </c>
      <c r="I115" t="n">
        <v>0</v>
      </c>
      <c r="J115" t="n">
        <v>0</v>
      </c>
      <c r="K115" t="n">
        <v>0</v>
      </c>
      <c r="L115" t="n">
        <v>0</v>
      </c>
      <c r="M115" t="n">
        <v>0</v>
      </c>
      <c r="N115" t="n">
        <v>0</v>
      </c>
      <c r="O115" t="n">
        <v>0</v>
      </c>
      <c r="P115" t="n">
        <v>0</v>
      </c>
      <c r="Q115" t="n">
        <v>0</v>
      </c>
      <c r="R115" s="2" t="inlineStr"/>
    </row>
    <row r="116" ht="15" customHeight="1">
      <c r="A116" t="inlineStr">
        <is>
          <t>A 13043-2024</t>
        </is>
      </c>
      <c r="B116" s="1" t="n">
        <v>45385.60111111111</v>
      </c>
      <c r="C116" s="1" t="n">
        <v>46124</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row>
    <row r="117" ht="15" customHeight="1">
      <c r="A117" t="inlineStr">
        <is>
          <t>A 34780-2022</t>
        </is>
      </c>
      <c r="B117" s="1" t="n">
        <v>44795</v>
      </c>
      <c r="C117" s="1" t="n">
        <v>46124</v>
      </c>
      <c r="D117" t="inlineStr">
        <is>
          <t>KALMAR LÄN</t>
        </is>
      </c>
      <c r="E117" t="inlineStr">
        <is>
          <t>BORGHOLM</t>
        </is>
      </c>
      <c r="F117" t="inlineStr">
        <is>
          <t>Sveaskog</t>
        </is>
      </c>
      <c r="G117" t="n">
        <v>6.7</v>
      </c>
      <c r="H117" t="n">
        <v>0</v>
      </c>
      <c r="I117" t="n">
        <v>0</v>
      </c>
      <c r="J117" t="n">
        <v>0</v>
      </c>
      <c r="K117" t="n">
        <v>0</v>
      </c>
      <c r="L117" t="n">
        <v>0</v>
      </c>
      <c r="M117" t="n">
        <v>0</v>
      </c>
      <c r="N117" t="n">
        <v>0</v>
      </c>
      <c r="O117" t="n">
        <v>0</v>
      </c>
      <c r="P117" t="n">
        <v>0</v>
      </c>
      <c r="Q117" t="n">
        <v>0</v>
      </c>
      <c r="R117" s="2" t="inlineStr"/>
    </row>
    <row r="118" ht="15" customHeight="1">
      <c r="A118" t="inlineStr">
        <is>
          <t>A 9905-2026</t>
        </is>
      </c>
      <c r="B118" s="1" t="n">
        <v>46073.4108912037</v>
      </c>
      <c r="C118" s="1" t="n">
        <v>46124</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9044-2025</t>
        </is>
      </c>
      <c r="B119" s="1" t="n">
        <v>45713.6275</v>
      </c>
      <c r="C119" s="1" t="n">
        <v>46124</v>
      </c>
      <c r="D119" t="inlineStr">
        <is>
          <t>KALMAR LÄN</t>
        </is>
      </c>
      <c r="E119" t="inlineStr">
        <is>
          <t>BORGHOLM</t>
        </is>
      </c>
      <c r="F119" t="inlineStr">
        <is>
          <t>Sveaskog</t>
        </is>
      </c>
      <c r="G119" t="n">
        <v>4</v>
      </c>
      <c r="H119" t="n">
        <v>0</v>
      </c>
      <c r="I119" t="n">
        <v>0</v>
      </c>
      <c r="J119" t="n">
        <v>0</v>
      </c>
      <c r="K119" t="n">
        <v>0</v>
      </c>
      <c r="L119" t="n">
        <v>0</v>
      </c>
      <c r="M119" t="n">
        <v>0</v>
      </c>
      <c r="N119" t="n">
        <v>0</v>
      </c>
      <c r="O119" t="n">
        <v>0</v>
      </c>
      <c r="P119" t="n">
        <v>0</v>
      </c>
      <c r="Q119" t="n">
        <v>0</v>
      </c>
      <c r="R119" s="2" t="inlineStr"/>
    </row>
    <row r="120" ht="15" customHeight="1">
      <c r="A120" t="inlineStr">
        <is>
          <t>A 20878-2024</t>
        </is>
      </c>
      <c r="B120" s="1" t="n">
        <v>45439.44748842593</v>
      </c>
      <c r="C120" s="1" t="n">
        <v>46124</v>
      </c>
      <c r="D120" t="inlineStr">
        <is>
          <t>KALMAR LÄN</t>
        </is>
      </c>
      <c r="E120" t="inlineStr">
        <is>
          <t>BORGHOLM</t>
        </is>
      </c>
      <c r="G120" t="n">
        <v>1.9</v>
      </c>
      <c r="H120" t="n">
        <v>0</v>
      </c>
      <c r="I120" t="n">
        <v>0</v>
      </c>
      <c r="J120" t="n">
        <v>0</v>
      </c>
      <c r="K120" t="n">
        <v>0</v>
      </c>
      <c r="L120" t="n">
        <v>0</v>
      </c>
      <c r="M120" t="n">
        <v>0</v>
      </c>
      <c r="N120" t="n">
        <v>0</v>
      </c>
      <c r="O120" t="n">
        <v>0</v>
      </c>
      <c r="P120" t="n">
        <v>0</v>
      </c>
      <c r="Q120" t="n">
        <v>0</v>
      </c>
      <c r="R120" s="2" t="inlineStr"/>
    </row>
    <row r="121" ht="15" customHeight="1">
      <c r="A121" t="inlineStr">
        <is>
          <t>A 17699-2025</t>
        </is>
      </c>
      <c r="B121" s="1" t="n">
        <v>45758.41846064815</v>
      </c>
      <c r="C121" s="1" t="n">
        <v>46124</v>
      </c>
      <c r="D121" t="inlineStr">
        <is>
          <t>KALMAR LÄN</t>
        </is>
      </c>
      <c r="E121" t="inlineStr">
        <is>
          <t>BORGHOLM</t>
        </is>
      </c>
      <c r="G121" t="n">
        <v>0.7</v>
      </c>
      <c r="H121" t="n">
        <v>0</v>
      </c>
      <c r="I121" t="n">
        <v>0</v>
      </c>
      <c r="J121" t="n">
        <v>0</v>
      </c>
      <c r="K121" t="n">
        <v>0</v>
      </c>
      <c r="L121" t="n">
        <v>0</v>
      </c>
      <c r="M121" t="n">
        <v>0</v>
      </c>
      <c r="N121" t="n">
        <v>0</v>
      </c>
      <c r="O121" t="n">
        <v>0</v>
      </c>
      <c r="P121" t="n">
        <v>0</v>
      </c>
      <c r="Q121" t="n">
        <v>0</v>
      </c>
      <c r="R121" s="2" t="inlineStr"/>
    </row>
    <row r="122" ht="15" customHeight="1">
      <c r="A122" t="inlineStr">
        <is>
          <t>A 20287-2025</t>
        </is>
      </c>
      <c r="B122" s="1" t="n">
        <v>45774.60741898148</v>
      </c>
      <c r="C122" s="1" t="n">
        <v>46124</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c r="A123" t="inlineStr">
        <is>
          <t>A 26160-2024</t>
        </is>
      </c>
      <c r="B123" s="1" t="n">
        <v>45468</v>
      </c>
      <c r="C123" s="1" t="n">
        <v>46124</v>
      </c>
      <c r="D123" t="inlineStr">
        <is>
          <t>KALMAR LÄN</t>
        </is>
      </c>
      <c r="E123" t="inlineStr">
        <is>
          <t>BORGHOLM</t>
        </is>
      </c>
      <c r="G123" t="n">
        <v>0.4</v>
      </c>
      <c r="H123" t="n">
        <v>0</v>
      </c>
      <c r="I123" t="n">
        <v>0</v>
      </c>
      <c r="J123" t="n">
        <v>0</v>
      </c>
      <c r="K123" t="n">
        <v>0</v>
      </c>
      <c r="L123" t="n">
        <v>0</v>
      </c>
      <c r="M123" t="n">
        <v>0</v>
      </c>
      <c r="N123" t="n">
        <v>0</v>
      </c>
      <c r="O123" t="n">
        <v>0</v>
      </c>
      <c r="P123" t="n">
        <v>0</v>
      </c>
      <c r="Q123" t="n">
        <v>0</v>
      </c>
      <c r="R123" s="2" t="inlineStr"/>
      <c r="T123">
        <f>HYPERLINK("https://klasma.github.io/Logging_0885/kartor/A 26160-2024 karta.png", "A 26160-2024")</f>
        <v/>
      </c>
      <c r="V123">
        <f>HYPERLINK("https://klasma.github.io/Logging_0885/klagomål/A 26160-2024 FSC-klagomål.docx", "A 26160-2024")</f>
        <v/>
      </c>
      <c r="W123">
        <f>HYPERLINK("https://klasma.github.io/Logging_0885/klagomålsmail/A 26160-2024 FSC-klagomål mail.docx", "A 26160-2024")</f>
        <v/>
      </c>
      <c r="X123">
        <f>HYPERLINK("https://klasma.github.io/Logging_0885/tillsyn/A 26160-2024 tillsynsbegäran.docx", "A 26160-2024")</f>
        <v/>
      </c>
      <c r="Y123">
        <f>HYPERLINK("https://klasma.github.io/Logging_0885/tillsynsmail/A 26160-2024 tillsynsbegäran mail.docx", "A 26160-2024")</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2026-04-12T10:35:04Z</dcterms:created>
  <dcterms:modified xmlns:dcterms="http://purl.org/dc/terms/" xmlns:xsi="http://www.w3.org/2001/XMLSchema-instance" xsi:type="dcterms:W3CDTF">2026-04-12T10:35:04Z</dcterms:modified>
</cp:coreProperties>
</file>