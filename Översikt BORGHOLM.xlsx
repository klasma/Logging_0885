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46186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46186</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46186</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46186</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46186</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46186</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46186</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46186</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9028-2025</t>
        </is>
      </c>
      <c r="B10" s="1" t="n">
        <v>45713</v>
      </c>
      <c r="C10" s="1" t="n">
        <v>46186</v>
      </c>
      <c r="D10" t="inlineStr">
        <is>
          <t>KALMAR LÄN</t>
        </is>
      </c>
      <c r="E10" t="inlineStr">
        <is>
          <t>BORGHOLM</t>
        </is>
      </c>
      <c r="F10" t="inlineStr">
        <is>
          <t>Sveaskog</t>
        </is>
      </c>
      <c r="G10" t="n">
        <v>3</v>
      </c>
      <c r="H10" t="n">
        <v>0</v>
      </c>
      <c r="I10" t="n">
        <v>1</v>
      </c>
      <c r="J10" t="n">
        <v>1</v>
      </c>
      <c r="K10" t="n">
        <v>3</v>
      </c>
      <c r="L10" t="n">
        <v>0</v>
      </c>
      <c r="M10" t="n">
        <v>0</v>
      </c>
      <c r="N10" t="n">
        <v>0</v>
      </c>
      <c r="O10" t="n">
        <v>5</v>
      </c>
      <c r="P10" t="n">
        <v>3</v>
      </c>
      <c r="Q10" t="n">
        <v>6</v>
      </c>
      <c r="R10" s="2" t="inlineStr">
        <is>
          <t>Gulsträngad fagerspindling
Kopparspindling
Sydlig gyllenspindling
Persiljespindling
Trollspindling
Brandmusseron</t>
        </is>
      </c>
      <c r="S10">
        <f>HYPERLINK("https://klasma.github.io/Logging_0885/artfynd/A 9028-2025 artfynd.xlsx", "A 9028-2025")</f>
        <v/>
      </c>
      <c r="T10">
        <f>HYPERLINK("https://klasma.github.io/Logging_0885/kartor/A 9028-2025 karta.png", "A 9028-2025")</f>
        <v/>
      </c>
      <c r="V10">
        <f>HYPERLINK("https://klasma.github.io/Logging_0885/klagomål/A 9028-2025 FSC-klagomål.docx", "A 9028-2025")</f>
        <v/>
      </c>
      <c r="W10">
        <f>HYPERLINK("https://klasma.github.io/Logging_0885/klagomålsmail/A 9028-2025 FSC-klagomål mail.docx", "A 9028-2025")</f>
        <v/>
      </c>
      <c r="X10">
        <f>HYPERLINK("https://klasma.github.io/Logging_0885/tillsyn/A 9028-2025 tillsynsbegäran.docx", "A 9028-2025")</f>
        <v/>
      </c>
      <c r="Y10">
        <f>HYPERLINK("https://klasma.github.io/Logging_0885/tillsynsmail/A 9028-2025 tillsynsbegäran mail.docx", "A 9028-2025")</f>
        <v/>
      </c>
    </row>
    <row r="11" ht="15" customHeight="1">
      <c r="A11" t="inlineStr">
        <is>
          <t>A 32178-2022</t>
        </is>
      </c>
      <c r="B11" s="1" t="n">
        <v>44781</v>
      </c>
      <c r="C11" s="1" t="n">
        <v>46186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50720-2021</t>
        </is>
      </c>
      <c r="B12" s="1" t="n">
        <v>44459</v>
      </c>
      <c r="C12" s="1" t="n">
        <v>46186</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46186</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46186</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46186</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46186</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46186</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38860-2025</t>
        </is>
      </c>
      <c r="B18" s="1" t="n">
        <v>45887.5609375</v>
      </c>
      <c r="C18" s="1" t="n">
        <v>46186</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13556-2025</t>
        </is>
      </c>
      <c r="B19" s="1" t="n">
        <v>45736.54759259259</v>
      </c>
      <c r="C19" s="1" t="n">
        <v>46186</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60140-2025</t>
        </is>
      </c>
      <c r="B20" s="1" t="n">
        <v>45994.36274305556</v>
      </c>
      <c r="C20" s="1" t="n">
        <v>46186</v>
      </c>
      <c r="D20" t="inlineStr">
        <is>
          <t>KALMAR LÄN</t>
        </is>
      </c>
      <c r="E20" t="inlineStr">
        <is>
          <t>BORGHOLM</t>
        </is>
      </c>
      <c r="G20" t="n">
        <v>0.8</v>
      </c>
      <c r="H20" t="n">
        <v>1</v>
      </c>
      <c r="I20" t="n">
        <v>2</v>
      </c>
      <c r="J20" t="n">
        <v>0</v>
      </c>
      <c r="K20" t="n">
        <v>0</v>
      </c>
      <c r="L20" t="n">
        <v>0</v>
      </c>
      <c r="M20" t="n">
        <v>0</v>
      </c>
      <c r="N20" t="n">
        <v>0</v>
      </c>
      <c r="O20" t="n">
        <v>0</v>
      </c>
      <c r="P20" t="n">
        <v>0</v>
      </c>
      <c r="Q20" t="n">
        <v>2</v>
      </c>
      <c r="R20" s="2" t="inlineStr">
        <is>
          <t>Skogsknipprot
Strävlosta</t>
        </is>
      </c>
      <c r="S20">
        <f>HYPERLINK("https://klasma.github.io/Logging_0885/artfynd/A 60140-2025 artfynd.xlsx", "A 60140-2025")</f>
        <v/>
      </c>
      <c r="T20">
        <f>HYPERLINK("https://klasma.github.io/Logging_0885/kartor/A 60140-2025 karta.png", "A 60140-2025")</f>
        <v/>
      </c>
      <c r="V20">
        <f>HYPERLINK("https://klasma.github.io/Logging_0885/klagomål/A 60140-2025 FSC-klagomål.docx", "A 60140-2025")</f>
        <v/>
      </c>
      <c r="W20">
        <f>HYPERLINK("https://klasma.github.io/Logging_0885/klagomålsmail/A 60140-2025 FSC-klagomål mail.docx", "A 60140-2025")</f>
        <v/>
      </c>
      <c r="X20">
        <f>HYPERLINK("https://klasma.github.io/Logging_0885/tillsyn/A 60140-2025 tillsynsbegäran.docx", "A 60140-2025")</f>
        <v/>
      </c>
      <c r="Y20">
        <f>HYPERLINK("https://klasma.github.io/Logging_0885/tillsynsmail/A 60140-2025 tillsynsbegäran mail.docx", "A 60140-2025")</f>
        <v/>
      </c>
    </row>
    <row r="21" ht="15" customHeight="1">
      <c r="A21" t="inlineStr">
        <is>
          <t>A 28779-2025</t>
        </is>
      </c>
      <c r="B21" s="1" t="n">
        <v>45820.44920138889</v>
      </c>
      <c r="C21" s="1" t="n">
        <v>46186</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9253-2026</t>
        </is>
      </c>
      <c r="B22" s="1" t="n">
        <v>46070.51003472223</v>
      </c>
      <c r="C22" s="1" t="n">
        <v>46186</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15285-2026</t>
        </is>
      </c>
      <c r="B23" s="1" t="n">
        <v>46105.6156712963</v>
      </c>
      <c r="C23" s="1" t="n">
        <v>46186</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Havsörn
Talltita</t>
        </is>
      </c>
      <c r="S23">
        <f>HYPERLINK("https://klasma.github.io/Logging_0885/artfynd/A 15285-2026 artfynd.xlsx", "A 15285-2026")</f>
        <v/>
      </c>
      <c r="T23">
        <f>HYPERLINK("https://klasma.github.io/Logging_0885/kartor/A 15285-2026 karta.png", "A 15285-2026")</f>
        <v/>
      </c>
      <c r="V23">
        <f>HYPERLINK("https://klasma.github.io/Logging_0885/klagomål/A 15285-2026 FSC-klagomål.docx", "A 15285-2026")</f>
        <v/>
      </c>
      <c r="W23">
        <f>HYPERLINK("https://klasma.github.io/Logging_0885/klagomålsmail/A 15285-2026 FSC-klagomål mail.docx", "A 15285-2026")</f>
        <v/>
      </c>
      <c r="X23">
        <f>HYPERLINK("https://klasma.github.io/Logging_0885/tillsyn/A 15285-2026 tillsynsbegäran.docx", "A 15285-2026")</f>
        <v/>
      </c>
      <c r="Y23">
        <f>HYPERLINK("https://klasma.github.io/Logging_0885/tillsynsmail/A 15285-2026 tillsynsbegäran mail.docx", "A 15285-2026")</f>
        <v/>
      </c>
      <c r="Z23">
        <f>HYPERLINK("https://klasma.github.io/Logging_0885/fåglar/A 15285-2026 prioriterade fågelarter.docx", "A 15285-2026")</f>
        <v/>
      </c>
    </row>
    <row r="24" ht="15" customHeight="1">
      <c r="A24" t="inlineStr">
        <is>
          <t>A 24322-2026</t>
        </is>
      </c>
      <c r="B24" s="1" t="n">
        <v>46169.48598379629</v>
      </c>
      <c r="C24" s="1" t="n">
        <v>46186</v>
      </c>
      <c r="D24" t="inlineStr">
        <is>
          <t>KALMAR LÄN</t>
        </is>
      </c>
      <c r="E24" t="inlineStr">
        <is>
          <t>BORGHOLM</t>
        </is>
      </c>
      <c r="F24" t="inlineStr">
        <is>
          <t>Sveaskog</t>
        </is>
      </c>
      <c r="G24" t="n">
        <v>5.5</v>
      </c>
      <c r="H24" t="n">
        <v>2</v>
      </c>
      <c r="I24" t="n">
        <v>2</v>
      </c>
      <c r="J24" t="n">
        <v>0</v>
      </c>
      <c r="K24" t="n">
        <v>0</v>
      </c>
      <c r="L24" t="n">
        <v>0</v>
      </c>
      <c r="M24" t="n">
        <v>0</v>
      </c>
      <c r="N24" t="n">
        <v>0</v>
      </c>
      <c r="O24" t="n">
        <v>0</v>
      </c>
      <c r="P24" t="n">
        <v>0</v>
      </c>
      <c r="Q24" t="n">
        <v>2</v>
      </c>
      <c r="R24" s="2" t="inlineStr">
        <is>
          <t>Purpurknipprot
Skogsknipprot</t>
        </is>
      </c>
      <c r="S24">
        <f>HYPERLINK("https://klasma.github.io/Logging_0885/artfynd/A 24322-2026 artfynd.xlsx", "A 24322-2026")</f>
        <v/>
      </c>
      <c r="T24">
        <f>HYPERLINK("https://klasma.github.io/Logging_0885/kartor/A 24322-2026 karta.png", "A 24322-2026")</f>
        <v/>
      </c>
      <c r="V24">
        <f>HYPERLINK("https://klasma.github.io/Logging_0885/klagomål/A 24322-2026 FSC-klagomål.docx", "A 24322-2026")</f>
        <v/>
      </c>
      <c r="W24">
        <f>HYPERLINK("https://klasma.github.io/Logging_0885/klagomålsmail/A 24322-2026 FSC-klagomål mail.docx", "A 24322-2026")</f>
        <v/>
      </c>
      <c r="X24">
        <f>HYPERLINK("https://klasma.github.io/Logging_0885/tillsyn/A 24322-2026 tillsynsbegäran.docx", "A 24322-2026")</f>
        <v/>
      </c>
      <c r="Y24">
        <f>HYPERLINK("https://klasma.github.io/Logging_0885/tillsynsmail/A 24322-2026 tillsynsbegäran mail.docx", "A 24322-2026")</f>
        <v/>
      </c>
    </row>
    <row r="25" ht="15" customHeight="1">
      <c r="A25" t="inlineStr">
        <is>
          <t>A 32174-2022</t>
        </is>
      </c>
      <c r="B25" s="1" t="n">
        <v>44781</v>
      </c>
      <c r="C25" s="1" t="n">
        <v>46186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46186</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26849-2026</t>
        </is>
      </c>
      <c r="B27" s="1" t="n">
        <v>46185.41702546296</v>
      </c>
      <c r="C27" s="1" t="n">
        <v>46186</v>
      </c>
      <c r="D27" t="inlineStr">
        <is>
          <t>KALMAR LÄN</t>
        </is>
      </c>
      <c r="E27" t="inlineStr">
        <is>
          <t>BORGHOLM</t>
        </is>
      </c>
      <c r="F27" t="inlineStr">
        <is>
          <t>Sveaskog</t>
        </is>
      </c>
      <c r="G27" t="n">
        <v>8.1</v>
      </c>
      <c r="H27" t="n">
        <v>1</v>
      </c>
      <c r="I27" t="n">
        <v>2</v>
      </c>
      <c r="J27" t="n">
        <v>0</v>
      </c>
      <c r="K27" t="n">
        <v>0</v>
      </c>
      <c r="L27" t="n">
        <v>0</v>
      </c>
      <c r="M27" t="n">
        <v>0</v>
      </c>
      <c r="N27" t="n">
        <v>0</v>
      </c>
      <c r="O27" t="n">
        <v>0</v>
      </c>
      <c r="P27" t="n">
        <v>0</v>
      </c>
      <c r="Q27" t="n">
        <v>2</v>
      </c>
      <c r="R27" s="2" t="inlineStr">
        <is>
          <t>Myskmadra
Vit skogslilja</t>
        </is>
      </c>
      <c r="S27">
        <f>HYPERLINK("https://klasma.github.io/Logging_0885/artfynd/A 26849-2026 artfynd.xlsx", "A 26849-2026")</f>
        <v/>
      </c>
      <c r="T27">
        <f>HYPERLINK("https://klasma.github.io/Logging_0885/kartor/A 26849-2026 karta.png", "A 26849-2026")</f>
        <v/>
      </c>
      <c r="V27">
        <f>HYPERLINK("https://klasma.github.io/Logging_0885/klagomål/A 26849-2026 FSC-klagomål.docx", "A 26849-2026")</f>
        <v/>
      </c>
      <c r="W27">
        <f>HYPERLINK("https://klasma.github.io/Logging_0885/klagomålsmail/A 26849-2026 FSC-klagomål mail.docx", "A 26849-2026")</f>
        <v/>
      </c>
      <c r="X27">
        <f>HYPERLINK("https://klasma.github.io/Logging_0885/tillsyn/A 26849-2026 tillsynsbegäran.docx", "A 26849-2026")</f>
        <v/>
      </c>
      <c r="Y27">
        <f>HYPERLINK("https://klasma.github.io/Logging_0885/tillsynsmail/A 26849-2026 tillsynsbegäran mail.docx", "A 26849-2026")</f>
        <v/>
      </c>
    </row>
    <row r="28" ht="15" customHeight="1">
      <c r="A28" t="inlineStr">
        <is>
          <t>A 4164-2023</t>
        </is>
      </c>
      <c r="B28" s="1" t="n">
        <v>44953</v>
      </c>
      <c r="C28" s="1" t="n">
        <v>46186</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46186</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46186</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46186</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46186</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46186</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46186</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3302-2026</t>
        </is>
      </c>
      <c r="B35" s="1" t="n">
        <v>46041</v>
      </c>
      <c r="C35" s="1" t="n">
        <v>46186</v>
      </c>
      <c r="D35" t="inlineStr">
        <is>
          <t>KALMAR LÄN</t>
        </is>
      </c>
      <c r="E35" t="inlineStr">
        <is>
          <t>BORGHOLM</t>
        </is>
      </c>
      <c r="G35" t="n">
        <v>3.9</v>
      </c>
      <c r="H35" t="n">
        <v>1</v>
      </c>
      <c r="I35" t="n">
        <v>0</v>
      </c>
      <c r="J35" t="n">
        <v>0</v>
      </c>
      <c r="K35" t="n">
        <v>0</v>
      </c>
      <c r="L35" t="n">
        <v>0</v>
      </c>
      <c r="M35" t="n">
        <v>0</v>
      </c>
      <c r="N35" t="n">
        <v>0</v>
      </c>
      <c r="O35" t="n">
        <v>0</v>
      </c>
      <c r="P35" t="n">
        <v>0</v>
      </c>
      <c r="Q35" t="n">
        <v>1</v>
      </c>
      <c r="R35" s="2" t="inlineStr">
        <is>
          <t>Blåsippa</t>
        </is>
      </c>
      <c r="S35">
        <f>HYPERLINK("https://klasma.github.io/Logging_0885/artfynd/A 3302-2026 artfynd.xlsx", "A 3302-2026")</f>
        <v/>
      </c>
      <c r="T35">
        <f>HYPERLINK("https://klasma.github.io/Logging_0885/kartor/A 3302-2026 karta.png", "A 3302-2026")</f>
        <v/>
      </c>
      <c r="V35">
        <f>HYPERLINK("https://klasma.github.io/Logging_0885/klagomål/A 3302-2026 FSC-klagomål.docx", "A 3302-2026")</f>
        <v/>
      </c>
      <c r="W35">
        <f>HYPERLINK("https://klasma.github.io/Logging_0885/klagomålsmail/A 3302-2026 FSC-klagomål mail.docx", "A 3302-2026")</f>
        <v/>
      </c>
      <c r="X35">
        <f>HYPERLINK("https://klasma.github.io/Logging_0885/tillsyn/A 3302-2026 tillsynsbegäran.docx", "A 3302-2026")</f>
        <v/>
      </c>
      <c r="Y35">
        <f>HYPERLINK("https://klasma.github.io/Logging_0885/tillsynsmail/A 3302-2026 tillsynsbegäran mail.docx", "A 3302-2026")</f>
        <v/>
      </c>
    </row>
    <row r="36" ht="15" customHeight="1">
      <c r="A36" t="inlineStr">
        <is>
          <t>A 28785-2025</t>
        </is>
      </c>
      <c r="B36" s="1" t="n">
        <v>45820.46159722222</v>
      </c>
      <c r="C36" s="1" t="n">
        <v>46186</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24704-2023</t>
        </is>
      </c>
      <c r="B37" s="1" t="n">
        <v>45084</v>
      </c>
      <c r="C37" s="1" t="n">
        <v>46186</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9745-2023</t>
        </is>
      </c>
      <c r="B38" s="1" t="n">
        <v>44984</v>
      </c>
      <c r="C38" s="1" t="n">
        <v>46186</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43603-2024</t>
        </is>
      </c>
      <c r="B39" s="1" t="n">
        <v>45569.44700231482</v>
      </c>
      <c r="C39" s="1" t="n">
        <v>46186</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26840-2026</t>
        </is>
      </c>
      <c r="B40" s="1" t="n">
        <v>46185.38869212963</v>
      </c>
      <c r="C40" s="1" t="n">
        <v>46186</v>
      </c>
      <c r="D40" t="inlineStr">
        <is>
          <t>KALMAR LÄN</t>
        </is>
      </c>
      <c r="E40" t="inlineStr">
        <is>
          <t>BORGHOLM</t>
        </is>
      </c>
      <c r="F40" t="inlineStr">
        <is>
          <t>Sveaskog</t>
        </is>
      </c>
      <c r="G40" t="n">
        <v>1.4</v>
      </c>
      <c r="H40" t="n">
        <v>0</v>
      </c>
      <c r="I40" t="n">
        <v>0</v>
      </c>
      <c r="J40" t="n">
        <v>0</v>
      </c>
      <c r="K40" t="n">
        <v>0</v>
      </c>
      <c r="L40" t="n">
        <v>1</v>
      </c>
      <c r="M40" t="n">
        <v>0</v>
      </c>
      <c r="N40" t="n">
        <v>0</v>
      </c>
      <c r="O40" t="n">
        <v>1</v>
      </c>
      <c r="P40" t="n">
        <v>1</v>
      </c>
      <c r="Q40" t="n">
        <v>1</v>
      </c>
      <c r="R40" s="2" t="inlineStr">
        <is>
          <t>Ask</t>
        </is>
      </c>
      <c r="S40">
        <f>HYPERLINK("https://klasma.github.io/Logging_0885/artfynd/A 26840-2026 artfynd.xlsx", "A 26840-2026")</f>
        <v/>
      </c>
      <c r="T40">
        <f>HYPERLINK("https://klasma.github.io/Logging_0885/kartor/A 26840-2026 karta.png", "A 26840-2026")</f>
        <v/>
      </c>
      <c r="V40">
        <f>HYPERLINK("https://klasma.github.io/Logging_0885/klagomål/A 26840-2026 FSC-klagomål.docx", "A 26840-2026")</f>
        <v/>
      </c>
      <c r="W40">
        <f>HYPERLINK("https://klasma.github.io/Logging_0885/klagomålsmail/A 26840-2026 FSC-klagomål mail.docx", "A 26840-2026")</f>
        <v/>
      </c>
      <c r="X40">
        <f>HYPERLINK("https://klasma.github.io/Logging_0885/tillsyn/A 26840-2026 tillsynsbegäran.docx", "A 26840-2026")</f>
        <v/>
      </c>
      <c r="Y40">
        <f>HYPERLINK("https://klasma.github.io/Logging_0885/tillsynsmail/A 26840-2026 tillsynsbegäran mail.docx", "A 26840-2026")</f>
        <v/>
      </c>
    </row>
    <row r="41" ht="15" customHeight="1">
      <c r="A41" t="inlineStr">
        <is>
          <t>A 42761-2021</t>
        </is>
      </c>
      <c r="B41" s="1" t="n">
        <v>44428</v>
      </c>
      <c r="C41" s="1" t="n">
        <v>46186</v>
      </c>
      <c r="D41" t="inlineStr">
        <is>
          <t>KALMAR LÄN</t>
        </is>
      </c>
      <c r="E41" t="inlineStr">
        <is>
          <t>BORGHOLM</t>
        </is>
      </c>
      <c r="G41" t="n">
        <v>1.5</v>
      </c>
      <c r="H41" t="n">
        <v>0</v>
      </c>
      <c r="I41" t="n">
        <v>0</v>
      </c>
      <c r="J41" t="n">
        <v>0</v>
      </c>
      <c r="K41" t="n">
        <v>0</v>
      </c>
      <c r="L41" t="n">
        <v>0</v>
      </c>
      <c r="M41" t="n">
        <v>0</v>
      </c>
      <c r="N41" t="n">
        <v>0</v>
      </c>
      <c r="O41" t="n">
        <v>0</v>
      </c>
      <c r="P41" t="n">
        <v>0</v>
      </c>
      <c r="Q41" t="n">
        <v>0</v>
      </c>
      <c r="R41" s="2" t="inlineStr"/>
    </row>
    <row r="42" ht="15" customHeight="1">
      <c r="A42" t="inlineStr">
        <is>
          <t>A 32665-2022</t>
        </is>
      </c>
      <c r="B42" s="1" t="n">
        <v>44783</v>
      </c>
      <c r="C42" s="1" t="n">
        <v>46186</v>
      </c>
      <c r="D42" t="inlineStr">
        <is>
          <t>KALMAR LÄN</t>
        </is>
      </c>
      <c r="E42" t="inlineStr">
        <is>
          <t>BORGHOLM</t>
        </is>
      </c>
      <c r="F42" t="inlineStr">
        <is>
          <t>Sveaskog</t>
        </is>
      </c>
      <c r="G42" t="n">
        <v>4.2</v>
      </c>
      <c r="H42" t="n">
        <v>0</v>
      </c>
      <c r="I42" t="n">
        <v>0</v>
      </c>
      <c r="J42" t="n">
        <v>0</v>
      </c>
      <c r="K42" t="n">
        <v>0</v>
      </c>
      <c r="L42" t="n">
        <v>0</v>
      </c>
      <c r="M42" t="n">
        <v>0</v>
      </c>
      <c r="N42" t="n">
        <v>0</v>
      </c>
      <c r="O42" t="n">
        <v>0</v>
      </c>
      <c r="P42" t="n">
        <v>0</v>
      </c>
      <c r="Q42" t="n">
        <v>0</v>
      </c>
      <c r="R42" s="2" t="inlineStr"/>
    </row>
    <row r="43" ht="15" customHeight="1">
      <c r="A43" t="inlineStr">
        <is>
          <t>A 10348-2022</t>
        </is>
      </c>
      <c r="B43" s="1" t="n">
        <v>44623</v>
      </c>
      <c r="C43" s="1" t="n">
        <v>46186</v>
      </c>
      <c r="D43" t="inlineStr">
        <is>
          <t>KALMAR LÄN</t>
        </is>
      </c>
      <c r="E43" t="inlineStr">
        <is>
          <t>BORGHOLM</t>
        </is>
      </c>
      <c r="G43" t="n">
        <v>0.4</v>
      </c>
      <c r="H43" t="n">
        <v>0</v>
      </c>
      <c r="I43" t="n">
        <v>0</v>
      </c>
      <c r="J43" t="n">
        <v>0</v>
      </c>
      <c r="K43" t="n">
        <v>0</v>
      </c>
      <c r="L43" t="n">
        <v>0</v>
      </c>
      <c r="M43" t="n">
        <v>0</v>
      </c>
      <c r="N43" t="n">
        <v>0</v>
      </c>
      <c r="O43" t="n">
        <v>0</v>
      </c>
      <c r="P43" t="n">
        <v>0</v>
      </c>
      <c r="Q43" t="n">
        <v>0</v>
      </c>
      <c r="R43" s="2" t="inlineStr"/>
    </row>
    <row r="44" ht="15" customHeight="1">
      <c r="A44" t="inlineStr">
        <is>
          <t>A 28345-2022</t>
        </is>
      </c>
      <c r="B44" s="1" t="n">
        <v>44747</v>
      </c>
      <c r="C44" s="1" t="n">
        <v>46186</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44681-2022</t>
        </is>
      </c>
      <c r="B45" s="1" t="n">
        <v>44840</v>
      </c>
      <c r="C45" s="1" t="n">
        <v>46186</v>
      </c>
      <c r="D45" t="inlineStr">
        <is>
          <t>KALMAR LÄN</t>
        </is>
      </c>
      <c r="E45" t="inlineStr">
        <is>
          <t>BORGHOLM</t>
        </is>
      </c>
      <c r="G45" t="n">
        <v>0.5</v>
      </c>
      <c r="H45" t="n">
        <v>0</v>
      </c>
      <c r="I45" t="n">
        <v>0</v>
      </c>
      <c r="J45" t="n">
        <v>0</v>
      </c>
      <c r="K45" t="n">
        <v>0</v>
      </c>
      <c r="L45" t="n">
        <v>0</v>
      </c>
      <c r="M45" t="n">
        <v>0</v>
      </c>
      <c r="N45" t="n">
        <v>0</v>
      </c>
      <c r="O45" t="n">
        <v>0</v>
      </c>
      <c r="P45" t="n">
        <v>0</v>
      </c>
      <c r="Q45" t="n">
        <v>0</v>
      </c>
      <c r="R45" s="2" t="inlineStr"/>
    </row>
    <row r="46" ht="15" customHeight="1">
      <c r="A46" t="inlineStr">
        <is>
          <t>A 32608-2022</t>
        </is>
      </c>
      <c r="B46" s="1" t="n">
        <v>44783</v>
      </c>
      <c r="C46" s="1" t="n">
        <v>46186</v>
      </c>
      <c r="D46" t="inlineStr">
        <is>
          <t>KALMAR LÄN</t>
        </is>
      </c>
      <c r="E46" t="inlineStr">
        <is>
          <t>BORGHOLM</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61828-2021</t>
        </is>
      </c>
      <c r="B47" s="1" t="n">
        <v>44501</v>
      </c>
      <c r="C47" s="1" t="n">
        <v>46186</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56188-2021</t>
        </is>
      </c>
      <c r="B48" s="1" t="n">
        <v>44477.83525462963</v>
      </c>
      <c r="C48" s="1" t="n">
        <v>46186</v>
      </c>
      <c r="D48" t="inlineStr">
        <is>
          <t>KALMAR LÄN</t>
        </is>
      </c>
      <c r="E48" t="inlineStr">
        <is>
          <t>BORGHOLM</t>
        </is>
      </c>
      <c r="G48" t="n">
        <v>1.8</v>
      </c>
      <c r="H48" t="n">
        <v>0</v>
      </c>
      <c r="I48" t="n">
        <v>0</v>
      </c>
      <c r="J48" t="n">
        <v>0</v>
      </c>
      <c r="K48" t="n">
        <v>0</v>
      </c>
      <c r="L48" t="n">
        <v>0</v>
      </c>
      <c r="M48" t="n">
        <v>0</v>
      </c>
      <c r="N48" t="n">
        <v>0</v>
      </c>
      <c r="O48" t="n">
        <v>0</v>
      </c>
      <c r="P48" t="n">
        <v>0</v>
      </c>
      <c r="Q48" t="n">
        <v>0</v>
      </c>
      <c r="R48" s="2" t="inlineStr"/>
    </row>
    <row r="49" ht="15" customHeight="1">
      <c r="A49" t="inlineStr">
        <is>
          <t>A 56983-2021</t>
        </is>
      </c>
      <c r="B49" s="1" t="n">
        <v>44482</v>
      </c>
      <c r="C49" s="1" t="n">
        <v>46186</v>
      </c>
      <c r="D49" t="inlineStr">
        <is>
          <t>KALMAR LÄN</t>
        </is>
      </c>
      <c r="E49" t="inlineStr">
        <is>
          <t>BORGHOLM</t>
        </is>
      </c>
      <c r="G49" t="n">
        <v>1.2</v>
      </c>
      <c r="H49" t="n">
        <v>0</v>
      </c>
      <c r="I49" t="n">
        <v>0</v>
      </c>
      <c r="J49" t="n">
        <v>0</v>
      </c>
      <c r="K49" t="n">
        <v>0</v>
      </c>
      <c r="L49" t="n">
        <v>0</v>
      </c>
      <c r="M49" t="n">
        <v>0</v>
      </c>
      <c r="N49" t="n">
        <v>0</v>
      </c>
      <c r="O49" t="n">
        <v>0</v>
      </c>
      <c r="P49" t="n">
        <v>0</v>
      </c>
      <c r="Q49" t="n">
        <v>0</v>
      </c>
      <c r="R49" s="2" t="inlineStr"/>
    </row>
    <row r="50" ht="15" customHeight="1">
      <c r="A50" t="inlineStr">
        <is>
          <t>A 27437-2022</t>
        </is>
      </c>
      <c r="B50" s="1" t="n">
        <v>44742.55567129629</v>
      </c>
      <c r="C50" s="1" t="n">
        <v>46186</v>
      </c>
      <c r="D50" t="inlineStr">
        <is>
          <t>KALMAR LÄN</t>
        </is>
      </c>
      <c r="E50" t="inlineStr">
        <is>
          <t>BORGHOLM</t>
        </is>
      </c>
      <c r="G50" t="n">
        <v>0.6</v>
      </c>
      <c r="H50" t="n">
        <v>0</v>
      </c>
      <c r="I50" t="n">
        <v>0</v>
      </c>
      <c r="J50" t="n">
        <v>0</v>
      </c>
      <c r="K50" t="n">
        <v>0</v>
      </c>
      <c r="L50" t="n">
        <v>0</v>
      </c>
      <c r="M50" t="n">
        <v>0</v>
      </c>
      <c r="N50" t="n">
        <v>0</v>
      </c>
      <c r="O50" t="n">
        <v>0</v>
      </c>
      <c r="P50" t="n">
        <v>0</v>
      </c>
      <c r="Q50" t="n">
        <v>0</v>
      </c>
      <c r="R50" s="2" t="inlineStr"/>
    </row>
    <row r="51" ht="15" customHeight="1">
      <c r="A51" t="inlineStr">
        <is>
          <t>A 62631-2021</t>
        </is>
      </c>
      <c r="B51" s="1" t="n">
        <v>44503</v>
      </c>
      <c r="C51" s="1" t="n">
        <v>46186</v>
      </c>
      <c r="D51" t="inlineStr">
        <is>
          <t>KALMAR LÄN</t>
        </is>
      </c>
      <c r="E51" t="inlineStr">
        <is>
          <t>BORGHOLM</t>
        </is>
      </c>
      <c r="G51" t="n">
        <v>1</v>
      </c>
      <c r="H51" t="n">
        <v>0</v>
      </c>
      <c r="I51" t="n">
        <v>0</v>
      </c>
      <c r="J51" t="n">
        <v>0</v>
      </c>
      <c r="K51" t="n">
        <v>0</v>
      </c>
      <c r="L51" t="n">
        <v>0</v>
      </c>
      <c r="M51" t="n">
        <v>0</v>
      </c>
      <c r="N51" t="n">
        <v>0</v>
      </c>
      <c r="O51" t="n">
        <v>0</v>
      </c>
      <c r="P51" t="n">
        <v>0</v>
      </c>
      <c r="Q51" t="n">
        <v>0</v>
      </c>
      <c r="R51" s="2" t="inlineStr"/>
    </row>
    <row r="52" ht="15" customHeight="1">
      <c r="A52" t="inlineStr">
        <is>
          <t>A 32180-2022</t>
        </is>
      </c>
      <c r="B52" s="1" t="n">
        <v>44781</v>
      </c>
      <c r="C52" s="1" t="n">
        <v>46186</v>
      </c>
      <c r="D52" t="inlineStr">
        <is>
          <t>KALMAR LÄN</t>
        </is>
      </c>
      <c r="E52" t="inlineStr">
        <is>
          <t>BORGHOLM</t>
        </is>
      </c>
      <c r="F52" t="inlineStr">
        <is>
          <t>Sveaskog</t>
        </is>
      </c>
      <c r="G52" t="n">
        <v>0.9</v>
      </c>
      <c r="H52" t="n">
        <v>0</v>
      </c>
      <c r="I52" t="n">
        <v>0</v>
      </c>
      <c r="J52" t="n">
        <v>0</v>
      </c>
      <c r="K52" t="n">
        <v>0</v>
      </c>
      <c r="L52" t="n">
        <v>0</v>
      </c>
      <c r="M52" t="n">
        <v>0</v>
      </c>
      <c r="N52" t="n">
        <v>0</v>
      </c>
      <c r="O52" t="n">
        <v>0</v>
      </c>
      <c r="P52" t="n">
        <v>0</v>
      </c>
      <c r="Q52" t="n">
        <v>0</v>
      </c>
      <c r="R52" s="2" t="inlineStr"/>
    </row>
    <row r="53" ht="15" customHeight="1">
      <c r="A53" t="inlineStr">
        <is>
          <t>A 42785-2021</t>
        </is>
      </c>
      <c r="B53" s="1" t="n">
        <v>44428</v>
      </c>
      <c r="C53" s="1" t="n">
        <v>46186</v>
      </c>
      <c r="D53" t="inlineStr">
        <is>
          <t>KALMAR LÄN</t>
        </is>
      </c>
      <c r="E53" t="inlineStr">
        <is>
          <t>BORGHOLM</t>
        </is>
      </c>
      <c r="G53" t="n">
        <v>2.8</v>
      </c>
      <c r="H53" t="n">
        <v>0</v>
      </c>
      <c r="I53" t="n">
        <v>0</v>
      </c>
      <c r="J53" t="n">
        <v>0</v>
      </c>
      <c r="K53" t="n">
        <v>0</v>
      </c>
      <c r="L53" t="n">
        <v>0</v>
      </c>
      <c r="M53" t="n">
        <v>0</v>
      </c>
      <c r="N53" t="n">
        <v>0</v>
      </c>
      <c r="O53" t="n">
        <v>0</v>
      </c>
      <c r="P53" t="n">
        <v>0</v>
      </c>
      <c r="Q53" t="n">
        <v>0</v>
      </c>
      <c r="R53" s="2" t="inlineStr"/>
    </row>
    <row r="54" ht="15" customHeight="1">
      <c r="A54" t="inlineStr">
        <is>
          <t>A 3878-2023</t>
        </is>
      </c>
      <c r="B54" s="1" t="n">
        <v>44951</v>
      </c>
      <c r="C54" s="1" t="n">
        <v>46186</v>
      </c>
      <c r="D54" t="inlineStr">
        <is>
          <t>KALMAR LÄN</t>
        </is>
      </c>
      <c r="E54" t="inlineStr">
        <is>
          <t>BORGHOLM</t>
        </is>
      </c>
      <c r="G54" t="n">
        <v>1.7</v>
      </c>
      <c r="H54" t="n">
        <v>0</v>
      </c>
      <c r="I54" t="n">
        <v>0</v>
      </c>
      <c r="J54" t="n">
        <v>0</v>
      </c>
      <c r="K54" t="n">
        <v>0</v>
      </c>
      <c r="L54" t="n">
        <v>0</v>
      </c>
      <c r="M54" t="n">
        <v>0</v>
      </c>
      <c r="N54" t="n">
        <v>0</v>
      </c>
      <c r="O54" t="n">
        <v>0</v>
      </c>
      <c r="P54" t="n">
        <v>0</v>
      </c>
      <c r="Q54" t="n">
        <v>0</v>
      </c>
      <c r="R54" s="2" t="inlineStr"/>
    </row>
    <row r="55" ht="15" customHeight="1">
      <c r="A55" t="inlineStr">
        <is>
          <t>A 12937-2022</t>
        </is>
      </c>
      <c r="B55" s="1" t="n">
        <v>44642</v>
      </c>
      <c r="C55" s="1" t="n">
        <v>46186</v>
      </c>
      <c r="D55" t="inlineStr">
        <is>
          <t>KALMAR LÄN</t>
        </is>
      </c>
      <c r="E55" t="inlineStr">
        <is>
          <t>BORGHOLM</t>
        </is>
      </c>
      <c r="F55" t="inlineStr">
        <is>
          <t>Sveaskog</t>
        </is>
      </c>
      <c r="G55" t="n">
        <v>1.8</v>
      </c>
      <c r="H55" t="n">
        <v>0</v>
      </c>
      <c r="I55" t="n">
        <v>0</v>
      </c>
      <c r="J55" t="n">
        <v>0</v>
      </c>
      <c r="K55" t="n">
        <v>0</v>
      </c>
      <c r="L55" t="n">
        <v>0</v>
      </c>
      <c r="M55" t="n">
        <v>0</v>
      </c>
      <c r="N55" t="n">
        <v>0</v>
      </c>
      <c r="O55" t="n">
        <v>0</v>
      </c>
      <c r="P55" t="n">
        <v>0</v>
      </c>
      <c r="Q55" t="n">
        <v>0</v>
      </c>
      <c r="R55" s="2" t="inlineStr"/>
    </row>
    <row r="56" ht="15" customHeight="1">
      <c r="A56" t="inlineStr">
        <is>
          <t>A 13548-2025</t>
        </is>
      </c>
      <c r="B56" s="1" t="n">
        <v>45736.53827546296</v>
      </c>
      <c r="C56" s="1" t="n">
        <v>46186</v>
      </c>
      <c r="D56" t="inlineStr">
        <is>
          <t>KALMAR LÄN</t>
        </is>
      </c>
      <c r="E56" t="inlineStr">
        <is>
          <t>BORGHOLM</t>
        </is>
      </c>
      <c r="G56" t="n">
        <v>1</v>
      </c>
      <c r="H56" t="n">
        <v>0</v>
      </c>
      <c r="I56" t="n">
        <v>0</v>
      </c>
      <c r="J56" t="n">
        <v>0</v>
      </c>
      <c r="K56" t="n">
        <v>0</v>
      </c>
      <c r="L56" t="n">
        <v>0</v>
      </c>
      <c r="M56" t="n">
        <v>0</v>
      </c>
      <c r="N56" t="n">
        <v>0</v>
      </c>
      <c r="O56" t="n">
        <v>0</v>
      </c>
      <c r="P56" t="n">
        <v>0</v>
      </c>
      <c r="Q56" t="n">
        <v>0</v>
      </c>
      <c r="R56" s="2" t="inlineStr"/>
    </row>
    <row r="57" ht="15" customHeight="1">
      <c r="A57" t="inlineStr">
        <is>
          <t>A 41831-2025</t>
        </is>
      </c>
      <c r="B57" s="1" t="n">
        <v>45902.67887731481</v>
      </c>
      <c r="C57" s="1" t="n">
        <v>46186</v>
      </c>
      <c r="D57" t="inlineStr">
        <is>
          <t>KALMAR LÄN</t>
        </is>
      </c>
      <c r="E57" t="inlineStr">
        <is>
          <t>BORGHOLM</t>
        </is>
      </c>
      <c r="G57" t="n">
        <v>1.5</v>
      </c>
      <c r="H57" t="n">
        <v>0</v>
      </c>
      <c r="I57" t="n">
        <v>0</v>
      </c>
      <c r="J57" t="n">
        <v>0</v>
      </c>
      <c r="K57" t="n">
        <v>0</v>
      </c>
      <c r="L57" t="n">
        <v>0</v>
      </c>
      <c r="M57" t="n">
        <v>0</v>
      </c>
      <c r="N57" t="n">
        <v>0</v>
      </c>
      <c r="O57" t="n">
        <v>0</v>
      </c>
      <c r="P57" t="n">
        <v>0</v>
      </c>
      <c r="Q57" t="n">
        <v>0</v>
      </c>
      <c r="R57" s="2" t="inlineStr"/>
    </row>
    <row r="58" ht="15" customHeight="1">
      <c r="A58" t="inlineStr">
        <is>
          <t>A 41950-2025</t>
        </is>
      </c>
      <c r="B58" s="1" t="n">
        <v>45903.45767361111</v>
      </c>
      <c r="C58" s="1" t="n">
        <v>46186</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22785-2025</t>
        </is>
      </c>
      <c r="B59" s="1" t="n">
        <v>45789.64186342592</v>
      </c>
      <c r="C59" s="1" t="n">
        <v>46186</v>
      </c>
      <c r="D59" t="inlineStr">
        <is>
          <t>KALMAR LÄN</t>
        </is>
      </c>
      <c r="E59" t="inlineStr">
        <is>
          <t>BORGHOLM</t>
        </is>
      </c>
      <c r="G59" t="n">
        <v>0.6</v>
      </c>
      <c r="H59" t="n">
        <v>0</v>
      </c>
      <c r="I59" t="n">
        <v>0</v>
      </c>
      <c r="J59" t="n">
        <v>0</v>
      </c>
      <c r="K59" t="n">
        <v>0</v>
      </c>
      <c r="L59" t="n">
        <v>0</v>
      </c>
      <c r="M59" t="n">
        <v>0</v>
      </c>
      <c r="N59" t="n">
        <v>0</v>
      </c>
      <c r="O59" t="n">
        <v>0</v>
      </c>
      <c r="P59" t="n">
        <v>0</v>
      </c>
      <c r="Q59" t="n">
        <v>0</v>
      </c>
      <c r="R59" s="2" t="inlineStr"/>
    </row>
    <row r="60" ht="15" customHeight="1">
      <c r="A60" t="inlineStr">
        <is>
          <t>A 43542-2025</t>
        </is>
      </c>
      <c r="B60" s="1" t="n">
        <v>45911.61123842592</v>
      </c>
      <c r="C60" s="1" t="n">
        <v>46186</v>
      </c>
      <c r="D60" t="inlineStr">
        <is>
          <t>KALMAR LÄN</t>
        </is>
      </c>
      <c r="E60" t="inlineStr">
        <is>
          <t>BORGHOLM</t>
        </is>
      </c>
      <c r="G60" t="n">
        <v>2.4</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46186</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45734-2025</t>
        </is>
      </c>
      <c r="B62" s="1" t="n">
        <v>45923.46512731481</v>
      </c>
      <c r="C62" s="1" t="n">
        <v>46186</v>
      </c>
      <c r="D62" t="inlineStr">
        <is>
          <t>KALMAR LÄN</t>
        </is>
      </c>
      <c r="E62" t="inlineStr">
        <is>
          <t>BORGHOLM</t>
        </is>
      </c>
      <c r="G62" t="n">
        <v>5</v>
      </c>
      <c r="H62" t="n">
        <v>0</v>
      </c>
      <c r="I62" t="n">
        <v>0</v>
      </c>
      <c r="J62" t="n">
        <v>0</v>
      </c>
      <c r="K62" t="n">
        <v>0</v>
      </c>
      <c r="L62" t="n">
        <v>0</v>
      </c>
      <c r="M62" t="n">
        <v>0</v>
      </c>
      <c r="N62" t="n">
        <v>0</v>
      </c>
      <c r="O62" t="n">
        <v>0</v>
      </c>
      <c r="P62" t="n">
        <v>0</v>
      </c>
      <c r="Q62" t="n">
        <v>0</v>
      </c>
      <c r="R62" s="2" t="inlineStr"/>
    </row>
    <row r="63" ht="15" customHeight="1">
      <c r="A63" t="inlineStr">
        <is>
          <t>A 45869-2025</t>
        </is>
      </c>
      <c r="B63" s="1" t="n">
        <v>45923.65313657407</v>
      </c>
      <c r="C63" s="1" t="n">
        <v>46186</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60141-2025</t>
        </is>
      </c>
      <c r="B64" s="1" t="n">
        <v>45994.36873842592</v>
      </c>
      <c r="C64" s="1" t="n">
        <v>46186</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46845-2025</t>
        </is>
      </c>
      <c r="B65" s="1" t="n">
        <v>45928</v>
      </c>
      <c r="C65" s="1" t="n">
        <v>46186</v>
      </c>
      <c r="D65" t="inlineStr">
        <is>
          <t>KALMAR LÄN</t>
        </is>
      </c>
      <c r="E65" t="inlineStr">
        <is>
          <t>BORGHOLM</t>
        </is>
      </c>
      <c r="G65" t="n">
        <v>2.7</v>
      </c>
      <c r="H65" t="n">
        <v>0</v>
      </c>
      <c r="I65" t="n">
        <v>0</v>
      </c>
      <c r="J65" t="n">
        <v>0</v>
      </c>
      <c r="K65" t="n">
        <v>0</v>
      </c>
      <c r="L65" t="n">
        <v>0</v>
      </c>
      <c r="M65" t="n">
        <v>0</v>
      </c>
      <c r="N65" t="n">
        <v>0</v>
      </c>
      <c r="O65" t="n">
        <v>0</v>
      </c>
      <c r="P65" t="n">
        <v>0</v>
      </c>
      <c r="Q65" t="n">
        <v>0</v>
      </c>
      <c r="R65" s="2" t="inlineStr"/>
    </row>
    <row r="66" ht="15" customHeight="1">
      <c r="A66" t="inlineStr">
        <is>
          <t>A 21908-2022</t>
        </is>
      </c>
      <c r="B66" s="1" t="n">
        <v>44711</v>
      </c>
      <c r="C66" s="1" t="n">
        <v>46186</v>
      </c>
      <c r="D66" t="inlineStr">
        <is>
          <t>KALMAR LÄN</t>
        </is>
      </c>
      <c r="E66" t="inlineStr">
        <is>
          <t>BORGHOLM</t>
        </is>
      </c>
      <c r="G66" t="n">
        <v>4.7</v>
      </c>
      <c r="H66" t="n">
        <v>0</v>
      </c>
      <c r="I66" t="n">
        <v>0</v>
      </c>
      <c r="J66" t="n">
        <v>0</v>
      </c>
      <c r="K66" t="n">
        <v>0</v>
      </c>
      <c r="L66" t="n">
        <v>0</v>
      </c>
      <c r="M66" t="n">
        <v>0</v>
      </c>
      <c r="N66" t="n">
        <v>0</v>
      </c>
      <c r="O66" t="n">
        <v>0</v>
      </c>
      <c r="P66" t="n">
        <v>0</v>
      </c>
      <c r="Q66" t="n">
        <v>0</v>
      </c>
      <c r="R66" s="2" t="inlineStr"/>
    </row>
    <row r="67" ht="15" customHeight="1">
      <c r="A67" t="inlineStr">
        <is>
          <t>A 55367-2024</t>
        </is>
      </c>
      <c r="B67" s="1" t="n">
        <v>45621.87075231481</v>
      </c>
      <c r="C67" s="1" t="n">
        <v>46186</v>
      </c>
      <c r="D67" t="inlineStr">
        <is>
          <t>KALMAR LÄN</t>
        </is>
      </c>
      <c r="E67" t="inlineStr">
        <is>
          <t>BORGHOLM</t>
        </is>
      </c>
      <c r="G67" t="n">
        <v>0.7</v>
      </c>
      <c r="H67" t="n">
        <v>0</v>
      </c>
      <c r="I67" t="n">
        <v>0</v>
      </c>
      <c r="J67" t="n">
        <v>0</v>
      </c>
      <c r="K67" t="n">
        <v>0</v>
      </c>
      <c r="L67" t="n">
        <v>0</v>
      </c>
      <c r="M67" t="n">
        <v>0</v>
      </c>
      <c r="N67" t="n">
        <v>0</v>
      </c>
      <c r="O67" t="n">
        <v>0</v>
      </c>
      <c r="P67" t="n">
        <v>0</v>
      </c>
      <c r="Q67" t="n">
        <v>0</v>
      </c>
      <c r="R67" s="2" t="inlineStr"/>
    </row>
    <row r="68" ht="15" customHeight="1">
      <c r="A68" t="inlineStr">
        <is>
          <t>A 12534-2022</t>
        </is>
      </c>
      <c r="B68" s="1" t="n">
        <v>44638</v>
      </c>
      <c r="C68" s="1" t="n">
        <v>46186</v>
      </c>
      <c r="D68" t="inlineStr">
        <is>
          <t>KALMAR LÄN</t>
        </is>
      </c>
      <c r="E68" t="inlineStr">
        <is>
          <t>BORGHOLM</t>
        </is>
      </c>
      <c r="G68" t="n">
        <v>8.6</v>
      </c>
      <c r="H68" t="n">
        <v>0</v>
      </c>
      <c r="I68" t="n">
        <v>0</v>
      </c>
      <c r="J68" t="n">
        <v>0</v>
      </c>
      <c r="K68" t="n">
        <v>0</v>
      </c>
      <c r="L68" t="n">
        <v>0</v>
      </c>
      <c r="M68" t="n">
        <v>0</v>
      </c>
      <c r="N68" t="n">
        <v>0</v>
      </c>
      <c r="O68" t="n">
        <v>0</v>
      </c>
      <c r="P68" t="n">
        <v>0</v>
      </c>
      <c r="Q68" t="n">
        <v>0</v>
      </c>
      <c r="R68" s="2" t="inlineStr"/>
    </row>
    <row r="69" ht="15" customHeight="1">
      <c r="A69" t="inlineStr">
        <is>
          <t>A 40339-2023</t>
        </is>
      </c>
      <c r="B69" s="1" t="n">
        <v>45169.62733796296</v>
      </c>
      <c r="C69" s="1" t="n">
        <v>46186</v>
      </c>
      <c r="D69" t="inlineStr">
        <is>
          <t>KALMAR LÄN</t>
        </is>
      </c>
      <c r="E69" t="inlineStr">
        <is>
          <t>BORGHOLM</t>
        </is>
      </c>
      <c r="G69" t="n">
        <v>3.8</v>
      </c>
      <c r="H69" t="n">
        <v>0</v>
      </c>
      <c r="I69" t="n">
        <v>0</v>
      </c>
      <c r="J69" t="n">
        <v>0</v>
      </c>
      <c r="K69" t="n">
        <v>0</v>
      </c>
      <c r="L69" t="n">
        <v>0</v>
      </c>
      <c r="M69" t="n">
        <v>0</v>
      </c>
      <c r="N69" t="n">
        <v>0</v>
      </c>
      <c r="O69" t="n">
        <v>0</v>
      </c>
      <c r="P69" t="n">
        <v>0</v>
      </c>
      <c r="Q69" t="n">
        <v>0</v>
      </c>
      <c r="R69" s="2" t="inlineStr"/>
    </row>
    <row r="70" ht="15" customHeight="1">
      <c r="A70" t="inlineStr">
        <is>
          <t>A 24166-2022</t>
        </is>
      </c>
      <c r="B70" s="1" t="n">
        <v>44725</v>
      </c>
      <c r="C70" s="1" t="n">
        <v>46186</v>
      </c>
      <c r="D70" t="inlineStr">
        <is>
          <t>KALMAR LÄN</t>
        </is>
      </c>
      <c r="E70" t="inlineStr">
        <is>
          <t>BORGHOLM</t>
        </is>
      </c>
      <c r="G70" t="n">
        <v>10.7</v>
      </c>
      <c r="H70" t="n">
        <v>0</v>
      </c>
      <c r="I70" t="n">
        <v>0</v>
      </c>
      <c r="J70" t="n">
        <v>0</v>
      </c>
      <c r="K70" t="n">
        <v>0</v>
      </c>
      <c r="L70" t="n">
        <v>0</v>
      </c>
      <c r="M70" t="n">
        <v>0</v>
      </c>
      <c r="N70" t="n">
        <v>0</v>
      </c>
      <c r="O70" t="n">
        <v>0</v>
      </c>
      <c r="P70" t="n">
        <v>0</v>
      </c>
      <c r="Q70" t="n">
        <v>0</v>
      </c>
      <c r="R70" s="2" t="inlineStr"/>
    </row>
    <row r="71" ht="15" customHeight="1">
      <c r="A71" t="inlineStr">
        <is>
          <t>A 4159-2024</t>
        </is>
      </c>
      <c r="B71" s="1" t="n">
        <v>45323</v>
      </c>
      <c r="C71" s="1" t="n">
        <v>46186</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26190-2025</t>
        </is>
      </c>
      <c r="B72" s="1" t="n">
        <v>45805.48349537037</v>
      </c>
      <c r="C72" s="1" t="n">
        <v>46186</v>
      </c>
      <c r="D72" t="inlineStr">
        <is>
          <t>KALMAR LÄN</t>
        </is>
      </c>
      <c r="E72" t="inlineStr">
        <is>
          <t>BORGHOLM</t>
        </is>
      </c>
      <c r="G72" t="n">
        <v>3.2</v>
      </c>
      <c r="H72" t="n">
        <v>0</v>
      </c>
      <c r="I72" t="n">
        <v>0</v>
      </c>
      <c r="J72" t="n">
        <v>0</v>
      </c>
      <c r="K72" t="n">
        <v>0</v>
      </c>
      <c r="L72" t="n">
        <v>0</v>
      </c>
      <c r="M72" t="n">
        <v>0</v>
      </c>
      <c r="N72" t="n">
        <v>0</v>
      </c>
      <c r="O72" t="n">
        <v>0</v>
      </c>
      <c r="P72" t="n">
        <v>0</v>
      </c>
      <c r="Q72" t="n">
        <v>0</v>
      </c>
      <c r="R72" s="2" t="inlineStr"/>
    </row>
    <row r="73" ht="15" customHeight="1">
      <c r="A73" t="inlineStr">
        <is>
          <t>A 26160-2025</t>
        </is>
      </c>
      <c r="B73" s="1" t="n">
        <v>45805.4490162037</v>
      </c>
      <c r="C73" s="1" t="n">
        <v>46186</v>
      </c>
      <c r="D73" t="inlineStr">
        <is>
          <t>KALMAR LÄN</t>
        </is>
      </c>
      <c r="E73" t="inlineStr">
        <is>
          <t>BORGHOLM</t>
        </is>
      </c>
      <c r="G73" t="n">
        <v>3.7</v>
      </c>
      <c r="H73" t="n">
        <v>0</v>
      </c>
      <c r="I73" t="n">
        <v>0</v>
      </c>
      <c r="J73" t="n">
        <v>0</v>
      </c>
      <c r="K73" t="n">
        <v>0</v>
      </c>
      <c r="L73" t="n">
        <v>0</v>
      </c>
      <c r="M73" t="n">
        <v>0</v>
      </c>
      <c r="N73" t="n">
        <v>0</v>
      </c>
      <c r="O73" t="n">
        <v>0</v>
      </c>
      <c r="P73" t="n">
        <v>0</v>
      </c>
      <c r="Q73" t="n">
        <v>0</v>
      </c>
      <c r="R73" s="2" t="inlineStr"/>
    </row>
    <row r="74" ht="15" customHeight="1">
      <c r="A74" t="inlineStr">
        <is>
          <t>A 32921-2023</t>
        </is>
      </c>
      <c r="B74" s="1" t="n">
        <v>45125</v>
      </c>
      <c r="C74" s="1" t="n">
        <v>46186</v>
      </c>
      <c r="D74" t="inlineStr">
        <is>
          <t>KALMAR LÄN</t>
        </is>
      </c>
      <c r="E74" t="inlineStr">
        <is>
          <t>BORGHOLM</t>
        </is>
      </c>
      <c r="G74" t="n">
        <v>2.9</v>
      </c>
      <c r="H74" t="n">
        <v>0</v>
      </c>
      <c r="I74" t="n">
        <v>0</v>
      </c>
      <c r="J74" t="n">
        <v>0</v>
      </c>
      <c r="K74" t="n">
        <v>0</v>
      </c>
      <c r="L74" t="n">
        <v>0</v>
      </c>
      <c r="M74" t="n">
        <v>0</v>
      </c>
      <c r="N74" t="n">
        <v>0</v>
      </c>
      <c r="O74" t="n">
        <v>0</v>
      </c>
      <c r="P74" t="n">
        <v>0</v>
      </c>
      <c r="Q74" t="n">
        <v>0</v>
      </c>
      <c r="R74" s="2" t="inlineStr"/>
    </row>
    <row r="75" ht="15" customHeight="1">
      <c r="A75" t="inlineStr">
        <is>
          <t>A 31699-2022</t>
        </is>
      </c>
      <c r="B75" s="1" t="n">
        <v>44776</v>
      </c>
      <c r="C75" s="1" t="n">
        <v>46186</v>
      </c>
      <c r="D75" t="inlineStr">
        <is>
          <t>KALMAR LÄN</t>
        </is>
      </c>
      <c r="E75" t="inlineStr">
        <is>
          <t>BORGHOLM</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27357-2025</t>
        </is>
      </c>
      <c r="B76" s="1" t="n">
        <v>45812.63650462963</v>
      </c>
      <c r="C76" s="1" t="n">
        <v>46186</v>
      </c>
      <c r="D76" t="inlineStr">
        <is>
          <t>KALMAR LÄN</t>
        </is>
      </c>
      <c r="E76" t="inlineStr">
        <is>
          <t>BORGHOLM</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63276-2023</t>
        </is>
      </c>
      <c r="B77" s="1" t="n">
        <v>45273.82195601852</v>
      </c>
      <c r="C77" s="1" t="n">
        <v>46186</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27366-2025</t>
        </is>
      </c>
      <c r="B78" s="1" t="n">
        <v>45812.64475694444</v>
      </c>
      <c r="C78" s="1" t="n">
        <v>46186</v>
      </c>
      <c r="D78" t="inlineStr">
        <is>
          <t>KALMAR LÄN</t>
        </is>
      </c>
      <c r="E78" t="inlineStr">
        <is>
          <t>BORGHOLM</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7481-2026</t>
        </is>
      </c>
      <c r="B79" s="1" t="n">
        <v>46059.51359953704</v>
      </c>
      <c r="C79" s="1" t="n">
        <v>46186</v>
      </c>
      <c r="D79" t="inlineStr">
        <is>
          <t>KALMAR LÄN</t>
        </is>
      </c>
      <c r="E79" t="inlineStr">
        <is>
          <t>BORGHOLM</t>
        </is>
      </c>
      <c r="G79" t="n">
        <v>1.9</v>
      </c>
      <c r="H79" t="n">
        <v>0</v>
      </c>
      <c r="I79" t="n">
        <v>0</v>
      </c>
      <c r="J79" t="n">
        <v>0</v>
      </c>
      <c r="K79" t="n">
        <v>0</v>
      </c>
      <c r="L79" t="n">
        <v>0</v>
      </c>
      <c r="M79" t="n">
        <v>0</v>
      </c>
      <c r="N79" t="n">
        <v>0</v>
      </c>
      <c r="O79" t="n">
        <v>0</v>
      </c>
      <c r="P79" t="n">
        <v>0</v>
      </c>
      <c r="Q79" t="n">
        <v>0</v>
      </c>
      <c r="R79" s="2" t="inlineStr"/>
    </row>
    <row r="80" ht="15" customHeight="1">
      <c r="A80" t="inlineStr">
        <is>
          <t>A 28782-2025</t>
        </is>
      </c>
      <c r="B80" s="1" t="n">
        <v>45820.45572916666</v>
      </c>
      <c r="C80" s="1" t="n">
        <v>46186</v>
      </c>
      <c r="D80" t="inlineStr">
        <is>
          <t>KALMAR LÄN</t>
        </is>
      </c>
      <c r="E80" t="inlineStr">
        <is>
          <t>BORGHOLM</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1614-2025</t>
        </is>
      </c>
      <c r="B81" s="1" t="n">
        <v>45670.60094907408</v>
      </c>
      <c r="C81" s="1" t="n">
        <v>46186</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9104-2026</t>
        </is>
      </c>
      <c r="B82" s="1" t="n">
        <v>46069</v>
      </c>
      <c r="C82" s="1" t="n">
        <v>46186</v>
      </c>
      <c r="D82" t="inlineStr">
        <is>
          <t>KALMAR LÄN</t>
        </is>
      </c>
      <c r="E82" t="inlineStr">
        <is>
          <t>BORGHOLM</t>
        </is>
      </c>
      <c r="G82" t="n">
        <v>1.3</v>
      </c>
      <c r="H82" t="n">
        <v>0</v>
      </c>
      <c r="I82" t="n">
        <v>0</v>
      </c>
      <c r="J82" t="n">
        <v>0</v>
      </c>
      <c r="K82" t="n">
        <v>0</v>
      </c>
      <c r="L82" t="n">
        <v>0</v>
      </c>
      <c r="M82" t="n">
        <v>0</v>
      </c>
      <c r="N82" t="n">
        <v>0</v>
      </c>
      <c r="O82" t="n">
        <v>0</v>
      </c>
      <c r="P82" t="n">
        <v>0</v>
      </c>
      <c r="Q82" t="n">
        <v>0</v>
      </c>
      <c r="R82" s="2" t="inlineStr"/>
    </row>
    <row r="83" ht="15" customHeight="1">
      <c r="A83" t="inlineStr">
        <is>
          <t>A 9259-2026</t>
        </is>
      </c>
      <c r="B83" s="1" t="n">
        <v>46070.51917824074</v>
      </c>
      <c r="C83" s="1" t="n">
        <v>46186</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9905-2026</t>
        </is>
      </c>
      <c r="B84" s="1" t="n">
        <v>46073.4108912037</v>
      </c>
      <c r="C84" s="1" t="n">
        <v>46186</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9076-2025</t>
        </is>
      </c>
      <c r="B85" s="1" t="n">
        <v>45713.6596875</v>
      </c>
      <c r="C85" s="1" t="n">
        <v>46186</v>
      </c>
      <c r="D85" t="inlineStr">
        <is>
          <t>KALMAR LÄN</t>
        </is>
      </c>
      <c r="E85" t="inlineStr">
        <is>
          <t>BORGHOLM</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1757-2025</t>
        </is>
      </c>
      <c r="B86" s="1" t="n">
        <v>45671.42195601852</v>
      </c>
      <c r="C86" s="1" t="n">
        <v>46186</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7960-2023</t>
        </is>
      </c>
      <c r="B87" s="1" t="n">
        <v>44973</v>
      </c>
      <c r="C87" s="1" t="n">
        <v>46186</v>
      </c>
      <c r="D87" t="inlineStr">
        <is>
          <t>KALMAR LÄN</t>
        </is>
      </c>
      <c r="E87" t="inlineStr">
        <is>
          <t>BORGHOLM</t>
        </is>
      </c>
      <c r="G87" t="n">
        <v>2.1</v>
      </c>
      <c r="H87" t="n">
        <v>0</v>
      </c>
      <c r="I87" t="n">
        <v>0</v>
      </c>
      <c r="J87" t="n">
        <v>0</v>
      </c>
      <c r="K87" t="n">
        <v>0</v>
      </c>
      <c r="L87" t="n">
        <v>0</v>
      </c>
      <c r="M87" t="n">
        <v>0</v>
      </c>
      <c r="N87" t="n">
        <v>0</v>
      </c>
      <c r="O87" t="n">
        <v>0</v>
      </c>
      <c r="P87" t="n">
        <v>0</v>
      </c>
      <c r="Q87" t="n">
        <v>0</v>
      </c>
      <c r="R87" s="2" t="inlineStr"/>
    </row>
    <row r="88" ht="15" customHeight="1">
      <c r="A88" t="inlineStr">
        <is>
          <t>A 15272-2026</t>
        </is>
      </c>
      <c r="B88" s="1" t="n">
        <v>46105.60017361111</v>
      </c>
      <c r="C88" s="1" t="n">
        <v>46186</v>
      </c>
      <c r="D88" t="inlineStr">
        <is>
          <t>KALMAR LÄN</t>
        </is>
      </c>
      <c r="E88" t="inlineStr">
        <is>
          <t>BORGHOLM</t>
        </is>
      </c>
      <c r="F88" t="inlineStr">
        <is>
          <t>Sveaskog</t>
        </is>
      </c>
      <c r="G88" t="n">
        <v>2.9</v>
      </c>
      <c r="H88" t="n">
        <v>0</v>
      </c>
      <c r="I88" t="n">
        <v>0</v>
      </c>
      <c r="J88" t="n">
        <v>0</v>
      </c>
      <c r="K88" t="n">
        <v>0</v>
      </c>
      <c r="L88" t="n">
        <v>0</v>
      </c>
      <c r="M88" t="n">
        <v>0</v>
      </c>
      <c r="N88" t="n">
        <v>0</v>
      </c>
      <c r="O88" t="n">
        <v>0</v>
      </c>
      <c r="P88" t="n">
        <v>0</v>
      </c>
      <c r="Q88" t="n">
        <v>0</v>
      </c>
      <c r="R88" s="2" t="inlineStr"/>
    </row>
    <row r="89" ht="15" customHeight="1">
      <c r="A89" t="inlineStr">
        <is>
          <t>A 15279-2026</t>
        </is>
      </c>
      <c r="B89" s="1" t="n">
        <v>46105.61030092592</v>
      </c>
      <c r="C89" s="1" t="n">
        <v>46186</v>
      </c>
      <c r="D89" t="inlineStr">
        <is>
          <t>KALMAR LÄN</t>
        </is>
      </c>
      <c r="E89" t="inlineStr">
        <is>
          <t>BORGHOLM</t>
        </is>
      </c>
      <c r="F89" t="inlineStr">
        <is>
          <t>Sveaskog</t>
        </is>
      </c>
      <c r="G89" t="n">
        <v>4.6</v>
      </c>
      <c r="H89" t="n">
        <v>0</v>
      </c>
      <c r="I89" t="n">
        <v>0</v>
      </c>
      <c r="J89" t="n">
        <v>0</v>
      </c>
      <c r="K89" t="n">
        <v>0</v>
      </c>
      <c r="L89" t="n">
        <v>0</v>
      </c>
      <c r="M89" t="n">
        <v>0</v>
      </c>
      <c r="N89" t="n">
        <v>0</v>
      </c>
      <c r="O89" t="n">
        <v>0</v>
      </c>
      <c r="P89" t="n">
        <v>0</v>
      </c>
      <c r="Q89" t="n">
        <v>0</v>
      </c>
      <c r="R89" s="2" t="inlineStr"/>
    </row>
    <row r="90" ht="15" customHeight="1">
      <c r="A90" t="inlineStr">
        <is>
          <t>A 15264-2026</t>
        </is>
      </c>
      <c r="B90" s="1" t="n">
        <v>46105.59372685185</v>
      </c>
      <c r="C90" s="1" t="n">
        <v>46186</v>
      </c>
      <c r="D90" t="inlineStr">
        <is>
          <t>KALMAR LÄN</t>
        </is>
      </c>
      <c r="E90" t="inlineStr">
        <is>
          <t>BORGHOLM</t>
        </is>
      </c>
      <c r="F90" t="inlineStr">
        <is>
          <t>Sveaskog</t>
        </is>
      </c>
      <c r="G90" t="n">
        <v>1.7</v>
      </c>
      <c r="H90" t="n">
        <v>0</v>
      </c>
      <c r="I90" t="n">
        <v>0</v>
      </c>
      <c r="J90" t="n">
        <v>0</v>
      </c>
      <c r="K90" t="n">
        <v>0</v>
      </c>
      <c r="L90" t="n">
        <v>0</v>
      </c>
      <c r="M90" t="n">
        <v>0</v>
      </c>
      <c r="N90" t="n">
        <v>0</v>
      </c>
      <c r="O90" t="n">
        <v>0</v>
      </c>
      <c r="P90" t="n">
        <v>0</v>
      </c>
      <c r="Q90" t="n">
        <v>0</v>
      </c>
      <c r="R90" s="2" t="inlineStr"/>
    </row>
    <row r="91" ht="15" customHeight="1">
      <c r="A91" t="inlineStr">
        <is>
          <t>A 29656-2023</t>
        </is>
      </c>
      <c r="B91" s="1" t="n">
        <v>45107</v>
      </c>
      <c r="C91" s="1" t="n">
        <v>46186</v>
      </c>
      <c r="D91" t="inlineStr">
        <is>
          <t>KALMAR LÄN</t>
        </is>
      </c>
      <c r="E91" t="inlineStr">
        <is>
          <t>BORGHOLM</t>
        </is>
      </c>
      <c r="G91" t="n">
        <v>4.1</v>
      </c>
      <c r="H91" t="n">
        <v>0</v>
      </c>
      <c r="I91" t="n">
        <v>0</v>
      </c>
      <c r="J91" t="n">
        <v>0</v>
      </c>
      <c r="K91" t="n">
        <v>0</v>
      </c>
      <c r="L91" t="n">
        <v>0</v>
      </c>
      <c r="M91" t="n">
        <v>0</v>
      </c>
      <c r="N91" t="n">
        <v>0</v>
      </c>
      <c r="O91" t="n">
        <v>0</v>
      </c>
      <c r="P91" t="n">
        <v>0</v>
      </c>
      <c r="Q91" t="n">
        <v>0</v>
      </c>
      <c r="R91" s="2" t="inlineStr"/>
    </row>
    <row r="92" ht="15" customHeight="1">
      <c r="A92" t="inlineStr">
        <is>
          <t>A 9050-2025</t>
        </is>
      </c>
      <c r="B92" s="1" t="n">
        <v>45713.63512731482</v>
      </c>
      <c r="C92" s="1" t="n">
        <v>46186</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36269-2025</t>
        </is>
      </c>
      <c r="B93" s="1" t="n">
        <v>45867.61736111111</v>
      </c>
      <c r="C93" s="1" t="n">
        <v>46186</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7669-2024</t>
        </is>
      </c>
      <c r="B94" s="1" t="n">
        <v>45348.82498842593</v>
      </c>
      <c r="C94" s="1" t="n">
        <v>46186</v>
      </c>
      <c r="D94" t="inlineStr">
        <is>
          <t>KALMAR LÄN</t>
        </is>
      </c>
      <c r="E94" t="inlineStr">
        <is>
          <t>BORGHOLM</t>
        </is>
      </c>
      <c r="G94" t="n">
        <v>2.3</v>
      </c>
      <c r="H94" t="n">
        <v>0</v>
      </c>
      <c r="I94" t="n">
        <v>0</v>
      </c>
      <c r="J94" t="n">
        <v>0</v>
      </c>
      <c r="K94" t="n">
        <v>0</v>
      </c>
      <c r="L94" t="n">
        <v>0</v>
      </c>
      <c r="M94" t="n">
        <v>0</v>
      </c>
      <c r="N94" t="n">
        <v>0</v>
      </c>
      <c r="O94" t="n">
        <v>0</v>
      </c>
      <c r="P94" t="n">
        <v>0</v>
      </c>
      <c r="Q94" t="n">
        <v>0</v>
      </c>
      <c r="R94" s="2" t="inlineStr"/>
    </row>
    <row r="95" ht="15" customHeight="1">
      <c r="A95" t="inlineStr">
        <is>
          <t>A 24338-2026</t>
        </is>
      </c>
      <c r="B95" s="1" t="n">
        <v>46169.54258101852</v>
      </c>
      <c r="C95" s="1" t="n">
        <v>46186</v>
      </c>
      <c r="D95" t="inlineStr">
        <is>
          <t>KALMAR LÄN</t>
        </is>
      </c>
      <c r="E95" t="inlineStr">
        <is>
          <t>BORGHOLM</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24323-2026</t>
        </is>
      </c>
      <c r="B96" s="1" t="n">
        <v>46169.49458333333</v>
      </c>
      <c r="C96" s="1" t="n">
        <v>46186</v>
      </c>
      <c r="D96" t="inlineStr">
        <is>
          <t>KALMAR LÄN</t>
        </is>
      </c>
      <c r="E96" t="inlineStr">
        <is>
          <t>BORGHOLM</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24345-2026</t>
        </is>
      </c>
      <c r="B97" s="1" t="n">
        <v>46169.55112268519</v>
      </c>
      <c r="C97" s="1" t="n">
        <v>46186</v>
      </c>
      <c r="D97" t="inlineStr">
        <is>
          <t>KALMAR LÄN</t>
        </is>
      </c>
      <c r="E97" t="inlineStr">
        <is>
          <t>BORGHOLM</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46186</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46186</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44678-2022</t>
        </is>
      </c>
      <c r="B100" s="1" t="n">
        <v>44840.65100694444</v>
      </c>
      <c r="C100" s="1" t="n">
        <v>46186</v>
      </c>
      <c r="D100" t="inlineStr">
        <is>
          <t>KALMAR LÄN</t>
        </is>
      </c>
      <c r="E100" t="inlineStr">
        <is>
          <t>BORGHOLM</t>
        </is>
      </c>
      <c r="G100" t="n">
        <v>2.4</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46186</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46186</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46186</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46186</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19867-2024</t>
        </is>
      </c>
      <c r="B105" s="1" t="n">
        <v>45433</v>
      </c>
      <c r="C105" s="1" t="n">
        <v>46186</v>
      </c>
      <c r="D105" t="inlineStr">
        <is>
          <t>KALMAR LÄN</t>
        </is>
      </c>
      <c r="E105" t="inlineStr">
        <is>
          <t>BORGHOLM</t>
        </is>
      </c>
      <c r="G105" t="n">
        <v>3.9</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46186</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46186</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46186</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53050-2021</t>
        </is>
      </c>
      <c r="B109" s="1" t="n">
        <v>44467</v>
      </c>
      <c r="C109" s="1" t="n">
        <v>46186</v>
      </c>
      <c r="D109" t="inlineStr">
        <is>
          <t>KALMAR LÄN</t>
        </is>
      </c>
      <c r="E109" t="inlineStr">
        <is>
          <t>BORGHOLM</t>
        </is>
      </c>
      <c r="G109" t="n">
        <v>3.6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46186</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46186</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46186</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46186</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20878-2024</t>
        </is>
      </c>
      <c r="B114" s="1" t="n">
        <v>45439.44748842593</v>
      </c>
      <c r="C114" s="1" t="n">
        <v>46186</v>
      </c>
      <c r="D114" t="inlineStr">
        <is>
          <t>KALMAR LÄN</t>
        </is>
      </c>
      <c r="E114" t="inlineStr">
        <is>
          <t>BORGHOLM</t>
        </is>
      </c>
      <c r="G114" t="n">
        <v>1.9</v>
      </c>
      <c r="H114" t="n">
        <v>0</v>
      </c>
      <c r="I114" t="n">
        <v>0</v>
      </c>
      <c r="J114" t="n">
        <v>0</v>
      </c>
      <c r="K114" t="n">
        <v>0</v>
      </c>
      <c r="L114" t="n">
        <v>0</v>
      </c>
      <c r="M114" t="n">
        <v>0</v>
      </c>
      <c r="N114" t="n">
        <v>0</v>
      </c>
      <c r="O114" t="n">
        <v>0</v>
      </c>
      <c r="P114" t="n">
        <v>0</v>
      </c>
      <c r="Q114" t="n">
        <v>0</v>
      </c>
      <c r="R114" s="2" t="inlineStr"/>
    </row>
    <row r="115" ht="15" customHeight="1">
      <c r="A115" t="inlineStr">
        <is>
          <t>A 17699-2025</t>
        </is>
      </c>
      <c r="B115" s="1" t="n">
        <v>45758.41846064815</v>
      </c>
      <c r="C115" s="1" t="n">
        <v>46186</v>
      </c>
      <c r="D115" t="inlineStr">
        <is>
          <t>KALMAR LÄN</t>
        </is>
      </c>
      <c r="E115" t="inlineStr">
        <is>
          <t>BORGHOLM</t>
        </is>
      </c>
      <c r="G115" t="n">
        <v>0.7</v>
      </c>
      <c r="H115" t="n">
        <v>0</v>
      </c>
      <c r="I115" t="n">
        <v>0</v>
      </c>
      <c r="J115" t="n">
        <v>0</v>
      </c>
      <c r="K115" t="n">
        <v>0</v>
      </c>
      <c r="L115" t="n">
        <v>0</v>
      </c>
      <c r="M115" t="n">
        <v>0</v>
      </c>
      <c r="N115" t="n">
        <v>0</v>
      </c>
      <c r="O115" t="n">
        <v>0</v>
      </c>
      <c r="P115" t="n">
        <v>0</v>
      </c>
      <c r="Q115" t="n">
        <v>0</v>
      </c>
      <c r="R115" s="2" t="inlineStr"/>
    </row>
    <row r="116" ht="15" customHeight="1">
      <c r="A116" t="inlineStr">
        <is>
          <t>A 20287-2025</t>
        </is>
      </c>
      <c r="B116" s="1" t="n">
        <v>45774.60741898148</v>
      </c>
      <c r="C116" s="1" t="n">
        <v>46186</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26160-2024</t>
        </is>
      </c>
      <c r="B117" s="1" t="n">
        <v>45468</v>
      </c>
      <c r="C117" s="1" t="n">
        <v>46186</v>
      </c>
      <c r="D117" t="inlineStr">
        <is>
          <t>KALMAR LÄN</t>
        </is>
      </c>
      <c r="E117" t="inlineStr">
        <is>
          <t>BORGHOLM</t>
        </is>
      </c>
      <c r="G117" t="n">
        <v>0.4</v>
      </c>
      <c r="H117" t="n">
        <v>0</v>
      </c>
      <c r="I117" t="n">
        <v>0</v>
      </c>
      <c r="J117" t="n">
        <v>0</v>
      </c>
      <c r="K117" t="n">
        <v>0</v>
      </c>
      <c r="L117" t="n">
        <v>0</v>
      </c>
      <c r="M117" t="n">
        <v>0</v>
      </c>
      <c r="N117" t="n">
        <v>0</v>
      </c>
      <c r="O117" t="n">
        <v>0</v>
      </c>
      <c r="P117" t="n">
        <v>0</v>
      </c>
      <c r="Q117" t="n">
        <v>0</v>
      </c>
      <c r="R117" s="2" t="inlineStr"/>
      <c r="T117">
        <f>HYPERLINK("https://klasma.github.io/Logging_0885/kartor/A 26160-2024 karta.png", "A 26160-2024")</f>
        <v/>
      </c>
      <c r="V117">
        <f>HYPERLINK("https://klasma.github.io/Logging_0885/klagomål/A 26160-2024 FSC-klagomål.docx", "A 26160-2024")</f>
        <v/>
      </c>
      <c r="W117">
        <f>HYPERLINK("https://klasma.github.io/Logging_0885/klagomålsmail/A 26160-2024 FSC-klagomål mail.docx", "A 26160-2024")</f>
        <v/>
      </c>
      <c r="X117">
        <f>HYPERLINK("https://klasma.github.io/Logging_0885/tillsyn/A 26160-2024 tillsynsbegäran.docx", "A 26160-2024")</f>
        <v/>
      </c>
      <c r="Y117">
        <f>HYPERLINK("https://klasma.github.io/Logging_0885/tillsynsmail/A 26160-2024 tillsynsbegäran mail.docx", "A 26160-2024")</f>
        <v/>
      </c>
    </row>
    <row r="118">
      <c r="A118" t="inlineStr">
        <is>
          <t>A 63075-2023</t>
        </is>
      </c>
      <c r="B118" s="1" t="n">
        <v>45273</v>
      </c>
      <c r="C118" s="1" t="n">
        <v>46186</v>
      </c>
      <c r="D118" t="inlineStr">
        <is>
          <t>KALMAR LÄN</t>
        </is>
      </c>
      <c r="E118" t="inlineStr">
        <is>
          <t>BORGHOLM</t>
        </is>
      </c>
      <c r="G118" t="n">
        <v>1.1</v>
      </c>
      <c r="H118" t="n">
        <v>0</v>
      </c>
      <c r="I118" t="n">
        <v>0</v>
      </c>
      <c r="J118" t="n">
        <v>0</v>
      </c>
      <c r="K118" t="n">
        <v>0</v>
      </c>
      <c r="L118" t="n">
        <v>0</v>
      </c>
      <c r="M118" t="n">
        <v>0</v>
      </c>
      <c r="N118" t="n">
        <v>0</v>
      </c>
      <c r="O118" t="n">
        <v>0</v>
      </c>
      <c r="P118" t="n">
        <v>0</v>
      </c>
      <c r="Q118" t="n">
        <v>0</v>
      </c>
      <c r="R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2026-06-13T09:22:59Z</dcterms:created>
  <dcterms:modified xmlns:dcterms="http://purl.org/dc/terms/" xmlns:xsi="http://www.w3.org/2001/XMLSchema-instance" xsi:type="dcterms:W3CDTF">2026-06-13T09:22:59Z</dcterms:modified>
</cp:coreProperties>
</file>