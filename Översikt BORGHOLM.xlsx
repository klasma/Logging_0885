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45933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45933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45933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45933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45933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45933</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45933</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45933</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57656-2020</t>
        </is>
      </c>
      <c r="B10" s="1" t="n">
        <v>44140</v>
      </c>
      <c r="C10" s="1" t="n">
        <v>45933</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32178-2022</t>
        </is>
      </c>
      <c r="B11" s="1" t="n">
        <v>44781</v>
      </c>
      <c r="C11" s="1" t="n">
        <v>45933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45933</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4881-2021</t>
        </is>
      </c>
      <c r="B13" s="1" t="n">
        <v>44225</v>
      </c>
      <c r="C13" s="1" t="n">
        <v>45933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47471-2025</t>
        </is>
      </c>
      <c r="B14" s="1" t="n">
        <v>45930.67391203704</v>
      </c>
      <c r="C14" s="1" t="n">
        <v>45933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34948-2022</t>
        </is>
      </c>
      <c r="B15" s="1" t="n">
        <v>44796</v>
      </c>
      <c r="C15" s="1" t="n">
        <v>45933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55210-2020</t>
        </is>
      </c>
      <c r="B16" s="1" t="n">
        <v>44130</v>
      </c>
      <c r="C16" s="1" t="n">
        <v>45933</v>
      </c>
      <c r="D16" t="inlineStr">
        <is>
          <t>KALMAR LÄN</t>
        </is>
      </c>
      <c r="E16" t="inlineStr">
        <is>
          <t>BORGHOLM</t>
        </is>
      </c>
      <c r="G16" t="n">
        <v>2.2</v>
      </c>
      <c r="H16" t="n">
        <v>1</v>
      </c>
      <c r="I16" t="n">
        <v>3</v>
      </c>
      <c r="J16" t="n">
        <v>1</v>
      </c>
      <c r="K16" t="n">
        <v>0</v>
      </c>
      <c r="L16" t="n">
        <v>0</v>
      </c>
      <c r="M16" t="n">
        <v>0</v>
      </c>
      <c r="N16" t="n">
        <v>0</v>
      </c>
      <c r="O16" t="n">
        <v>1</v>
      </c>
      <c r="P16" t="n">
        <v>0</v>
      </c>
      <c r="Q16" t="n">
        <v>4</v>
      </c>
      <c r="R16" s="2" t="inlineStr">
        <is>
          <t>Loppstarr
Murgröna
Nästrot
Sårläka</t>
        </is>
      </c>
      <c r="S16">
        <f>HYPERLINK("https://klasma.github.io/Logging_0885/artfynd/A 55210-2020 artfynd.xlsx", "A 55210-2020")</f>
        <v/>
      </c>
      <c r="T16">
        <f>HYPERLINK("https://klasma.github.io/Logging_0885/kartor/A 55210-2020 karta.png", "A 55210-2020")</f>
        <v/>
      </c>
      <c r="V16">
        <f>HYPERLINK("https://klasma.github.io/Logging_0885/klagomål/A 55210-2020 FSC-klagomål.docx", "A 55210-2020")</f>
        <v/>
      </c>
      <c r="W16">
        <f>HYPERLINK("https://klasma.github.io/Logging_0885/klagomålsmail/A 55210-2020 FSC-klagomål mail.docx", "A 55210-2020")</f>
        <v/>
      </c>
      <c r="X16">
        <f>HYPERLINK("https://klasma.github.io/Logging_0885/tillsyn/A 55210-2020 tillsynsbegäran.docx", "A 55210-2020")</f>
        <v/>
      </c>
      <c r="Y16">
        <f>HYPERLINK("https://klasma.github.io/Logging_0885/tillsynsmail/A 55210-2020 tillsynsbegäran mail.docx", "A 55210-2020")</f>
        <v/>
      </c>
    </row>
    <row r="17" ht="15" customHeight="1">
      <c r="A17" t="inlineStr">
        <is>
          <t>A 46794-2025</t>
        </is>
      </c>
      <c r="B17" s="1" t="n">
        <v>45926</v>
      </c>
      <c r="C17" s="1" t="n">
        <v>45933</v>
      </c>
      <c r="D17" t="inlineStr">
        <is>
          <t>KALMAR LÄN</t>
        </is>
      </c>
      <c r="E17" t="inlineStr">
        <is>
          <t>BORGHOLM</t>
        </is>
      </c>
      <c r="G17" t="n">
        <v>0.7</v>
      </c>
      <c r="H17" t="n">
        <v>2</v>
      </c>
      <c r="I17" t="n">
        <v>3</v>
      </c>
      <c r="J17" t="n">
        <v>0</v>
      </c>
      <c r="K17" t="n">
        <v>0</v>
      </c>
      <c r="L17" t="n">
        <v>0</v>
      </c>
      <c r="M17" t="n">
        <v>0</v>
      </c>
      <c r="N17" t="n">
        <v>0</v>
      </c>
      <c r="O17" t="n">
        <v>0</v>
      </c>
      <c r="P17" t="n">
        <v>0</v>
      </c>
      <c r="Q17" t="n">
        <v>4</v>
      </c>
      <c r="R17" s="2" t="inlineStr">
        <is>
          <t>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32640-2022</t>
        </is>
      </c>
      <c r="B18" s="1" t="n">
        <v>44783</v>
      </c>
      <c r="C18" s="1" t="n">
        <v>45933</v>
      </c>
      <c r="D18" t="inlineStr">
        <is>
          <t>KALMAR LÄN</t>
        </is>
      </c>
      <c r="E18" t="inlineStr">
        <is>
          <t>BORGHOLM</t>
        </is>
      </c>
      <c r="F18" t="inlineStr">
        <is>
          <t>Sveaskog</t>
        </is>
      </c>
      <c r="G18" t="n">
        <v>1.2</v>
      </c>
      <c r="H18" t="n">
        <v>0</v>
      </c>
      <c r="I18" t="n">
        <v>3</v>
      </c>
      <c r="J18" t="n">
        <v>0</v>
      </c>
      <c r="K18" t="n">
        <v>0</v>
      </c>
      <c r="L18" t="n">
        <v>0</v>
      </c>
      <c r="M18" t="n">
        <v>0</v>
      </c>
      <c r="N18" t="n">
        <v>0</v>
      </c>
      <c r="O18" t="n">
        <v>0</v>
      </c>
      <c r="P18" t="n">
        <v>0</v>
      </c>
      <c r="Q18" t="n">
        <v>3</v>
      </c>
      <c r="R18" s="2" t="inlineStr">
        <is>
          <t>Kornknutmossa
Murgröna
Svart trolldruva</t>
        </is>
      </c>
      <c r="S18">
        <f>HYPERLINK("https://klasma.github.io/Logging_0885/artfynd/A 32640-2022 artfynd.xlsx", "A 32640-2022")</f>
        <v/>
      </c>
      <c r="T18">
        <f>HYPERLINK("https://klasma.github.io/Logging_0885/kartor/A 32640-2022 karta.png", "A 32640-2022")</f>
        <v/>
      </c>
      <c r="V18">
        <f>HYPERLINK("https://klasma.github.io/Logging_0885/klagomål/A 32640-2022 FSC-klagomål.docx", "A 32640-2022")</f>
        <v/>
      </c>
      <c r="W18">
        <f>HYPERLINK("https://klasma.github.io/Logging_0885/klagomålsmail/A 32640-2022 FSC-klagomål mail.docx", "A 32640-2022")</f>
        <v/>
      </c>
      <c r="X18">
        <f>HYPERLINK("https://klasma.github.io/Logging_0885/tillsyn/A 32640-2022 tillsynsbegäran.docx", "A 32640-2022")</f>
        <v/>
      </c>
      <c r="Y18">
        <f>HYPERLINK("https://klasma.github.io/Logging_0885/tillsynsmail/A 32640-2022 tillsynsbegäran mail.docx", "A 32640-2022")</f>
        <v/>
      </c>
    </row>
    <row r="19" ht="15" customHeight="1">
      <c r="A19" t="inlineStr">
        <is>
          <t>A 58231-2020</t>
        </is>
      </c>
      <c r="B19" s="1" t="n">
        <v>44144</v>
      </c>
      <c r="C19" s="1" t="n">
        <v>45933</v>
      </c>
      <c r="D19" t="inlineStr">
        <is>
          <t>KALMAR LÄN</t>
        </is>
      </c>
      <c r="E19" t="inlineStr">
        <is>
          <t>BORGHOLM</t>
        </is>
      </c>
      <c r="F19" t="inlineStr">
        <is>
          <t>Sveaskog</t>
        </is>
      </c>
      <c r="G19" t="n">
        <v>8.5</v>
      </c>
      <c r="H19" t="n">
        <v>1</v>
      </c>
      <c r="I19" t="n">
        <v>2</v>
      </c>
      <c r="J19" t="n">
        <v>1</v>
      </c>
      <c r="K19" t="n">
        <v>0</v>
      </c>
      <c r="L19" t="n">
        <v>0</v>
      </c>
      <c r="M19" t="n">
        <v>0</v>
      </c>
      <c r="N19" t="n">
        <v>0</v>
      </c>
      <c r="O19" t="n">
        <v>1</v>
      </c>
      <c r="P19" t="n">
        <v>0</v>
      </c>
      <c r="Q19" t="n">
        <v>3</v>
      </c>
      <c r="R19" s="2" t="inlineStr">
        <is>
          <t>Skugglosta
Skogsknipprot
Strävlosta</t>
        </is>
      </c>
      <c r="S19">
        <f>HYPERLINK("https://klasma.github.io/Logging_0885/artfynd/A 58231-2020 artfynd.xlsx", "A 58231-2020")</f>
        <v/>
      </c>
      <c r="T19">
        <f>HYPERLINK("https://klasma.github.io/Logging_0885/kartor/A 58231-2020 karta.png", "A 58231-2020")</f>
        <v/>
      </c>
      <c r="V19">
        <f>HYPERLINK("https://klasma.github.io/Logging_0885/klagomål/A 58231-2020 FSC-klagomål.docx", "A 58231-2020")</f>
        <v/>
      </c>
      <c r="W19">
        <f>HYPERLINK("https://klasma.github.io/Logging_0885/klagomålsmail/A 58231-2020 FSC-klagomål mail.docx", "A 58231-2020")</f>
        <v/>
      </c>
      <c r="X19">
        <f>HYPERLINK("https://klasma.github.io/Logging_0885/tillsyn/A 58231-2020 tillsynsbegäran.docx", "A 58231-2020")</f>
        <v/>
      </c>
      <c r="Y19">
        <f>HYPERLINK("https://klasma.github.io/Logging_0885/tillsynsmail/A 58231-2020 tillsynsbegäran mail.docx", "A 58231-2020")</f>
        <v/>
      </c>
    </row>
    <row r="20" ht="15" customHeight="1">
      <c r="A20" t="inlineStr">
        <is>
          <t>A 21797-2024</t>
        </is>
      </c>
      <c r="B20" s="1" t="n">
        <v>45442.6512037037</v>
      </c>
      <c r="C20" s="1" t="n">
        <v>45933</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16171-2023</t>
        </is>
      </c>
      <c r="B21" s="1" t="n">
        <v>45027</v>
      </c>
      <c r="C21" s="1" t="n">
        <v>45933</v>
      </c>
      <c r="D21" t="inlineStr">
        <is>
          <t>KALMAR LÄN</t>
        </is>
      </c>
      <c r="E21" t="inlineStr">
        <is>
          <t>BORGHOLM</t>
        </is>
      </c>
      <c r="G21" t="n">
        <v>12.2</v>
      </c>
      <c r="H21" t="n">
        <v>1</v>
      </c>
      <c r="I21" t="n">
        <v>2</v>
      </c>
      <c r="J21" t="n">
        <v>0</v>
      </c>
      <c r="K21" t="n">
        <v>0</v>
      </c>
      <c r="L21" t="n">
        <v>0</v>
      </c>
      <c r="M21" t="n">
        <v>0</v>
      </c>
      <c r="N21" t="n">
        <v>0</v>
      </c>
      <c r="O21" t="n">
        <v>0</v>
      </c>
      <c r="P21" t="n">
        <v>0</v>
      </c>
      <c r="Q21" t="n">
        <v>3</v>
      </c>
      <c r="R21" s="2" t="inlineStr">
        <is>
          <t>Murgröna
Sårläka
Blåsippa</t>
        </is>
      </c>
      <c r="S21">
        <f>HYPERLINK("https://klasma.github.io/Logging_0885/artfynd/A 16171-2023 artfynd.xlsx", "A 16171-2023")</f>
        <v/>
      </c>
      <c r="T21">
        <f>HYPERLINK("https://klasma.github.io/Logging_0885/kartor/A 16171-2023 karta.png", "A 16171-2023")</f>
        <v/>
      </c>
      <c r="V21">
        <f>HYPERLINK("https://klasma.github.io/Logging_0885/klagomål/A 16171-2023 FSC-klagomål.docx", "A 16171-2023")</f>
        <v/>
      </c>
      <c r="W21">
        <f>HYPERLINK("https://klasma.github.io/Logging_0885/klagomålsmail/A 16171-2023 FSC-klagomål mail.docx", "A 16171-2023")</f>
        <v/>
      </c>
      <c r="X21">
        <f>HYPERLINK("https://klasma.github.io/Logging_0885/tillsyn/A 16171-2023 tillsynsbegäran.docx", "A 16171-2023")</f>
        <v/>
      </c>
      <c r="Y21">
        <f>HYPERLINK("https://klasma.github.io/Logging_0885/tillsynsmail/A 16171-2023 tillsynsbegäran mail.docx", "A 16171-2023")</f>
        <v/>
      </c>
    </row>
    <row r="22" ht="15" customHeight="1">
      <c r="A22" t="inlineStr">
        <is>
          <t>A 28779-2025</t>
        </is>
      </c>
      <c r="B22" s="1" t="n">
        <v>45820.44920138889</v>
      </c>
      <c r="C22" s="1" t="n">
        <v>45933</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38860-2025</t>
        </is>
      </c>
      <c r="B23" s="1" t="n">
        <v>45887.5609375</v>
      </c>
      <c r="C23" s="1" t="n">
        <v>45933</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34944-2022</t>
        </is>
      </c>
      <c r="B24" s="1" t="n">
        <v>44796</v>
      </c>
      <c r="C24" s="1" t="n">
        <v>45933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45933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13556-2025</t>
        </is>
      </c>
      <c r="B26" s="1" t="n">
        <v>45736.54759259259</v>
      </c>
      <c r="C26" s="1" t="n">
        <v>45933</v>
      </c>
      <c r="D26" t="inlineStr">
        <is>
          <t>KALMAR LÄN</t>
        </is>
      </c>
      <c r="E26" t="inlineStr">
        <is>
          <t>BORGHOLM</t>
        </is>
      </c>
      <c r="G26" t="n">
        <v>2.3</v>
      </c>
      <c r="H26" t="n">
        <v>2</v>
      </c>
      <c r="I26" t="n">
        <v>1</v>
      </c>
      <c r="J26" t="n">
        <v>0</v>
      </c>
      <c r="K26" t="n">
        <v>0</v>
      </c>
      <c r="L26" t="n">
        <v>0</v>
      </c>
      <c r="M26" t="n">
        <v>0</v>
      </c>
      <c r="N26" t="n">
        <v>0</v>
      </c>
      <c r="O26" t="n">
        <v>0</v>
      </c>
      <c r="P26" t="n">
        <v>0</v>
      </c>
      <c r="Q26" t="n">
        <v>2</v>
      </c>
      <c r="R26" s="2" t="inlineStr">
        <is>
          <t>Tvåblad
Nattviol</t>
        </is>
      </c>
      <c r="S26">
        <f>HYPERLINK("https://klasma.github.io/Logging_0885/artfynd/A 13556-2025 artfynd.xlsx", "A 13556-2025")</f>
        <v/>
      </c>
      <c r="T26">
        <f>HYPERLINK("https://klasma.github.io/Logging_0885/kartor/A 13556-2025 karta.png", "A 13556-2025")</f>
        <v/>
      </c>
      <c r="V26">
        <f>HYPERLINK("https://klasma.github.io/Logging_0885/klagomål/A 13556-2025 FSC-klagomål.docx", "A 13556-2025")</f>
        <v/>
      </c>
      <c r="W26">
        <f>HYPERLINK("https://klasma.github.io/Logging_0885/klagomålsmail/A 13556-2025 FSC-klagomål mail.docx", "A 13556-2025")</f>
        <v/>
      </c>
      <c r="X26">
        <f>HYPERLINK("https://klasma.github.io/Logging_0885/tillsyn/A 13556-2025 tillsynsbegäran.docx", "A 13556-2025")</f>
        <v/>
      </c>
      <c r="Y26">
        <f>HYPERLINK("https://klasma.github.io/Logging_0885/tillsynsmail/A 13556-2025 tillsynsbegäran mail.docx", "A 13556-2025")</f>
        <v/>
      </c>
    </row>
    <row r="27" ht="15" customHeight="1">
      <c r="A27" t="inlineStr">
        <is>
          <t>A 4164-2023</t>
        </is>
      </c>
      <c r="B27" s="1" t="n">
        <v>44953</v>
      </c>
      <c r="C27" s="1" t="n">
        <v>45933</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45933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45933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3871-2021</t>
        </is>
      </c>
      <c r="B30" s="1" t="n">
        <v>44222</v>
      </c>
      <c r="C30" s="1" t="n">
        <v>45933</v>
      </c>
      <c r="D30" t="inlineStr">
        <is>
          <t>KALMAR LÄN</t>
        </is>
      </c>
      <c r="E30" t="inlineStr">
        <is>
          <t>BORGHOLM</t>
        </is>
      </c>
      <c r="G30" t="n">
        <v>1.7</v>
      </c>
      <c r="H30" t="n">
        <v>0</v>
      </c>
      <c r="I30" t="n">
        <v>1</v>
      </c>
      <c r="J30" t="n">
        <v>0</v>
      </c>
      <c r="K30" t="n">
        <v>0</v>
      </c>
      <c r="L30" t="n">
        <v>0</v>
      </c>
      <c r="M30" t="n">
        <v>0</v>
      </c>
      <c r="N30" t="n">
        <v>0</v>
      </c>
      <c r="O30" t="n">
        <v>0</v>
      </c>
      <c r="P30" t="n">
        <v>0</v>
      </c>
      <c r="Q30" t="n">
        <v>1</v>
      </c>
      <c r="R30" s="2" t="inlineStr">
        <is>
          <t>Scharlakansskål</t>
        </is>
      </c>
      <c r="S30">
        <f>HYPERLINK("https://klasma.github.io/Logging_0885/artfynd/A 3871-2021 artfynd.xlsx", "A 3871-2021")</f>
        <v/>
      </c>
      <c r="T30">
        <f>HYPERLINK("https://klasma.github.io/Logging_0885/kartor/A 3871-2021 karta.png", "A 3871-2021")</f>
        <v/>
      </c>
      <c r="V30">
        <f>HYPERLINK("https://klasma.github.io/Logging_0885/klagomål/A 3871-2021 FSC-klagomål.docx", "A 3871-2021")</f>
        <v/>
      </c>
      <c r="W30">
        <f>HYPERLINK("https://klasma.github.io/Logging_0885/klagomålsmail/A 3871-2021 FSC-klagomål mail.docx", "A 3871-2021")</f>
        <v/>
      </c>
      <c r="X30">
        <f>HYPERLINK("https://klasma.github.io/Logging_0885/tillsyn/A 3871-2021 tillsynsbegäran.docx", "A 3871-2021")</f>
        <v/>
      </c>
      <c r="Y30">
        <f>HYPERLINK("https://klasma.github.io/Logging_0885/tillsynsmail/A 3871-2021 tillsynsbegäran mail.docx", "A 3871-2021")</f>
        <v/>
      </c>
    </row>
    <row r="31" ht="15" customHeight="1">
      <c r="A31" t="inlineStr">
        <is>
          <t>A 66329-2020</t>
        </is>
      </c>
      <c r="B31" s="1" t="n">
        <v>44176</v>
      </c>
      <c r="C31" s="1" t="n">
        <v>45933</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31295-2022</t>
        </is>
      </c>
      <c r="B32" s="1" t="n">
        <v>44772</v>
      </c>
      <c r="C32" s="1" t="n">
        <v>45933</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24704-2023</t>
        </is>
      </c>
      <c r="B33" s="1" t="n">
        <v>45084</v>
      </c>
      <c r="C33" s="1" t="n">
        <v>45933</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9745-2023</t>
        </is>
      </c>
      <c r="B34" s="1" t="n">
        <v>44984</v>
      </c>
      <c r="C34" s="1" t="n">
        <v>45933</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28785-2025</t>
        </is>
      </c>
      <c r="B35" s="1" t="n">
        <v>45820.46159722222</v>
      </c>
      <c r="C35" s="1" t="n">
        <v>45933</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45933</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14789-2021</t>
        </is>
      </c>
      <c r="B37" s="1" t="n">
        <v>44280</v>
      </c>
      <c r="C37" s="1" t="n">
        <v>45933</v>
      </c>
      <c r="D37" t="inlineStr">
        <is>
          <t>KALMAR LÄN</t>
        </is>
      </c>
      <c r="E37" t="inlineStr">
        <is>
          <t>BORGHOLM</t>
        </is>
      </c>
      <c r="G37" t="n">
        <v>1</v>
      </c>
      <c r="H37" t="n">
        <v>1</v>
      </c>
      <c r="I37" t="n">
        <v>1</v>
      </c>
      <c r="J37" t="n">
        <v>0</v>
      </c>
      <c r="K37" t="n">
        <v>0</v>
      </c>
      <c r="L37" t="n">
        <v>0</v>
      </c>
      <c r="M37" t="n">
        <v>0</v>
      </c>
      <c r="N37" t="n">
        <v>0</v>
      </c>
      <c r="O37" t="n">
        <v>0</v>
      </c>
      <c r="P37" t="n">
        <v>0</v>
      </c>
      <c r="Q37" t="n">
        <v>1</v>
      </c>
      <c r="R37" s="2" t="inlineStr">
        <is>
          <t>Skogsknipprot</t>
        </is>
      </c>
      <c r="S37">
        <f>HYPERLINK("https://klasma.github.io/Logging_0885/artfynd/A 14789-2021 artfynd.xlsx", "A 14789-2021")</f>
        <v/>
      </c>
      <c r="T37">
        <f>HYPERLINK("https://klasma.github.io/Logging_0885/kartor/A 14789-2021 karta.png", "A 14789-2021")</f>
        <v/>
      </c>
      <c r="V37">
        <f>HYPERLINK("https://klasma.github.io/Logging_0885/klagomål/A 14789-2021 FSC-klagomål.docx", "A 14789-2021")</f>
        <v/>
      </c>
      <c r="W37">
        <f>HYPERLINK("https://klasma.github.io/Logging_0885/klagomålsmail/A 14789-2021 FSC-klagomål mail.docx", "A 14789-2021")</f>
        <v/>
      </c>
      <c r="X37">
        <f>HYPERLINK("https://klasma.github.io/Logging_0885/tillsyn/A 14789-2021 tillsynsbegäran.docx", "A 14789-2021")</f>
        <v/>
      </c>
      <c r="Y37">
        <f>HYPERLINK("https://klasma.github.io/Logging_0885/tillsynsmail/A 14789-2021 tillsynsbegäran mail.docx", "A 14789-2021")</f>
        <v/>
      </c>
    </row>
    <row r="38" ht="15" customHeight="1">
      <c r="A38" t="inlineStr">
        <is>
          <t>A 34885-2025</t>
        </is>
      </c>
      <c r="B38" s="1" t="n">
        <v>45849.47128472223</v>
      </c>
      <c r="C38" s="1" t="n">
        <v>45933</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45933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45933</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45693-2025</t>
        </is>
      </c>
      <c r="B41" s="1" t="n">
        <v>45923</v>
      </c>
      <c r="C41" s="1" t="n">
        <v>45933</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24701-2023</t>
        </is>
      </c>
      <c r="B42" s="1" t="n">
        <v>45084</v>
      </c>
      <c r="C42" s="1" t="n">
        <v>45933</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45933</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24048-2025</t>
        </is>
      </c>
      <c r="B44" s="1" t="n">
        <v>45796.4959375</v>
      </c>
      <c r="C44" s="1" t="n">
        <v>45933</v>
      </c>
      <c r="D44" t="inlineStr">
        <is>
          <t>KALMAR LÄN</t>
        </is>
      </c>
      <c r="E44" t="inlineStr">
        <is>
          <t>BORGHOLM</t>
        </is>
      </c>
      <c r="G44" t="n">
        <v>2</v>
      </c>
      <c r="H44" t="n">
        <v>0</v>
      </c>
      <c r="I44" t="n">
        <v>0</v>
      </c>
      <c r="J44" t="n">
        <v>1</v>
      </c>
      <c r="K44" t="n">
        <v>0</v>
      </c>
      <c r="L44" t="n">
        <v>0</v>
      </c>
      <c r="M44" t="n">
        <v>0</v>
      </c>
      <c r="N44" t="n">
        <v>0</v>
      </c>
      <c r="O44" t="n">
        <v>1</v>
      </c>
      <c r="P44" t="n">
        <v>0</v>
      </c>
      <c r="Q44" t="n">
        <v>1</v>
      </c>
      <c r="R44" s="2" t="inlineStr">
        <is>
          <t>Loppstarr</t>
        </is>
      </c>
      <c r="S44">
        <f>HYPERLINK("https://klasma.github.io/Logging_0885/artfynd/A 24048-2025 artfynd.xlsx", "A 24048-2025")</f>
        <v/>
      </c>
      <c r="T44">
        <f>HYPERLINK("https://klasma.github.io/Logging_0885/kartor/A 24048-2025 karta.png", "A 24048-2025")</f>
        <v/>
      </c>
      <c r="V44">
        <f>HYPERLINK("https://klasma.github.io/Logging_0885/klagomål/A 24048-2025 FSC-klagomål.docx", "A 24048-2025")</f>
        <v/>
      </c>
      <c r="W44">
        <f>HYPERLINK("https://klasma.github.io/Logging_0885/klagomålsmail/A 24048-2025 FSC-klagomål mail.docx", "A 24048-2025")</f>
        <v/>
      </c>
      <c r="X44">
        <f>HYPERLINK("https://klasma.github.io/Logging_0885/tillsyn/A 24048-2025 tillsynsbegäran.docx", "A 24048-2025")</f>
        <v/>
      </c>
      <c r="Y44">
        <f>HYPERLINK("https://klasma.github.io/Logging_0885/tillsynsmail/A 24048-2025 tillsynsbegäran mail.docx", "A 24048-2025")</f>
        <v/>
      </c>
    </row>
    <row r="45" ht="15" customHeight="1">
      <c r="A45" t="inlineStr">
        <is>
          <t>A 41640-2023</t>
        </is>
      </c>
      <c r="B45" s="1" t="n">
        <v>45175</v>
      </c>
      <c r="C45" s="1" t="n">
        <v>45933</v>
      </c>
      <c r="D45" t="inlineStr">
        <is>
          <t>KALMAR LÄN</t>
        </is>
      </c>
      <c r="E45" t="inlineStr">
        <is>
          <t>BORGHOLM</t>
        </is>
      </c>
      <c r="G45" t="n">
        <v>5</v>
      </c>
      <c r="H45" t="n">
        <v>1</v>
      </c>
      <c r="I45" t="n">
        <v>0</v>
      </c>
      <c r="J45" t="n">
        <v>0</v>
      </c>
      <c r="K45" t="n">
        <v>0</v>
      </c>
      <c r="L45" t="n">
        <v>0</v>
      </c>
      <c r="M45" t="n">
        <v>0</v>
      </c>
      <c r="N45" t="n">
        <v>0</v>
      </c>
      <c r="O45" t="n">
        <v>0</v>
      </c>
      <c r="P45" t="n">
        <v>0</v>
      </c>
      <c r="Q45" t="n">
        <v>1</v>
      </c>
      <c r="R45" s="2" t="inlineStr">
        <is>
          <t>Johannesnycklar</t>
        </is>
      </c>
      <c r="S45">
        <f>HYPERLINK("https://klasma.github.io/Logging_0885/artfynd/A 41640-2023 artfynd.xlsx", "A 41640-2023")</f>
        <v/>
      </c>
      <c r="T45">
        <f>HYPERLINK("https://klasma.github.io/Logging_0885/kartor/A 41640-2023 karta.png", "A 41640-2023")</f>
        <v/>
      </c>
      <c r="V45">
        <f>HYPERLINK("https://klasma.github.io/Logging_0885/klagomål/A 41640-2023 FSC-klagomål.docx", "A 41640-2023")</f>
        <v/>
      </c>
      <c r="W45">
        <f>HYPERLINK("https://klasma.github.io/Logging_0885/klagomålsmail/A 41640-2023 FSC-klagomål mail.docx", "A 41640-2023")</f>
        <v/>
      </c>
      <c r="X45">
        <f>HYPERLINK("https://klasma.github.io/Logging_0885/tillsyn/A 41640-2023 tillsynsbegäran.docx", "A 41640-2023")</f>
        <v/>
      </c>
      <c r="Y45">
        <f>HYPERLINK("https://klasma.github.io/Logging_0885/tillsynsmail/A 41640-2023 tillsynsbegäran mail.docx", "A 41640-2023")</f>
        <v/>
      </c>
    </row>
    <row r="46" ht="15" customHeight="1">
      <c r="A46" t="inlineStr">
        <is>
          <t>A 56499-2020</t>
        </is>
      </c>
      <c r="B46" s="1" t="n">
        <v>44137</v>
      </c>
      <c r="C46" s="1" t="n">
        <v>45933</v>
      </c>
      <c r="D46" t="inlineStr">
        <is>
          <t>KALMAR LÄN</t>
        </is>
      </c>
      <c r="E46" t="inlineStr">
        <is>
          <t>BORGHOLM</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56434-2020</t>
        </is>
      </c>
      <c r="B47" s="1" t="n">
        <v>44137</v>
      </c>
      <c r="C47" s="1" t="n">
        <v>45933</v>
      </c>
      <c r="D47" t="inlineStr">
        <is>
          <t>KALMAR LÄN</t>
        </is>
      </c>
      <c r="E47" t="inlineStr">
        <is>
          <t>BORGHOLM</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58113-2020</t>
        </is>
      </c>
      <c r="B48" s="1" t="n">
        <v>44144</v>
      </c>
      <c r="C48" s="1" t="n">
        <v>45933</v>
      </c>
      <c r="D48" t="inlineStr">
        <is>
          <t>KALMAR LÄN</t>
        </is>
      </c>
      <c r="E48" t="inlineStr">
        <is>
          <t>BORGHOLM</t>
        </is>
      </c>
      <c r="F48" t="inlineStr">
        <is>
          <t>Sveaskog</t>
        </is>
      </c>
      <c r="G48" t="n">
        <v>3</v>
      </c>
      <c r="H48" t="n">
        <v>0</v>
      </c>
      <c r="I48" t="n">
        <v>0</v>
      </c>
      <c r="J48" t="n">
        <v>0</v>
      </c>
      <c r="K48" t="n">
        <v>0</v>
      </c>
      <c r="L48" t="n">
        <v>0</v>
      </c>
      <c r="M48" t="n">
        <v>0</v>
      </c>
      <c r="N48" t="n">
        <v>0</v>
      </c>
      <c r="O48" t="n">
        <v>0</v>
      </c>
      <c r="P48" t="n">
        <v>0</v>
      </c>
      <c r="Q48" t="n">
        <v>0</v>
      </c>
      <c r="R48" s="2" t="inlineStr"/>
    </row>
    <row r="49" ht="15" customHeight="1">
      <c r="A49" t="inlineStr">
        <is>
          <t>A 12711-2021</t>
        </is>
      </c>
      <c r="B49" s="1" t="n">
        <v>44270</v>
      </c>
      <c r="C49" s="1" t="n">
        <v>45933</v>
      </c>
      <c r="D49" t="inlineStr">
        <is>
          <t>KALMAR LÄN</t>
        </is>
      </c>
      <c r="E49" t="inlineStr">
        <is>
          <t>BORGHOLM</t>
        </is>
      </c>
      <c r="G49" t="n">
        <v>1.3</v>
      </c>
      <c r="H49" t="n">
        <v>0</v>
      </c>
      <c r="I49" t="n">
        <v>0</v>
      </c>
      <c r="J49" t="n">
        <v>0</v>
      </c>
      <c r="K49" t="n">
        <v>0</v>
      </c>
      <c r="L49" t="n">
        <v>0</v>
      </c>
      <c r="M49" t="n">
        <v>0</v>
      </c>
      <c r="N49" t="n">
        <v>0</v>
      </c>
      <c r="O49" t="n">
        <v>0</v>
      </c>
      <c r="P49" t="n">
        <v>0</v>
      </c>
      <c r="Q49" t="n">
        <v>0</v>
      </c>
      <c r="R49" s="2" t="inlineStr"/>
    </row>
    <row r="50" ht="15" customHeight="1">
      <c r="A50" t="inlineStr">
        <is>
          <t>A 56475-2020</t>
        </is>
      </c>
      <c r="B50" s="1" t="n">
        <v>44137</v>
      </c>
      <c r="C50" s="1" t="n">
        <v>45933</v>
      </c>
      <c r="D50" t="inlineStr">
        <is>
          <t>KALMAR LÄN</t>
        </is>
      </c>
      <c r="E50" t="inlineStr">
        <is>
          <t>BORGHOLM</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56488-2020</t>
        </is>
      </c>
      <c r="B51" s="1" t="n">
        <v>44137</v>
      </c>
      <c r="C51" s="1" t="n">
        <v>45933</v>
      </c>
      <c r="D51" t="inlineStr">
        <is>
          <t>KALMAR LÄN</t>
        </is>
      </c>
      <c r="E51" t="inlineStr">
        <is>
          <t>BORGHOLM</t>
        </is>
      </c>
      <c r="F51" t="inlineStr">
        <is>
          <t>Sveaskog</t>
        </is>
      </c>
      <c r="G51" t="n">
        <v>1.4</v>
      </c>
      <c r="H51" t="n">
        <v>0</v>
      </c>
      <c r="I51" t="n">
        <v>0</v>
      </c>
      <c r="J51" t="n">
        <v>0</v>
      </c>
      <c r="K51" t="n">
        <v>0</v>
      </c>
      <c r="L51" t="n">
        <v>0</v>
      </c>
      <c r="M51" t="n">
        <v>0</v>
      </c>
      <c r="N51" t="n">
        <v>0</v>
      </c>
      <c r="O51" t="n">
        <v>0</v>
      </c>
      <c r="P51" t="n">
        <v>0</v>
      </c>
      <c r="Q51" t="n">
        <v>0</v>
      </c>
      <c r="R51" s="2" t="inlineStr"/>
    </row>
    <row r="52" ht="15" customHeight="1">
      <c r="A52" t="inlineStr">
        <is>
          <t>A 56506-2020</t>
        </is>
      </c>
      <c r="B52" s="1" t="n">
        <v>44137</v>
      </c>
      <c r="C52" s="1" t="n">
        <v>45933</v>
      </c>
      <c r="D52" t="inlineStr">
        <is>
          <t>KALMAR LÄN</t>
        </is>
      </c>
      <c r="E52" t="inlineStr">
        <is>
          <t>BORGHOLM</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42761-2021</t>
        </is>
      </c>
      <c r="B53" s="1" t="n">
        <v>44428</v>
      </c>
      <c r="C53" s="1" t="n">
        <v>45933</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13325-2021</t>
        </is>
      </c>
      <c r="B54" s="1" t="n">
        <v>44273</v>
      </c>
      <c r="C54" s="1" t="n">
        <v>45933</v>
      </c>
      <c r="D54" t="inlineStr">
        <is>
          <t>KALMAR LÄN</t>
        </is>
      </c>
      <c r="E54" t="inlineStr">
        <is>
          <t>BORGHOLM</t>
        </is>
      </c>
      <c r="G54" t="n">
        <v>0.7</v>
      </c>
      <c r="H54" t="n">
        <v>0</v>
      </c>
      <c r="I54" t="n">
        <v>0</v>
      </c>
      <c r="J54" t="n">
        <v>0</v>
      </c>
      <c r="K54" t="n">
        <v>0</v>
      </c>
      <c r="L54" t="n">
        <v>0</v>
      </c>
      <c r="M54" t="n">
        <v>0</v>
      </c>
      <c r="N54" t="n">
        <v>0</v>
      </c>
      <c r="O54" t="n">
        <v>0</v>
      </c>
      <c r="P54" t="n">
        <v>0</v>
      </c>
      <c r="Q54" t="n">
        <v>0</v>
      </c>
      <c r="R54" s="2" t="inlineStr"/>
    </row>
    <row r="55" ht="15" customHeight="1">
      <c r="A55" t="inlineStr">
        <is>
          <t>A 56421-2020</t>
        </is>
      </c>
      <c r="B55" s="1" t="n">
        <v>44137</v>
      </c>
      <c r="C55" s="1" t="n">
        <v>45933</v>
      </c>
      <c r="D55" t="inlineStr">
        <is>
          <t>KALMAR LÄN</t>
        </is>
      </c>
      <c r="E55" t="inlineStr">
        <is>
          <t>BORGHOLM</t>
        </is>
      </c>
      <c r="F55" t="inlineStr">
        <is>
          <t>Sveaskog</t>
        </is>
      </c>
      <c r="G55" t="n">
        <v>3.9</v>
      </c>
      <c r="H55" t="n">
        <v>0</v>
      </c>
      <c r="I55" t="n">
        <v>0</v>
      </c>
      <c r="J55" t="n">
        <v>0</v>
      </c>
      <c r="K55" t="n">
        <v>0</v>
      </c>
      <c r="L55" t="n">
        <v>0</v>
      </c>
      <c r="M55" t="n">
        <v>0</v>
      </c>
      <c r="N55" t="n">
        <v>0</v>
      </c>
      <c r="O55" t="n">
        <v>0</v>
      </c>
      <c r="P55" t="n">
        <v>0</v>
      </c>
      <c r="Q55" t="n">
        <v>0</v>
      </c>
      <c r="R55" s="2" t="inlineStr"/>
    </row>
    <row r="56" ht="15" customHeight="1">
      <c r="A56" t="inlineStr">
        <is>
          <t>A 32665-2022</t>
        </is>
      </c>
      <c r="B56" s="1" t="n">
        <v>44783</v>
      </c>
      <c r="C56" s="1" t="n">
        <v>45933</v>
      </c>
      <c r="D56" t="inlineStr">
        <is>
          <t>KALMAR LÄN</t>
        </is>
      </c>
      <c r="E56" t="inlineStr">
        <is>
          <t>BORGHOLM</t>
        </is>
      </c>
      <c r="F56" t="inlineStr">
        <is>
          <t>Sveaskog</t>
        </is>
      </c>
      <c r="G56" t="n">
        <v>4.2</v>
      </c>
      <c r="H56" t="n">
        <v>0</v>
      </c>
      <c r="I56" t="n">
        <v>0</v>
      </c>
      <c r="J56" t="n">
        <v>0</v>
      </c>
      <c r="K56" t="n">
        <v>0</v>
      </c>
      <c r="L56" t="n">
        <v>0</v>
      </c>
      <c r="M56" t="n">
        <v>0</v>
      </c>
      <c r="N56" t="n">
        <v>0</v>
      </c>
      <c r="O56" t="n">
        <v>0</v>
      </c>
      <c r="P56" t="n">
        <v>0</v>
      </c>
      <c r="Q56" t="n">
        <v>0</v>
      </c>
      <c r="R56" s="2" t="inlineStr"/>
    </row>
    <row r="57" ht="15" customHeight="1">
      <c r="A57" t="inlineStr">
        <is>
          <t>A 31790-2021</t>
        </is>
      </c>
      <c r="B57" s="1" t="n">
        <v>44370</v>
      </c>
      <c r="C57" s="1" t="n">
        <v>45933</v>
      </c>
      <c r="D57" t="inlineStr">
        <is>
          <t>KALMAR LÄN</t>
        </is>
      </c>
      <c r="E57" t="inlineStr">
        <is>
          <t>BORGHOLM</t>
        </is>
      </c>
      <c r="F57" t="inlineStr">
        <is>
          <t>Sveaskog</t>
        </is>
      </c>
      <c r="G57" t="n">
        <v>3.3</v>
      </c>
      <c r="H57" t="n">
        <v>0</v>
      </c>
      <c r="I57" t="n">
        <v>0</v>
      </c>
      <c r="J57" t="n">
        <v>0</v>
      </c>
      <c r="K57" t="n">
        <v>0</v>
      </c>
      <c r="L57" t="n">
        <v>0</v>
      </c>
      <c r="M57" t="n">
        <v>0</v>
      </c>
      <c r="N57" t="n">
        <v>0</v>
      </c>
      <c r="O57" t="n">
        <v>0</v>
      </c>
      <c r="P57" t="n">
        <v>0</v>
      </c>
      <c r="Q57" t="n">
        <v>0</v>
      </c>
      <c r="R57" s="2" t="inlineStr"/>
    </row>
    <row r="58" ht="15" customHeight="1">
      <c r="A58" t="inlineStr">
        <is>
          <t>A 10348-2022</t>
        </is>
      </c>
      <c r="B58" s="1" t="n">
        <v>44623</v>
      </c>
      <c r="C58" s="1" t="n">
        <v>45933</v>
      </c>
      <c r="D58" t="inlineStr">
        <is>
          <t>KALMAR LÄN</t>
        </is>
      </c>
      <c r="E58" t="inlineStr">
        <is>
          <t>BORGHOLM</t>
        </is>
      </c>
      <c r="G58" t="n">
        <v>0.4</v>
      </c>
      <c r="H58" t="n">
        <v>0</v>
      </c>
      <c r="I58" t="n">
        <v>0</v>
      </c>
      <c r="J58" t="n">
        <v>0</v>
      </c>
      <c r="K58" t="n">
        <v>0</v>
      </c>
      <c r="L58" t="n">
        <v>0</v>
      </c>
      <c r="M58" t="n">
        <v>0</v>
      </c>
      <c r="N58" t="n">
        <v>0</v>
      </c>
      <c r="O58" t="n">
        <v>0</v>
      </c>
      <c r="P58" t="n">
        <v>0</v>
      </c>
      <c r="Q58" t="n">
        <v>0</v>
      </c>
      <c r="R58" s="2" t="inlineStr"/>
    </row>
    <row r="59" ht="15" customHeight="1">
      <c r="A59" t="inlineStr">
        <is>
          <t>A 28345-2022</t>
        </is>
      </c>
      <c r="B59" s="1" t="n">
        <v>44747</v>
      </c>
      <c r="C59" s="1" t="n">
        <v>45933</v>
      </c>
      <c r="D59" t="inlineStr">
        <is>
          <t>KALMAR LÄN</t>
        </is>
      </c>
      <c r="E59" t="inlineStr">
        <is>
          <t>BORGHOLM</t>
        </is>
      </c>
      <c r="G59" t="n">
        <v>1.5</v>
      </c>
      <c r="H59" t="n">
        <v>0</v>
      </c>
      <c r="I59" t="n">
        <v>0</v>
      </c>
      <c r="J59" t="n">
        <v>0</v>
      </c>
      <c r="K59" t="n">
        <v>0</v>
      </c>
      <c r="L59" t="n">
        <v>0</v>
      </c>
      <c r="M59" t="n">
        <v>0</v>
      </c>
      <c r="N59" t="n">
        <v>0</v>
      </c>
      <c r="O59" t="n">
        <v>0</v>
      </c>
      <c r="P59" t="n">
        <v>0</v>
      </c>
      <c r="Q59" t="n">
        <v>0</v>
      </c>
      <c r="R59" s="2" t="inlineStr"/>
    </row>
    <row r="60" ht="15" customHeight="1">
      <c r="A60" t="inlineStr">
        <is>
          <t>A 44681-2022</t>
        </is>
      </c>
      <c r="B60" s="1" t="n">
        <v>44840</v>
      </c>
      <c r="C60" s="1" t="n">
        <v>45933</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32608-2022</t>
        </is>
      </c>
      <c r="B61" s="1" t="n">
        <v>44783</v>
      </c>
      <c r="C61" s="1" t="n">
        <v>45933</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61828-2021</t>
        </is>
      </c>
      <c r="B62" s="1" t="n">
        <v>44501</v>
      </c>
      <c r="C62" s="1" t="n">
        <v>45933</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60735-2020</t>
        </is>
      </c>
      <c r="B63" s="1" t="n">
        <v>44153</v>
      </c>
      <c r="C63" s="1" t="n">
        <v>45933</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56188-2021</t>
        </is>
      </c>
      <c r="B64" s="1" t="n">
        <v>44477.83525462963</v>
      </c>
      <c r="C64" s="1" t="n">
        <v>45933</v>
      </c>
      <c r="D64" t="inlineStr">
        <is>
          <t>KALMAR LÄN</t>
        </is>
      </c>
      <c r="E64" t="inlineStr">
        <is>
          <t>BORGHOLM</t>
        </is>
      </c>
      <c r="G64" t="n">
        <v>1.8</v>
      </c>
      <c r="H64" t="n">
        <v>0</v>
      </c>
      <c r="I64" t="n">
        <v>0</v>
      </c>
      <c r="J64" t="n">
        <v>0</v>
      </c>
      <c r="K64" t="n">
        <v>0</v>
      </c>
      <c r="L64" t="n">
        <v>0</v>
      </c>
      <c r="M64" t="n">
        <v>0</v>
      </c>
      <c r="N64" t="n">
        <v>0</v>
      </c>
      <c r="O64" t="n">
        <v>0</v>
      </c>
      <c r="P64" t="n">
        <v>0</v>
      </c>
      <c r="Q64" t="n">
        <v>0</v>
      </c>
      <c r="R64" s="2" t="inlineStr"/>
    </row>
    <row r="65" ht="15" customHeight="1">
      <c r="A65" t="inlineStr">
        <is>
          <t>A 56983-2021</t>
        </is>
      </c>
      <c r="B65" s="1" t="n">
        <v>44482</v>
      </c>
      <c r="C65" s="1" t="n">
        <v>45933</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27437-2022</t>
        </is>
      </c>
      <c r="B66" s="1" t="n">
        <v>44742.55567129629</v>
      </c>
      <c r="C66" s="1" t="n">
        <v>45933</v>
      </c>
      <c r="D66" t="inlineStr">
        <is>
          <t>KALMAR LÄN</t>
        </is>
      </c>
      <c r="E66" t="inlineStr">
        <is>
          <t>BORGHOLM</t>
        </is>
      </c>
      <c r="G66" t="n">
        <v>0.6</v>
      </c>
      <c r="H66" t="n">
        <v>0</v>
      </c>
      <c r="I66" t="n">
        <v>0</v>
      </c>
      <c r="J66" t="n">
        <v>0</v>
      </c>
      <c r="K66" t="n">
        <v>0</v>
      </c>
      <c r="L66" t="n">
        <v>0</v>
      </c>
      <c r="M66" t="n">
        <v>0</v>
      </c>
      <c r="N66" t="n">
        <v>0</v>
      </c>
      <c r="O66" t="n">
        <v>0</v>
      </c>
      <c r="P66" t="n">
        <v>0</v>
      </c>
      <c r="Q66" t="n">
        <v>0</v>
      </c>
      <c r="R66" s="2" t="inlineStr"/>
    </row>
    <row r="67" ht="15" customHeight="1">
      <c r="A67" t="inlineStr">
        <is>
          <t>A 56495-2020</t>
        </is>
      </c>
      <c r="B67" s="1" t="n">
        <v>44137</v>
      </c>
      <c r="C67" s="1" t="n">
        <v>45933</v>
      </c>
      <c r="D67" t="inlineStr">
        <is>
          <t>KALMAR LÄN</t>
        </is>
      </c>
      <c r="E67" t="inlineStr">
        <is>
          <t>BORGHOLM</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32180-2022</t>
        </is>
      </c>
      <c r="B68" s="1" t="n">
        <v>44781</v>
      </c>
      <c r="C68" s="1" t="n">
        <v>45933</v>
      </c>
      <c r="D68" t="inlineStr">
        <is>
          <t>KALMAR LÄN</t>
        </is>
      </c>
      <c r="E68" t="inlineStr">
        <is>
          <t>BORGHOLM</t>
        </is>
      </c>
      <c r="F68" t="inlineStr">
        <is>
          <t>Sveaskog</t>
        </is>
      </c>
      <c r="G68" t="n">
        <v>0.9</v>
      </c>
      <c r="H68" t="n">
        <v>0</v>
      </c>
      <c r="I68" t="n">
        <v>0</v>
      </c>
      <c r="J68" t="n">
        <v>0</v>
      </c>
      <c r="K68" t="n">
        <v>0</v>
      </c>
      <c r="L68" t="n">
        <v>0</v>
      </c>
      <c r="M68" t="n">
        <v>0</v>
      </c>
      <c r="N68" t="n">
        <v>0</v>
      </c>
      <c r="O68" t="n">
        <v>0</v>
      </c>
      <c r="P68" t="n">
        <v>0</v>
      </c>
      <c r="Q68" t="n">
        <v>0</v>
      </c>
      <c r="R68" s="2" t="inlineStr"/>
    </row>
    <row r="69" ht="15" customHeight="1">
      <c r="A69" t="inlineStr">
        <is>
          <t>A 58394-2020</t>
        </is>
      </c>
      <c r="B69" s="1" t="n">
        <v>44145</v>
      </c>
      <c r="C69" s="1" t="n">
        <v>45933</v>
      </c>
      <c r="D69" t="inlineStr">
        <is>
          <t>KALMAR LÄN</t>
        </is>
      </c>
      <c r="E69" t="inlineStr">
        <is>
          <t>BORGHOLM</t>
        </is>
      </c>
      <c r="F69" t="inlineStr">
        <is>
          <t>Sveaskog</t>
        </is>
      </c>
      <c r="G69" t="n">
        <v>1.1</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45933</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45933</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58253-2020</t>
        </is>
      </c>
      <c r="B72" s="1" t="n">
        <v>44144</v>
      </c>
      <c r="C72" s="1" t="n">
        <v>45933</v>
      </c>
      <c r="D72" t="inlineStr">
        <is>
          <t>KALMAR LÄN</t>
        </is>
      </c>
      <c r="E72" t="inlineStr">
        <is>
          <t>BORGHOLM</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45933</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42785-2021</t>
        </is>
      </c>
      <c r="B74" s="1" t="n">
        <v>44428</v>
      </c>
      <c r="C74" s="1" t="n">
        <v>45933</v>
      </c>
      <c r="D74" t="inlineStr">
        <is>
          <t>KALMAR LÄN</t>
        </is>
      </c>
      <c r="E74" t="inlineStr">
        <is>
          <t>BORGHOLM</t>
        </is>
      </c>
      <c r="G74" t="n">
        <v>2.8</v>
      </c>
      <c r="H74" t="n">
        <v>0</v>
      </c>
      <c r="I74" t="n">
        <v>0</v>
      </c>
      <c r="J74" t="n">
        <v>0</v>
      </c>
      <c r="K74" t="n">
        <v>0</v>
      </c>
      <c r="L74" t="n">
        <v>0</v>
      </c>
      <c r="M74" t="n">
        <v>0</v>
      </c>
      <c r="N74" t="n">
        <v>0</v>
      </c>
      <c r="O74" t="n">
        <v>0</v>
      </c>
      <c r="P74" t="n">
        <v>0</v>
      </c>
      <c r="Q74" t="n">
        <v>0</v>
      </c>
      <c r="R74" s="2" t="inlineStr"/>
    </row>
    <row r="75" ht="15" customHeight="1">
      <c r="A75" t="inlineStr">
        <is>
          <t>A 26160-2025</t>
        </is>
      </c>
      <c r="B75" s="1" t="n">
        <v>45805.4490162037</v>
      </c>
      <c r="C75" s="1" t="n">
        <v>45933</v>
      </c>
      <c r="D75" t="inlineStr">
        <is>
          <t>KALMAR LÄN</t>
        </is>
      </c>
      <c r="E75" t="inlineStr">
        <is>
          <t>BORGHOLM</t>
        </is>
      </c>
      <c r="G75" t="n">
        <v>3.7</v>
      </c>
      <c r="H75" t="n">
        <v>0</v>
      </c>
      <c r="I75" t="n">
        <v>0</v>
      </c>
      <c r="J75" t="n">
        <v>0</v>
      </c>
      <c r="K75" t="n">
        <v>0</v>
      </c>
      <c r="L75" t="n">
        <v>0</v>
      </c>
      <c r="M75" t="n">
        <v>0</v>
      </c>
      <c r="N75" t="n">
        <v>0</v>
      </c>
      <c r="O75" t="n">
        <v>0</v>
      </c>
      <c r="P75" t="n">
        <v>0</v>
      </c>
      <c r="Q75" t="n">
        <v>0</v>
      </c>
      <c r="R75" s="2" t="inlineStr"/>
    </row>
    <row r="76" ht="15" customHeight="1">
      <c r="A76" t="inlineStr">
        <is>
          <t>A 26190-2025</t>
        </is>
      </c>
      <c r="B76" s="1" t="n">
        <v>45805.48349537037</v>
      </c>
      <c r="C76" s="1" t="n">
        <v>45933</v>
      </c>
      <c r="D76" t="inlineStr">
        <is>
          <t>KALMAR LÄN</t>
        </is>
      </c>
      <c r="E76" t="inlineStr">
        <is>
          <t>BORGHOLM</t>
        </is>
      </c>
      <c r="G76" t="n">
        <v>3.2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45933</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27357-2025</t>
        </is>
      </c>
      <c r="B78" s="1" t="n">
        <v>45812.63650462963</v>
      </c>
      <c r="C78" s="1" t="n">
        <v>45933</v>
      </c>
      <c r="D78" t="inlineStr">
        <is>
          <t>KALMAR LÄN</t>
        </is>
      </c>
      <c r="E78" t="inlineStr">
        <is>
          <t>BORGHOLM</t>
        </is>
      </c>
      <c r="F78" t="inlineStr">
        <is>
          <t>Sveaskog</t>
        </is>
      </c>
      <c r="G78" t="n">
        <v>4.5</v>
      </c>
      <c r="H78" t="n">
        <v>0</v>
      </c>
      <c r="I78" t="n">
        <v>0</v>
      </c>
      <c r="J78" t="n">
        <v>0</v>
      </c>
      <c r="K78" t="n">
        <v>0</v>
      </c>
      <c r="L78" t="n">
        <v>0</v>
      </c>
      <c r="M78" t="n">
        <v>0</v>
      </c>
      <c r="N78" t="n">
        <v>0</v>
      </c>
      <c r="O78" t="n">
        <v>0</v>
      </c>
      <c r="P78" t="n">
        <v>0</v>
      </c>
      <c r="Q78" t="n">
        <v>0</v>
      </c>
      <c r="R78" s="2" t="inlineStr"/>
    </row>
    <row r="79" ht="15" customHeight="1">
      <c r="A79" t="inlineStr">
        <is>
          <t>A 27366-2025</t>
        </is>
      </c>
      <c r="B79" s="1" t="n">
        <v>45812.64475694444</v>
      </c>
      <c r="C79" s="1" t="n">
        <v>45933</v>
      </c>
      <c r="D79" t="inlineStr">
        <is>
          <t>KALMAR LÄN</t>
        </is>
      </c>
      <c r="E79" t="inlineStr">
        <is>
          <t>BORGHOLM</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17699-2025</t>
        </is>
      </c>
      <c r="B80" s="1" t="n">
        <v>45758.41846064815</v>
      </c>
      <c r="C80" s="1" t="n">
        <v>45933</v>
      </c>
      <c r="D80" t="inlineStr">
        <is>
          <t>KALMAR LÄN</t>
        </is>
      </c>
      <c r="E80" t="inlineStr">
        <is>
          <t>BORGHOLM</t>
        </is>
      </c>
      <c r="G80" t="n">
        <v>0.7</v>
      </c>
      <c r="H80" t="n">
        <v>0</v>
      </c>
      <c r="I80" t="n">
        <v>0</v>
      </c>
      <c r="J80" t="n">
        <v>0</v>
      </c>
      <c r="K80" t="n">
        <v>0</v>
      </c>
      <c r="L80" t="n">
        <v>0</v>
      </c>
      <c r="M80" t="n">
        <v>0</v>
      </c>
      <c r="N80" t="n">
        <v>0</v>
      </c>
      <c r="O80" t="n">
        <v>0</v>
      </c>
      <c r="P80" t="n">
        <v>0</v>
      </c>
      <c r="Q80" t="n">
        <v>0</v>
      </c>
      <c r="R80" s="2" t="inlineStr"/>
    </row>
    <row r="81" ht="15" customHeight="1">
      <c r="A81" t="inlineStr">
        <is>
          <t>A 20878-2024</t>
        </is>
      </c>
      <c r="B81" s="1" t="n">
        <v>45439.44748842593</v>
      </c>
      <c r="C81" s="1" t="n">
        <v>45933</v>
      </c>
      <c r="D81" t="inlineStr">
        <is>
          <t>KALMAR LÄN</t>
        </is>
      </c>
      <c r="E81" t="inlineStr">
        <is>
          <t>BORGHOLM</t>
        </is>
      </c>
      <c r="G81" t="n">
        <v>1.9</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45933</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34780-2022</t>
        </is>
      </c>
      <c r="B83" s="1" t="n">
        <v>44795</v>
      </c>
      <c r="C83" s="1" t="n">
        <v>45933</v>
      </c>
      <c r="D83" t="inlineStr">
        <is>
          <t>KALMAR LÄN</t>
        </is>
      </c>
      <c r="E83" t="inlineStr">
        <is>
          <t>BORGHOLM</t>
        </is>
      </c>
      <c r="F83" t="inlineStr">
        <is>
          <t>Sveaskog</t>
        </is>
      </c>
      <c r="G83" t="n">
        <v>6.7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45933</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31699-2022</t>
        </is>
      </c>
      <c r="B85" s="1" t="n">
        <v>44776</v>
      </c>
      <c r="C85" s="1" t="n">
        <v>45933</v>
      </c>
      <c r="D85" t="inlineStr">
        <is>
          <t>KALMAR LÄN</t>
        </is>
      </c>
      <c r="E85" t="inlineStr">
        <is>
          <t>BORGHOLM</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28782-2025</t>
        </is>
      </c>
      <c r="B86" s="1" t="n">
        <v>45820.45572916666</v>
      </c>
      <c r="C86" s="1" t="n">
        <v>45933</v>
      </c>
      <c r="D86" t="inlineStr">
        <is>
          <t>KALMAR LÄN</t>
        </is>
      </c>
      <c r="E86" t="inlineStr">
        <is>
          <t>BORGHOLM</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9044-2025</t>
        </is>
      </c>
      <c r="B87" s="1" t="n">
        <v>45713.6275</v>
      </c>
      <c r="C87" s="1" t="n">
        <v>45933</v>
      </c>
      <c r="D87" t="inlineStr">
        <is>
          <t>KALMAR LÄN</t>
        </is>
      </c>
      <c r="E87" t="inlineStr">
        <is>
          <t>BORGHOLM</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20287-2025</t>
        </is>
      </c>
      <c r="B88" s="1" t="n">
        <v>45774.60741898148</v>
      </c>
      <c r="C88" s="1" t="n">
        <v>45933</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9076-2025</t>
        </is>
      </c>
      <c r="B89" s="1" t="n">
        <v>45713.6596875</v>
      </c>
      <c r="C89" s="1" t="n">
        <v>45933</v>
      </c>
      <c r="D89" t="inlineStr">
        <is>
          <t>KALMAR LÄN</t>
        </is>
      </c>
      <c r="E89" t="inlineStr">
        <is>
          <t>BORGHOLM</t>
        </is>
      </c>
      <c r="F89" t="inlineStr">
        <is>
          <t>Sveaskog</t>
        </is>
      </c>
      <c r="G89" t="n">
        <v>4.2</v>
      </c>
      <c r="H89" t="n">
        <v>0</v>
      </c>
      <c r="I89" t="n">
        <v>0</v>
      </c>
      <c r="J89" t="n">
        <v>0</v>
      </c>
      <c r="K89" t="n">
        <v>0</v>
      </c>
      <c r="L89" t="n">
        <v>0</v>
      </c>
      <c r="M89" t="n">
        <v>0</v>
      </c>
      <c r="N89" t="n">
        <v>0</v>
      </c>
      <c r="O89" t="n">
        <v>0</v>
      </c>
      <c r="P89" t="n">
        <v>0</v>
      </c>
      <c r="Q89" t="n">
        <v>0</v>
      </c>
      <c r="R89" s="2" t="inlineStr"/>
    </row>
    <row r="90" ht="15" customHeight="1">
      <c r="A90" t="inlineStr">
        <is>
          <t>A 4159-2024</t>
        </is>
      </c>
      <c r="B90" s="1" t="n">
        <v>45323</v>
      </c>
      <c r="C90" s="1" t="n">
        <v>45933</v>
      </c>
      <c r="D90" t="inlineStr">
        <is>
          <t>KALMAR LÄN</t>
        </is>
      </c>
      <c r="E90" t="inlineStr">
        <is>
          <t>BORGHOLM</t>
        </is>
      </c>
      <c r="G90" t="n">
        <v>0.5</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45933</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26160-2024</t>
        </is>
      </c>
      <c r="B92" s="1" t="n">
        <v>45468</v>
      </c>
      <c r="C92" s="1" t="n">
        <v>45933</v>
      </c>
      <c r="D92" t="inlineStr">
        <is>
          <t>KALMAR LÄN</t>
        </is>
      </c>
      <c r="E92" t="inlineStr">
        <is>
          <t>BORGHOLM</t>
        </is>
      </c>
      <c r="G92" t="n">
        <v>0.4</v>
      </c>
      <c r="H92" t="n">
        <v>0</v>
      </c>
      <c r="I92" t="n">
        <v>0</v>
      </c>
      <c r="J92" t="n">
        <v>0</v>
      </c>
      <c r="K92" t="n">
        <v>0</v>
      </c>
      <c r="L92" t="n">
        <v>0</v>
      </c>
      <c r="M92" t="n">
        <v>0</v>
      </c>
      <c r="N92" t="n">
        <v>0</v>
      </c>
      <c r="O92" t="n">
        <v>0</v>
      </c>
      <c r="P92" t="n">
        <v>0</v>
      </c>
      <c r="Q92" t="n">
        <v>0</v>
      </c>
      <c r="R92" s="2" t="inlineStr"/>
      <c r="T92">
        <f>HYPERLINK("https://klasma.github.io/Logging_0885/kartor/A 26160-2024 karta.png", "A 26160-2024")</f>
        <v/>
      </c>
      <c r="V92">
        <f>HYPERLINK("https://klasma.github.io/Logging_0885/klagomål/A 26160-2024 FSC-klagomål.docx", "A 26160-2024")</f>
        <v/>
      </c>
      <c r="W92">
        <f>HYPERLINK("https://klasma.github.io/Logging_0885/klagomålsmail/A 26160-2024 FSC-klagomål mail.docx", "A 26160-2024")</f>
        <v/>
      </c>
      <c r="X92">
        <f>HYPERLINK("https://klasma.github.io/Logging_0885/tillsyn/A 26160-2024 tillsynsbegäran.docx", "A 26160-2024")</f>
        <v/>
      </c>
      <c r="Y92">
        <f>HYPERLINK("https://klasma.github.io/Logging_0885/tillsynsmail/A 26160-2024 tillsynsbegäran mail.docx", "A 26160-2024")</f>
        <v/>
      </c>
    </row>
    <row r="93" ht="15" customHeight="1">
      <c r="A93" t="inlineStr">
        <is>
          <t>A 53050-2021</t>
        </is>
      </c>
      <c r="B93" s="1" t="n">
        <v>44467</v>
      </c>
      <c r="C93" s="1" t="n">
        <v>45933</v>
      </c>
      <c r="D93" t="inlineStr">
        <is>
          <t>KALMAR LÄN</t>
        </is>
      </c>
      <c r="E93" t="inlineStr">
        <is>
          <t>BORGHOLM</t>
        </is>
      </c>
      <c r="G93" t="n">
        <v>3.6</v>
      </c>
      <c r="H93" t="n">
        <v>0</v>
      </c>
      <c r="I93" t="n">
        <v>0</v>
      </c>
      <c r="J93" t="n">
        <v>0</v>
      </c>
      <c r="K93" t="n">
        <v>0</v>
      </c>
      <c r="L93" t="n">
        <v>0</v>
      </c>
      <c r="M93" t="n">
        <v>0</v>
      </c>
      <c r="N93" t="n">
        <v>0</v>
      </c>
      <c r="O93" t="n">
        <v>0</v>
      </c>
      <c r="P93" t="n">
        <v>0</v>
      </c>
      <c r="Q93" t="n">
        <v>0</v>
      </c>
      <c r="R93" s="2" t="inlineStr"/>
    </row>
    <row r="94" ht="15" customHeight="1">
      <c r="A94" t="inlineStr">
        <is>
          <t>A 32919-2023</t>
        </is>
      </c>
      <c r="B94" s="1" t="n">
        <v>45125</v>
      </c>
      <c r="C94" s="1" t="n">
        <v>45933</v>
      </c>
      <c r="D94" t="inlineStr">
        <is>
          <t>KALMAR LÄN</t>
        </is>
      </c>
      <c r="E94" t="inlineStr">
        <is>
          <t>BORGHOLM</t>
        </is>
      </c>
      <c r="G94" t="n">
        <v>2.7</v>
      </c>
      <c r="H94" t="n">
        <v>0</v>
      </c>
      <c r="I94" t="n">
        <v>0</v>
      </c>
      <c r="J94" t="n">
        <v>0</v>
      </c>
      <c r="K94" t="n">
        <v>0</v>
      </c>
      <c r="L94" t="n">
        <v>0</v>
      </c>
      <c r="M94" t="n">
        <v>0</v>
      </c>
      <c r="N94" t="n">
        <v>0</v>
      </c>
      <c r="O94" t="n">
        <v>0</v>
      </c>
      <c r="P94" t="n">
        <v>0</v>
      </c>
      <c r="Q94" t="n">
        <v>0</v>
      </c>
      <c r="R94" s="2" t="inlineStr"/>
    </row>
    <row r="95" ht="15" customHeight="1">
      <c r="A95" t="inlineStr">
        <is>
          <t>A 31720-2022</t>
        </is>
      </c>
      <c r="B95" s="1" t="n">
        <v>44776</v>
      </c>
      <c r="C95" s="1" t="n">
        <v>45933</v>
      </c>
      <c r="D95" t="inlineStr">
        <is>
          <t>KALMAR LÄN</t>
        </is>
      </c>
      <c r="E95" t="inlineStr">
        <is>
          <t>BORGHOLM</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45933</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41831-2025</t>
        </is>
      </c>
      <c r="B97" s="1" t="n">
        <v>45902.67887731481</v>
      </c>
      <c r="C97" s="1" t="n">
        <v>45933</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42232-2025</t>
        </is>
      </c>
      <c r="B98" s="1" t="n">
        <v>45904.55591435185</v>
      </c>
      <c r="C98" s="1" t="n">
        <v>45933</v>
      </c>
      <c r="D98" t="inlineStr">
        <is>
          <t>KALMAR LÄN</t>
        </is>
      </c>
      <c r="E98" t="inlineStr">
        <is>
          <t>BORGHOLM</t>
        </is>
      </c>
      <c r="F98" t="inlineStr">
        <is>
          <t>Sveaskog</t>
        </is>
      </c>
      <c r="G98" t="n">
        <v>1.7</v>
      </c>
      <c r="H98" t="n">
        <v>0</v>
      </c>
      <c r="I98" t="n">
        <v>0</v>
      </c>
      <c r="J98" t="n">
        <v>0</v>
      </c>
      <c r="K98" t="n">
        <v>0</v>
      </c>
      <c r="L98" t="n">
        <v>0</v>
      </c>
      <c r="M98" t="n">
        <v>0</v>
      </c>
      <c r="N98" t="n">
        <v>0</v>
      </c>
      <c r="O98" t="n">
        <v>0</v>
      </c>
      <c r="P98" t="n">
        <v>0</v>
      </c>
      <c r="Q98" t="n">
        <v>0</v>
      </c>
      <c r="R98" s="2" t="inlineStr"/>
    </row>
    <row r="99" ht="15" customHeight="1">
      <c r="A99" t="inlineStr">
        <is>
          <t>A 21908-2022</t>
        </is>
      </c>
      <c r="B99" s="1" t="n">
        <v>44711</v>
      </c>
      <c r="C99" s="1" t="n">
        <v>45933</v>
      </c>
      <c r="D99" t="inlineStr">
        <is>
          <t>KALMAR LÄN</t>
        </is>
      </c>
      <c r="E99" t="inlineStr">
        <is>
          <t>BORGHOLM</t>
        </is>
      </c>
      <c r="G99" t="n">
        <v>4.7</v>
      </c>
      <c r="H99" t="n">
        <v>0</v>
      </c>
      <c r="I99" t="n">
        <v>0</v>
      </c>
      <c r="J99" t="n">
        <v>0</v>
      </c>
      <c r="K99" t="n">
        <v>0</v>
      </c>
      <c r="L99" t="n">
        <v>0</v>
      </c>
      <c r="M99" t="n">
        <v>0</v>
      </c>
      <c r="N99" t="n">
        <v>0</v>
      </c>
      <c r="O99" t="n">
        <v>0</v>
      </c>
      <c r="P99" t="n">
        <v>0</v>
      </c>
      <c r="Q99" t="n">
        <v>0</v>
      </c>
      <c r="R99" s="2" t="inlineStr"/>
    </row>
    <row r="100" ht="15" customHeight="1">
      <c r="A100" t="inlineStr">
        <is>
          <t>A 41950-2025</t>
        </is>
      </c>
      <c r="B100" s="1" t="n">
        <v>45903.45767361111</v>
      </c>
      <c r="C100" s="1" t="n">
        <v>45933</v>
      </c>
      <c r="D100" t="inlineStr">
        <is>
          <t>KALMAR LÄN</t>
        </is>
      </c>
      <c r="E100" t="inlineStr">
        <is>
          <t>BORGHOLM</t>
        </is>
      </c>
      <c r="G100" t="n">
        <v>1.8</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45933</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4878-2021</t>
        </is>
      </c>
      <c r="B102" s="1" t="n">
        <v>44225</v>
      </c>
      <c r="C102" s="1" t="n">
        <v>45933</v>
      </c>
      <c r="D102" t="inlineStr">
        <is>
          <t>KALMAR LÄN</t>
        </is>
      </c>
      <c r="E102" t="inlineStr">
        <is>
          <t>BORGHOLM</t>
        </is>
      </c>
      <c r="G102" t="n">
        <v>3</v>
      </c>
      <c r="H102" t="n">
        <v>0</v>
      </c>
      <c r="I102" t="n">
        <v>0</v>
      </c>
      <c r="J102" t="n">
        <v>0</v>
      </c>
      <c r="K102" t="n">
        <v>0</v>
      </c>
      <c r="L102" t="n">
        <v>0</v>
      </c>
      <c r="M102" t="n">
        <v>0</v>
      </c>
      <c r="N102" t="n">
        <v>0</v>
      </c>
      <c r="O102" t="n">
        <v>0</v>
      </c>
      <c r="P102" t="n">
        <v>0</v>
      </c>
      <c r="Q102" t="n">
        <v>0</v>
      </c>
      <c r="R102" s="2" t="inlineStr"/>
    </row>
    <row r="103" ht="15" customHeight="1">
      <c r="A103" t="inlineStr">
        <is>
          <t>A 36269-2025</t>
        </is>
      </c>
      <c r="B103" s="1" t="n">
        <v>45867.61736111111</v>
      </c>
      <c r="C103" s="1" t="n">
        <v>45933</v>
      </c>
      <c r="D103" t="inlineStr">
        <is>
          <t>KALMAR LÄN</t>
        </is>
      </c>
      <c r="E103" t="inlineStr">
        <is>
          <t>BORGHOLM</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45933</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43542-2025</t>
        </is>
      </c>
      <c r="B105" s="1" t="n">
        <v>45911.61123842592</v>
      </c>
      <c r="C105" s="1" t="n">
        <v>45933</v>
      </c>
      <c r="D105" t="inlineStr">
        <is>
          <t>KALMAR LÄN</t>
        </is>
      </c>
      <c r="E105" t="inlineStr">
        <is>
          <t>BORGHOLM</t>
        </is>
      </c>
      <c r="G105" t="n">
        <v>2.4</v>
      </c>
      <c r="H105" t="n">
        <v>0</v>
      </c>
      <c r="I105" t="n">
        <v>0</v>
      </c>
      <c r="J105" t="n">
        <v>0</v>
      </c>
      <c r="K105" t="n">
        <v>0</v>
      </c>
      <c r="L105" t="n">
        <v>0</v>
      </c>
      <c r="M105" t="n">
        <v>0</v>
      </c>
      <c r="N105" t="n">
        <v>0</v>
      </c>
      <c r="O105" t="n">
        <v>0</v>
      </c>
      <c r="P105" t="n">
        <v>0</v>
      </c>
      <c r="Q105" t="n">
        <v>0</v>
      </c>
      <c r="R105" s="2" t="inlineStr"/>
    </row>
    <row r="106" ht="15" customHeight="1">
      <c r="A106" t="inlineStr">
        <is>
          <t>A 9034-2025</t>
        </is>
      </c>
      <c r="B106" s="1" t="n">
        <v>45713</v>
      </c>
      <c r="C106" s="1" t="n">
        <v>45933</v>
      </c>
      <c r="D106" t="inlineStr">
        <is>
          <t>KALMAR LÄN</t>
        </is>
      </c>
      <c r="E106" t="inlineStr">
        <is>
          <t>BORGHOLM</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45933</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13548-2025</t>
        </is>
      </c>
      <c r="B108" s="1" t="n">
        <v>45736.53827546296</v>
      </c>
      <c r="C108" s="1" t="n">
        <v>45933</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32921-2023</t>
        </is>
      </c>
      <c r="B109" s="1" t="n">
        <v>45125</v>
      </c>
      <c r="C109" s="1" t="n">
        <v>45933</v>
      </c>
      <c r="D109" t="inlineStr">
        <is>
          <t>KALMAR LÄN</t>
        </is>
      </c>
      <c r="E109" t="inlineStr">
        <is>
          <t>BORGHOLM</t>
        </is>
      </c>
      <c r="G109" t="n">
        <v>2.9</v>
      </c>
      <c r="H109" t="n">
        <v>0</v>
      </c>
      <c r="I109" t="n">
        <v>0</v>
      </c>
      <c r="J109" t="n">
        <v>0</v>
      </c>
      <c r="K109" t="n">
        <v>0</v>
      </c>
      <c r="L109" t="n">
        <v>0</v>
      </c>
      <c r="M109" t="n">
        <v>0</v>
      </c>
      <c r="N109" t="n">
        <v>0</v>
      </c>
      <c r="O109" t="n">
        <v>0</v>
      </c>
      <c r="P109" t="n">
        <v>0</v>
      </c>
      <c r="Q109" t="n">
        <v>0</v>
      </c>
      <c r="R109" s="2" t="inlineStr"/>
    </row>
    <row r="110" ht="15" customHeight="1">
      <c r="A110" t="inlineStr">
        <is>
          <t>A 46845-2025</t>
        </is>
      </c>
      <c r="B110" s="1" t="n">
        <v>45928.65019675926</v>
      </c>
      <c r="C110" s="1" t="n">
        <v>45933</v>
      </c>
      <c r="D110" t="inlineStr">
        <is>
          <t>KALMAR LÄN</t>
        </is>
      </c>
      <c r="E110" t="inlineStr">
        <is>
          <t>BORGHOLM</t>
        </is>
      </c>
      <c r="G110" t="n">
        <v>2.7</v>
      </c>
      <c r="H110" t="n">
        <v>0</v>
      </c>
      <c r="I110" t="n">
        <v>0</v>
      </c>
      <c r="J110" t="n">
        <v>0</v>
      </c>
      <c r="K110" t="n">
        <v>0</v>
      </c>
      <c r="L110" t="n">
        <v>0</v>
      </c>
      <c r="M110" t="n">
        <v>0</v>
      </c>
      <c r="N110" t="n">
        <v>0</v>
      </c>
      <c r="O110" t="n">
        <v>0</v>
      </c>
      <c r="P110" t="n">
        <v>0</v>
      </c>
      <c r="Q110" t="n">
        <v>0</v>
      </c>
      <c r="R110" s="2" t="inlineStr"/>
    </row>
    <row r="111" ht="15" customHeight="1">
      <c r="A111" t="inlineStr">
        <is>
          <t>A 31840-2021</t>
        </is>
      </c>
      <c r="B111" s="1" t="n">
        <v>44370</v>
      </c>
      <c r="C111" s="1" t="n">
        <v>45933</v>
      </c>
      <c r="D111" t="inlineStr">
        <is>
          <t>KALMAR LÄN</t>
        </is>
      </c>
      <c r="E111" t="inlineStr">
        <is>
          <t>BORGHOLM</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44224-2025</t>
        </is>
      </c>
      <c r="B112" s="1" t="n">
        <v>45915</v>
      </c>
      <c r="C112" s="1" t="n">
        <v>45933</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45734-2025</t>
        </is>
      </c>
      <c r="B113" s="1" t="n">
        <v>45923.46512731481</v>
      </c>
      <c r="C113" s="1" t="n">
        <v>45933</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45869-2025</t>
        </is>
      </c>
      <c r="B114" s="1" t="n">
        <v>45923.65313657407</v>
      </c>
      <c r="C114" s="1" t="n">
        <v>45933</v>
      </c>
      <c r="D114" t="inlineStr">
        <is>
          <t>KALMAR LÄN</t>
        </is>
      </c>
      <c r="E114" t="inlineStr">
        <is>
          <t>BORGHOLM</t>
        </is>
      </c>
      <c r="G114" t="n">
        <v>4.5</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44840.65100694444</v>
      </c>
      <c r="C115" s="1" t="n">
        <v>45933</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45933</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64303-2023</t>
        </is>
      </c>
      <c r="B117" s="1" t="n">
        <v>45280</v>
      </c>
      <c r="C117" s="1" t="n">
        <v>45933</v>
      </c>
      <c r="D117" t="inlineStr">
        <is>
          <t>KALMAR LÄN</t>
        </is>
      </c>
      <c r="E117" t="inlineStr">
        <is>
          <t>BORGHOLM</t>
        </is>
      </c>
      <c r="G117" t="n">
        <v>1.2</v>
      </c>
      <c r="H117" t="n">
        <v>0</v>
      </c>
      <c r="I117" t="n">
        <v>0</v>
      </c>
      <c r="J117" t="n">
        <v>0</v>
      </c>
      <c r="K117" t="n">
        <v>0</v>
      </c>
      <c r="L117" t="n">
        <v>0</v>
      </c>
      <c r="M117" t="n">
        <v>0</v>
      </c>
      <c r="N117" t="n">
        <v>0</v>
      </c>
      <c r="O117" t="n">
        <v>0</v>
      </c>
      <c r="P117" t="n">
        <v>0</v>
      </c>
      <c r="Q117" t="n">
        <v>0</v>
      </c>
      <c r="R117" s="2" t="inlineStr"/>
    </row>
    <row r="118" ht="15" customHeight="1">
      <c r="A118" t="inlineStr">
        <is>
          <t>A 19867-2024</t>
        </is>
      </c>
      <c r="B118" s="1" t="n">
        <v>45433</v>
      </c>
      <c r="C118" s="1" t="n">
        <v>45933</v>
      </c>
      <c r="D118" t="inlineStr">
        <is>
          <t>KALMAR LÄN</t>
        </is>
      </c>
      <c r="E118" t="inlineStr">
        <is>
          <t>BORGHOLM</t>
        </is>
      </c>
      <c r="G118" t="n">
        <v>3.9</v>
      </c>
      <c r="H118" t="n">
        <v>0</v>
      </c>
      <c r="I118" t="n">
        <v>0</v>
      </c>
      <c r="J118" t="n">
        <v>0</v>
      </c>
      <c r="K118" t="n">
        <v>0</v>
      </c>
      <c r="L118" t="n">
        <v>0</v>
      </c>
      <c r="M118" t="n">
        <v>0</v>
      </c>
      <c r="N118" t="n">
        <v>0</v>
      </c>
      <c r="O118" t="n">
        <v>0</v>
      </c>
      <c r="P118" t="n">
        <v>0</v>
      </c>
      <c r="Q118" t="n">
        <v>0</v>
      </c>
      <c r="R118" s="2" t="inlineStr"/>
    </row>
    <row r="119" ht="15" customHeight="1">
      <c r="A119" t="inlineStr">
        <is>
          <t>A 44547-2021</t>
        </is>
      </c>
      <c r="B119" s="1" t="n">
        <v>44435</v>
      </c>
      <c r="C119" s="1" t="n">
        <v>45933</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13383-2023</t>
        </is>
      </c>
      <c r="B120" s="1" t="n">
        <v>45005</v>
      </c>
      <c r="C120" s="1" t="n">
        <v>45933</v>
      </c>
      <c r="D120" t="inlineStr">
        <is>
          <t>KALMAR LÄN</t>
        </is>
      </c>
      <c r="E120" t="inlineStr">
        <is>
          <t>BORGHOLM</t>
        </is>
      </c>
      <c r="G120" t="n">
        <v>0.8</v>
      </c>
      <c r="H120" t="n">
        <v>0</v>
      </c>
      <c r="I120" t="n">
        <v>0</v>
      </c>
      <c r="J120" t="n">
        <v>0</v>
      </c>
      <c r="K120" t="n">
        <v>0</v>
      </c>
      <c r="L120" t="n">
        <v>0</v>
      </c>
      <c r="M120" t="n">
        <v>0</v>
      </c>
      <c r="N120" t="n">
        <v>0</v>
      </c>
      <c r="O120" t="n">
        <v>0</v>
      </c>
      <c r="P120" t="n">
        <v>0</v>
      </c>
      <c r="Q120" t="n">
        <v>0</v>
      </c>
      <c r="R120" s="2" t="inlineStr"/>
    </row>
    <row r="121" ht="15" customHeight="1">
      <c r="A121" t="inlineStr">
        <is>
          <t>A 63075-2023</t>
        </is>
      </c>
      <c r="B121" s="1" t="n">
        <v>45273</v>
      </c>
      <c r="C121" s="1" t="n">
        <v>45933</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row r="122" ht="15" customHeight="1">
      <c r="A122" t="inlineStr">
        <is>
          <t>A 50129-2021</t>
        </is>
      </c>
      <c r="B122" s="1" t="n">
        <v>44456</v>
      </c>
      <c r="C122" s="1" t="n">
        <v>45933</v>
      </c>
      <c r="D122" t="inlineStr">
        <is>
          <t>KALMAR LÄN</t>
        </is>
      </c>
      <c r="E122" t="inlineStr">
        <is>
          <t>BORGHOLM</t>
        </is>
      </c>
      <c r="G122" t="n">
        <v>1.6</v>
      </c>
      <c r="H122" t="n">
        <v>0</v>
      </c>
      <c r="I122" t="n">
        <v>0</v>
      </c>
      <c r="J122" t="n">
        <v>0</v>
      </c>
      <c r="K122" t="n">
        <v>0</v>
      </c>
      <c r="L122" t="n">
        <v>0</v>
      </c>
      <c r="M122" t="n">
        <v>0</v>
      </c>
      <c r="N122" t="n">
        <v>0</v>
      </c>
      <c r="O122" t="n">
        <v>0</v>
      </c>
      <c r="P122" t="n">
        <v>0</v>
      </c>
      <c r="Q122" t="n">
        <v>0</v>
      </c>
      <c r="R122" s="2" t="inlineStr"/>
    </row>
    <row r="123" ht="15" customHeight="1">
      <c r="A123" t="inlineStr">
        <is>
          <t>A 12937-2022</t>
        </is>
      </c>
      <c r="B123" s="1" t="n">
        <v>44642</v>
      </c>
      <c r="C123" s="1" t="n">
        <v>45933</v>
      </c>
      <c r="D123" t="inlineStr">
        <is>
          <t>KALMAR LÄN</t>
        </is>
      </c>
      <c r="E123" t="inlineStr">
        <is>
          <t>BORGHOLM</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7960-2023</t>
        </is>
      </c>
      <c r="B124" s="1" t="n">
        <v>44973</v>
      </c>
      <c r="C124" s="1" t="n">
        <v>45933</v>
      </c>
      <c r="D124" t="inlineStr">
        <is>
          <t>KALMAR LÄN</t>
        </is>
      </c>
      <c r="E124" t="inlineStr">
        <is>
          <t>BORGHOLM</t>
        </is>
      </c>
      <c r="G124" t="n">
        <v>2.1</v>
      </c>
      <c r="H124" t="n">
        <v>0</v>
      </c>
      <c r="I124" t="n">
        <v>0</v>
      </c>
      <c r="J124" t="n">
        <v>0</v>
      </c>
      <c r="K124" t="n">
        <v>0</v>
      </c>
      <c r="L124" t="n">
        <v>0</v>
      </c>
      <c r="M124" t="n">
        <v>0</v>
      </c>
      <c r="N124" t="n">
        <v>0</v>
      </c>
      <c r="O124" t="n">
        <v>0</v>
      </c>
      <c r="P124" t="n">
        <v>0</v>
      </c>
      <c r="Q124" t="n">
        <v>0</v>
      </c>
      <c r="R124" s="2" t="inlineStr"/>
    </row>
    <row r="125" ht="15" customHeight="1">
      <c r="A125" t="inlineStr">
        <is>
          <t>A 61438-2023</t>
        </is>
      </c>
      <c r="B125" s="1" t="n">
        <v>45264</v>
      </c>
      <c r="C125" s="1" t="n">
        <v>45933</v>
      </c>
      <c r="D125" t="inlineStr">
        <is>
          <t>KALMAR LÄN</t>
        </is>
      </c>
      <c r="E125" t="inlineStr">
        <is>
          <t>BORGHOLM</t>
        </is>
      </c>
      <c r="G125" t="n">
        <v>1.1</v>
      </c>
      <c r="H125" t="n">
        <v>0</v>
      </c>
      <c r="I125" t="n">
        <v>0</v>
      </c>
      <c r="J125" t="n">
        <v>0</v>
      </c>
      <c r="K125" t="n">
        <v>0</v>
      </c>
      <c r="L125" t="n">
        <v>0</v>
      </c>
      <c r="M125" t="n">
        <v>0</v>
      </c>
      <c r="N125" t="n">
        <v>0</v>
      </c>
      <c r="O125" t="n">
        <v>0</v>
      </c>
      <c r="P125" t="n">
        <v>0</v>
      </c>
      <c r="Q125" t="n">
        <v>0</v>
      </c>
      <c r="R125" s="2" t="inlineStr"/>
    </row>
    <row r="126" ht="15" customHeight="1">
      <c r="A126" t="inlineStr">
        <is>
          <t>A 13041-2024</t>
        </is>
      </c>
      <c r="B126" s="1" t="n">
        <v>45385.60065972222</v>
      </c>
      <c r="C126" s="1" t="n">
        <v>45933</v>
      </c>
      <c r="D126" t="inlineStr">
        <is>
          <t>KALMAR LÄN</t>
        </is>
      </c>
      <c r="E126" t="inlineStr">
        <is>
          <t>BORGHOLM</t>
        </is>
      </c>
      <c r="G126" t="n">
        <v>0.5</v>
      </c>
      <c r="H126" t="n">
        <v>0</v>
      </c>
      <c r="I126" t="n">
        <v>0</v>
      </c>
      <c r="J126" t="n">
        <v>0</v>
      </c>
      <c r="K126" t="n">
        <v>0</v>
      </c>
      <c r="L126" t="n">
        <v>0</v>
      </c>
      <c r="M126" t="n">
        <v>0</v>
      </c>
      <c r="N126" t="n">
        <v>0</v>
      </c>
      <c r="O126" t="n">
        <v>0</v>
      </c>
      <c r="P126" t="n">
        <v>0</v>
      </c>
      <c r="Q126" t="n">
        <v>0</v>
      </c>
      <c r="R126" s="2" t="inlineStr"/>
    </row>
    <row r="127" ht="15" customHeight="1">
      <c r="A127" t="inlineStr">
        <is>
          <t>A 1614-2025</t>
        </is>
      </c>
      <c r="B127" s="1" t="n">
        <v>45670.60094907408</v>
      </c>
      <c r="C127" s="1" t="n">
        <v>45933</v>
      </c>
      <c r="D127" t="inlineStr">
        <is>
          <t>KALMAR LÄN</t>
        </is>
      </c>
      <c r="E127" t="inlineStr">
        <is>
          <t>BORGHOLM</t>
        </is>
      </c>
      <c r="G127" t="n">
        <v>1.4</v>
      </c>
      <c r="H127" t="n">
        <v>0</v>
      </c>
      <c r="I127" t="n">
        <v>0</v>
      </c>
      <c r="J127" t="n">
        <v>0</v>
      </c>
      <c r="K127" t="n">
        <v>0</v>
      </c>
      <c r="L127" t="n">
        <v>0</v>
      </c>
      <c r="M127" t="n">
        <v>0</v>
      </c>
      <c r="N127" t="n">
        <v>0</v>
      </c>
      <c r="O127" t="n">
        <v>0</v>
      </c>
      <c r="P127" t="n">
        <v>0</v>
      </c>
      <c r="Q127" t="n">
        <v>0</v>
      </c>
      <c r="R127" s="2" t="inlineStr"/>
    </row>
    <row r="128" ht="15" customHeight="1">
      <c r="A128" t="inlineStr">
        <is>
          <t>A 63276-2023</t>
        </is>
      </c>
      <c r="B128" s="1" t="n">
        <v>45273.82195601852</v>
      </c>
      <c r="C128" s="1" t="n">
        <v>45933</v>
      </c>
      <c r="D128" t="inlineStr">
        <is>
          <t>KALMAR LÄN</t>
        </is>
      </c>
      <c r="E128" t="inlineStr">
        <is>
          <t>BORGHOLM</t>
        </is>
      </c>
      <c r="G128" t="n">
        <v>5</v>
      </c>
      <c r="H128" t="n">
        <v>0</v>
      </c>
      <c r="I128" t="n">
        <v>0</v>
      </c>
      <c r="J128" t="n">
        <v>0</v>
      </c>
      <c r="K128" t="n">
        <v>0</v>
      </c>
      <c r="L128" t="n">
        <v>0</v>
      </c>
      <c r="M128" t="n">
        <v>0</v>
      </c>
      <c r="N128" t="n">
        <v>0</v>
      </c>
      <c r="O128" t="n">
        <v>0</v>
      </c>
      <c r="P128" t="n">
        <v>0</v>
      </c>
      <c r="Q128" t="n">
        <v>0</v>
      </c>
      <c r="R128" s="2" t="inlineStr"/>
    </row>
    <row r="129" ht="15" customHeight="1">
      <c r="A129" t="inlineStr">
        <is>
          <t>A 9028-2025</t>
        </is>
      </c>
      <c r="B129" s="1" t="n">
        <v>45713</v>
      </c>
      <c r="C129" s="1" t="n">
        <v>45933</v>
      </c>
      <c r="D129" t="inlineStr">
        <is>
          <t>KALMAR LÄN</t>
        </is>
      </c>
      <c r="E129" t="inlineStr">
        <is>
          <t>BORGHOLM</t>
        </is>
      </c>
      <c r="F129" t="inlineStr">
        <is>
          <t>Sveaskog</t>
        </is>
      </c>
      <c r="G129" t="n">
        <v>3</v>
      </c>
      <c r="H129" t="n">
        <v>0</v>
      </c>
      <c r="I129" t="n">
        <v>0</v>
      </c>
      <c r="J129" t="n">
        <v>0</v>
      </c>
      <c r="K129" t="n">
        <v>0</v>
      </c>
      <c r="L129" t="n">
        <v>0</v>
      </c>
      <c r="M129" t="n">
        <v>0</v>
      </c>
      <c r="N129" t="n">
        <v>0</v>
      </c>
      <c r="O129" t="n">
        <v>0</v>
      </c>
      <c r="P129" t="n">
        <v>0</v>
      </c>
      <c r="Q129" t="n">
        <v>0</v>
      </c>
      <c r="R129" s="2" t="inlineStr"/>
    </row>
    <row r="130" ht="15" customHeight="1">
      <c r="A130" t="inlineStr">
        <is>
          <t>A 9050-2025</t>
        </is>
      </c>
      <c r="B130" s="1" t="n">
        <v>45713.63512731482</v>
      </c>
      <c r="C130" s="1" t="n">
        <v>45933</v>
      </c>
      <c r="D130" t="inlineStr">
        <is>
          <t>KALMAR LÄN</t>
        </is>
      </c>
      <c r="E130" t="inlineStr">
        <is>
          <t>BORGHOLM</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13043-2024</t>
        </is>
      </c>
      <c r="B131" s="1" t="n">
        <v>45385.60111111111</v>
      </c>
      <c r="C131" s="1" t="n">
        <v>45933</v>
      </c>
      <c r="D131" t="inlineStr">
        <is>
          <t>KALMAR LÄN</t>
        </is>
      </c>
      <c r="E131" t="inlineStr">
        <is>
          <t>BORGHOLM</t>
        </is>
      </c>
      <c r="G131" t="n">
        <v>0.4</v>
      </c>
      <c r="H131" t="n">
        <v>0</v>
      </c>
      <c r="I131" t="n">
        <v>0</v>
      </c>
      <c r="J131" t="n">
        <v>0</v>
      </c>
      <c r="K131" t="n">
        <v>0</v>
      </c>
      <c r="L131" t="n">
        <v>0</v>
      </c>
      <c r="M131" t="n">
        <v>0</v>
      </c>
      <c r="N131" t="n">
        <v>0</v>
      </c>
      <c r="O131" t="n">
        <v>0</v>
      </c>
      <c r="P131" t="n">
        <v>0</v>
      </c>
      <c r="Q131" t="n">
        <v>0</v>
      </c>
      <c r="R131" s="2" t="inlineStr"/>
    </row>
    <row r="132" ht="15" customHeight="1">
      <c r="A132" t="inlineStr">
        <is>
          <t>A 17978-2021</t>
        </is>
      </c>
      <c r="B132" s="1" t="n">
        <v>44301</v>
      </c>
      <c r="C132" s="1" t="n">
        <v>45933</v>
      </c>
      <c r="D132" t="inlineStr">
        <is>
          <t>KALMAR LÄN</t>
        </is>
      </c>
      <c r="E132" t="inlineStr">
        <is>
          <t>BORGHOLM</t>
        </is>
      </c>
      <c r="G132" t="n">
        <v>6</v>
      </c>
      <c r="H132" t="n">
        <v>0</v>
      </c>
      <c r="I132" t="n">
        <v>0</v>
      </c>
      <c r="J132" t="n">
        <v>0</v>
      </c>
      <c r="K132" t="n">
        <v>0</v>
      </c>
      <c r="L132" t="n">
        <v>0</v>
      </c>
      <c r="M132" t="n">
        <v>0</v>
      </c>
      <c r="N132" t="n">
        <v>0</v>
      </c>
      <c r="O132" t="n">
        <v>0</v>
      </c>
      <c r="P132" t="n">
        <v>0</v>
      </c>
      <c r="Q132" t="n">
        <v>0</v>
      </c>
      <c r="R132" s="2" t="inlineStr"/>
    </row>
    <row r="133" ht="15" customHeight="1">
      <c r="A133" t="inlineStr">
        <is>
          <t>A 22785-2025</t>
        </is>
      </c>
      <c r="B133" s="1" t="n">
        <v>45789.64186342592</v>
      </c>
      <c r="C133" s="1" t="n">
        <v>45933</v>
      </c>
      <c r="D133" t="inlineStr">
        <is>
          <t>KALMAR LÄN</t>
        </is>
      </c>
      <c r="E133" t="inlineStr">
        <is>
          <t>BORGHOLM</t>
        </is>
      </c>
      <c r="G133" t="n">
        <v>0.6</v>
      </c>
      <c r="H133" t="n">
        <v>0</v>
      </c>
      <c r="I133" t="n">
        <v>0</v>
      </c>
      <c r="J133" t="n">
        <v>0</v>
      </c>
      <c r="K133" t="n">
        <v>0</v>
      </c>
      <c r="L133" t="n">
        <v>0</v>
      </c>
      <c r="M133" t="n">
        <v>0</v>
      </c>
      <c r="N133" t="n">
        <v>0</v>
      </c>
      <c r="O133" t="n">
        <v>0</v>
      </c>
      <c r="P133" t="n">
        <v>0</v>
      </c>
      <c r="Q133" t="n">
        <v>0</v>
      </c>
      <c r="R133" s="2" t="inlineStr"/>
    </row>
    <row r="134" ht="15" customHeight="1">
      <c r="A134" t="inlineStr">
        <is>
          <t>A 12534-2022</t>
        </is>
      </c>
      <c r="B134" s="1" t="n">
        <v>44638</v>
      </c>
      <c r="C134" s="1" t="n">
        <v>45933</v>
      </c>
      <c r="D134" t="inlineStr">
        <is>
          <t>KALMAR LÄN</t>
        </is>
      </c>
      <c r="E134" t="inlineStr">
        <is>
          <t>BORGHOLM</t>
        </is>
      </c>
      <c r="G134" t="n">
        <v>8.6</v>
      </c>
      <c r="H134" t="n">
        <v>0</v>
      </c>
      <c r="I134" t="n">
        <v>0</v>
      </c>
      <c r="J134" t="n">
        <v>0</v>
      </c>
      <c r="K134" t="n">
        <v>0</v>
      </c>
      <c r="L134" t="n">
        <v>0</v>
      </c>
      <c r="M134" t="n">
        <v>0</v>
      </c>
      <c r="N134" t="n">
        <v>0</v>
      </c>
      <c r="O134" t="n">
        <v>0</v>
      </c>
      <c r="P134" t="n">
        <v>0</v>
      </c>
      <c r="Q134" t="n">
        <v>0</v>
      </c>
      <c r="R134" s="2" t="inlineStr"/>
    </row>
    <row r="135" ht="15" customHeight="1">
      <c r="A135" t="inlineStr">
        <is>
          <t>A 40339-2023</t>
        </is>
      </c>
      <c r="B135" s="1" t="n">
        <v>45169.62733796296</v>
      </c>
      <c r="C135" s="1" t="n">
        <v>45933</v>
      </c>
      <c r="D135" t="inlineStr">
        <is>
          <t>KALMAR LÄN</t>
        </is>
      </c>
      <c r="E135" t="inlineStr">
        <is>
          <t>BORGHOLM</t>
        </is>
      </c>
      <c r="G135" t="n">
        <v>3.8</v>
      </c>
      <c r="H135" t="n">
        <v>0</v>
      </c>
      <c r="I135" t="n">
        <v>0</v>
      </c>
      <c r="J135" t="n">
        <v>0</v>
      </c>
      <c r="K135" t="n">
        <v>0</v>
      </c>
      <c r="L135" t="n">
        <v>0</v>
      </c>
      <c r="M135" t="n">
        <v>0</v>
      </c>
      <c r="N135" t="n">
        <v>0</v>
      </c>
      <c r="O135" t="n">
        <v>0</v>
      </c>
      <c r="P135" t="n">
        <v>0</v>
      </c>
      <c r="Q135" t="n">
        <v>0</v>
      </c>
      <c r="R135" s="2" t="inlineStr"/>
    </row>
    <row r="136">
      <c r="A136" t="inlineStr">
        <is>
          <t>A 24166-2022</t>
        </is>
      </c>
      <c r="B136" s="1" t="n">
        <v>44725</v>
      </c>
      <c r="C136" s="1" t="n">
        <v>45933</v>
      </c>
      <c r="D136" t="inlineStr">
        <is>
          <t>KALMAR LÄN</t>
        </is>
      </c>
      <c r="E136" t="inlineStr">
        <is>
          <t>BORGHOLM</t>
        </is>
      </c>
      <c r="G136" t="n">
        <v>10.7</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2025-10-03T12:34:42Z</dcterms:created>
  <dcterms:modified xmlns:dcterms="http://purl.org/dc/terms/" xmlns:xsi="http://www.w3.org/2001/XMLSchema-instance" xsi:type="dcterms:W3CDTF">2025-10-03T12:34:42Z</dcterms:modified>
</cp:coreProperties>
</file>