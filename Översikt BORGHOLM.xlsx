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46248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46248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46248</v>
      </c>
      <c r="F4" t="inlineStr">
        <is>
          <t>KALMAR LÄN</t>
        </is>
      </c>
      <c r="G4" t="inlineStr">
        <is>
          <t>BORGHOLM</t>
        </is>
      </c>
      <c r="I4" t="n">
        <v>13.5</v>
      </c>
      <c r="J4" t="n">
        <v>13</v>
      </c>
      <c r="K4" t="n">
        <v>6</v>
      </c>
      <c r="L4" t="n">
        <v>9</v>
      </c>
      <c r="M4" t="n">
        <v>1</v>
      </c>
      <c r="N4" t="n">
        <v>1</v>
      </c>
      <c r="O4" t="n">
        <v>0</v>
      </c>
      <c r="P4" t="n">
        <v>0</v>
      </c>
      <c r="Q4" t="n">
        <v>11</v>
      </c>
      <c r="R4" t="n">
        <v>2</v>
      </c>
      <c r="S4" t="n">
        <v>30</v>
      </c>
      <c r="T4" t="n">
        <v>45</v>
      </c>
      <c r="U4" t="n">
        <v>38</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46248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46248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46248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46248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46248</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46248</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46248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46248</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46248</v>
      </c>
      <c r="F13" t="inlineStr">
        <is>
          <t>KALMAR LÄN</t>
        </is>
      </c>
      <c r="G13" t="inlineStr">
        <is>
          <t>BORGHOLM</t>
        </is>
      </c>
      <c r="H13" t="inlineStr">
        <is>
          <t>Sveaskog</t>
        </is>
      </c>
      <c r="I13" t="n">
        <v>2.8</v>
      </c>
      <c r="J13" t="n">
        <v>2</v>
      </c>
      <c r="K13" t="n">
        <v>3</v>
      </c>
      <c r="L13" t="n">
        <v>3</v>
      </c>
      <c r="M13" t="n">
        <v>5</v>
      </c>
      <c r="N13" t="n">
        <v>0</v>
      </c>
      <c r="O13" t="n">
        <v>0</v>
      </c>
      <c r="P13" t="n">
        <v>0</v>
      </c>
      <c r="Q13" t="n">
        <v>8</v>
      </c>
      <c r="R13" t="n">
        <v>5</v>
      </c>
      <c r="S13" t="n">
        <v>12</v>
      </c>
      <c r="T13" t="n">
        <v>16</v>
      </c>
      <c r="U13" t="n">
        <v>10</v>
      </c>
      <c r="V13" s="2" t="inlineStr">
        <is>
          <t>Blåfotad fagerspindling
Brödmusseron
Gulsträngad fagerspindling
Skillerticka
Svartgrön spindling
Bittermusseron
Juvelspindling
Persiljespindling
Fransig jordstjärna
Murgröna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46248</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46248</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46248</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46248</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46248</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46248</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46248</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46248</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46248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46248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46248</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31515-2026</t>
        </is>
      </c>
      <c r="B25" t="inlineStr">
        <is>
          <t>avverkningsanmälan</t>
        </is>
      </c>
      <c r="C25" t="inlineStr">
        <is>
          <t>Avverkning för att bevara och utveckla /försöksver</t>
        </is>
      </c>
      <c r="D25" s="1" t="n">
        <v>46223</v>
      </c>
      <c r="E25" s="1" t="n">
        <v>46248</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46248</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46248</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46248</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46248</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46248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46248</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46248</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46248</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46248</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46248</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46248</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46248</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46248</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46248</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50720-2021</t>
        </is>
      </c>
      <c r="B40" t="inlineStr">
        <is>
          <t>avverkningsanmälan</t>
        </is>
      </c>
      <c r="C40" t="inlineStr">
        <is>
          <t>Avverkning för annat ändamål</t>
        </is>
      </c>
      <c r="D40" s="1" t="n">
        <v>44459</v>
      </c>
      <c r="E40" s="1" t="n">
        <v>46248</v>
      </c>
      <c r="F40" t="inlineStr">
        <is>
          <t>KALMAR LÄN</t>
        </is>
      </c>
      <c r="G40" t="inlineStr">
        <is>
          <t>BORGHOLM</t>
        </is>
      </c>
      <c r="I40" t="n">
        <v>1.7</v>
      </c>
      <c r="J40" t="n">
        <v>0</v>
      </c>
      <c r="K40" t="n">
        <v>1</v>
      </c>
      <c r="L40" t="n">
        <v>3</v>
      </c>
      <c r="M40" t="n">
        <v>1</v>
      </c>
      <c r="N40" t="n">
        <v>0</v>
      </c>
      <c r="O40" t="n">
        <v>0</v>
      </c>
      <c r="P40" t="n">
        <v>0</v>
      </c>
      <c r="Q40" t="n">
        <v>4</v>
      </c>
      <c r="R40" t="n">
        <v>1</v>
      </c>
      <c r="S40" t="n">
        <v>5</v>
      </c>
      <c r="T40" t="n">
        <v>5</v>
      </c>
      <c r="U40" t="n">
        <v>4</v>
      </c>
      <c r="V40" s="2" t="inlineStr">
        <is>
          <t>Igelkott
Flentimotej
Grådådra
Sminkrot
Jordstjärnesläktet</t>
        </is>
      </c>
      <c r="W40">
        <f>HYPERLINK("https://klasma.github.io/Logging_0885/artfynd/A 50720-2021 artfynd.xlsx", "A 50720-2021")</f>
        <v/>
      </c>
      <c r="X40">
        <f>HYPERLINK("https://klasma.github.io/Logging_0885/kartor/A 50720-2021 karta.png", "A 50720-2021")</f>
        <v/>
      </c>
      <c r="Y40">
        <f>HYPERLINK("https://klasma.github.io/Logging_0885/kartor_geotiff/A 50720-2021 georefererad karta.tif", "A 50720-2021")</f>
        <v/>
      </c>
      <c r="AA40">
        <f>HYPERLINK("https://klasma.github.io/Logging_0885/klagomål/A 50720-2021 FSC-klagomål.docx", "A 50720-2021")</f>
        <v/>
      </c>
      <c r="AB40">
        <f>HYPERLINK("https://klasma.github.io/Logging_0885/klagomålsmail/A 50720-2021 FSC-klagomål mail.docx", "A 50720-2021")</f>
        <v/>
      </c>
      <c r="AC40">
        <f>HYPERLINK("https://klasma.github.io/Logging_0885/tillsyn/A 50720-2021 tillsynsbegäran.docx", "A 50720-2021")</f>
        <v/>
      </c>
      <c r="AD40">
        <f>HYPERLINK("https://klasma.github.io/Logging_0885/tillsynsmail/A 50720-2021 tillsynsbegäran mail.docx", "A 50720-2021")</f>
        <v/>
      </c>
    </row>
    <row r="41" ht="15" customHeight="1">
      <c r="A41" t="inlineStr">
        <is>
          <t>A 56983-2021</t>
        </is>
      </c>
      <c r="B41" t="inlineStr">
        <is>
          <t>avverkningsanmälan</t>
        </is>
      </c>
      <c r="C41" t="inlineStr">
        <is>
          <t>Föryngringsavverkning</t>
        </is>
      </c>
      <c r="D41" s="1" t="n">
        <v>44482</v>
      </c>
      <c r="E41" s="1" t="n">
        <v>46248</v>
      </c>
      <c r="F41" t="inlineStr">
        <is>
          <t>KALMAR LÄN</t>
        </is>
      </c>
      <c r="G41" t="inlineStr">
        <is>
          <t>BORGHOLM</t>
        </is>
      </c>
      <c r="I41" t="n">
        <v>1.2</v>
      </c>
      <c r="J41" t="n">
        <v>2</v>
      </c>
      <c r="K41" t="n">
        <v>0</v>
      </c>
      <c r="L41" t="n">
        <v>3</v>
      </c>
      <c r="M41" t="n">
        <v>0</v>
      </c>
      <c r="N41" t="n">
        <v>0</v>
      </c>
      <c r="O41" t="n">
        <v>0</v>
      </c>
      <c r="P41" t="n">
        <v>0</v>
      </c>
      <c r="Q41" t="n">
        <v>3</v>
      </c>
      <c r="R41" t="n">
        <v>0</v>
      </c>
      <c r="S41" t="n">
        <v>4</v>
      </c>
      <c r="T41" t="n">
        <v>4</v>
      </c>
      <c r="U41" t="n">
        <v>2</v>
      </c>
      <c r="V41" s="2" t="inlineStr">
        <is>
          <t>Entita
Slät fjällav
Sårläka
Blåsippa</t>
        </is>
      </c>
      <c r="W41">
        <f>HYPERLINK("https://klasma.github.io/Logging_0885/artfynd/A 56983-2021 artfynd.xlsx", "A 56983-2021")</f>
        <v/>
      </c>
      <c r="X41">
        <f>HYPERLINK("https://klasma.github.io/Logging_0885/kartor/A 56983-2021 karta.png", "A 56983-2021")</f>
        <v/>
      </c>
      <c r="Y41">
        <f>HYPERLINK("https://klasma.github.io/Logging_0885/kartor_geotiff/A 56983-2021 georefererad karta.tif", "A 56983-2021")</f>
        <v/>
      </c>
      <c r="AA41">
        <f>HYPERLINK("https://klasma.github.io/Logging_0885/klagomål/A 56983-2021 FSC-klagomål.docx", "A 56983-2021")</f>
        <v/>
      </c>
      <c r="AB41">
        <f>HYPERLINK("https://klasma.github.io/Logging_0885/klagomålsmail/A 56983-2021 FSC-klagomål mail.docx", "A 56983-2021")</f>
        <v/>
      </c>
      <c r="AC41">
        <f>HYPERLINK("https://klasma.github.io/Logging_0885/tillsyn/A 56983-2021 tillsynsbegäran.docx", "A 56983-2021")</f>
        <v/>
      </c>
      <c r="AD41">
        <f>HYPERLINK("https://klasma.github.io/Logging_0885/tillsynsmail/A 56983-2021 tillsynsbegäran mail.docx", "A 56983-2021")</f>
        <v/>
      </c>
      <c r="AE41">
        <f>HYPERLINK("https://klasma.github.io/Logging_0885/fåglar/A 56983-2021 prioriterade fågelarter.docx", "A 56983-2021")</f>
        <v/>
      </c>
    </row>
    <row r="42" ht="15" customHeight="1">
      <c r="A42" t="inlineStr">
        <is>
          <t>A 13556-2025</t>
        </is>
      </c>
      <c r="B42" t="inlineStr">
        <is>
          <t>avverkningsanmälan</t>
        </is>
      </c>
      <c r="C42" t="inlineStr">
        <is>
          <t>Föryngringsavverkning</t>
        </is>
      </c>
      <c r="D42" s="1" t="n">
        <v>45736</v>
      </c>
      <c r="E42" s="1" t="n">
        <v>46248</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46248</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4164-2023</t>
        </is>
      </c>
      <c r="B44" t="inlineStr">
        <is>
          <t>avverkningsanmälan</t>
        </is>
      </c>
      <c r="C44" t="inlineStr">
        <is>
          <t>Föryngringsavverkning</t>
        </is>
      </c>
      <c r="D44" s="1" t="n">
        <v>44953</v>
      </c>
      <c r="E44" s="1" t="n">
        <v>46248</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21797-2024</t>
        </is>
      </c>
      <c r="B45" t="inlineStr">
        <is>
          <t>avverkningsanmälan</t>
        </is>
      </c>
      <c r="C45" t="inlineStr">
        <is>
          <t>Föryngringsavverkning</t>
        </is>
      </c>
      <c r="D45" s="1" t="n">
        <v>45442</v>
      </c>
      <c r="E45" s="1" t="n">
        <v>46248</v>
      </c>
      <c r="F45" t="inlineStr">
        <is>
          <t>KALMAR LÄN</t>
        </is>
      </c>
      <c r="G45" t="inlineStr">
        <is>
          <t>BORGHOLM</t>
        </is>
      </c>
      <c r="I45" t="n">
        <v>1.4</v>
      </c>
      <c r="J45" t="n">
        <v>2</v>
      </c>
      <c r="K45" t="n">
        <v>2</v>
      </c>
      <c r="L45" t="n">
        <v>1</v>
      </c>
      <c r="M45" t="n">
        <v>0</v>
      </c>
      <c r="N45" t="n">
        <v>0</v>
      </c>
      <c r="O45" t="n">
        <v>0</v>
      </c>
      <c r="P45" t="n">
        <v>0</v>
      </c>
      <c r="Q45" t="n">
        <v>1</v>
      </c>
      <c r="R45" t="n">
        <v>0</v>
      </c>
      <c r="S45" t="n">
        <v>4</v>
      </c>
      <c r="T45" t="n">
        <v>9</v>
      </c>
      <c r="U45" t="n">
        <v>4</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46248</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2742-2022</t>
        </is>
      </c>
      <c r="B47" t="inlineStr">
        <is>
          <t>samrådsanmälan</t>
        </is>
      </c>
      <c r="C47" t="inlineStr">
        <is>
          <t>Annan skogsbruksåtgärd</t>
        </is>
      </c>
      <c r="D47" s="1" t="n">
        <v>44704</v>
      </c>
      <c r="E47" s="1" t="n">
        <v>46248</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46248</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32174-2022</t>
        </is>
      </c>
      <c r="B49" t="inlineStr">
        <is>
          <t>avverkningsanmälan</t>
        </is>
      </c>
      <c r="C49" t="inlineStr">
        <is>
          <t>Avverkning för att bevara och utveckla /försöksver</t>
        </is>
      </c>
      <c r="D49" s="1" t="n">
        <v>44781</v>
      </c>
      <c r="E49" s="1" t="n">
        <v>46248</v>
      </c>
      <c r="F49" t="inlineStr">
        <is>
          <t>KALMAR LÄN</t>
        </is>
      </c>
      <c r="G49" t="inlineStr">
        <is>
          <t>BORGHOLM</t>
        </is>
      </c>
      <c r="H49" t="inlineStr">
        <is>
          <t>Sveaskog</t>
        </is>
      </c>
      <c r="I49" t="n">
        <v>1.6</v>
      </c>
      <c r="J49" t="n">
        <v>2</v>
      </c>
      <c r="K49" t="n">
        <v>2</v>
      </c>
      <c r="L49" t="n">
        <v>1</v>
      </c>
      <c r="M49" t="n">
        <v>0</v>
      </c>
      <c r="N49" t="n">
        <v>0</v>
      </c>
      <c r="O49" t="n">
        <v>0</v>
      </c>
      <c r="P49" t="n">
        <v>0</v>
      </c>
      <c r="Q49" t="n">
        <v>1</v>
      </c>
      <c r="R49" t="n">
        <v>0</v>
      </c>
      <c r="S49" t="n">
        <v>3</v>
      </c>
      <c r="T49" t="n">
        <v>3</v>
      </c>
      <c r="U49" t="n">
        <v>3</v>
      </c>
      <c r="V49" s="2" t="inlineStr">
        <is>
          <t>Backklöver
Tvåblad
Vit skogslilja</t>
        </is>
      </c>
      <c r="W49">
        <f>HYPERLINK("https://klasma.github.io/Logging_0885/artfynd/A 32174-2022 artfynd.xlsx", "A 32174-2022")</f>
        <v/>
      </c>
      <c r="X49">
        <f>HYPERLINK("https://klasma.github.io/Logging_0885/kartor/A 32174-2022 karta.png", "A 32174-2022")</f>
        <v/>
      </c>
      <c r="Y49">
        <f>HYPERLINK("https://klasma.github.io/Logging_0885/kartor_geotiff/A 32174-2022 georefererad karta.tif", "A 32174-2022")</f>
        <v/>
      </c>
      <c r="AA49">
        <f>HYPERLINK("https://klasma.github.io/Logging_0885/klagomål/A 32174-2022 FSC-klagomål.docx", "A 32174-2022")</f>
        <v/>
      </c>
      <c r="AB49">
        <f>HYPERLINK("https://klasma.github.io/Logging_0885/klagomålsmail/A 32174-2022 FSC-klagomål mail.docx", "A 32174-2022")</f>
        <v/>
      </c>
      <c r="AC49">
        <f>HYPERLINK("https://klasma.github.io/Logging_0885/tillsyn/A 32174-2022 tillsynsbegäran.docx", "A 32174-2022")</f>
        <v/>
      </c>
      <c r="AD49">
        <f>HYPERLINK("https://klasma.github.io/Logging_0885/tillsynsmail/A 32174-2022 tillsynsbegäran mail.docx", "A 32174-2022")</f>
        <v/>
      </c>
    </row>
    <row r="50" ht="15" customHeight="1">
      <c r="A50" t="inlineStr">
        <is>
          <t>A 43756-2022</t>
        </is>
      </c>
      <c r="B50" t="inlineStr">
        <is>
          <t>avverkningsanmälan</t>
        </is>
      </c>
      <c r="C50" t="inlineStr">
        <is>
          <t>Föryngringsavverkning</t>
        </is>
      </c>
      <c r="D50" s="1" t="n">
        <v>44837</v>
      </c>
      <c r="E50" s="1" t="n">
        <v>46248</v>
      </c>
      <c r="F50" t="inlineStr">
        <is>
          <t>KALMAR LÄN</t>
        </is>
      </c>
      <c r="G50" t="inlineStr">
        <is>
          <t>BORGHOLM</t>
        </is>
      </c>
      <c r="I50" t="n">
        <v>2.2</v>
      </c>
      <c r="J50" t="n">
        <v>2</v>
      </c>
      <c r="K50" t="n">
        <v>1</v>
      </c>
      <c r="L50" t="n">
        <v>0</v>
      </c>
      <c r="M50" t="n">
        <v>0</v>
      </c>
      <c r="N50" t="n">
        <v>0</v>
      </c>
      <c r="O50" t="n">
        <v>0</v>
      </c>
      <c r="P50" t="n">
        <v>0</v>
      </c>
      <c r="Q50" t="n">
        <v>0</v>
      </c>
      <c r="R50" t="n">
        <v>0</v>
      </c>
      <c r="S50" t="n">
        <v>3</v>
      </c>
      <c r="T50" t="n">
        <v>5</v>
      </c>
      <c r="U50" t="n">
        <v>5</v>
      </c>
      <c r="V50" s="2" t="inlineStr">
        <is>
          <t>Murgröna
Blåsippa
Gullviva</t>
        </is>
      </c>
      <c r="W50">
        <f>HYPERLINK("https://klasma.github.io/Logging_0885/artfynd/A 43756-2022 artfynd.xlsx", "A 43756-2022")</f>
        <v/>
      </c>
      <c r="X50">
        <f>HYPERLINK("https://klasma.github.io/Logging_0885/kartor/A 43756-2022 karta.png", "A 43756-2022")</f>
        <v/>
      </c>
      <c r="Y50">
        <f>HYPERLINK("https://klasma.github.io/Logging_0885/kartor_geotiff/A 43756-2022 georefererad karta.tif", "A 43756-2022")</f>
        <v/>
      </c>
      <c r="AA50">
        <f>HYPERLINK("https://klasma.github.io/Logging_0885/klagomål/A 43756-2022 FSC-klagomål.docx", "A 43756-2022")</f>
        <v/>
      </c>
      <c r="AB50">
        <f>HYPERLINK("https://klasma.github.io/Logging_0885/klagomålsmail/A 43756-2022 FSC-klagomål mail.docx", "A 43756-2022")</f>
        <v/>
      </c>
      <c r="AC50">
        <f>HYPERLINK("https://klasma.github.io/Logging_0885/tillsyn/A 43756-2022 tillsynsbegäran.docx", "A 43756-2022")</f>
        <v/>
      </c>
      <c r="AD50">
        <f>HYPERLINK("https://klasma.github.io/Logging_0885/tillsynsmail/A 43756-2022 tillsynsbegäran mail.docx", "A 43756-2022")</f>
        <v/>
      </c>
    </row>
    <row r="51" ht="15" customHeight="1">
      <c r="A51" t="inlineStr">
        <is>
          <t>A 38860-2025</t>
        </is>
      </c>
      <c r="B51" t="inlineStr">
        <is>
          <t>avverkningsanmälan</t>
        </is>
      </c>
      <c r="C51" t="inlineStr">
        <is>
          <t>Föryngringsavverkning</t>
        </is>
      </c>
      <c r="D51" s="1" t="n">
        <v>45887</v>
      </c>
      <c r="E51" s="1" t="n">
        <v>46248</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46248</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24048-2025</t>
        </is>
      </c>
      <c r="B53" t="inlineStr">
        <is>
          <t>avverkningsanmälan</t>
        </is>
      </c>
      <c r="C53" t="inlineStr">
        <is>
          <t>Föryngringsavverkning</t>
        </is>
      </c>
      <c r="D53" s="1" t="n">
        <v>45796</v>
      </c>
      <c r="E53" s="1" t="n">
        <v>46248</v>
      </c>
      <c r="F53" t="inlineStr">
        <is>
          <t>KALMAR LÄN</t>
        </is>
      </c>
      <c r="G53" t="inlineStr">
        <is>
          <t>BORGHOLM</t>
        </is>
      </c>
      <c r="I53" t="n">
        <v>2</v>
      </c>
      <c r="J53" t="n">
        <v>1</v>
      </c>
      <c r="K53" t="n">
        <v>0</v>
      </c>
      <c r="L53" t="n">
        <v>2</v>
      </c>
      <c r="M53" t="n">
        <v>0</v>
      </c>
      <c r="N53" t="n">
        <v>0</v>
      </c>
      <c r="O53" t="n">
        <v>0</v>
      </c>
      <c r="P53" t="n">
        <v>0</v>
      </c>
      <c r="Q53" t="n">
        <v>2</v>
      </c>
      <c r="R53" t="n">
        <v>0</v>
      </c>
      <c r="S53" t="n">
        <v>3</v>
      </c>
      <c r="T53" t="n">
        <v>5</v>
      </c>
      <c r="U53" t="n">
        <v>0</v>
      </c>
      <c r="V53" s="2" t="inlineStr">
        <is>
          <t>Loppstarr
Ängsstarr
Kärrknipprot</t>
        </is>
      </c>
      <c r="W53">
        <f>HYPERLINK("https://klasma.github.io/Logging_0885/artfynd/A 24048-2025 artfynd.xlsx", "A 24048-2025")</f>
        <v/>
      </c>
      <c r="X53">
        <f>HYPERLINK("https://klasma.github.io/Logging_0885/kartor/A 24048-2025 karta.png", "A 24048-2025")</f>
        <v/>
      </c>
      <c r="Y53">
        <f>HYPERLINK("https://klasma.github.io/Logging_0885/kartor_geotiff/A 24048-2025 georefererad karta.tif", "A 24048-2025")</f>
        <v/>
      </c>
      <c r="AA53">
        <f>HYPERLINK("https://klasma.github.io/Logging_0885/klagomål/A 24048-2025 FSC-klagomål.docx", "A 24048-2025")</f>
        <v/>
      </c>
      <c r="AB53">
        <f>HYPERLINK("https://klasma.github.io/Logging_0885/klagomålsmail/A 24048-2025 FSC-klagomål mail.docx", "A 24048-2025")</f>
        <v/>
      </c>
      <c r="AC53">
        <f>HYPERLINK("https://klasma.github.io/Logging_0885/tillsyn/A 24048-2025 tillsynsbegäran.docx", "A 24048-2025")</f>
        <v/>
      </c>
      <c r="AD53">
        <f>HYPERLINK("https://klasma.github.io/Logging_0885/tillsynsmail/A 24048-2025 tillsynsbegäran mail.docx", "A 24048-2025")</f>
        <v/>
      </c>
    </row>
    <row r="54" ht="15" customHeight="1">
      <c r="A54" t="inlineStr">
        <is>
          <t>A 31520-2026</t>
        </is>
      </c>
      <c r="B54" t="inlineStr">
        <is>
          <t>avverkningsanmälan</t>
        </is>
      </c>
      <c r="C54" t="inlineStr">
        <is>
          <t>Avverkning för att bevara och utveckla /försöksver</t>
        </is>
      </c>
      <c r="D54" s="1" t="n">
        <v>46223</v>
      </c>
      <c r="E54" s="1" t="n">
        <v>46248</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27283-2026</t>
        </is>
      </c>
      <c r="B55" t="inlineStr">
        <is>
          <t>avverkningsanmälan</t>
        </is>
      </c>
      <c r="C55" t="inlineStr">
        <is>
          <t>Avverkning för att bevara och utveckla /försöksver</t>
        </is>
      </c>
      <c r="D55" s="1" t="n">
        <v>46188</v>
      </c>
      <c r="E55" s="1" t="n">
        <v>46248</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26849-2026</t>
        </is>
      </c>
      <c r="B56" t="inlineStr">
        <is>
          <t>avverkningsanmälan</t>
        </is>
      </c>
      <c r="C56" t="inlineStr">
        <is>
          <t>Föryngringsavverkning</t>
        </is>
      </c>
      <c r="D56" s="1" t="n">
        <v>46185</v>
      </c>
      <c r="E56" s="1" t="n">
        <v>46248</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15285-2026</t>
        </is>
      </c>
      <c r="B57" t="inlineStr">
        <is>
          <t>avverkningsanmälan</t>
        </is>
      </c>
      <c r="C57" t="inlineStr">
        <is>
          <t>Avverkning för att bevara och utveckla /försöksver</t>
        </is>
      </c>
      <c r="D57" s="1" t="n">
        <v>46105</v>
      </c>
      <c r="E57" s="1" t="n">
        <v>46248</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S 2740-2022</t>
        </is>
      </c>
      <c r="B58" t="inlineStr">
        <is>
          <t>samrådsanmälan</t>
        </is>
      </c>
      <c r="C58" t="inlineStr">
        <is>
          <t>Annan skogsbruksåtgärd</t>
        </is>
      </c>
      <c r="D58" s="1" t="n">
        <v>44704</v>
      </c>
      <c r="E58" s="1" t="n">
        <v>46248</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46248</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46248</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46248</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46248</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44678-2022</t>
        </is>
      </c>
      <c r="B63" t="inlineStr">
        <is>
          <t>avverkningsanmälan</t>
        </is>
      </c>
      <c r="C63" t="inlineStr">
        <is>
          <t>Föryngringsavverkning</t>
        </is>
      </c>
      <c r="D63" s="1" t="n">
        <v>44840</v>
      </c>
      <c r="E63" s="1" t="n">
        <v>46248</v>
      </c>
      <c r="F63" t="inlineStr">
        <is>
          <t>KALMAR LÄN</t>
        </is>
      </c>
      <c r="G63" t="inlineStr">
        <is>
          <t>BORGHOLM</t>
        </is>
      </c>
      <c r="I63" t="n">
        <v>2.4</v>
      </c>
      <c r="J63" t="n">
        <v>1</v>
      </c>
      <c r="K63" t="n">
        <v>1</v>
      </c>
      <c r="L63" t="n">
        <v>0</v>
      </c>
      <c r="M63" t="n">
        <v>0</v>
      </c>
      <c r="N63" t="n">
        <v>1</v>
      </c>
      <c r="O63" t="n">
        <v>0</v>
      </c>
      <c r="P63" t="n">
        <v>0</v>
      </c>
      <c r="Q63" t="n">
        <v>1</v>
      </c>
      <c r="R63" t="n">
        <v>1</v>
      </c>
      <c r="S63" t="n">
        <v>2</v>
      </c>
      <c r="T63" t="n">
        <v>2</v>
      </c>
      <c r="U63" t="n">
        <v>1</v>
      </c>
      <c r="V63" s="2" t="inlineStr">
        <is>
          <t>Ask
Skogsknipprot</t>
        </is>
      </c>
      <c r="W63">
        <f>HYPERLINK("https://klasma.github.io/Logging_0885/artfynd/A 44678-2022 artfynd.xlsx", "A 44678-2022")</f>
        <v/>
      </c>
      <c r="X63">
        <f>HYPERLINK("https://klasma.github.io/Logging_0885/kartor/A 44678-2022 karta.png", "A 44678-2022")</f>
        <v/>
      </c>
      <c r="Y63">
        <f>HYPERLINK("https://klasma.github.io/Logging_0885/kartor_geotiff/A 44678-2022 georefererad karta.tif", "A 44678-2022")</f>
        <v/>
      </c>
      <c r="AA63">
        <f>HYPERLINK("https://klasma.github.io/Logging_0885/klagomål/A 44678-2022 FSC-klagomål.docx", "A 44678-2022")</f>
        <v/>
      </c>
      <c r="AB63">
        <f>HYPERLINK("https://klasma.github.io/Logging_0885/klagomålsmail/A 44678-2022 FSC-klagomål mail.docx", "A 44678-2022")</f>
        <v/>
      </c>
      <c r="AC63">
        <f>HYPERLINK("https://klasma.github.io/Logging_0885/tillsyn/A 44678-2022 tillsynsbegäran.docx", "A 44678-2022")</f>
        <v/>
      </c>
      <c r="AD63">
        <f>HYPERLINK("https://klasma.github.io/Logging_0885/tillsynsmail/A 44678-2022 tillsynsbegäran mail.docx", "A 44678-2022")</f>
        <v/>
      </c>
    </row>
    <row r="64" ht="15" customHeight="1">
      <c r="A64" t="inlineStr">
        <is>
          <t>A 21908-2022</t>
        </is>
      </c>
      <c r="B64" t="inlineStr">
        <is>
          <t>avverkningsanmälan</t>
        </is>
      </c>
      <c r="C64" t="inlineStr">
        <is>
          <t>Föryngringsavverkning</t>
        </is>
      </c>
      <c r="D64" s="1" t="n">
        <v>44711</v>
      </c>
      <c r="E64" s="1" t="n">
        <v>46248</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50129-2021</t>
        </is>
      </c>
      <c r="B65" t="inlineStr">
        <is>
          <t>avverkningsanmälan</t>
        </is>
      </c>
      <c r="C65" t="inlineStr">
        <is>
          <t>Avverkning för annat ändamål</t>
        </is>
      </c>
      <c r="D65" s="1" t="n">
        <v>44456</v>
      </c>
      <c r="E65" s="1" t="n">
        <v>46248</v>
      </c>
      <c r="F65" t="inlineStr">
        <is>
          <t>KALMAR LÄN</t>
        </is>
      </c>
      <c r="G65" t="inlineStr">
        <is>
          <t>BORGHOLM</t>
        </is>
      </c>
      <c r="I65" t="n">
        <v>1.6</v>
      </c>
      <c r="J65" t="n">
        <v>1</v>
      </c>
      <c r="K65" t="n">
        <v>1</v>
      </c>
      <c r="L65" t="n">
        <v>0</v>
      </c>
      <c r="M65" t="n">
        <v>0</v>
      </c>
      <c r="N65" t="n">
        <v>0</v>
      </c>
      <c r="O65" t="n">
        <v>0</v>
      </c>
      <c r="P65" t="n">
        <v>0</v>
      </c>
      <c r="Q65" t="n">
        <v>0</v>
      </c>
      <c r="R65" t="n">
        <v>0</v>
      </c>
      <c r="S65" t="n">
        <v>2</v>
      </c>
      <c r="T65" t="n">
        <v>2</v>
      </c>
      <c r="U65" t="n">
        <v>2</v>
      </c>
      <c r="V65" s="2" t="inlineStr">
        <is>
          <t>Murgröna
Blåsippa</t>
        </is>
      </c>
      <c r="W65">
        <f>HYPERLINK("https://klasma.github.io/Logging_0885/artfynd/A 50129-2021 artfynd.xlsx", "A 50129-2021")</f>
        <v/>
      </c>
      <c r="X65">
        <f>HYPERLINK("https://klasma.github.io/Logging_0885/kartor/A 50129-2021 karta.png", "A 50129-2021")</f>
        <v/>
      </c>
      <c r="Y65">
        <f>HYPERLINK("https://klasma.github.io/Logging_0885/kartor_geotiff/A 50129-2021 georefererad karta.tif", "A 50129-2021")</f>
        <v/>
      </c>
      <c r="AA65">
        <f>HYPERLINK("https://klasma.github.io/Logging_0885/klagomål/A 50129-2021 FSC-klagomål.docx", "A 50129-2021")</f>
        <v/>
      </c>
      <c r="AB65">
        <f>HYPERLINK("https://klasma.github.io/Logging_0885/klagomålsmail/A 50129-2021 FSC-klagomål mail.docx", "A 50129-2021")</f>
        <v/>
      </c>
      <c r="AC65">
        <f>HYPERLINK("https://klasma.github.io/Logging_0885/tillsyn/A 50129-2021 tillsynsbegäran.docx", "A 50129-2021")</f>
        <v/>
      </c>
      <c r="AD65">
        <f>HYPERLINK("https://klasma.github.io/Logging_0885/tillsynsmail/A 50129-2021 tillsynsbegäran mail.docx", "A 50129-2021")</f>
        <v/>
      </c>
    </row>
    <row r="66" ht="15" customHeight="1">
      <c r="A66" t="inlineStr">
        <is>
          <t>A 24166-2022</t>
        </is>
      </c>
      <c r="B66" t="inlineStr">
        <is>
          <t>avverkningsanmälan</t>
        </is>
      </c>
      <c r="C66" t="inlineStr">
        <is>
          <t>Avverkning för annat ändamål</t>
        </is>
      </c>
      <c r="D66" s="1" t="n">
        <v>44725</v>
      </c>
      <c r="E66" s="1" t="n">
        <v>46248</v>
      </c>
      <c r="F66" t="inlineStr">
        <is>
          <t>KALMAR LÄN</t>
        </is>
      </c>
      <c r="G66" t="inlineStr">
        <is>
          <t>BORGHOLM</t>
        </is>
      </c>
      <c r="I66" t="n">
        <v>10.7</v>
      </c>
      <c r="J66" t="n">
        <v>0</v>
      </c>
      <c r="K66" t="n">
        <v>0</v>
      </c>
      <c r="L66" t="n">
        <v>1</v>
      </c>
      <c r="M66" t="n">
        <v>1</v>
      </c>
      <c r="N66" t="n">
        <v>0</v>
      </c>
      <c r="O66" t="n">
        <v>0</v>
      </c>
      <c r="P66" t="n">
        <v>0</v>
      </c>
      <c r="Q66" t="n">
        <v>2</v>
      </c>
      <c r="R66" t="n">
        <v>1</v>
      </c>
      <c r="S66" t="n">
        <v>2</v>
      </c>
      <c r="T66" t="n">
        <v>2</v>
      </c>
      <c r="U66" t="n">
        <v>1</v>
      </c>
      <c r="V66" s="2" t="inlineStr">
        <is>
          <t>Plattsäv
Jungfrulin</t>
        </is>
      </c>
      <c r="W66">
        <f>HYPERLINK("https://klasma.github.io/Logging_0885/artfynd/A 24166-2022 artfynd.xlsx", "A 24166-2022")</f>
        <v/>
      </c>
      <c r="X66">
        <f>HYPERLINK("https://klasma.github.io/Logging_0885/kartor/A 24166-2022 karta.png", "A 24166-2022")</f>
        <v/>
      </c>
      <c r="Y66">
        <f>HYPERLINK("https://klasma.github.io/Logging_0885/kartor_geotiff/A 24166-2022 georefererad karta.tif", "A 24166-2022")</f>
        <v/>
      </c>
      <c r="AA66">
        <f>HYPERLINK("https://klasma.github.io/Logging_0885/klagomål/A 24166-2022 FSC-klagomål.docx", "A 24166-2022")</f>
        <v/>
      </c>
      <c r="AB66">
        <f>HYPERLINK("https://klasma.github.io/Logging_0885/klagomålsmail/A 24166-2022 FSC-klagomål mail.docx", "A 24166-2022")</f>
        <v/>
      </c>
      <c r="AC66">
        <f>HYPERLINK("https://klasma.github.io/Logging_0885/tillsyn/A 24166-2022 tillsynsbegäran.docx", "A 24166-2022")</f>
        <v/>
      </c>
      <c r="AD66">
        <f>HYPERLINK("https://klasma.github.io/Logging_0885/tillsynsmail/A 24166-2022 tillsynsbegäran mail.docx", "A 24166-2022")</f>
        <v/>
      </c>
    </row>
    <row r="67" ht="15" customHeight="1">
      <c r="A67" t="inlineStr">
        <is>
          <t>A 17699-2025</t>
        </is>
      </c>
      <c r="B67" t="inlineStr">
        <is>
          <t>avverkningsanmälan</t>
        </is>
      </c>
      <c r="C67" t="inlineStr">
        <is>
          <t>Föryngringsavverkning</t>
        </is>
      </c>
      <c r="D67" s="1" t="n">
        <v>45758</v>
      </c>
      <c r="E67" s="1" t="n">
        <v>46248</v>
      </c>
      <c r="F67" t="inlineStr">
        <is>
          <t>KALMAR LÄN</t>
        </is>
      </c>
      <c r="G67" t="inlineStr">
        <is>
          <t>BORGHOLM</t>
        </is>
      </c>
      <c r="I67" t="n">
        <v>0.7</v>
      </c>
      <c r="J67" t="n">
        <v>0</v>
      </c>
      <c r="K67" t="n">
        <v>0</v>
      </c>
      <c r="L67" t="n">
        <v>2</v>
      </c>
      <c r="M67" t="n">
        <v>0</v>
      </c>
      <c r="N67" t="n">
        <v>0</v>
      </c>
      <c r="O67" t="n">
        <v>0</v>
      </c>
      <c r="P67" t="n">
        <v>0</v>
      </c>
      <c r="Q67" t="n">
        <v>2</v>
      </c>
      <c r="R67" t="n">
        <v>0</v>
      </c>
      <c r="S67" t="n">
        <v>2</v>
      </c>
      <c r="T67" t="n">
        <v>2</v>
      </c>
      <c r="U67" t="n">
        <v>2</v>
      </c>
      <c r="V67" s="2" t="inlineStr">
        <is>
          <t>Backtimjan
Klibbveronika</t>
        </is>
      </c>
      <c r="W67">
        <f>HYPERLINK("https://klasma.github.io/Logging_0885/artfynd/A 17699-2025 artfynd.xlsx", "A 17699-2025")</f>
        <v/>
      </c>
      <c r="X67">
        <f>HYPERLINK("https://klasma.github.io/Logging_0885/kartor/A 17699-2025 karta.png", "A 17699-2025")</f>
        <v/>
      </c>
      <c r="Y67">
        <f>HYPERLINK("https://klasma.github.io/Logging_0885/kartor_geotiff/A 17699-2025 georefererad karta.tif", "A 17699-2025")</f>
        <v/>
      </c>
      <c r="AA67">
        <f>HYPERLINK("https://klasma.github.io/Logging_0885/klagomål/A 17699-2025 FSC-klagomål.docx", "A 17699-2025")</f>
        <v/>
      </c>
      <c r="AB67">
        <f>HYPERLINK("https://klasma.github.io/Logging_0885/klagomålsmail/A 17699-2025 FSC-klagomål mail.docx", "A 17699-2025")</f>
        <v/>
      </c>
      <c r="AC67">
        <f>HYPERLINK("https://klasma.github.io/Logging_0885/tillsyn/A 17699-2025 tillsynsbegäran.docx", "A 17699-2025")</f>
        <v/>
      </c>
      <c r="AD67">
        <f>HYPERLINK("https://klasma.github.io/Logging_0885/tillsynsmail/A 17699-2025 tillsynsbegäran mail.docx", "A 17699-2025")</f>
        <v/>
      </c>
    </row>
    <row r="68" ht="15" customHeight="1">
      <c r="A68" t="inlineStr">
        <is>
          <t>A 24322-2026</t>
        </is>
      </c>
      <c r="B68" t="inlineStr">
        <is>
          <t>avverkningsanmälan</t>
        </is>
      </c>
      <c r="C68" t="inlineStr">
        <is>
          <t>Föryngringsavverkning</t>
        </is>
      </c>
      <c r="D68" s="1" t="n">
        <v>46169</v>
      </c>
      <c r="E68" s="1" t="n">
        <v>46248</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60141-2025</t>
        </is>
      </c>
      <c r="B69" t="inlineStr">
        <is>
          <t>avverkningsanmälan</t>
        </is>
      </c>
      <c r="C69" t="inlineStr">
        <is>
          <t>Föryngringsavverkning</t>
        </is>
      </c>
      <c r="D69" s="1" t="n">
        <v>45994</v>
      </c>
      <c r="E69" s="1" t="n">
        <v>46248</v>
      </c>
      <c r="F69" t="inlineStr">
        <is>
          <t>KALMAR LÄN</t>
        </is>
      </c>
      <c r="G69" t="inlineStr">
        <is>
          <t>BORGHOLM</t>
        </is>
      </c>
      <c r="I69" t="n">
        <v>0.7</v>
      </c>
      <c r="J69" t="n">
        <v>1</v>
      </c>
      <c r="K69" t="n">
        <v>1</v>
      </c>
      <c r="L69" t="n">
        <v>0</v>
      </c>
      <c r="M69" t="n">
        <v>0</v>
      </c>
      <c r="N69" t="n">
        <v>0</v>
      </c>
      <c r="O69" t="n">
        <v>0</v>
      </c>
      <c r="P69" t="n">
        <v>0</v>
      </c>
      <c r="Q69" t="n">
        <v>0</v>
      </c>
      <c r="R69" t="n">
        <v>0</v>
      </c>
      <c r="S69" t="n">
        <v>2</v>
      </c>
      <c r="T69" t="n">
        <v>3</v>
      </c>
      <c r="U69" t="n">
        <v>0</v>
      </c>
      <c r="V69" s="2" t="inlineStr">
        <is>
          <t>Strävlosta
Långbensgroda</t>
        </is>
      </c>
      <c r="W69">
        <f>HYPERLINK("https://klasma.github.io/Logging_0885/artfynd/A 60141-2025 artfynd.xlsx", "A 60141-2025")</f>
        <v/>
      </c>
      <c r="X69">
        <f>HYPERLINK("https://klasma.github.io/Logging_0885/kartor/A 60141-2025 karta.png", "A 60141-2025")</f>
        <v/>
      </c>
      <c r="Y69">
        <f>HYPERLINK("https://klasma.github.io/Logging_0885/kartor_geotiff/A 60141-2025 georefererad karta.tif", "A 60141-2025")</f>
        <v/>
      </c>
      <c r="AA69">
        <f>HYPERLINK("https://klasma.github.io/Logging_0885/klagomål/A 60141-2025 FSC-klagomål.docx", "A 60141-2025")</f>
        <v/>
      </c>
      <c r="AB69">
        <f>HYPERLINK("https://klasma.github.io/Logging_0885/klagomålsmail/A 60141-2025 FSC-klagomål mail.docx", "A 60141-2025")</f>
        <v/>
      </c>
      <c r="AC69">
        <f>HYPERLINK("https://klasma.github.io/Logging_0885/tillsyn/A 60141-2025 tillsynsbegäran.docx", "A 60141-2025")</f>
        <v/>
      </c>
      <c r="AD69">
        <f>HYPERLINK("https://klasma.github.io/Logging_0885/tillsynsmail/A 60141-2025 tillsynsbegäran mail.docx", "A 60141-2025")</f>
        <v/>
      </c>
    </row>
    <row r="70" ht="15" customHeight="1">
      <c r="A70" t="inlineStr">
        <is>
          <t>A 60140-2025</t>
        </is>
      </c>
      <c r="B70" t="inlineStr">
        <is>
          <t>avverkningsanmälan</t>
        </is>
      </c>
      <c r="C70" t="inlineStr">
        <is>
          <t>Föryngringsavverkning</t>
        </is>
      </c>
      <c r="D70" s="1" t="n">
        <v>45994</v>
      </c>
      <c r="E70" s="1" t="n">
        <v>46248</v>
      </c>
      <c r="F70" t="inlineStr">
        <is>
          <t>KALMAR LÄN</t>
        </is>
      </c>
      <c r="G70" t="inlineStr">
        <is>
          <t>BORGHOLM</t>
        </is>
      </c>
      <c r="I70" t="n">
        <v>0.8</v>
      </c>
      <c r="J70" t="n">
        <v>1</v>
      </c>
      <c r="K70" t="n">
        <v>2</v>
      </c>
      <c r="L70" t="n">
        <v>0</v>
      </c>
      <c r="M70" t="n">
        <v>0</v>
      </c>
      <c r="N70" t="n">
        <v>0</v>
      </c>
      <c r="O70" t="n">
        <v>0</v>
      </c>
      <c r="P70" t="n">
        <v>0</v>
      </c>
      <c r="Q70" t="n">
        <v>0</v>
      </c>
      <c r="R70" t="n">
        <v>0</v>
      </c>
      <c r="S70" t="n">
        <v>2</v>
      </c>
      <c r="T70" t="n">
        <v>5</v>
      </c>
      <c r="U70" t="n">
        <v>0</v>
      </c>
      <c r="V70" s="2" t="inlineStr">
        <is>
          <t>Skogsknipprot
Strävlosta</t>
        </is>
      </c>
      <c r="W70">
        <f>HYPERLINK("https://klasma.github.io/Logging_0885/artfynd/A 60140-2025 artfynd.xlsx", "A 60140-2025")</f>
        <v/>
      </c>
      <c r="X70">
        <f>HYPERLINK("https://klasma.github.io/Logging_0885/kartor/A 60140-2025 karta.png", "A 60140-2025")</f>
        <v/>
      </c>
      <c r="Y70">
        <f>HYPERLINK("https://klasma.github.io/Logging_0885/kartor_geotiff/A 60140-2025 georefererad karta.tif", "A 60140-2025")</f>
        <v/>
      </c>
      <c r="AA70">
        <f>HYPERLINK("https://klasma.github.io/Logging_0885/klagomål/A 60140-2025 FSC-klagomål.docx", "A 60140-2025")</f>
        <v/>
      </c>
      <c r="AB70">
        <f>HYPERLINK("https://klasma.github.io/Logging_0885/klagomålsmail/A 60140-2025 FSC-klagomål mail.docx", "A 60140-2025")</f>
        <v/>
      </c>
      <c r="AC70">
        <f>HYPERLINK("https://klasma.github.io/Logging_0885/tillsyn/A 60140-2025 tillsynsbegäran.docx", "A 60140-2025")</f>
        <v/>
      </c>
      <c r="AD70">
        <f>HYPERLINK("https://klasma.github.io/Logging_0885/tillsynsmail/A 60140-2025 tillsynsbegäran mail.docx", "A 60140-2025")</f>
        <v/>
      </c>
    </row>
    <row r="71" ht="15" customHeight="1">
      <c r="A71" t="inlineStr">
        <is>
          <t>A 29411-2026</t>
        </is>
      </c>
      <c r="B71" t="inlineStr">
        <is>
          <t>avverkningsanmälan</t>
        </is>
      </c>
      <c r="C71" t="inlineStr">
        <is>
          <t>Avverkning för att bevara och utveckla /försöksver</t>
        </is>
      </c>
      <c r="D71" s="1" t="n">
        <v>46203</v>
      </c>
      <c r="E71" s="1" t="n">
        <v>46248</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29434-2026</t>
        </is>
      </c>
      <c r="B72" t="inlineStr">
        <is>
          <t>avverkningsanmälan</t>
        </is>
      </c>
      <c r="C72" t="inlineStr">
        <is>
          <t>Avverkning för att bevara och utveckla /försöksver</t>
        </is>
      </c>
      <c r="D72" s="1" t="n">
        <v>46203</v>
      </c>
      <c r="E72" s="1" t="n">
        <v>46248</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9253-2026</t>
        </is>
      </c>
      <c r="B73" t="inlineStr">
        <is>
          <t>avverkningsanmälan</t>
        </is>
      </c>
      <c r="C73" t="inlineStr">
        <is>
          <t>Föryngringsavverkning</t>
        </is>
      </c>
      <c r="D73" s="1" t="n">
        <v>46070</v>
      </c>
      <c r="E73" s="1" t="n">
        <v>46248</v>
      </c>
      <c r="F73" t="inlineStr">
        <is>
          <t>KALMAR LÄN</t>
        </is>
      </c>
      <c r="G73" t="inlineStr">
        <is>
          <t>BORGHOLM</t>
        </is>
      </c>
      <c r="I73" t="n">
        <v>1.1</v>
      </c>
      <c r="J73" t="n">
        <v>1</v>
      </c>
      <c r="K73" t="n">
        <v>1</v>
      </c>
      <c r="L73" t="n">
        <v>0</v>
      </c>
      <c r="M73" t="n">
        <v>0</v>
      </c>
      <c r="N73" t="n">
        <v>0</v>
      </c>
      <c r="O73" t="n">
        <v>0</v>
      </c>
      <c r="P73" t="n">
        <v>0</v>
      </c>
      <c r="Q73" t="n">
        <v>0</v>
      </c>
      <c r="R73" t="n">
        <v>0</v>
      </c>
      <c r="S73" t="n">
        <v>2</v>
      </c>
      <c r="T73" t="n">
        <v>2</v>
      </c>
      <c r="U73" t="n">
        <v>0</v>
      </c>
      <c r="V73" s="2" t="inlineStr">
        <is>
          <t>Murgröna
Gullviva</t>
        </is>
      </c>
      <c r="W73">
        <f>HYPERLINK("https://klasma.github.io/Logging_0885/artfynd/A 9253-2026 artfynd.xlsx", "A 9253-2026")</f>
        <v/>
      </c>
      <c r="X73">
        <f>HYPERLINK("https://klasma.github.io/Logging_0885/kartor/A 9253-2026 karta.png", "A 9253-2026")</f>
        <v/>
      </c>
      <c r="Y73">
        <f>HYPERLINK("https://klasma.github.io/Logging_0885/kartor_geotiff/A 9253-2026 georefererad karta.tif", "A 9253-2026")</f>
        <v/>
      </c>
      <c r="AA73">
        <f>HYPERLINK("https://klasma.github.io/Logging_0885/klagomål/A 9253-2026 FSC-klagomål.docx", "A 9253-2026")</f>
        <v/>
      </c>
      <c r="AB73">
        <f>HYPERLINK("https://klasma.github.io/Logging_0885/klagomålsmail/A 9253-2026 FSC-klagomål mail.docx", "A 9253-2026")</f>
        <v/>
      </c>
      <c r="AC73">
        <f>HYPERLINK("https://klasma.github.io/Logging_0885/tillsyn/A 9253-2026 tillsynsbegäran.docx", "A 9253-2026")</f>
        <v/>
      </c>
      <c r="AD73">
        <f>HYPERLINK("https://klasma.github.io/Logging_0885/tillsynsmail/A 9253-2026 tillsynsbegäran mail.docx", "A 9253-2026")</f>
        <v/>
      </c>
    </row>
    <row r="74" ht="15" customHeight="1">
      <c r="A74" t="inlineStr">
        <is>
          <t>S 6144-2022</t>
        </is>
      </c>
      <c r="B74" t="inlineStr">
        <is>
          <t>samrådsanmälan</t>
        </is>
      </c>
      <c r="C74" t="inlineStr">
        <is>
          <t>Annan skogsbruksåtgärd</t>
        </is>
      </c>
      <c r="D74" s="1" t="n">
        <v>44865</v>
      </c>
      <c r="E74" s="1" t="n">
        <v>46248</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46248</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46248</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46248</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46248</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46248</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46248</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24704-2023</t>
        </is>
      </c>
      <c r="B81" t="inlineStr">
        <is>
          <t>avverkningsanmälan</t>
        </is>
      </c>
      <c r="C81" t="inlineStr">
        <is>
          <t>Föryngringsavverkning</t>
        </is>
      </c>
      <c r="D81" s="1" t="n">
        <v>45084</v>
      </c>
      <c r="E81" s="1" t="n">
        <v>46248</v>
      </c>
      <c r="F81" t="inlineStr">
        <is>
          <t>KALMAR LÄN</t>
        </is>
      </c>
      <c r="G81" t="inlineStr">
        <is>
          <t>BORGHOLM</t>
        </is>
      </c>
      <c r="I81" t="n">
        <v>3.5</v>
      </c>
      <c r="J81" t="n">
        <v>0</v>
      </c>
      <c r="K81" t="n">
        <v>0</v>
      </c>
      <c r="L81" t="n">
        <v>0</v>
      </c>
      <c r="M81" t="n">
        <v>0</v>
      </c>
      <c r="N81" t="n">
        <v>1</v>
      </c>
      <c r="O81" t="n">
        <v>0</v>
      </c>
      <c r="P81" t="n">
        <v>0</v>
      </c>
      <c r="Q81" t="n">
        <v>1</v>
      </c>
      <c r="R81" t="n">
        <v>1</v>
      </c>
      <c r="S81" t="n">
        <v>1</v>
      </c>
      <c r="T81" t="n">
        <v>2</v>
      </c>
      <c r="U81" t="n">
        <v>0</v>
      </c>
      <c r="V81" s="2" t="inlineStr">
        <is>
          <t>Ask</t>
        </is>
      </c>
      <c r="W81">
        <f>HYPERLINK("https://klasma.github.io/Logging_0885/artfynd/A 24704-2023 artfynd.xlsx", "A 24704-2023")</f>
        <v/>
      </c>
      <c r="X81">
        <f>HYPERLINK("https://klasma.github.io/Logging_0885/kartor/A 24704-2023 karta.png", "A 24704-2023")</f>
        <v/>
      </c>
      <c r="Y81">
        <f>HYPERLINK("https://klasma.github.io/Logging_0885/kartor_geotiff/A 24704-2023 georefererad karta.tif", "A 24704-2023")</f>
        <v/>
      </c>
      <c r="AA81">
        <f>HYPERLINK("https://klasma.github.io/Logging_0885/klagomål/A 24704-2023 FSC-klagomål.docx", "A 24704-2023")</f>
        <v/>
      </c>
      <c r="AB81">
        <f>HYPERLINK("https://klasma.github.io/Logging_0885/klagomålsmail/A 24704-2023 FSC-klagomål mail.docx", "A 24704-2023")</f>
        <v/>
      </c>
      <c r="AC81">
        <f>HYPERLINK("https://klasma.github.io/Logging_0885/tillsyn/A 24704-2023 tillsynsbegäran.docx", "A 24704-2023")</f>
        <v/>
      </c>
      <c r="AD81">
        <f>HYPERLINK("https://klasma.github.io/Logging_0885/tillsynsmail/A 24704-2023 tillsynsbegäran mail.docx", "A 24704-2023")</f>
        <v/>
      </c>
    </row>
    <row r="82" ht="15" customHeight="1">
      <c r="A82" t="inlineStr">
        <is>
          <t>A 31720-2022</t>
        </is>
      </c>
      <c r="B82" t="inlineStr">
        <is>
          <t>avverkningsanmälan</t>
        </is>
      </c>
      <c r="C82" t="inlineStr">
        <is>
          <t>Föryngringsavverkning</t>
        </is>
      </c>
      <c r="D82" s="1" t="n">
        <v>44776</v>
      </c>
      <c r="E82" s="1" t="n">
        <v>46248</v>
      </c>
      <c r="F82" t="inlineStr">
        <is>
          <t>KALMAR LÄN</t>
        </is>
      </c>
      <c r="G82" t="inlineStr">
        <is>
          <t>BORGHOLM</t>
        </is>
      </c>
      <c r="H82" t="inlineStr">
        <is>
          <t>Sveaskog</t>
        </is>
      </c>
      <c r="I82" t="n">
        <v>4.5</v>
      </c>
      <c r="J82" t="n">
        <v>1</v>
      </c>
      <c r="K82" t="n">
        <v>1</v>
      </c>
      <c r="L82" t="n">
        <v>0</v>
      </c>
      <c r="M82" t="n">
        <v>0</v>
      </c>
      <c r="N82" t="n">
        <v>0</v>
      </c>
      <c r="O82" t="n">
        <v>0</v>
      </c>
      <c r="P82" t="n">
        <v>0</v>
      </c>
      <c r="Q82" t="n">
        <v>0</v>
      </c>
      <c r="R82" t="n">
        <v>0</v>
      </c>
      <c r="S82" t="n">
        <v>1</v>
      </c>
      <c r="T82" t="n">
        <v>1</v>
      </c>
      <c r="U82" t="n">
        <v>1</v>
      </c>
      <c r="V82" s="2" t="inlineStr">
        <is>
          <t>Tvåblad</t>
        </is>
      </c>
      <c r="W82">
        <f>HYPERLINK("https://klasma.github.io/Logging_0885/artfynd/A 31720-2022 artfynd.xlsx", "A 31720-2022")</f>
        <v/>
      </c>
      <c r="X82">
        <f>HYPERLINK("https://klasma.github.io/Logging_0885/kartor/A 31720-2022 karta.png", "A 31720-2022")</f>
        <v/>
      </c>
      <c r="Y82">
        <f>HYPERLINK("https://klasma.github.io/Logging_0885/kartor_geotiff/A 31720-2022 georefererad karta.tif", "A 31720-2022")</f>
        <v/>
      </c>
      <c r="AA82">
        <f>HYPERLINK("https://klasma.github.io/Logging_0885/klagomål/A 31720-2022 FSC-klagomål.docx", "A 31720-2022")</f>
        <v/>
      </c>
      <c r="AB82">
        <f>HYPERLINK("https://klasma.github.io/Logging_0885/klagomålsmail/A 31720-2022 FSC-klagomål mail.docx", "A 31720-2022")</f>
        <v/>
      </c>
      <c r="AC82">
        <f>HYPERLINK("https://klasma.github.io/Logging_0885/tillsyn/A 31720-2022 tillsynsbegäran.docx", "A 31720-2022")</f>
        <v/>
      </c>
      <c r="AD82">
        <f>HYPERLINK("https://klasma.github.io/Logging_0885/tillsynsmail/A 31720-2022 tillsynsbegäran mail.docx", "A 31720-2022")</f>
        <v/>
      </c>
    </row>
    <row r="83" ht="15" customHeight="1">
      <c r="A83" t="inlineStr">
        <is>
          <t>A 19867-2024</t>
        </is>
      </c>
      <c r="B83" t="inlineStr">
        <is>
          <t>avverkningsanmälan</t>
        </is>
      </c>
      <c r="C83" t="inlineStr">
        <is>
          <t>Föryngringsavverkning</t>
        </is>
      </c>
      <c r="D83" s="1" t="n">
        <v>45433</v>
      </c>
      <c r="E83" s="1" t="n">
        <v>46248</v>
      </c>
      <c r="F83" t="inlineStr">
        <is>
          <t>KALMAR LÄN</t>
        </is>
      </c>
      <c r="G83" t="inlineStr">
        <is>
          <t>BORGHOLM</t>
        </is>
      </c>
      <c r="I83" t="n">
        <v>3.9</v>
      </c>
      <c r="J83" t="n">
        <v>0</v>
      </c>
      <c r="K83" t="n">
        <v>0</v>
      </c>
      <c r="L83" t="n">
        <v>1</v>
      </c>
      <c r="M83" t="n">
        <v>0</v>
      </c>
      <c r="N83" t="n">
        <v>0</v>
      </c>
      <c r="O83" t="n">
        <v>0</v>
      </c>
      <c r="P83" t="n">
        <v>0</v>
      </c>
      <c r="Q83" t="n">
        <v>1</v>
      </c>
      <c r="R83" t="n">
        <v>0</v>
      </c>
      <c r="S83" t="n">
        <v>1</v>
      </c>
      <c r="T83" t="n">
        <v>1</v>
      </c>
      <c r="U83" t="n">
        <v>1</v>
      </c>
      <c r="V83" s="2" t="inlineStr">
        <is>
          <t>Åkerkulla</t>
        </is>
      </c>
      <c r="W83">
        <f>HYPERLINK("https://klasma.github.io/Logging_0885/artfynd/A 19867-2024 artfynd.xlsx", "A 19867-2024")</f>
        <v/>
      </c>
      <c r="X83">
        <f>HYPERLINK("https://klasma.github.io/Logging_0885/kartor/A 19867-2024 karta.png", "A 19867-2024")</f>
        <v/>
      </c>
      <c r="Y83">
        <f>HYPERLINK("https://klasma.github.io/Logging_0885/kartor_geotiff/A 19867-2024 georefererad karta.tif", "A 19867-2024")</f>
        <v/>
      </c>
      <c r="AA83">
        <f>HYPERLINK("https://klasma.github.io/Logging_0885/klagomål/A 19867-2024 FSC-klagomål.docx", "A 19867-2024")</f>
        <v/>
      </c>
      <c r="AB83">
        <f>HYPERLINK("https://klasma.github.io/Logging_0885/klagomålsmail/A 19867-2024 FSC-klagomål mail.docx", "A 19867-2024")</f>
        <v/>
      </c>
      <c r="AC83">
        <f>HYPERLINK("https://klasma.github.io/Logging_0885/tillsyn/A 19867-2024 tillsynsbegäran.docx", "A 19867-2024")</f>
        <v/>
      </c>
      <c r="AD83">
        <f>HYPERLINK("https://klasma.github.io/Logging_0885/tillsynsmail/A 19867-2024 tillsynsbegäran mail.docx", "A 19867-2024")</f>
        <v/>
      </c>
    </row>
    <row r="84" ht="15" customHeight="1">
      <c r="A84" t="inlineStr">
        <is>
          <t>A 9745-2023</t>
        </is>
      </c>
      <c r="B84" t="inlineStr">
        <is>
          <t>avverkningsanmälan</t>
        </is>
      </c>
      <c r="C84" t="inlineStr">
        <is>
          <t>Föryngringsavverkning</t>
        </is>
      </c>
      <c r="D84" s="1" t="n">
        <v>44984</v>
      </c>
      <c r="E84" s="1" t="n">
        <v>46248</v>
      </c>
      <c r="F84" t="inlineStr">
        <is>
          <t>KALMAR LÄN</t>
        </is>
      </c>
      <c r="G84" t="inlineStr">
        <is>
          <t>BORGHOLM</t>
        </is>
      </c>
      <c r="I84" t="n">
        <v>1.2</v>
      </c>
      <c r="J84" t="n">
        <v>1</v>
      </c>
      <c r="K84" t="n">
        <v>1</v>
      </c>
      <c r="L84" t="n">
        <v>0</v>
      </c>
      <c r="M84" t="n">
        <v>0</v>
      </c>
      <c r="N84" t="n">
        <v>0</v>
      </c>
      <c r="O84" t="n">
        <v>0</v>
      </c>
      <c r="P84" t="n">
        <v>0</v>
      </c>
      <c r="Q84" t="n">
        <v>0</v>
      </c>
      <c r="R84" t="n">
        <v>0</v>
      </c>
      <c r="S84" t="n">
        <v>1</v>
      </c>
      <c r="T84" t="n">
        <v>2</v>
      </c>
      <c r="U84" t="n">
        <v>1</v>
      </c>
      <c r="V84" s="2" t="inlineStr">
        <is>
          <t>Skogsknipprot</t>
        </is>
      </c>
      <c r="W84">
        <f>HYPERLINK("https://klasma.github.io/Logging_0885/artfynd/A 9745-2023 artfynd.xlsx", "A 9745-2023")</f>
        <v/>
      </c>
      <c r="X84">
        <f>HYPERLINK("https://klasma.github.io/Logging_0885/kartor/A 9745-2023 karta.png", "A 9745-2023")</f>
        <v/>
      </c>
      <c r="Y84">
        <f>HYPERLINK("https://klasma.github.io/Logging_0885/kartor_geotiff/A 9745-2023 georefererad karta.tif", "A 9745-2023")</f>
        <v/>
      </c>
      <c r="AA84">
        <f>HYPERLINK("https://klasma.github.io/Logging_0885/klagomål/A 9745-2023 FSC-klagomål.docx", "A 9745-2023")</f>
        <v/>
      </c>
      <c r="AB84">
        <f>HYPERLINK("https://klasma.github.io/Logging_0885/klagomålsmail/A 9745-2023 FSC-klagomål mail.docx", "A 9745-2023")</f>
        <v/>
      </c>
      <c r="AC84">
        <f>HYPERLINK("https://klasma.github.io/Logging_0885/tillsyn/A 9745-2023 tillsynsbegäran.docx", "A 9745-2023")</f>
        <v/>
      </c>
      <c r="AD84">
        <f>HYPERLINK("https://klasma.github.io/Logging_0885/tillsynsmail/A 9745-2023 tillsynsbegäran mail.docx", "A 9745-2023")</f>
        <v/>
      </c>
    </row>
    <row r="85" ht="15" customHeight="1">
      <c r="A85" t="inlineStr">
        <is>
          <t>A 13043-2024</t>
        </is>
      </c>
      <c r="B85" t="inlineStr">
        <is>
          <t>avverkningsanmälan</t>
        </is>
      </c>
      <c r="C85" t="inlineStr">
        <is>
          <t>Föryngringsavverkning</t>
        </is>
      </c>
      <c r="D85" s="1" t="n">
        <v>45385</v>
      </c>
      <c r="E85" s="1" t="n">
        <v>46248</v>
      </c>
      <c r="F85" t="inlineStr">
        <is>
          <t>KALMAR LÄN</t>
        </is>
      </c>
      <c r="G85" t="inlineStr">
        <is>
          <t>BORGHOLM</t>
        </is>
      </c>
      <c r="I85" t="n">
        <v>0.4</v>
      </c>
      <c r="J85" t="n">
        <v>1</v>
      </c>
      <c r="K85" t="n">
        <v>1</v>
      </c>
      <c r="L85" t="n">
        <v>0</v>
      </c>
      <c r="M85" t="n">
        <v>0</v>
      </c>
      <c r="N85" t="n">
        <v>0</v>
      </c>
      <c r="O85" t="n">
        <v>0</v>
      </c>
      <c r="P85" t="n">
        <v>0</v>
      </c>
      <c r="Q85" t="n">
        <v>0</v>
      </c>
      <c r="R85" t="n">
        <v>0</v>
      </c>
      <c r="S85" t="n">
        <v>1</v>
      </c>
      <c r="T85" t="n">
        <v>1</v>
      </c>
      <c r="U85" t="n">
        <v>0</v>
      </c>
      <c r="V85" s="2" t="inlineStr">
        <is>
          <t>Ekoxe</t>
        </is>
      </c>
      <c r="W85">
        <f>HYPERLINK("https://klasma.github.io/Logging_0885/artfynd/A 13043-2024 artfynd.xlsx", "A 13043-2024")</f>
        <v/>
      </c>
      <c r="X85">
        <f>HYPERLINK("https://klasma.github.io/Logging_0885/kartor/A 13043-2024 karta.png", "A 13043-2024")</f>
        <v/>
      </c>
      <c r="Y85">
        <f>HYPERLINK("https://klasma.github.io/Logging_0885/kartor_geotiff/A 13043-2024 georefererad karta.tif", "A 13043-2024")</f>
        <v/>
      </c>
      <c r="AA85">
        <f>HYPERLINK("https://klasma.github.io/Logging_0885/klagomål/A 13043-2024 FSC-klagomål.docx", "A 13043-2024")</f>
        <v/>
      </c>
      <c r="AB85">
        <f>HYPERLINK("https://klasma.github.io/Logging_0885/klagomålsmail/A 13043-2024 FSC-klagomål mail.docx", "A 13043-2024")</f>
        <v/>
      </c>
      <c r="AC85">
        <f>HYPERLINK("https://klasma.github.io/Logging_0885/tillsyn/A 13043-2024 tillsynsbegäran.docx", "A 13043-2024")</f>
        <v/>
      </c>
      <c r="AD85">
        <f>HYPERLINK("https://klasma.github.io/Logging_0885/tillsynsmail/A 13043-2024 tillsynsbegäran mail.docx", "A 13043-2024")</f>
        <v/>
      </c>
    </row>
    <row r="86" ht="15" customHeight="1">
      <c r="A86" t="inlineStr">
        <is>
          <t>A 63276-2023</t>
        </is>
      </c>
      <c r="B86" t="inlineStr">
        <is>
          <t>avverkningsanmälan</t>
        </is>
      </c>
      <c r="C86" t="inlineStr">
        <is>
          <t>Föryngringsavverkning</t>
        </is>
      </c>
      <c r="D86" s="1" t="n">
        <v>45273</v>
      </c>
      <c r="E86" s="1" t="n">
        <v>46248</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24701-2023</t>
        </is>
      </c>
      <c r="B87" t="inlineStr">
        <is>
          <t>avverkningsanmälan</t>
        </is>
      </c>
      <c r="C87" t="inlineStr">
        <is>
          <t>Föryngringsavverkning</t>
        </is>
      </c>
      <c r="D87" s="1" t="n">
        <v>45084</v>
      </c>
      <c r="E87" s="1" t="n">
        <v>46248</v>
      </c>
      <c r="F87" t="inlineStr">
        <is>
          <t>KALMAR LÄN</t>
        </is>
      </c>
      <c r="G87" t="inlineStr">
        <is>
          <t>BORGHOLM</t>
        </is>
      </c>
      <c r="I87" t="n">
        <v>3</v>
      </c>
      <c r="J87" t="n">
        <v>0</v>
      </c>
      <c r="K87" t="n">
        <v>0</v>
      </c>
      <c r="L87" t="n">
        <v>0</v>
      </c>
      <c r="M87" t="n">
        <v>0</v>
      </c>
      <c r="N87" t="n">
        <v>1</v>
      </c>
      <c r="O87" t="n">
        <v>0</v>
      </c>
      <c r="P87" t="n">
        <v>0</v>
      </c>
      <c r="Q87" t="n">
        <v>1</v>
      </c>
      <c r="R87" t="n">
        <v>1</v>
      </c>
      <c r="S87" t="n">
        <v>1</v>
      </c>
      <c r="T87" t="n">
        <v>3</v>
      </c>
      <c r="U87" t="n">
        <v>0</v>
      </c>
      <c r="V87" s="2" t="inlineStr">
        <is>
          <t>Ask</t>
        </is>
      </c>
      <c r="W87">
        <f>HYPERLINK("https://klasma.github.io/Logging_0885/artfynd/A 24701-2023 artfynd.xlsx", "A 24701-2023")</f>
        <v/>
      </c>
      <c r="X87">
        <f>HYPERLINK("https://klasma.github.io/Logging_0885/kartor/A 24701-2023 karta.png", "A 24701-2023")</f>
        <v/>
      </c>
      <c r="Y87">
        <f>HYPERLINK("https://klasma.github.io/Logging_0885/kartor_geotiff/A 24701-2023 georefererad karta.tif", "A 24701-2023")</f>
        <v/>
      </c>
      <c r="AA87">
        <f>HYPERLINK("https://klasma.github.io/Logging_0885/klagomål/A 24701-2023 FSC-klagomål.docx", "A 24701-2023")</f>
        <v/>
      </c>
      <c r="AB87">
        <f>HYPERLINK("https://klasma.github.io/Logging_0885/klagomålsmail/A 24701-2023 FSC-klagomål mail.docx", "A 24701-2023")</f>
        <v/>
      </c>
      <c r="AC87">
        <f>HYPERLINK("https://klasma.github.io/Logging_0885/tillsyn/A 24701-2023 tillsynsbegäran.docx", "A 24701-2023")</f>
        <v/>
      </c>
      <c r="AD87">
        <f>HYPERLINK("https://klasma.github.io/Logging_0885/tillsynsmail/A 24701-2023 tillsynsbegäran mail.docx", "A 24701-2023")</f>
        <v/>
      </c>
    </row>
    <row r="88" ht="15" customHeight="1">
      <c r="A88" t="inlineStr">
        <is>
          <t>A 20878-2024</t>
        </is>
      </c>
      <c r="B88" t="inlineStr">
        <is>
          <t>avverkningsanmälan</t>
        </is>
      </c>
      <c r="C88" t="inlineStr">
        <is>
          <t>Föryngringsavverkning</t>
        </is>
      </c>
      <c r="D88" s="1" t="n">
        <v>45439</v>
      </c>
      <c r="E88" s="1" t="n">
        <v>46248</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20878-2024 artfynd.xlsx", "A 20878-2024")</f>
        <v/>
      </c>
      <c r="X88">
        <f>HYPERLINK("https://klasma.github.io/Logging_0885/kartor/A 20878-2024 karta.png", "A 20878-2024")</f>
        <v/>
      </c>
      <c r="Y88">
        <f>HYPERLINK("https://klasma.github.io/Logging_0885/kartor_geotiff/A 20878-2024 georefererad karta.tif", "A 20878-2024")</f>
        <v/>
      </c>
      <c r="AA88">
        <f>HYPERLINK("https://klasma.github.io/Logging_0885/klagomål/A 20878-2024 FSC-klagomål.docx", "A 20878-2024")</f>
        <v/>
      </c>
      <c r="AB88">
        <f>HYPERLINK("https://klasma.github.io/Logging_0885/klagomålsmail/A 20878-2024 FSC-klagomål mail.docx", "A 20878-2024")</f>
        <v/>
      </c>
      <c r="AC88">
        <f>HYPERLINK("https://klasma.github.io/Logging_0885/tillsyn/A 20878-2024 tillsynsbegäran.docx", "A 20878-2024")</f>
        <v/>
      </c>
      <c r="AD88">
        <f>HYPERLINK("https://klasma.github.io/Logging_0885/tillsynsmail/A 20878-2024 tillsynsbegäran mail.docx", "A 20878-2024")</f>
        <v/>
      </c>
    </row>
    <row r="89" ht="15" customHeight="1">
      <c r="A89" t="inlineStr">
        <is>
          <t>A 28785-2025</t>
        </is>
      </c>
      <c r="B89" t="inlineStr">
        <is>
          <t>avverkningsanmälan</t>
        </is>
      </c>
      <c r="C89" t="inlineStr">
        <is>
          <t>Avverkning för att bevara och utveckla /försöksver</t>
        </is>
      </c>
      <c r="D89" s="1" t="n">
        <v>45820</v>
      </c>
      <c r="E89" s="1" t="n">
        <v>46248</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28782-2025</t>
        </is>
      </c>
      <c r="B90" t="inlineStr">
        <is>
          <t>avverkningsanmälan</t>
        </is>
      </c>
      <c r="C90" t="inlineStr">
        <is>
          <t>Avverkning för att bevara och utveckla /försöksver</t>
        </is>
      </c>
      <c r="D90" s="1" t="n">
        <v>45820</v>
      </c>
      <c r="E90" s="1" t="n">
        <v>46248</v>
      </c>
      <c r="F90" t="inlineStr">
        <is>
          <t>KALMAR LÄN</t>
        </is>
      </c>
      <c r="G90" t="inlineStr">
        <is>
          <t>BORGHOLM</t>
        </is>
      </c>
      <c r="H90" t="inlineStr">
        <is>
          <t>Sveaskog</t>
        </is>
      </c>
      <c r="I90" t="n">
        <v>0.8</v>
      </c>
      <c r="J90" t="n">
        <v>1</v>
      </c>
      <c r="K90" t="n">
        <v>0</v>
      </c>
      <c r="L90" t="n">
        <v>0</v>
      </c>
      <c r="M90" t="n">
        <v>0</v>
      </c>
      <c r="N90" t="n">
        <v>0</v>
      </c>
      <c r="O90" t="n">
        <v>0</v>
      </c>
      <c r="P90" t="n">
        <v>0</v>
      </c>
      <c r="Q90" t="n">
        <v>0</v>
      </c>
      <c r="R90" t="n">
        <v>0</v>
      </c>
      <c r="S90" t="n">
        <v>1</v>
      </c>
      <c r="T90" t="n">
        <v>1</v>
      </c>
      <c r="U90" t="n">
        <v>0</v>
      </c>
      <c r="V90" s="2" t="inlineStr">
        <is>
          <t>Havsörn</t>
        </is>
      </c>
      <c r="W90">
        <f>HYPERLINK("https://klasma.github.io/Logging_0885/artfynd/A 28782-2025 artfynd.xlsx", "A 28782-2025")</f>
        <v/>
      </c>
      <c r="X90">
        <f>HYPERLINK("https://klasma.github.io/Logging_0885/kartor/A 28782-2025 karta.png", "A 28782-2025")</f>
        <v/>
      </c>
      <c r="Y90">
        <f>HYPERLINK("https://klasma.github.io/Logging_0885/kartor_geotiff/A 28782-2025 georefererad karta.tif", "A 28782-2025")</f>
        <v/>
      </c>
      <c r="AA90">
        <f>HYPERLINK("https://klasma.github.io/Logging_0885/klagomål/A 28782-2025 FSC-klagomål.docx", "A 28782-2025")</f>
        <v/>
      </c>
      <c r="AB90">
        <f>HYPERLINK("https://klasma.github.io/Logging_0885/klagomålsmail/A 28782-2025 FSC-klagomål mail.docx", "A 28782-2025")</f>
        <v/>
      </c>
      <c r="AC90">
        <f>HYPERLINK("https://klasma.github.io/Logging_0885/tillsyn/A 28782-2025 tillsynsbegäran.docx", "A 28782-2025")</f>
        <v/>
      </c>
      <c r="AD90">
        <f>HYPERLINK("https://klasma.github.io/Logging_0885/tillsynsmail/A 28782-2025 tillsynsbegäran mail.docx", "A 28782-2025")</f>
        <v/>
      </c>
      <c r="AE90">
        <f>HYPERLINK("https://klasma.github.io/Logging_0885/fåglar/A 28782-2025 prioriterade fågelarter.docx", "A 28782-2025")</f>
        <v/>
      </c>
    </row>
    <row r="91" ht="15" customHeight="1">
      <c r="A91" t="inlineStr">
        <is>
          <t>A 41831-2025</t>
        </is>
      </c>
      <c r="B91" t="inlineStr">
        <is>
          <t>avverkningsanmälan</t>
        </is>
      </c>
      <c r="C91" t="inlineStr">
        <is>
          <t>Föryngringsavverkning</t>
        </is>
      </c>
      <c r="D91" s="1" t="n">
        <v>45902</v>
      </c>
      <c r="E91" s="1" t="n">
        <v>46248</v>
      </c>
      <c r="F91" t="inlineStr">
        <is>
          <t>KALMAR LÄN</t>
        </is>
      </c>
      <c r="G91" t="inlineStr">
        <is>
          <t>BORGHOLM</t>
        </is>
      </c>
      <c r="I91" t="n">
        <v>1.5</v>
      </c>
      <c r="J91" t="n">
        <v>1</v>
      </c>
      <c r="K91" t="n">
        <v>1</v>
      </c>
      <c r="L91" t="n">
        <v>0</v>
      </c>
      <c r="M91" t="n">
        <v>0</v>
      </c>
      <c r="N91" t="n">
        <v>0</v>
      </c>
      <c r="O91" t="n">
        <v>0</v>
      </c>
      <c r="P91" t="n">
        <v>0</v>
      </c>
      <c r="Q91" t="n">
        <v>0</v>
      </c>
      <c r="R91" t="n">
        <v>0</v>
      </c>
      <c r="S91" t="n">
        <v>1</v>
      </c>
      <c r="T91" t="n">
        <v>1</v>
      </c>
      <c r="U91" t="n">
        <v>0</v>
      </c>
      <c r="V91" s="2" t="inlineStr">
        <is>
          <t>Skogsknipprot</t>
        </is>
      </c>
      <c r="W91">
        <f>HYPERLINK("https://klasma.github.io/Logging_0885/artfynd/A 41831-2025 artfynd.xlsx", "A 41831-2025")</f>
        <v/>
      </c>
      <c r="X91">
        <f>HYPERLINK("https://klasma.github.io/Logging_0885/kartor/A 41831-2025 karta.png", "A 41831-2025")</f>
        <v/>
      </c>
      <c r="Y91">
        <f>HYPERLINK("https://klasma.github.io/Logging_0885/kartor_geotiff/A 41831-2025 georefererad karta.tif", "A 41831-2025")</f>
        <v/>
      </c>
      <c r="AA91">
        <f>HYPERLINK("https://klasma.github.io/Logging_0885/klagomål/A 41831-2025 FSC-klagomål.docx", "A 41831-2025")</f>
        <v/>
      </c>
      <c r="AB91">
        <f>HYPERLINK("https://klasma.github.io/Logging_0885/klagomålsmail/A 41831-2025 FSC-klagomål mail.docx", "A 41831-2025")</f>
        <v/>
      </c>
      <c r="AC91">
        <f>HYPERLINK("https://klasma.github.io/Logging_0885/tillsyn/A 41831-2025 tillsynsbegäran.docx", "A 41831-2025")</f>
        <v/>
      </c>
      <c r="AD91">
        <f>HYPERLINK("https://klasma.github.io/Logging_0885/tillsynsmail/A 41831-2025 tillsynsbegäran mail.docx", "A 41831-2025")</f>
        <v/>
      </c>
    </row>
    <row r="92" ht="15" customHeight="1">
      <c r="A92" t="inlineStr">
        <is>
          <t>A 26840-2026</t>
        </is>
      </c>
      <c r="B92" t="inlineStr">
        <is>
          <t>avverkningsanmälan</t>
        </is>
      </c>
      <c r="C92" t="inlineStr">
        <is>
          <t>Avverkning för att bevara och utveckla /försöksver</t>
        </is>
      </c>
      <c r="D92" s="1" t="n">
        <v>46185</v>
      </c>
      <c r="E92" s="1" t="n">
        <v>46248</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28374-2026</t>
        </is>
      </c>
      <c r="B93" t="inlineStr">
        <is>
          <t>avverkningsanmälan</t>
        </is>
      </c>
      <c r="C93" t="inlineStr">
        <is>
          <t>Avverkning för att bevara och utveckla /försöksver</t>
        </is>
      </c>
      <c r="D93" s="1" t="n">
        <v>46196</v>
      </c>
      <c r="E93" s="1" t="n">
        <v>46248</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28430-2026</t>
        </is>
      </c>
      <c r="B94" t="inlineStr">
        <is>
          <t>avverkningsanmälan</t>
        </is>
      </c>
      <c r="C94" t="inlineStr">
        <is>
          <t>Avverkning för att bevara och utveckla /försöksver</t>
        </is>
      </c>
      <c r="D94" s="1" t="n">
        <v>46197</v>
      </c>
      <c r="E94" s="1" t="n">
        <v>46248</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33293-2026</t>
        </is>
      </c>
      <c r="B95" t="inlineStr">
        <is>
          <t>avverkningsanmälan</t>
        </is>
      </c>
      <c r="C95" t="inlineStr">
        <is>
          <t>Avverkning för att bevara och utveckla /försöksver</t>
        </is>
      </c>
      <c r="D95" s="1" t="n">
        <v>46246</v>
      </c>
      <c r="E95" s="1" t="n">
        <v>46248</v>
      </c>
      <c r="F95" t="inlineStr">
        <is>
          <t>KALMAR LÄN</t>
        </is>
      </c>
      <c r="G95" t="inlineStr">
        <is>
          <t>BORGHOLM</t>
        </is>
      </c>
      <c r="H95" t="inlineStr">
        <is>
          <t>Sveaskog</t>
        </is>
      </c>
      <c r="I95" t="n">
        <v>3.8</v>
      </c>
      <c r="J95" t="n">
        <v>1</v>
      </c>
      <c r="K95" t="n">
        <v>1</v>
      </c>
      <c r="L95" t="n">
        <v>0</v>
      </c>
      <c r="M95" t="n">
        <v>0</v>
      </c>
      <c r="N95" t="n">
        <v>0</v>
      </c>
      <c r="O95" t="n">
        <v>0</v>
      </c>
      <c r="P95" t="n">
        <v>0</v>
      </c>
      <c r="Q95" t="n">
        <v>0</v>
      </c>
      <c r="R95" t="n">
        <v>0</v>
      </c>
      <c r="S95" t="n">
        <v>1</v>
      </c>
      <c r="T95" t="n">
        <v>2</v>
      </c>
      <c r="U95" t="n">
        <v>0</v>
      </c>
      <c r="V95" s="2" t="inlineStr">
        <is>
          <t>Skogsknipprot</t>
        </is>
      </c>
      <c r="W95">
        <f>HYPERLINK("https://klasma.github.io/Logging_0885/artfynd/A 33293-2026 artfynd.xlsx", "A 33293-2026")</f>
        <v/>
      </c>
      <c r="X95">
        <f>HYPERLINK("https://klasma.github.io/Logging_0885/kartor/A 33293-2026 karta.png", "A 33293-2026")</f>
        <v/>
      </c>
      <c r="Y95">
        <f>HYPERLINK("https://klasma.github.io/Logging_0885/kartor_geotiff/A 33293-2026 georefererad karta.tif", "A 33293-2026")</f>
        <v/>
      </c>
      <c r="AA95">
        <f>HYPERLINK("https://klasma.github.io/Logging_0885/klagomål/A 33293-2026 FSC-klagomål.docx", "A 33293-2026")</f>
        <v/>
      </c>
      <c r="AB95">
        <f>HYPERLINK("https://klasma.github.io/Logging_0885/klagomålsmail/A 33293-2026 FSC-klagomål mail.docx", "A 33293-2026")</f>
        <v/>
      </c>
      <c r="AC95">
        <f>HYPERLINK("https://klasma.github.io/Logging_0885/tillsyn/A 33293-2026 tillsynsbegäran.docx", "A 33293-2026")</f>
        <v/>
      </c>
      <c r="AD95">
        <f>HYPERLINK("https://klasma.github.io/Logging_0885/tillsynsmail/A 33293-2026 tillsynsbegäran mail.docx", "A 33293-2026")</f>
        <v/>
      </c>
    </row>
    <row r="96" ht="15" customHeight="1">
      <c r="A96" t="inlineStr">
        <is>
          <t>A 3302-2026</t>
        </is>
      </c>
      <c r="B96" t="inlineStr">
        <is>
          <t>avverkningsanmälan</t>
        </is>
      </c>
      <c r="C96" t="inlineStr">
        <is>
          <t>Avverkning för annat ändamål</t>
        </is>
      </c>
      <c r="D96" s="1" t="n">
        <v>46041</v>
      </c>
      <c r="E96" s="1" t="n">
        <v>46248</v>
      </c>
      <c r="F96" t="inlineStr">
        <is>
          <t>KALMAR LÄN</t>
        </is>
      </c>
      <c r="G96" t="inlineStr">
        <is>
          <t>BORGHOLM</t>
        </is>
      </c>
      <c r="I96" t="n">
        <v>3.9</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HYPERLINK("https://klasma.github.io/Logging_0885/artfynd/A 3302-2026 artfynd.xlsx", "A 3302-2026")</f>
        <v/>
      </c>
      <c r="X96">
        <f>HYPERLINK("https://klasma.github.io/Logging_0885/kartor/A 3302-2026 karta.png", "A 3302-2026")</f>
        <v/>
      </c>
      <c r="Y96">
        <f>HYPERLINK("https://klasma.github.io/Logging_0885/kartor_geotiff/A 3302-2026 georefererad karta.tif", "A 3302-2026")</f>
        <v/>
      </c>
      <c r="AA96">
        <f>HYPERLINK("https://klasma.github.io/Logging_0885/klagomål/A 3302-2026 FSC-klagomål.docx", "A 3302-2026")</f>
        <v/>
      </c>
      <c r="AB96">
        <f>HYPERLINK("https://klasma.github.io/Logging_0885/klagomålsmail/A 3302-2026 FSC-klagomål mail.docx", "A 3302-2026")</f>
        <v/>
      </c>
      <c r="AC96">
        <f>HYPERLINK("https://klasma.github.io/Logging_0885/tillsyn/A 3302-2026 tillsynsbegäran.docx", "A 3302-2026")</f>
        <v/>
      </c>
      <c r="AD96">
        <f>HYPERLINK("https://klasma.github.io/Logging_0885/tillsynsmail/A 3302-2026 tillsynsbegäran mail.docx", "A 3302-2026")</f>
        <v/>
      </c>
    </row>
    <row r="97" ht="15" customHeight="1">
      <c r="A97" t="inlineStr">
        <is>
          <t>A 7481-2026</t>
        </is>
      </c>
      <c r="B97" t="inlineStr">
        <is>
          <t>avverkningsanmälan</t>
        </is>
      </c>
      <c r="C97" t="inlineStr">
        <is>
          <t>Föryngringsavverkning</t>
        </is>
      </c>
      <c r="D97" s="1" t="n">
        <v>46059</v>
      </c>
      <c r="E97" s="1" t="n">
        <v>46248</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7481-2026 artfynd.xlsx", "A 7481-2026")</f>
        <v/>
      </c>
      <c r="X97">
        <f>HYPERLINK("https://klasma.github.io/Logging_0885/kartor/A 7481-2026 karta.png", "A 7481-2026")</f>
        <v/>
      </c>
      <c r="Y97">
        <f>HYPERLINK("https://klasma.github.io/Logging_0885/kartor_geotiff/A 7481-2026 georefererad karta.tif", "A 7481-2026")</f>
        <v/>
      </c>
      <c r="AA97">
        <f>HYPERLINK("https://klasma.github.io/Logging_0885/klagomål/A 7481-2026 FSC-klagomål.docx", "A 7481-2026")</f>
        <v/>
      </c>
      <c r="AB97">
        <f>HYPERLINK("https://klasma.github.io/Logging_0885/klagomålsmail/A 7481-2026 FSC-klagomål mail.docx", "A 7481-2026")</f>
        <v/>
      </c>
      <c r="AC97">
        <f>HYPERLINK("https://klasma.github.io/Logging_0885/tillsyn/A 7481-2026 tillsynsbegäran.docx", "A 7481-2026")</f>
        <v/>
      </c>
      <c r="AD97">
        <f>HYPERLINK("https://klasma.github.io/Logging_0885/tillsynsmail/A 7481-2026 tillsynsbegäran mail.docx", "A 7481-2026")</f>
        <v/>
      </c>
    </row>
    <row r="98" ht="15" customHeight="1">
      <c r="A98" t="inlineStr">
        <is>
          <t>A 9905-2026</t>
        </is>
      </c>
      <c r="B98" t="inlineStr">
        <is>
          <t>avverkningsanmälan</t>
        </is>
      </c>
      <c r="C98" t="inlineStr">
        <is>
          <t>Föryngringsavverkning</t>
        </is>
      </c>
      <c r="D98" s="1" t="n">
        <v>46073</v>
      </c>
      <c r="E98" s="1" t="n">
        <v>46248</v>
      </c>
      <c r="F98" t="inlineStr">
        <is>
          <t>KALMAR LÄN</t>
        </is>
      </c>
      <c r="G98" t="inlineStr">
        <is>
          <t>BORGHOLM</t>
        </is>
      </c>
      <c r="I98" t="n">
        <v>1.4</v>
      </c>
      <c r="J98" t="n">
        <v>0</v>
      </c>
      <c r="K98" t="n">
        <v>0</v>
      </c>
      <c r="L98" t="n">
        <v>0</v>
      </c>
      <c r="M98" t="n">
        <v>0</v>
      </c>
      <c r="N98" t="n">
        <v>1</v>
      </c>
      <c r="O98" t="n">
        <v>0</v>
      </c>
      <c r="P98" t="n">
        <v>0</v>
      </c>
      <c r="Q98" t="n">
        <v>1</v>
      </c>
      <c r="R98" t="n">
        <v>1</v>
      </c>
      <c r="S98" t="n">
        <v>1</v>
      </c>
      <c r="T98" t="n">
        <v>1</v>
      </c>
      <c r="U98" t="n">
        <v>0</v>
      </c>
      <c r="V98" s="2" t="inlineStr">
        <is>
          <t>Ask</t>
        </is>
      </c>
      <c r="W98">
        <f>HYPERLINK("https://klasma.github.io/Logging_0885/artfynd/A 9905-2026 artfynd.xlsx", "A 9905-2026")</f>
        <v/>
      </c>
      <c r="X98">
        <f>HYPERLINK("https://klasma.github.io/Logging_0885/kartor/A 9905-2026 karta.png", "A 9905-2026")</f>
        <v/>
      </c>
      <c r="Y98">
        <f>HYPERLINK("https://klasma.github.io/Logging_0885/kartor_geotiff/A 9905-2026 georefererad karta.tif", "A 9905-2026")</f>
        <v/>
      </c>
      <c r="AA98">
        <f>HYPERLINK("https://klasma.github.io/Logging_0885/klagomål/A 9905-2026 FSC-klagomål.docx", "A 9905-2026")</f>
        <v/>
      </c>
      <c r="AB98">
        <f>HYPERLINK("https://klasma.github.io/Logging_0885/klagomålsmail/A 9905-2026 FSC-klagomål mail.docx", "A 9905-2026")</f>
        <v/>
      </c>
      <c r="AC98">
        <f>HYPERLINK("https://klasma.github.io/Logging_0885/tillsyn/A 9905-2026 tillsynsbegäran.docx", "A 9905-2026")</f>
        <v/>
      </c>
      <c r="AD98">
        <f>HYPERLINK("https://klasma.github.io/Logging_0885/tillsynsmail/A 9905-2026 tillsynsbegäran mail.docx", "A 9905-2026")</f>
        <v/>
      </c>
    </row>
    <row r="99" ht="15" customHeight="1">
      <c r="A99" t="inlineStr">
        <is>
          <t>S 2390-2023</t>
        </is>
      </c>
      <c r="B99" t="inlineStr">
        <is>
          <t>samrådsanmälan</t>
        </is>
      </c>
      <c r="C99" t="inlineStr">
        <is>
          <t>Annan skogsbruksåtgärd</t>
        </is>
      </c>
      <c r="D99" s="1" t="n">
        <v>45111</v>
      </c>
      <c r="E99" s="1" t="n">
        <v>46248</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46248</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46248</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46248</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46248</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46248</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42761-2021</t>
        </is>
      </c>
      <c r="B105" t="inlineStr">
        <is>
          <t>avverkningsanmälan</t>
        </is>
      </c>
      <c r="C105" t="inlineStr">
        <is>
          <t>Avverkning för annat ändamål</t>
        </is>
      </c>
      <c r="D105" s="1" t="n">
        <v>44428</v>
      </c>
      <c r="E105" s="1" t="n">
        <v>46248</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32665-2022</t>
        </is>
      </c>
      <c r="B106" t="inlineStr">
        <is>
          <t>avverkningsanmälan</t>
        </is>
      </c>
      <c r="C106" t="inlineStr">
        <is>
          <t>Avverkning för att bevara och utveckla /försöksver</t>
        </is>
      </c>
      <c r="D106" s="1" t="n">
        <v>44783</v>
      </c>
      <c r="E106" s="1" t="n">
        <v>46248</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46248</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56188-2021</t>
        </is>
      </c>
      <c r="B108" t="inlineStr">
        <is>
          <t>avverkningsanmälan</t>
        </is>
      </c>
      <c r="C108" t="inlineStr">
        <is>
          <t>Föryngringsavverkning</t>
        </is>
      </c>
      <c r="D108" s="1" t="n">
        <v>44477</v>
      </c>
      <c r="E108" s="1" t="n">
        <v>46248</v>
      </c>
      <c r="F108" t="inlineStr">
        <is>
          <t>KALMAR LÄN</t>
        </is>
      </c>
      <c r="G108" t="inlineStr">
        <is>
          <t>BORGHOLM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46248</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46248</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46248</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46248</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46248</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32919-2023</t>
        </is>
      </c>
      <c r="B114" t="inlineStr">
        <is>
          <t>avverkningsanmälan</t>
        </is>
      </c>
      <c r="C114" t="inlineStr">
        <is>
          <t>Föryngringsavverkning</t>
        </is>
      </c>
      <c r="D114" s="1" t="n">
        <v>45125</v>
      </c>
      <c r="E114" s="1" t="n">
        <v>46248</v>
      </c>
      <c r="F114" t="inlineStr">
        <is>
          <t>KALMAR LÄN</t>
        </is>
      </c>
      <c r="G114" t="inlineStr">
        <is>
          <t>BORGHOLM</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9076-2025</t>
        </is>
      </c>
      <c r="B115" t="inlineStr">
        <is>
          <t>avverkningsanmälan</t>
        </is>
      </c>
      <c r="C115" t="inlineStr">
        <is>
          <t>Föryngringsavverkning</t>
        </is>
      </c>
      <c r="D115" s="1" t="n">
        <v>45713</v>
      </c>
      <c r="E115" s="1" t="n">
        <v>46248</v>
      </c>
      <c r="F115" t="inlineStr">
        <is>
          <t>KALMAR LÄN</t>
        </is>
      </c>
      <c r="G115" t="inlineStr">
        <is>
          <t>BORGHOLM</t>
        </is>
      </c>
      <c r="H115" t="inlineStr">
        <is>
          <t>Sveaskog</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1757-2025</t>
        </is>
      </c>
      <c r="B116" t="inlineStr">
        <is>
          <t>avverkningsanmälan</t>
        </is>
      </c>
      <c r="C116" t="inlineStr">
        <is>
          <t>Föryngringsavverkning</t>
        </is>
      </c>
      <c r="D116" s="1" t="n">
        <v>45671</v>
      </c>
      <c r="E116" s="1" t="n">
        <v>46248</v>
      </c>
      <c r="F116" t="inlineStr">
        <is>
          <t>KALMAR LÄN</t>
        </is>
      </c>
      <c r="G116" t="inlineStr">
        <is>
          <t>BORGHOLM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44547-2021</t>
        </is>
      </c>
      <c r="B117" t="inlineStr">
        <is>
          <t>avverkningsanmälan</t>
        </is>
      </c>
      <c r="C117" t="inlineStr">
        <is>
          <t>Avverkning för annat ändamål</t>
        </is>
      </c>
      <c r="D117" s="1" t="n">
        <v>44435</v>
      </c>
      <c r="E117" s="1" t="n">
        <v>46248</v>
      </c>
      <c r="F117" t="inlineStr">
        <is>
          <t>KALMAR LÄN</t>
        </is>
      </c>
      <c r="G117" t="inlineStr">
        <is>
          <t>BORGHOLM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5175-2024</t>
        </is>
      </c>
      <c r="B118" t="inlineStr">
        <is>
          <t>avverkningsanmälan</t>
        </is>
      </c>
      <c r="C118" t="inlineStr">
        <is>
          <t>Föryngringsavverkning</t>
        </is>
      </c>
      <c r="D118" s="1" t="n">
        <v>45330</v>
      </c>
      <c r="E118" s="1" t="n">
        <v>46248</v>
      </c>
      <c r="F118" t="inlineStr">
        <is>
          <t>KALMAR LÄN</t>
        </is>
      </c>
      <c r="G118" t="inlineStr">
        <is>
          <t>BORGHOLM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34951-2022</t>
        </is>
      </c>
      <c r="B119" t="inlineStr">
        <is>
          <t>avverkningsanmälan</t>
        </is>
      </c>
      <c r="C119" t="inlineStr">
        <is>
          <t>Avverkning för att bevara och utveckla /försöksver</t>
        </is>
      </c>
      <c r="D119" s="1" t="n">
        <v>44796</v>
      </c>
      <c r="E119" s="1" t="n">
        <v>46248</v>
      </c>
      <c r="F119" t="inlineStr">
        <is>
          <t>KALMAR LÄN</t>
        </is>
      </c>
      <c r="G119" t="inlineStr">
        <is>
          <t>BORGHOLM</t>
        </is>
      </c>
      <c r="H119" t="inlineStr">
        <is>
          <t>Sveaskog</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64303-2023</t>
        </is>
      </c>
      <c r="B120" t="inlineStr">
        <is>
          <t>avverkningsanmälan</t>
        </is>
      </c>
      <c r="C120" t="inlineStr">
        <is>
          <t>Avverkning för annat ändamål</t>
        </is>
      </c>
      <c r="D120" s="1" t="n">
        <v>45280</v>
      </c>
      <c r="E120" s="1" t="n">
        <v>46248</v>
      </c>
      <c r="F120" t="inlineStr">
        <is>
          <t>KALMAR LÄN</t>
        </is>
      </c>
      <c r="G120" t="inlineStr">
        <is>
          <t>BORGHOLM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13383-2023</t>
        </is>
      </c>
      <c r="B121" t="inlineStr">
        <is>
          <t>avverkningsanmälan</t>
        </is>
      </c>
      <c r="C121" t="inlineStr">
        <is>
          <t>Föryngringsavverkning</t>
        </is>
      </c>
      <c r="D121" s="1" t="n">
        <v>45005</v>
      </c>
      <c r="E121" s="1" t="n">
        <v>46248</v>
      </c>
      <c r="F121" t="inlineStr">
        <is>
          <t>KALMAR LÄN</t>
        </is>
      </c>
      <c r="G121" t="inlineStr">
        <is>
          <t>BORGHOLM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61438-2023</t>
        </is>
      </c>
      <c r="B122" t="inlineStr">
        <is>
          <t>avverkningsanmälan</t>
        </is>
      </c>
      <c r="C122" t="inlineStr">
        <is>
          <t>Avverkning för annat ändamål</t>
        </is>
      </c>
      <c r="D122" s="1" t="n">
        <v>45264</v>
      </c>
      <c r="E122" s="1" t="n">
        <v>46248</v>
      </c>
      <c r="F122" t="inlineStr">
        <is>
          <t>KALMAR LÄN</t>
        </is>
      </c>
      <c r="G122" t="inlineStr">
        <is>
          <t>BORGHOLM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13041-2024</t>
        </is>
      </c>
      <c r="B123" t="inlineStr">
        <is>
          <t>avverkningsanmälan</t>
        </is>
      </c>
      <c r="C123" t="inlineStr">
        <is>
          <t>Föryngringsavverkning</t>
        </is>
      </c>
      <c r="D123" s="1" t="n">
        <v>45385</v>
      </c>
      <c r="E123" s="1" t="n">
        <v>46248</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55367-2024</t>
        </is>
      </c>
      <c r="B124" t="inlineStr">
        <is>
          <t>avverkningsanmälan</t>
        </is>
      </c>
      <c r="C124" t="inlineStr">
        <is>
          <t>Föryngringsavverkning</t>
        </is>
      </c>
      <c r="D124" s="1" t="n">
        <v>45621</v>
      </c>
      <c r="E124" s="1" t="n">
        <v>46248</v>
      </c>
      <c r="F124" t="inlineStr">
        <is>
          <t>KALMAR LÄN</t>
        </is>
      </c>
      <c r="G124" t="inlineStr">
        <is>
          <t>BORGHOLM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53050-2021</t>
        </is>
      </c>
      <c r="B125" t="inlineStr">
        <is>
          <t>avverkningsanmälan</t>
        </is>
      </c>
      <c r="C125" t="inlineStr">
        <is>
          <t>Föryngringsavverkning</t>
        </is>
      </c>
      <c r="D125" s="1" t="n">
        <v>44467</v>
      </c>
      <c r="E125" s="1" t="n">
        <v>46248</v>
      </c>
      <c r="F125" t="inlineStr">
        <is>
          <t>KALMAR LÄN</t>
        </is>
      </c>
      <c r="G125" t="inlineStr">
        <is>
          <t>BORGHOLM</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4165-2023</t>
        </is>
      </c>
      <c r="B126" t="inlineStr">
        <is>
          <t>avverkningsanmälan</t>
        </is>
      </c>
      <c r="C126" t="inlineStr">
        <is>
          <t>Föryngringsavverkning</t>
        </is>
      </c>
      <c r="D126" s="1" t="n">
        <v>44953</v>
      </c>
      <c r="E126" s="1" t="n">
        <v>46248</v>
      </c>
      <c r="F126" t="inlineStr">
        <is>
          <t>KALMAR LÄN</t>
        </is>
      </c>
      <c r="G126" t="inlineStr">
        <is>
          <t>BORGHOLM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9050-2025</t>
        </is>
      </c>
      <c r="B127" t="inlineStr">
        <is>
          <t>avverkningsanmälan</t>
        </is>
      </c>
      <c r="C127" t="inlineStr">
        <is>
          <t>Avverkning för att bevara och utveckla /försöksver</t>
        </is>
      </c>
      <c r="D127" s="1" t="n">
        <v>45713</v>
      </c>
      <c r="E127" s="1" t="n">
        <v>46248</v>
      </c>
      <c r="F127" t="inlineStr">
        <is>
          <t>KALMAR LÄN</t>
        </is>
      </c>
      <c r="G127" t="inlineStr">
        <is>
          <t>BORGHOLM</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3878-2023</t>
        </is>
      </c>
      <c r="B128" t="inlineStr">
        <is>
          <t>avverkningsanmälan</t>
        </is>
      </c>
      <c r="C128" t="inlineStr">
        <is>
          <t>Föryngringsavverkning</t>
        </is>
      </c>
      <c r="D128" s="1" t="n">
        <v>44951</v>
      </c>
      <c r="E128" s="1" t="n">
        <v>46248</v>
      </c>
      <c r="F128" t="inlineStr">
        <is>
          <t>KALMAR LÄN</t>
        </is>
      </c>
      <c r="G128" t="inlineStr">
        <is>
          <t>BORGHOLM</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43603-2024</t>
        </is>
      </c>
      <c r="B129" t="inlineStr">
        <is>
          <t>avverkningsanmälan</t>
        </is>
      </c>
      <c r="C129" t="inlineStr">
        <is>
          <t>Föryngringsavverkning</t>
        </is>
      </c>
      <c r="D129" s="1" t="n">
        <v>45569</v>
      </c>
      <c r="E129" s="1" t="n">
        <v>46248</v>
      </c>
      <c r="F129" t="inlineStr">
        <is>
          <t>KALMAR LÄN</t>
        </is>
      </c>
      <c r="G129" t="inlineStr">
        <is>
          <t>BORGHOLM</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4159-2024</t>
        </is>
      </c>
      <c r="B130" t="inlineStr">
        <is>
          <t>avverkningsanmälan</t>
        </is>
      </c>
      <c r="C130" t="inlineStr">
        <is>
          <t>Föryngringsavverkning</t>
        </is>
      </c>
      <c r="D130" s="1" t="n">
        <v>45323</v>
      </c>
      <c r="E130" s="1" t="n">
        <v>46248</v>
      </c>
      <c r="F130" t="inlineStr">
        <is>
          <t>KALMAR LÄN</t>
        </is>
      </c>
      <c r="G130" t="inlineStr">
        <is>
          <t>BORGHOLM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32921-2023</t>
        </is>
      </c>
      <c r="B131" t="inlineStr">
        <is>
          <t>avverkningsanmälan</t>
        </is>
      </c>
      <c r="C131" t="inlineStr">
        <is>
          <t>Föryngringsavverkning</t>
        </is>
      </c>
      <c r="D131" s="1" t="n">
        <v>45125</v>
      </c>
      <c r="E131" s="1" t="n">
        <v>46248</v>
      </c>
      <c r="F131" t="inlineStr">
        <is>
          <t>KALMAR LÄN</t>
        </is>
      </c>
      <c r="G131" t="inlineStr">
        <is>
          <t>BORGHOLM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31699-2022</t>
        </is>
      </c>
      <c r="B132" t="inlineStr">
        <is>
          <t>avverkningsanmälan</t>
        </is>
      </c>
      <c r="C132" t="inlineStr">
        <is>
          <t>Föryngringsavverkning</t>
        </is>
      </c>
      <c r="D132" s="1" t="n">
        <v>44776</v>
      </c>
      <c r="E132" s="1" t="n">
        <v>46248</v>
      </c>
      <c r="F132" t="inlineStr">
        <is>
          <t>KALMAR LÄN</t>
        </is>
      </c>
      <c r="G132" t="inlineStr">
        <is>
          <t>BORGHOLM</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34780-2022</t>
        </is>
      </c>
      <c r="B133" t="inlineStr">
        <is>
          <t>avverkningsanmälan</t>
        </is>
      </c>
      <c r="C133" t="inlineStr">
        <is>
          <t>Föryngringsavverkning</t>
        </is>
      </c>
      <c r="D133" s="1" t="n">
        <v>44795</v>
      </c>
      <c r="E133" s="1" t="n">
        <v>46248</v>
      </c>
      <c r="F133" t="inlineStr">
        <is>
          <t>KALMAR LÄN</t>
        </is>
      </c>
      <c r="G133" t="inlineStr">
        <is>
          <t>BORGHOLM</t>
        </is>
      </c>
      <c r="H133" t="inlineStr">
        <is>
          <t>Sveaskog</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1614-2025</t>
        </is>
      </c>
      <c r="B134" t="inlineStr">
        <is>
          <t>avverkningsanmälan</t>
        </is>
      </c>
      <c r="C134" t="inlineStr">
        <is>
          <t>Föryngringsavverkning</t>
        </is>
      </c>
      <c r="D134" s="1" t="n">
        <v>45670</v>
      </c>
      <c r="E134" s="1" t="n">
        <v>46248</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26190-2025</t>
        </is>
      </c>
      <c r="B135" t="inlineStr">
        <is>
          <t>avverkningsanmälan</t>
        </is>
      </c>
      <c r="C135" t="inlineStr">
        <is>
          <t>Föryngringsavverkning</t>
        </is>
      </c>
      <c r="D135" s="1" t="n">
        <v>45805</v>
      </c>
      <c r="E135" s="1" t="n">
        <v>46248</v>
      </c>
      <c r="F135" t="inlineStr">
        <is>
          <t>KALMAR LÄN</t>
        </is>
      </c>
      <c r="G135" t="inlineStr">
        <is>
          <t>BORGHOLM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12937-2022</t>
        </is>
      </c>
      <c r="B136" t="inlineStr">
        <is>
          <t>avverkningsanmälan</t>
        </is>
      </c>
      <c r="C136" t="inlineStr">
        <is>
          <t>Föryngringsavverkning</t>
        </is>
      </c>
      <c r="D136" s="1" t="n">
        <v>44642</v>
      </c>
      <c r="E136" s="1" t="n">
        <v>46248</v>
      </c>
      <c r="F136" t="inlineStr">
        <is>
          <t>KALMAR LÄN</t>
        </is>
      </c>
      <c r="G136" t="inlineStr">
        <is>
          <t>BORGHOLM</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20287-2025</t>
        </is>
      </c>
      <c r="B137" t="inlineStr">
        <is>
          <t>avverkningsanmälan</t>
        </is>
      </c>
      <c r="C137" t="inlineStr">
        <is>
          <t>Avverkning för att bevara och utveckla /försöksver</t>
        </is>
      </c>
      <c r="D137" s="1" t="n">
        <v>45774</v>
      </c>
      <c r="E137" s="1" t="n">
        <v>46248</v>
      </c>
      <c r="F137" t="inlineStr">
        <is>
          <t>KALMAR LÄN</t>
        </is>
      </c>
      <c r="G137" t="inlineStr">
        <is>
          <t>BORGHOLM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26160-2024</t>
        </is>
      </c>
      <c r="B138" t="inlineStr">
        <is>
          <t>avverkningsanmälan</t>
        </is>
      </c>
      <c r="C138" t="inlineStr">
        <is>
          <t>Avverkning för annat ändamål</t>
        </is>
      </c>
      <c r="D138" s="1" t="n">
        <v>45468</v>
      </c>
      <c r="E138" s="1" t="n">
        <v>46248</v>
      </c>
      <c r="F138" t="inlineStr">
        <is>
          <t>KALMAR LÄN</t>
        </is>
      </c>
      <c r="G138" t="inlineStr">
        <is>
          <t>BORGHOLM</t>
        </is>
      </c>
      <c r="I138" t="n">
        <v>0.4</v>
      </c>
      <c r="J138" t="n">
        <v>0</v>
      </c>
      <c r="K138" t="n">
        <v>0</v>
      </c>
      <c r="L138" t="n">
        <v>0</v>
      </c>
      <c r="M138" t="n">
        <v>0</v>
      </c>
      <c r="N138" t="n">
        <v>0</v>
      </c>
      <c r="O138" t="n">
        <v>0</v>
      </c>
      <c r="P138" t="n">
        <v>0</v>
      </c>
      <c r="Q138" t="n">
        <v>0</v>
      </c>
      <c r="R138" t="n">
        <v>0</v>
      </c>
      <c r="S138" t="n">
        <v>0</v>
      </c>
      <c r="T138" t="n">
        <v>0</v>
      </c>
      <c r="U138" t="n">
        <v>0</v>
      </c>
      <c r="V138" s="2" t="inlineStr"/>
      <c r="X138">
        <f>HYPERLINK("https://klasma.github.io/Logging_0885/kartor/A 26160-2024 karta.png", "A 26160-2024")</f>
        <v/>
      </c>
      <c r="Y138">
        <f>HYPERLINK("https://klasma.github.io/Logging_0885/kartor_geotiff/A 26160-2024 georefererad karta.tif", "A 26160-2024")</f>
        <v/>
      </c>
      <c r="AA138">
        <f>HYPERLINK("https://klasma.github.io/Logging_0885/klagomål/A 26160-2024 FSC-klagomål.docx", "A 26160-2024")</f>
        <v/>
      </c>
      <c r="AB138">
        <f>HYPERLINK("https://klasma.github.io/Logging_0885/klagomålsmail/A 26160-2024 FSC-klagomål mail.docx", "A 26160-2024")</f>
        <v/>
      </c>
      <c r="AC138">
        <f>HYPERLINK("https://klasma.github.io/Logging_0885/tillsyn/A 26160-2024 tillsynsbegäran.docx", "A 26160-2024")</f>
        <v/>
      </c>
      <c r="AD138">
        <f>HYPERLINK("https://klasma.github.io/Logging_0885/tillsynsmail/A 26160-2024 tillsynsbegäran mail.docx", "A 26160-2024")</f>
        <v/>
      </c>
    </row>
    <row r="139" ht="15" customHeight="1">
      <c r="A139" t="inlineStr">
        <is>
          <t>A 36269-2025</t>
        </is>
      </c>
      <c r="B139" t="inlineStr">
        <is>
          <t>avverkningsanmälan</t>
        </is>
      </c>
      <c r="C139" t="inlineStr">
        <is>
          <t>Föryngringsavverkning</t>
        </is>
      </c>
      <c r="D139" s="1" t="n">
        <v>45867</v>
      </c>
      <c r="E139" s="1" t="n">
        <v>46248</v>
      </c>
      <c r="F139" t="inlineStr">
        <is>
          <t>KALMAR LÄN</t>
        </is>
      </c>
      <c r="G139" t="inlineStr">
        <is>
          <t>BORGHOLM</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63075-2023</t>
        </is>
      </c>
      <c r="B140" t="inlineStr">
        <is>
          <t>avverkningsanmälan</t>
        </is>
      </c>
      <c r="C140" t="inlineStr">
        <is>
          <t>Avverkning för annat ändamål</t>
        </is>
      </c>
      <c r="D140" s="1" t="n">
        <v>45273</v>
      </c>
      <c r="E140" s="1" t="n">
        <v>46248</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41950-2025</t>
        </is>
      </c>
      <c r="B141" t="inlineStr">
        <is>
          <t>avverkningsanmälan</t>
        </is>
      </c>
      <c r="C141" t="inlineStr">
        <is>
          <t>Föryngringsavverkning</t>
        </is>
      </c>
      <c r="D141" s="1" t="n">
        <v>45903</v>
      </c>
      <c r="E141" s="1" t="n">
        <v>46248</v>
      </c>
      <c r="F141" t="inlineStr">
        <is>
          <t>KALMAR LÄN</t>
        </is>
      </c>
      <c r="G141" t="inlineStr">
        <is>
          <t>BORGHOLM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22785-2025</t>
        </is>
      </c>
      <c r="B142" t="inlineStr">
        <is>
          <t>avverkningsanmälan</t>
        </is>
      </c>
      <c r="C142" t="inlineStr">
        <is>
          <t>Föryngringsavverkning</t>
        </is>
      </c>
      <c r="D142" s="1" t="n">
        <v>45789</v>
      </c>
      <c r="E142" s="1" t="n">
        <v>46248</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27357-2025</t>
        </is>
      </c>
      <c r="B143" t="inlineStr">
        <is>
          <t>avverkningsanmälan</t>
        </is>
      </c>
      <c r="C143" t="inlineStr">
        <is>
          <t>Avverkning för att bevara och utveckla /försöksver</t>
        </is>
      </c>
      <c r="D143" s="1" t="n">
        <v>45812</v>
      </c>
      <c r="E143" s="1" t="n">
        <v>46248</v>
      </c>
      <c r="F143" t="inlineStr">
        <is>
          <t>KALMAR LÄN</t>
        </is>
      </c>
      <c r="G143" t="inlineStr">
        <is>
          <t>BORGHOLM</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7669-2024</t>
        </is>
      </c>
      <c r="B144" t="inlineStr">
        <is>
          <t>avverkningsanmälan</t>
        </is>
      </c>
      <c r="C144" t="inlineStr">
        <is>
          <t>Föryngringsavverkning</t>
        </is>
      </c>
      <c r="D144" s="1" t="n">
        <v>45348</v>
      </c>
      <c r="E144" s="1" t="n">
        <v>46248</v>
      </c>
      <c r="F144" t="inlineStr">
        <is>
          <t>KALMAR LÄN</t>
        </is>
      </c>
      <c r="G144" t="inlineStr">
        <is>
          <t>BORGHOLM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45869-2025</t>
        </is>
      </c>
      <c r="B145" t="inlineStr">
        <is>
          <t>avverkningsanmälan</t>
        </is>
      </c>
      <c r="C145" t="inlineStr">
        <is>
          <t>Föryngringsavverkning</t>
        </is>
      </c>
      <c r="D145" s="1" t="n">
        <v>45923</v>
      </c>
      <c r="E145" s="1" t="n">
        <v>46248</v>
      </c>
      <c r="F145" t="inlineStr">
        <is>
          <t>KALMAR LÄN</t>
        </is>
      </c>
      <c r="G145" t="inlineStr">
        <is>
          <t>BORGHOLM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40339-2023</t>
        </is>
      </c>
      <c r="B146" t="inlineStr">
        <is>
          <t>avverkningsanmälan</t>
        </is>
      </c>
      <c r="C146" t="inlineStr">
        <is>
          <t>Föryngringsavverkning</t>
        </is>
      </c>
      <c r="D146" s="1" t="n">
        <v>45169</v>
      </c>
      <c r="E146" s="1" t="n">
        <v>46248</v>
      </c>
      <c r="F146" t="inlineStr">
        <is>
          <t>KALMAR LÄN</t>
        </is>
      </c>
      <c r="G146" t="inlineStr">
        <is>
          <t>BORGHOLM</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46845-2025</t>
        </is>
      </c>
      <c r="B147" t="inlineStr">
        <is>
          <t>avverkningsanmälan</t>
        </is>
      </c>
      <c r="C147" t="inlineStr">
        <is>
          <t>Avverkning för annat ändamål</t>
        </is>
      </c>
      <c r="D147" s="1" t="n">
        <v>45928</v>
      </c>
      <c r="E147" s="1" t="n">
        <v>46248</v>
      </c>
      <c r="F147" t="inlineStr">
        <is>
          <t>KALMAR LÄN</t>
        </is>
      </c>
      <c r="G147" t="inlineStr">
        <is>
          <t>BORGHOLM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24323-2026</t>
        </is>
      </c>
      <c r="B148" t="inlineStr">
        <is>
          <t>avverkningsanmälan</t>
        </is>
      </c>
      <c r="C148" t="inlineStr">
        <is>
          <t>Föryngringsavverkning</t>
        </is>
      </c>
      <c r="D148" s="1" t="n">
        <v>46169</v>
      </c>
      <c r="E148" s="1" t="n">
        <v>46248</v>
      </c>
      <c r="F148" t="inlineStr">
        <is>
          <t>KALMAR LÄN</t>
        </is>
      </c>
      <c r="G148" t="inlineStr">
        <is>
          <t>BORGHOLM</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24345-2026</t>
        </is>
      </c>
      <c r="B149" t="inlineStr">
        <is>
          <t>avverkningsanmälan</t>
        </is>
      </c>
      <c r="C149" t="inlineStr">
        <is>
          <t>Avverkning för att bevara och utveckla /försöksver</t>
        </is>
      </c>
      <c r="D149" s="1" t="n">
        <v>46169</v>
      </c>
      <c r="E149" s="1" t="n">
        <v>46248</v>
      </c>
      <c r="F149" t="inlineStr">
        <is>
          <t>KALMAR LÄN</t>
        </is>
      </c>
      <c r="G149" t="inlineStr">
        <is>
          <t>BORGHOLM</t>
        </is>
      </c>
      <c r="H149" t="inlineStr">
        <is>
          <t>Sveaskog</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24338-2026</t>
        </is>
      </c>
      <c r="B150" t="inlineStr">
        <is>
          <t>avverkningsanmälan</t>
        </is>
      </c>
      <c r="C150" t="inlineStr">
        <is>
          <t>Avverkning för att bevara och utveckla /försöksver</t>
        </is>
      </c>
      <c r="D150" s="1" t="n">
        <v>46169</v>
      </c>
      <c r="E150" s="1" t="n">
        <v>46248</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28381-2026</t>
        </is>
      </c>
      <c r="B151" t="inlineStr">
        <is>
          <t>avverkningsanmälan</t>
        </is>
      </c>
      <c r="C151" t="inlineStr">
        <is>
          <t>Avverkning för att bevara och utveckla /försöksver</t>
        </is>
      </c>
      <c r="D151" s="1" t="n">
        <v>46196</v>
      </c>
      <c r="E151" s="1" t="n">
        <v>46248</v>
      </c>
      <c r="F151" t="inlineStr">
        <is>
          <t>KALMAR LÄN</t>
        </is>
      </c>
      <c r="G151" t="inlineStr">
        <is>
          <t>BORGHOLM</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28380-2026</t>
        </is>
      </c>
      <c r="B152" t="inlineStr">
        <is>
          <t>avverkningsanmälan</t>
        </is>
      </c>
      <c r="C152" t="inlineStr">
        <is>
          <t>Avverkning för att bevara och utveckla /försöksver</t>
        </is>
      </c>
      <c r="D152" s="1" t="n">
        <v>46196</v>
      </c>
      <c r="E152" s="1" t="n">
        <v>46248</v>
      </c>
      <c r="F152" t="inlineStr">
        <is>
          <t>KALMAR LÄN</t>
        </is>
      </c>
      <c r="G152" t="inlineStr">
        <is>
          <t>BORGHOLM</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28411-2026</t>
        </is>
      </c>
      <c r="B153" t="inlineStr">
        <is>
          <t>avverkningsanmälan</t>
        </is>
      </c>
      <c r="C153" t="inlineStr">
        <is>
          <t>Avverkning för att bevara och utveckla /försöksver</t>
        </is>
      </c>
      <c r="D153" s="1" t="n">
        <v>46197</v>
      </c>
      <c r="E153" s="1" t="n">
        <v>46248</v>
      </c>
      <c r="F153" t="inlineStr">
        <is>
          <t>KALMAR LÄN</t>
        </is>
      </c>
      <c r="G153" t="inlineStr">
        <is>
          <t>BORGHOLM</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29413-2026</t>
        </is>
      </c>
      <c r="B154" t="inlineStr">
        <is>
          <t>avverkningsanmälan</t>
        </is>
      </c>
      <c r="C154" t="inlineStr">
        <is>
          <t>Avverkning för att bevara och utveckla /försöksver</t>
        </is>
      </c>
      <c r="D154" s="1" t="n">
        <v>46203</v>
      </c>
      <c r="E154" s="1" t="n">
        <v>46248</v>
      </c>
      <c r="F154" t="inlineStr">
        <is>
          <t>KALMAR LÄN</t>
        </is>
      </c>
      <c r="G154" t="inlineStr">
        <is>
          <t>BORGHOLM</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29414-2026</t>
        </is>
      </c>
      <c r="B155" t="inlineStr">
        <is>
          <t>avverkningsanmälan</t>
        </is>
      </c>
      <c r="C155" t="inlineStr">
        <is>
          <t>Avverkning för att bevara och utveckla /försöksver</t>
        </is>
      </c>
      <c r="D155" s="1" t="n">
        <v>46203</v>
      </c>
      <c r="E155" s="1" t="n">
        <v>46248</v>
      </c>
      <c r="F155" t="inlineStr">
        <is>
          <t>KALMAR LÄN</t>
        </is>
      </c>
      <c r="G155" t="inlineStr">
        <is>
          <t>BORGHOLM</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29431-2026</t>
        </is>
      </c>
      <c r="B156" t="inlineStr">
        <is>
          <t>avverkningsanmälan</t>
        </is>
      </c>
      <c r="C156" t="inlineStr">
        <is>
          <t>Avverkning för att bevara och utveckla /försöksver</t>
        </is>
      </c>
      <c r="D156" s="1" t="n">
        <v>46203</v>
      </c>
      <c r="E156" s="1" t="n">
        <v>46248</v>
      </c>
      <c r="F156" t="inlineStr">
        <is>
          <t>KALMAR LÄN</t>
        </is>
      </c>
      <c r="G156" t="inlineStr">
        <is>
          <t>BORGHOLM</t>
        </is>
      </c>
      <c r="H156" t="inlineStr">
        <is>
          <t>Sveaskog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29410-2026</t>
        </is>
      </c>
      <c r="B157" t="inlineStr">
        <is>
          <t>avverkningsanmälan</t>
        </is>
      </c>
      <c r="C157" t="inlineStr">
        <is>
          <t>Avverkning för att bevara och utveckla /försöksver</t>
        </is>
      </c>
      <c r="D157" s="1" t="n">
        <v>46203</v>
      </c>
      <c r="E157" s="1" t="n">
        <v>46248</v>
      </c>
      <c r="F157" t="inlineStr">
        <is>
          <t>KALMAR LÄN</t>
        </is>
      </c>
      <c r="G157" t="inlineStr">
        <is>
          <t>BORGHOLM</t>
        </is>
      </c>
      <c r="H157" t="inlineStr">
        <is>
          <t>Sveaskog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9104-2026</t>
        </is>
      </c>
      <c r="B158" t="inlineStr">
        <is>
          <t>avverkningsanmälan</t>
        </is>
      </c>
      <c r="C158" t="inlineStr">
        <is>
          <t>Avverkning för annat ändamål</t>
        </is>
      </c>
      <c r="D158" s="1" t="n">
        <v>46069</v>
      </c>
      <c r="E158" s="1" t="n">
        <v>46248</v>
      </c>
      <c r="F158" t="inlineStr">
        <is>
          <t>KALMAR LÄN</t>
        </is>
      </c>
      <c r="G158" t="inlineStr">
        <is>
          <t>BORGHOLM</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9259-2026</t>
        </is>
      </c>
      <c r="B159" t="inlineStr">
        <is>
          <t>avverkningsanmälan</t>
        </is>
      </c>
      <c r="C159" t="inlineStr">
        <is>
          <t>Föryngringsavverkning</t>
        </is>
      </c>
      <c r="D159" s="1" t="n">
        <v>46070</v>
      </c>
      <c r="E159" s="1" t="n">
        <v>46248</v>
      </c>
      <c r="F159" t="inlineStr">
        <is>
          <t>KALMAR LÄN</t>
        </is>
      </c>
      <c r="G159" t="inlineStr">
        <is>
          <t>BORGHOLM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15272-2026</t>
        </is>
      </c>
      <c r="B160" t="inlineStr">
        <is>
          <t>avverkningsanmälan</t>
        </is>
      </c>
      <c r="C160" t="inlineStr">
        <is>
          <t>Avverkning för att bevara och utveckla /försöksver</t>
        </is>
      </c>
      <c r="D160" s="1" t="n">
        <v>46105</v>
      </c>
      <c r="E160" s="1" t="n">
        <v>46248</v>
      </c>
      <c r="F160" t="inlineStr">
        <is>
          <t>KALMAR LÄN</t>
        </is>
      </c>
      <c r="G160" t="inlineStr">
        <is>
          <t>BORGHOLM</t>
        </is>
      </c>
      <c r="H160" t="inlineStr">
        <is>
          <t>Sveaskog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15279-2026</t>
        </is>
      </c>
      <c r="B161" t="inlineStr">
        <is>
          <t>avverkningsanmälan</t>
        </is>
      </c>
      <c r="C161" t="inlineStr">
        <is>
          <t>Avverkning för att bevara och utveckla /försöksver</t>
        </is>
      </c>
      <c r="D161" s="1" t="n">
        <v>46105</v>
      </c>
      <c r="E161" s="1" t="n">
        <v>46248</v>
      </c>
      <c r="F161" t="inlineStr">
        <is>
          <t>KALMAR LÄN</t>
        </is>
      </c>
      <c r="G161" t="inlineStr">
        <is>
          <t>BORGHOLM</t>
        </is>
      </c>
      <c r="H161" t="inlineStr">
        <is>
          <t>Sveaskog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15264-2026</t>
        </is>
      </c>
      <c r="B162" t="inlineStr">
        <is>
          <t>avverkningsanmälan</t>
        </is>
      </c>
      <c r="C162" t="inlineStr">
        <is>
          <t>Avverkning för att bevara och utveckla /försöksver</t>
        </is>
      </c>
      <c r="D162" s="1" t="n">
        <v>46105</v>
      </c>
      <c r="E162" s="1" t="n">
        <v>46248</v>
      </c>
      <c r="F162" t="inlineStr">
        <is>
          <t>KALMAR LÄN</t>
        </is>
      </c>
      <c r="G162" t="inlineStr">
        <is>
          <t>BORGHOLM</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4035-2022</t>
        </is>
      </c>
      <c r="B163" t="inlineStr">
        <is>
          <t>samrådsanmälan</t>
        </is>
      </c>
      <c r="C163" t="inlineStr">
        <is>
          <t>Annan skogsbruksåtgärd</t>
        </is>
      </c>
      <c r="D163" s="1" t="n">
        <v>44756</v>
      </c>
      <c r="E163" s="1" t="n">
        <v>46248</v>
      </c>
      <c r="F163" t="inlineStr">
        <is>
          <t>KALMAR LÄN</t>
        </is>
      </c>
      <c r="G163" t="inlineStr">
        <is>
          <t>BORGHOLM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605-2025</t>
        </is>
      </c>
      <c r="B164" t="inlineStr">
        <is>
          <t>samrådsanmälan</t>
        </is>
      </c>
      <c r="C164" t="inlineStr">
        <is>
          <t>Annan skogsbruksåtgärd</t>
        </is>
      </c>
      <c r="D164" s="1" t="n">
        <v>45713</v>
      </c>
      <c r="E164" s="1" t="n">
        <v>46248</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1762-2025</t>
        </is>
      </c>
      <c r="B165" t="inlineStr">
        <is>
          <t>samrådsanmälan</t>
        </is>
      </c>
      <c r="C165" t="inlineStr">
        <is>
          <t>Annan skogsbruksåtgärd</t>
        </is>
      </c>
      <c r="D165" s="1" t="n">
        <v>45812</v>
      </c>
      <c r="E165" s="1" t="n">
        <v>46248</v>
      </c>
      <c r="F165" t="inlineStr">
        <is>
          <t>KALMAR LÄN</t>
        </is>
      </c>
      <c r="G165" t="inlineStr">
        <is>
          <t>BORGHOLM</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1760-2025</t>
        </is>
      </c>
      <c r="B166" t="inlineStr">
        <is>
          <t>samrådsanmälan</t>
        </is>
      </c>
      <c r="C166" t="inlineStr">
        <is>
          <t>Annan skogsbruksåtgärd</t>
        </is>
      </c>
      <c r="D166" s="1" t="n">
        <v>45812</v>
      </c>
      <c r="E166" s="1" t="n">
        <v>46248</v>
      </c>
      <c r="F166" t="inlineStr">
        <is>
          <t>KALMAR LÄN</t>
        </is>
      </c>
      <c r="G166" t="inlineStr">
        <is>
          <t>BORGHOLM</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1123-2025</t>
        </is>
      </c>
      <c r="B167" t="inlineStr">
        <is>
          <t>samrådsanmälan</t>
        </is>
      </c>
      <c r="C167" t="inlineStr">
        <is>
          <t>Annan skogsbruksåtgärd</t>
        </is>
      </c>
      <c r="D167" s="1" t="n">
        <v>45754</v>
      </c>
      <c r="E167" s="1" t="n">
        <v>46248</v>
      </c>
      <c r="F167" t="inlineStr">
        <is>
          <t>KALMAR LÄN</t>
        </is>
      </c>
      <c r="G167" t="inlineStr">
        <is>
          <t>BORGHOLM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842-2026</t>
        </is>
      </c>
      <c r="B168" t="inlineStr">
        <is>
          <t>samrådsanmälan</t>
        </is>
      </c>
      <c r="C168" t="inlineStr">
        <is>
          <t>Annan skogsbruksåtgärd</t>
        </is>
      </c>
      <c r="D168" s="1" t="n">
        <v>46105</v>
      </c>
      <c r="E168" s="1" t="n">
        <v>46248</v>
      </c>
      <c r="F168" t="inlineStr">
        <is>
          <t>KALMAR LÄN</t>
        </is>
      </c>
      <c r="G168" t="inlineStr">
        <is>
          <t>BORGHOLM</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843-2026</t>
        </is>
      </c>
      <c r="B169" t="inlineStr">
        <is>
          <t>samrådsanmälan</t>
        </is>
      </c>
      <c r="C169" t="inlineStr">
        <is>
          <t>Annan skogsbruksåtgärd</t>
        </is>
      </c>
      <c r="D169" s="1" t="n">
        <v>46105</v>
      </c>
      <c r="E169" s="1" t="n">
        <v>46248</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1556-2026</t>
        </is>
      </c>
      <c r="B170" t="inlineStr">
        <is>
          <t>samrådsanmälan</t>
        </is>
      </c>
      <c r="C170" t="inlineStr">
        <is>
          <t>Annan skogsbruksåtgärd</t>
        </is>
      </c>
      <c r="D170" s="1" t="n">
        <v>46169</v>
      </c>
      <c r="E170" s="1" t="n">
        <v>46248</v>
      </c>
      <c r="F170" t="inlineStr">
        <is>
          <t>KALMAR LÄN</t>
        </is>
      </c>
      <c r="G170" t="inlineStr">
        <is>
          <t>BORGHOLM</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1557-2026</t>
        </is>
      </c>
      <c r="B171" t="inlineStr">
        <is>
          <t>samrådsanmälan</t>
        </is>
      </c>
      <c r="C171" t="inlineStr">
        <is>
          <t>Annan skogsbruksåtgärd</t>
        </is>
      </c>
      <c r="D171" s="1" t="n">
        <v>46169</v>
      </c>
      <c r="E171" s="1" t="n">
        <v>46248</v>
      </c>
      <c r="F171" t="inlineStr">
        <is>
          <t>KALMAR LÄN</t>
        </is>
      </c>
      <c r="G171" t="inlineStr">
        <is>
          <t>BORGHOLM</t>
        </is>
      </c>
      <c r="H171" t="inlineStr">
        <is>
          <t>Sveaskog</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1806-2026</t>
        </is>
      </c>
      <c r="B172" t="inlineStr">
        <is>
          <t>samrådsanmälan</t>
        </is>
      </c>
      <c r="C172" t="inlineStr">
        <is>
          <t>Annan skogsbruksåtgärd</t>
        </is>
      </c>
      <c r="D172" s="1" t="n">
        <v>46196</v>
      </c>
      <c r="E172" s="1" t="n">
        <v>46248</v>
      </c>
      <c r="F172" t="inlineStr">
        <is>
          <t>KALMAR LÄN</t>
        </is>
      </c>
      <c r="G172" t="inlineStr">
        <is>
          <t>BORGHOLM</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1807-2026</t>
        </is>
      </c>
      <c r="B173" t="inlineStr">
        <is>
          <t>samrådsanmälan</t>
        </is>
      </c>
      <c r="C173" t="inlineStr">
        <is>
          <t>Annan skogsbruksåtgärd</t>
        </is>
      </c>
      <c r="D173" s="1" t="n">
        <v>46196</v>
      </c>
      <c r="E173" s="1" t="n">
        <v>46248</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1812-2026</t>
        </is>
      </c>
      <c r="B174" t="inlineStr">
        <is>
          <t>samrådsanmälan</t>
        </is>
      </c>
      <c r="C174" t="inlineStr">
        <is>
          <t>Annan skogsbruksåtgärd</t>
        </is>
      </c>
      <c r="D174" s="1" t="n">
        <v>46197</v>
      </c>
      <c r="E174" s="1" t="n">
        <v>46248</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1891-2026</t>
        </is>
      </c>
      <c r="B175" t="inlineStr">
        <is>
          <t>samrådsanmälan</t>
        </is>
      </c>
      <c r="C175" t="inlineStr">
        <is>
          <t>Annan skogsbruksåtgärd</t>
        </is>
      </c>
      <c r="D175" s="1" t="n">
        <v>46203</v>
      </c>
      <c r="E175" s="1" t="n">
        <v>46248</v>
      </c>
      <c r="F175" t="inlineStr">
        <is>
          <t>KALMAR LÄN</t>
        </is>
      </c>
      <c r="G175" t="inlineStr">
        <is>
          <t>BORGHOLM</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1885-2026</t>
        </is>
      </c>
      <c r="B176" t="inlineStr">
        <is>
          <t>samrådsanmälan</t>
        </is>
      </c>
      <c r="C176" t="inlineStr">
        <is>
          <t>Annan skogsbruksåtgärd</t>
        </is>
      </c>
      <c r="D176" s="1" t="n">
        <v>46203</v>
      </c>
      <c r="E176" s="1" t="n">
        <v>46248</v>
      </c>
      <c r="F176" t="inlineStr">
        <is>
          <t>KALMAR LÄN</t>
        </is>
      </c>
      <c r="G176" t="inlineStr">
        <is>
          <t>BORGHOLM</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S 1887-2026</t>
        </is>
      </c>
      <c r="B177" t="inlineStr">
        <is>
          <t>samrådsanmälan</t>
        </is>
      </c>
      <c r="C177" t="inlineStr">
        <is>
          <t>Annan skogsbruksåtgärd</t>
        </is>
      </c>
      <c r="D177" s="1" t="n">
        <v>46203</v>
      </c>
      <c r="E177" s="1" t="n">
        <v>46248</v>
      </c>
      <c r="F177" t="inlineStr">
        <is>
          <t>KALMAR LÄN</t>
        </is>
      </c>
      <c r="G177" t="inlineStr">
        <is>
          <t>BORGHOLM</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c r="A178" t="inlineStr">
        <is>
          <t>S 1888-2026</t>
        </is>
      </c>
      <c r="B178" t="inlineStr">
        <is>
          <t>samrådsanmälan</t>
        </is>
      </c>
      <c r="C178" t="inlineStr">
        <is>
          <t>Annan skogsbruksåtgärd</t>
        </is>
      </c>
      <c r="D178" s="1" t="n">
        <v>46203</v>
      </c>
      <c r="E178" s="1" t="n">
        <v>46248</v>
      </c>
      <c r="F178" t="inlineStr">
        <is>
          <t>KALMAR LÄN</t>
        </is>
      </c>
      <c r="G178" t="inlineStr">
        <is>
          <t>BORGHOLM</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2026-08-14T01:56:58Z</dcterms:created>
  <dcterms:modified xmlns:dcterms="http://purl.org/dc/terms/" xmlns:xsi="http://www.w3.org/2001/XMLSchema-instance" xsi:type="dcterms:W3CDTF">2026-08-14T01:56:59Z</dcterms:modified>
</cp:coreProperties>
</file>