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46249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46249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46249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46249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46249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46249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46249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46249</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46249</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46249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46249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46249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46249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46249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46249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46249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46249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46249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46249</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46249</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46249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46249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46249</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46249</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46249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46249</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46249</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46249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46249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46249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46249</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46249</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46249</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46249</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46249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46249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46249</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46249</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46249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46249</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46249</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46249</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46249</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21797-2024</t>
        </is>
      </c>
      <c r="B45" t="inlineStr">
        <is>
          <t>avverkningsanmälan</t>
        </is>
      </c>
      <c r="C45" t="inlineStr">
        <is>
          <t>Föryngringsavverkning</t>
        </is>
      </c>
      <c r="D45" s="1" t="n">
        <v>45442</v>
      </c>
      <c r="E45" s="1" t="n">
        <v>46249</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46249</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46249</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46249</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46249</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46249</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46249</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46249</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43756-2022</t>
        </is>
      </c>
      <c r="B53" t="inlineStr">
        <is>
          <t>avverkningsanmälan</t>
        </is>
      </c>
      <c r="C53" t="inlineStr">
        <is>
          <t>Föryngringsavverkning</t>
        </is>
      </c>
      <c r="D53" s="1" t="n">
        <v>44837</v>
      </c>
      <c r="E53" s="1" t="n">
        <v>46249</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32174-2022</t>
        </is>
      </c>
      <c r="B54" t="inlineStr">
        <is>
          <t>avverkningsanmälan</t>
        </is>
      </c>
      <c r="C54" t="inlineStr">
        <is>
          <t>Avverkning för att bevara och utveckla /försöksver</t>
        </is>
      </c>
      <c r="D54" s="1" t="n">
        <v>44781</v>
      </c>
      <c r="E54" s="1" t="n">
        <v>46249</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24048-2025</t>
        </is>
      </c>
      <c r="B55" t="inlineStr">
        <is>
          <t>avverkningsanmälan</t>
        </is>
      </c>
      <c r="C55" t="inlineStr">
        <is>
          <t>Föryngringsavverkning</t>
        </is>
      </c>
      <c r="D55" s="1" t="n">
        <v>45796</v>
      </c>
      <c r="E55" s="1" t="n">
        <v>46249</v>
      </c>
      <c r="F55" t="inlineStr">
        <is>
          <t>KALMAR LÄN</t>
        </is>
      </c>
      <c r="G55" t="inlineStr">
        <is>
          <t>BORGHOLM</t>
        </is>
      </c>
      <c r="I55" t="n">
        <v>2</v>
      </c>
      <c r="J55" t="n">
        <v>1</v>
      </c>
      <c r="K55" t="n">
        <v>0</v>
      </c>
      <c r="L55" t="n">
        <v>2</v>
      </c>
      <c r="M55" t="n">
        <v>0</v>
      </c>
      <c r="N55" t="n">
        <v>0</v>
      </c>
      <c r="O55" t="n">
        <v>0</v>
      </c>
      <c r="P55" t="n">
        <v>0</v>
      </c>
      <c r="Q55" t="n">
        <v>2</v>
      </c>
      <c r="R55" t="n">
        <v>0</v>
      </c>
      <c r="S55" t="n">
        <v>3</v>
      </c>
      <c r="T55" t="n">
        <v>5</v>
      </c>
      <c r="U55" t="n">
        <v>0</v>
      </c>
      <c r="V55" s="2" t="inlineStr">
        <is>
          <t>Loppstarr
Ängsstarr
Kärrknipprot</t>
        </is>
      </c>
      <c r="W55">
        <f>HYPERLINK("https://klasma.github.io/Logging_0885/artfynd/A 24048-2025 artfynd.xlsx", "A 24048-2025")</f>
        <v/>
      </c>
      <c r="X55">
        <f>HYPERLINK("https://klasma.github.io/Logging_0885/kartor/A 24048-2025 karta.png", "A 24048-2025")</f>
        <v/>
      </c>
      <c r="Y55">
        <f>HYPERLINK("https://klasma.github.io/Logging_0885/kartor_geotiff/A 24048-2025 georefererad karta.tif", "A 24048-2025")</f>
        <v/>
      </c>
      <c r="AA55">
        <f>HYPERLINK("https://klasma.github.io/Logging_0885/klagomål/A 24048-2025 FSC-klagomål.docx", "A 24048-2025")</f>
        <v/>
      </c>
      <c r="AB55">
        <f>HYPERLINK("https://klasma.github.io/Logging_0885/klagomålsmail/A 24048-2025 FSC-klagomål mail.docx", "A 24048-2025")</f>
        <v/>
      </c>
      <c r="AC55">
        <f>HYPERLINK("https://klasma.github.io/Logging_0885/tillsyn/A 24048-2025 tillsynsbegäran.docx", "A 24048-2025")</f>
        <v/>
      </c>
      <c r="AD55">
        <f>HYPERLINK("https://klasma.github.io/Logging_0885/tillsynsmail/A 24048-2025 tillsynsbegäran mail.docx", "A 24048-2025")</f>
        <v/>
      </c>
    </row>
    <row r="56" ht="15" customHeight="1">
      <c r="A56" t="inlineStr">
        <is>
          <t>A 31520-2026</t>
        </is>
      </c>
      <c r="B56" t="inlineStr">
        <is>
          <t>avverkningsanmälan</t>
        </is>
      </c>
      <c r="C56" t="inlineStr">
        <is>
          <t>Avverkning för att bevara och utveckla /försöksver</t>
        </is>
      </c>
      <c r="D56" s="1" t="n">
        <v>46223</v>
      </c>
      <c r="E56" s="1" t="n">
        <v>46249</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46249</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46249</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S 846-2026</t>
        </is>
      </c>
      <c r="B59" t="inlineStr">
        <is>
          <t>samrådsanmälan</t>
        </is>
      </c>
      <c r="C59" t="inlineStr">
        <is>
          <t>Annan skogsbruksåtgärd</t>
        </is>
      </c>
      <c r="D59" s="1" t="n">
        <v>46105</v>
      </c>
      <c r="E59" s="1" t="n">
        <v>46249</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46249</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46249</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46249</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46249</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46249</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46249</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46249</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9253-2026</t>
        </is>
      </c>
      <c r="B67" t="inlineStr">
        <is>
          <t>avverkningsanmälan</t>
        </is>
      </c>
      <c r="C67" t="inlineStr">
        <is>
          <t>Föryngringsavverkning</t>
        </is>
      </c>
      <c r="D67" s="1" t="n">
        <v>46070</v>
      </c>
      <c r="E67" s="1" t="n">
        <v>46249</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50129-2021</t>
        </is>
      </c>
      <c r="B68" t="inlineStr">
        <is>
          <t>avverkningsanmälan</t>
        </is>
      </c>
      <c r="C68" t="inlineStr">
        <is>
          <t>Avverkning för annat ändamål</t>
        </is>
      </c>
      <c r="D68" s="1" t="n">
        <v>44456</v>
      </c>
      <c r="E68" s="1" t="n">
        <v>46249</v>
      </c>
      <c r="F68" t="inlineStr">
        <is>
          <t>KALMAR LÄN</t>
        </is>
      </c>
      <c r="G68" t="inlineStr">
        <is>
          <t>BORGHOLM</t>
        </is>
      </c>
      <c r="I68" t="n">
        <v>1.6</v>
      </c>
      <c r="J68" t="n">
        <v>1</v>
      </c>
      <c r="K68" t="n">
        <v>1</v>
      </c>
      <c r="L68" t="n">
        <v>0</v>
      </c>
      <c r="M68" t="n">
        <v>0</v>
      </c>
      <c r="N68" t="n">
        <v>0</v>
      </c>
      <c r="O68" t="n">
        <v>0</v>
      </c>
      <c r="P68" t="n">
        <v>0</v>
      </c>
      <c r="Q68" t="n">
        <v>0</v>
      </c>
      <c r="R68" t="n">
        <v>0</v>
      </c>
      <c r="S68" t="n">
        <v>2</v>
      </c>
      <c r="T68" t="n">
        <v>2</v>
      </c>
      <c r="U68" t="n">
        <v>2</v>
      </c>
      <c r="V68" s="2" t="inlineStr">
        <is>
          <t>Murgröna
Blåsippa</t>
        </is>
      </c>
      <c r="W68">
        <f>HYPERLINK("https://klasma.github.io/Logging_0885/artfynd/A 50129-2021 artfynd.xlsx", "A 50129-2021")</f>
        <v/>
      </c>
      <c r="X68">
        <f>HYPERLINK("https://klasma.github.io/Logging_0885/kartor/A 50129-2021 karta.png", "A 50129-2021")</f>
        <v/>
      </c>
      <c r="Y68">
        <f>HYPERLINK("https://klasma.github.io/Logging_0885/kartor_geotiff/A 50129-2021 georefererad karta.tif", "A 50129-2021")</f>
        <v/>
      </c>
      <c r="AA68">
        <f>HYPERLINK("https://klasma.github.io/Logging_0885/klagomål/A 50129-2021 FSC-klagomål.docx", "A 50129-2021")</f>
        <v/>
      </c>
      <c r="AB68">
        <f>HYPERLINK("https://klasma.github.io/Logging_0885/klagomålsmail/A 50129-2021 FSC-klagomål mail.docx", "A 50129-2021")</f>
        <v/>
      </c>
      <c r="AC68">
        <f>HYPERLINK("https://klasma.github.io/Logging_0885/tillsyn/A 50129-2021 tillsynsbegäran.docx", "A 50129-2021")</f>
        <v/>
      </c>
      <c r="AD68">
        <f>HYPERLINK("https://klasma.github.io/Logging_0885/tillsynsmail/A 50129-2021 tillsynsbegäran mail.docx", "A 50129-2021")</f>
        <v/>
      </c>
    </row>
    <row r="69" ht="15" customHeight="1">
      <c r="A69" t="inlineStr">
        <is>
          <t>A 24322-2026</t>
        </is>
      </c>
      <c r="B69" t="inlineStr">
        <is>
          <t>avverkningsanmälan</t>
        </is>
      </c>
      <c r="C69" t="inlineStr">
        <is>
          <t>Föryngringsavverkning</t>
        </is>
      </c>
      <c r="D69" s="1" t="n">
        <v>46169</v>
      </c>
      <c r="E69" s="1" t="n">
        <v>46249</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46249</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24166-2022</t>
        </is>
      </c>
      <c r="B71" t="inlineStr">
        <is>
          <t>avverkningsanmälan</t>
        </is>
      </c>
      <c r="C71" t="inlineStr">
        <is>
          <t>Avverkning för annat ändamål</t>
        </is>
      </c>
      <c r="D71" s="1" t="n">
        <v>44725</v>
      </c>
      <c r="E71" s="1" t="n">
        <v>46249</v>
      </c>
      <c r="F71" t="inlineStr">
        <is>
          <t>KALMAR LÄN</t>
        </is>
      </c>
      <c r="G71" t="inlineStr">
        <is>
          <t>BORGHOLM</t>
        </is>
      </c>
      <c r="I71" t="n">
        <v>10.7</v>
      </c>
      <c r="J71" t="n">
        <v>0</v>
      </c>
      <c r="K71" t="n">
        <v>0</v>
      </c>
      <c r="L71" t="n">
        <v>1</v>
      </c>
      <c r="M71" t="n">
        <v>1</v>
      </c>
      <c r="N71" t="n">
        <v>0</v>
      </c>
      <c r="O71" t="n">
        <v>0</v>
      </c>
      <c r="P71" t="n">
        <v>0</v>
      </c>
      <c r="Q71" t="n">
        <v>2</v>
      </c>
      <c r="R71" t="n">
        <v>1</v>
      </c>
      <c r="S71" t="n">
        <v>2</v>
      </c>
      <c r="T71" t="n">
        <v>2</v>
      </c>
      <c r="U71" t="n">
        <v>1</v>
      </c>
      <c r="V71" s="2" t="inlineStr">
        <is>
          <t>Plattsäv
Jungfrulin</t>
        </is>
      </c>
      <c r="W71">
        <f>HYPERLINK("https://klasma.github.io/Logging_0885/artfynd/A 24166-2022 artfynd.xlsx", "A 24166-2022")</f>
        <v/>
      </c>
      <c r="X71">
        <f>HYPERLINK("https://klasma.github.io/Logging_0885/kartor/A 24166-2022 karta.png", "A 24166-2022")</f>
        <v/>
      </c>
      <c r="Y71">
        <f>HYPERLINK("https://klasma.github.io/Logging_0885/kartor_geotiff/A 24166-2022 georefererad karta.tif", "A 24166-2022")</f>
        <v/>
      </c>
      <c r="AA71">
        <f>HYPERLINK("https://klasma.github.io/Logging_0885/klagomål/A 24166-2022 FSC-klagomål.docx", "A 24166-2022")</f>
        <v/>
      </c>
      <c r="AB71">
        <f>HYPERLINK("https://klasma.github.io/Logging_0885/klagomålsmail/A 24166-2022 FSC-klagomål mail.docx", "A 24166-2022")</f>
        <v/>
      </c>
      <c r="AC71">
        <f>HYPERLINK("https://klasma.github.io/Logging_0885/tillsyn/A 24166-2022 tillsynsbegäran.docx", "A 24166-2022")</f>
        <v/>
      </c>
      <c r="AD71">
        <f>HYPERLINK("https://klasma.github.io/Logging_0885/tillsynsmail/A 24166-2022 tillsynsbegäran mail.docx", "A 24166-2022")</f>
        <v/>
      </c>
    </row>
    <row r="72" ht="15" customHeight="1">
      <c r="A72" t="inlineStr">
        <is>
          <t>A 29411-2026</t>
        </is>
      </c>
      <c r="B72" t="inlineStr">
        <is>
          <t>avverkningsanmälan</t>
        </is>
      </c>
      <c r="C72" t="inlineStr">
        <is>
          <t>Avverkning för att bevara och utveckla /försöksver</t>
        </is>
      </c>
      <c r="D72" s="1" t="n">
        <v>46203</v>
      </c>
      <c r="E72" s="1" t="n">
        <v>46249</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46249</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46249</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46249</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46249</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46249</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46249</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46249</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46249</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41831-2025</t>
        </is>
      </c>
      <c r="B81" t="inlineStr">
        <is>
          <t>avverkningsanmälan</t>
        </is>
      </c>
      <c r="C81" t="inlineStr">
        <is>
          <t>Föryngringsavverkning</t>
        </is>
      </c>
      <c r="D81" s="1" t="n">
        <v>45902</v>
      </c>
      <c r="E81" s="1" t="n">
        <v>46249</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9745-2023</t>
        </is>
      </c>
      <c r="B82" t="inlineStr">
        <is>
          <t>avverkningsanmälan</t>
        </is>
      </c>
      <c r="C82" t="inlineStr">
        <is>
          <t>Föryngringsavverkning</t>
        </is>
      </c>
      <c r="D82" s="1" t="n">
        <v>44984</v>
      </c>
      <c r="E82" s="1" t="n">
        <v>46249</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46249</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31720-2022</t>
        </is>
      </c>
      <c r="B84" t="inlineStr">
        <is>
          <t>avverkningsanmälan</t>
        </is>
      </c>
      <c r="C84" t="inlineStr">
        <is>
          <t>Föryngringsavverkning</t>
        </is>
      </c>
      <c r="D84" s="1" t="n">
        <v>44776</v>
      </c>
      <c r="E84" s="1" t="n">
        <v>46249</v>
      </c>
      <c r="F84" t="inlineStr">
        <is>
          <t>KALMAR LÄN</t>
        </is>
      </c>
      <c r="G84" t="inlineStr">
        <is>
          <t>BORGHOLM</t>
        </is>
      </c>
      <c r="H84" t="inlineStr">
        <is>
          <t>Sveaskog</t>
        </is>
      </c>
      <c r="I84" t="n">
        <v>4.5</v>
      </c>
      <c r="J84" t="n">
        <v>1</v>
      </c>
      <c r="K84" t="n">
        <v>1</v>
      </c>
      <c r="L84" t="n">
        <v>0</v>
      </c>
      <c r="M84" t="n">
        <v>0</v>
      </c>
      <c r="N84" t="n">
        <v>0</v>
      </c>
      <c r="O84" t="n">
        <v>0</v>
      </c>
      <c r="P84" t="n">
        <v>0</v>
      </c>
      <c r="Q84" t="n">
        <v>0</v>
      </c>
      <c r="R84" t="n">
        <v>0</v>
      </c>
      <c r="S84" t="n">
        <v>1</v>
      </c>
      <c r="T84" t="n">
        <v>1</v>
      </c>
      <c r="U84" t="n">
        <v>1</v>
      </c>
      <c r="V84" s="2" t="inlineStr">
        <is>
          <t>Tvåblad</t>
        </is>
      </c>
      <c r="W84">
        <f>HYPERLINK("https://klasma.github.io/Logging_0885/artfynd/A 31720-2022 artfynd.xlsx", "A 31720-2022")</f>
        <v/>
      </c>
      <c r="X84">
        <f>HYPERLINK("https://klasma.github.io/Logging_0885/kartor/A 31720-2022 karta.png", "A 31720-2022")</f>
        <v/>
      </c>
      <c r="Y84">
        <f>HYPERLINK("https://klasma.github.io/Logging_0885/kartor_geotiff/A 31720-2022 georefererad karta.tif", "A 31720-2022")</f>
        <v/>
      </c>
      <c r="AA84">
        <f>HYPERLINK("https://klasma.github.io/Logging_0885/klagomål/A 31720-2022 FSC-klagomål.docx", "A 31720-2022")</f>
        <v/>
      </c>
      <c r="AB84">
        <f>HYPERLINK("https://klasma.github.io/Logging_0885/klagomålsmail/A 31720-2022 FSC-klagomål mail.docx", "A 31720-2022")</f>
        <v/>
      </c>
      <c r="AC84">
        <f>HYPERLINK("https://klasma.github.io/Logging_0885/tillsyn/A 31720-2022 tillsynsbegäran.docx", "A 31720-2022")</f>
        <v/>
      </c>
      <c r="AD84">
        <f>HYPERLINK("https://klasma.github.io/Logging_0885/tillsynsmail/A 31720-2022 tillsynsbegäran mail.docx", "A 31720-2022")</f>
        <v/>
      </c>
    </row>
    <row r="85" ht="15" customHeight="1">
      <c r="A85" t="inlineStr">
        <is>
          <t>A 19867-2024</t>
        </is>
      </c>
      <c r="B85" t="inlineStr">
        <is>
          <t>avverkningsanmälan</t>
        </is>
      </c>
      <c r="C85" t="inlineStr">
        <is>
          <t>Föryngringsavverkning</t>
        </is>
      </c>
      <c r="D85" s="1" t="n">
        <v>45433</v>
      </c>
      <c r="E85" s="1" t="n">
        <v>46249</v>
      </c>
      <c r="F85" t="inlineStr">
        <is>
          <t>KALMAR LÄN</t>
        </is>
      </c>
      <c r="G85" t="inlineStr">
        <is>
          <t>BORGHOLM</t>
        </is>
      </c>
      <c r="I85" t="n">
        <v>3.9</v>
      </c>
      <c r="J85" t="n">
        <v>0</v>
      </c>
      <c r="K85" t="n">
        <v>0</v>
      </c>
      <c r="L85" t="n">
        <v>1</v>
      </c>
      <c r="M85" t="n">
        <v>0</v>
      </c>
      <c r="N85" t="n">
        <v>0</v>
      </c>
      <c r="O85" t="n">
        <v>0</v>
      </c>
      <c r="P85" t="n">
        <v>0</v>
      </c>
      <c r="Q85" t="n">
        <v>1</v>
      </c>
      <c r="R85" t="n">
        <v>0</v>
      </c>
      <c r="S85" t="n">
        <v>1</v>
      </c>
      <c r="T85" t="n">
        <v>1</v>
      </c>
      <c r="U85" t="n">
        <v>1</v>
      </c>
      <c r="V85" s="2" t="inlineStr">
        <is>
          <t>Åkerkulla</t>
        </is>
      </c>
      <c r="W85">
        <f>HYPERLINK("https://klasma.github.io/Logging_0885/artfynd/A 19867-2024 artfynd.xlsx", "A 19867-2024")</f>
        <v/>
      </c>
      <c r="X85">
        <f>HYPERLINK("https://klasma.github.io/Logging_0885/kartor/A 19867-2024 karta.png", "A 19867-2024")</f>
        <v/>
      </c>
      <c r="Y85">
        <f>HYPERLINK("https://klasma.github.io/Logging_0885/kartor_geotiff/A 19867-2024 georefererad karta.tif", "A 19867-2024")</f>
        <v/>
      </c>
      <c r="AA85">
        <f>HYPERLINK("https://klasma.github.io/Logging_0885/klagomål/A 19867-2024 FSC-klagomål.docx", "A 19867-2024")</f>
        <v/>
      </c>
      <c r="AB85">
        <f>HYPERLINK("https://klasma.github.io/Logging_0885/klagomålsmail/A 19867-2024 FSC-klagomål mail.docx", "A 19867-2024")</f>
        <v/>
      </c>
      <c r="AC85">
        <f>HYPERLINK("https://klasma.github.io/Logging_0885/tillsyn/A 19867-2024 tillsynsbegäran.docx", "A 19867-2024")</f>
        <v/>
      </c>
      <c r="AD85">
        <f>HYPERLINK("https://klasma.github.io/Logging_0885/tillsynsmail/A 19867-2024 tillsynsbegäran mail.docx", "A 19867-2024")</f>
        <v/>
      </c>
    </row>
    <row r="86" ht="15" customHeight="1">
      <c r="A86" t="inlineStr">
        <is>
          <t>A 3302-2026</t>
        </is>
      </c>
      <c r="B86" t="inlineStr">
        <is>
          <t>avverkningsanmälan</t>
        </is>
      </c>
      <c r="C86" t="inlineStr">
        <is>
          <t>Avverkning för annat ändamål</t>
        </is>
      </c>
      <c r="D86" s="1" t="n">
        <v>46041</v>
      </c>
      <c r="E86" s="1" t="n">
        <v>46249</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24701-2023</t>
        </is>
      </c>
      <c r="B87" t="inlineStr">
        <is>
          <t>avverkningsanmälan</t>
        </is>
      </c>
      <c r="C87" t="inlineStr">
        <is>
          <t>Föryngringsavverkning</t>
        </is>
      </c>
      <c r="D87" s="1" t="n">
        <v>45084</v>
      </c>
      <c r="E87" s="1" t="n">
        <v>46249</v>
      </c>
      <c r="F87" t="inlineStr">
        <is>
          <t>KALMAR LÄN</t>
        </is>
      </c>
      <c r="G87" t="inlineStr">
        <is>
          <t>BORGHOLM</t>
        </is>
      </c>
      <c r="I87" t="n">
        <v>3</v>
      </c>
      <c r="J87" t="n">
        <v>0</v>
      </c>
      <c r="K87" t="n">
        <v>0</v>
      </c>
      <c r="L87" t="n">
        <v>0</v>
      </c>
      <c r="M87" t="n">
        <v>0</v>
      </c>
      <c r="N87" t="n">
        <v>1</v>
      </c>
      <c r="O87" t="n">
        <v>0</v>
      </c>
      <c r="P87" t="n">
        <v>0</v>
      </c>
      <c r="Q87" t="n">
        <v>1</v>
      </c>
      <c r="R87" t="n">
        <v>1</v>
      </c>
      <c r="S87" t="n">
        <v>1</v>
      </c>
      <c r="T87" t="n">
        <v>3</v>
      </c>
      <c r="U87" t="n">
        <v>0</v>
      </c>
      <c r="V87" s="2" t="inlineStr">
        <is>
          <t>Ask</t>
        </is>
      </c>
      <c r="W87">
        <f>HYPERLINK("https://klasma.github.io/Logging_0885/artfynd/A 24701-2023 artfynd.xlsx", "A 24701-2023")</f>
        <v/>
      </c>
      <c r="X87">
        <f>HYPERLINK("https://klasma.github.io/Logging_0885/kartor/A 24701-2023 karta.png", "A 24701-2023")</f>
        <v/>
      </c>
      <c r="Y87">
        <f>HYPERLINK("https://klasma.github.io/Logging_0885/kartor_geotiff/A 24701-2023 georefererad karta.tif", "A 24701-2023")</f>
        <v/>
      </c>
      <c r="AA87">
        <f>HYPERLINK("https://klasma.github.io/Logging_0885/klagomål/A 24701-2023 FSC-klagomål.docx", "A 24701-2023")</f>
        <v/>
      </c>
      <c r="AB87">
        <f>HYPERLINK("https://klasma.github.io/Logging_0885/klagomålsmail/A 24701-2023 FSC-klagomål mail.docx", "A 24701-2023")</f>
        <v/>
      </c>
      <c r="AC87">
        <f>HYPERLINK("https://klasma.github.io/Logging_0885/tillsyn/A 24701-2023 tillsynsbegäran.docx", "A 24701-2023")</f>
        <v/>
      </c>
      <c r="AD87">
        <f>HYPERLINK("https://klasma.github.io/Logging_0885/tillsynsmail/A 24701-2023 tillsynsbegäran mail.docx", "A 24701-2023")</f>
        <v/>
      </c>
    </row>
    <row r="88" ht="15" customHeight="1">
      <c r="A88" t="inlineStr">
        <is>
          <t>A 7481-2026</t>
        </is>
      </c>
      <c r="B88" t="inlineStr">
        <is>
          <t>avverkningsanmälan</t>
        </is>
      </c>
      <c r="C88" t="inlineStr">
        <is>
          <t>Föryngringsavverkning</t>
        </is>
      </c>
      <c r="D88" s="1" t="n">
        <v>46059</v>
      </c>
      <c r="E88" s="1" t="n">
        <v>46249</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46249</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46249</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63276-2023</t>
        </is>
      </c>
      <c r="B91" t="inlineStr">
        <is>
          <t>avverkningsanmälan</t>
        </is>
      </c>
      <c r="C91" t="inlineStr">
        <is>
          <t>Föryngringsavverkning</t>
        </is>
      </c>
      <c r="D91" s="1" t="n">
        <v>45273</v>
      </c>
      <c r="E91" s="1" t="n">
        <v>46249</v>
      </c>
      <c r="F91" t="inlineStr">
        <is>
          <t>KALMAR LÄN</t>
        </is>
      </c>
      <c r="G91" t="inlineStr">
        <is>
          <t>BORGHOLM</t>
        </is>
      </c>
      <c r="I91" t="n">
        <v>5</v>
      </c>
      <c r="J91" t="n">
        <v>0</v>
      </c>
      <c r="K91" t="n">
        <v>0</v>
      </c>
      <c r="L91" t="n">
        <v>0</v>
      </c>
      <c r="M91" t="n">
        <v>1</v>
      </c>
      <c r="N91" t="n">
        <v>0</v>
      </c>
      <c r="O91" t="n">
        <v>0</v>
      </c>
      <c r="P91" t="n">
        <v>0</v>
      </c>
      <c r="Q91" t="n">
        <v>1</v>
      </c>
      <c r="R91" t="n">
        <v>1</v>
      </c>
      <c r="S91" t="n">
        <v>1</v>
      </c>
      <c r="T91" t="n">
        <v>1</v>
      </c>
      <c r="U91" t="n">
        <v>0</v>
      </c>
      <c r="V91" s="2" t="inlineStr">
        <is>
          <t>Elaphomyces barrioi</t>
        </is>
      </c>
      <c r="W91">
        <f>HYPERLINK("https://klasma.github.io/Logging_0885/artfynd/A 63276-2023 artfynd.xlsx", "A 63276-2023")</f>
        <v/>
      </c>
      <c r="X91">
        <f>HYPERLINK("https://klasma.github.io/Logging_0885/kartor/A 63276-2023 karta.png", "A 63276-2023")</f>
        <v/>
      </c>
      <c r="Y91">
        <f>HYPERLINK("https://klasma.github.io/Logging_0885/kartor_geotiff/A 63276-2023 georefererad karta.tif", "A 63276-2023")</f>
        <v/>
      </c>
      <c r="AA91">
        <f>HYPERLINK("https://klasma.github.io/Logging_0885/klagomål/A 63276-2023 FSC-klagomål.docx", "A 63276-2023")</f>
        <v/>
      </c>
      <c r="AB91">
        <f>HYPERLINK("https://klasma.github.io/Logging_0885/klagomålsmail/A 63276-2023 FSC-klagomål mail.docx", "A 63276-2023")</f>
        <v/>
      </c>
      <c r="AC91">
        <f>HYPERLINK("https://klasma.github.io/Logging_0885/tillsyn/A 63276-2023 tillsynsbegäran.docx", "A 63276-2023")</f>
        <v/>
      </c>
      <c r="AD91">
        <f>HYPERLINK("https://klasma.github.io/Logging_0885/tillsynsmail/A 63276-2023 tillsynsbegäran mail.docx", "A 63276-2023")</f>
        <v/>
      </c>
    </row>
    <row r="92" ht="15" customHeight="1">
      <c r="A92" t="inlineStr">
        <is>
          <t>A 13043-2024</t>
        </is>
      </c>
      <c r="B92" t="inlineStr">
        <is>
          <t>avverkningsanmälan</t>
        </is>
      </c>
      <c r="C92" t="inlineStr">
        <is>
          <t>Föryngringsavverkning</t>
        </is>
      </c>
      <c r="D92" s="1" t="n">
        <v>45385</v>
      </c>
      <c r="E92" s="1" t="n">
        <v>46249</v>
      </c>
      <c r="F92" t="inlineStr">
        <is>
          <t>KALMAR LÄN</t>
        </is>
      </c>
      <c r="G92" t="inlineStr">
        <is>
          <t>BORGHOLM</t>
        </is>
      </c>
      <c r="I92" t="n">
        <v>0.4</v>
      </c>
      <c r="J92" t="n">
        <v>1</v>
      </c>
      <c r="K92" t="n">
        <v>1</v>
      </c>
      <c r="L92" t="n">
        <v>0</v>
      </c>
      <c r="M92" t="n">
        <v>0</v>
      </c>
      <c r="N92" t="n">
        <v>0</v>
      </c>
      <c r="O92" t="n">
        <v>0</v>
      </c>
      <c r="P92" t="n">
        <v>0</v>
      </c>
      <c r="Q92" t="n">
        <v>0</v>
      </c>
      <c r="R92" t="n">
        <v>0</v>
      </c>
      <c r="S92" t="n">
        <v>1</v>
      </c>
      <c r="T92" t="n">
        <v>1</v>
      </c>
      <c r="U92" t="n">
        <v>0</v>
      </c>
      <c r="V92" s="2" t="inlineStr">
        <is>
          <t>Ekoxe</t>
        </is>
      </c>
      <c r="W92">
        <f>HYPERLINK("https://klasma.github.io/Logging_0885/artfynd/A 13043-2024 artfynd.xlsx", "A 13043-2024")</f>
        <v/>
      </c>
      <c r="X92">
        <f>HYPERLINK("https://klasma.github.io/Logging_0885/kartor/A 13043-2024 karta.png", "A 13043-2024")</f>
        <v/>
      </c>
      <c r="Y92">
        <f>HYPERLINK("https://klasma.github.io/Logging_0885/kartor_geotiff/A 13043-2024 georefererad karta.tif", "A 13043-2024")</f>
        <v/>
      </c>
      <c r="AA92">
        <f>HYPERLINK("https://klasma.github.io/Logging_0885/klagomål/A 13043-2024 FSC-klagomål.docx", "A 13043-2024")</f>
        <v/>
      </c>
      <c r="AB92">
        <f>HYPERLINK("https://klasma.github.io/Logging_0885/klagomålsmail/A 13043-2024 FSC-klagomål mail.docx", "A 13043-2024")</f>
        <v/>
      </c>
      <c r="AC92">
        <f>HYPERLINK("https://klasma.github.io/Logging_0885/tillsyn/A 13043-2024 tillsynsbegäran.docx", "A 13043-2024")</f>
        <v/>
      </c>
      <c r="AD92">
        <f>HYPERLINK("https://klasma.github.io/Logging_0885/tillsynsmail/A 13043-2024 tillsynsbegäran mail.docx", "A 13043-2024")</f>
        <v/>
      </c>
    </row>
    <row r="93" ht="15" customHeight="1">
      <c r="A93" t="inlineStr">
        <is>
          <t>A 24704-2023</t>
        </is>
      </c>
      <c r="B93" t="inlineStr">
        <is>
          <t>avverkningsanmälan</t>
        </is>
      </c>
      <c r="C93" t="inlineStr">
        <is>
          <t>Föryngringsavverkning</t>
        </is>
      </c>
      <c r="D93" s="1" t="n">
        <v>45084</v>
      </c>
      <c r="E93" s="1" t="n">
        <v>46249</v>
      </c>
      <c r="F93" t="inlineStr">
        <is>
          <t>KALMAR LÄN</t>
        </is>
      </c>
      <c r="G93" t="inlineStr">
        <is>
          <t>BORGHOLM</t>
        </is>
      </c>
      <c r="I93" t="n">
        <v>3.5</v>
      </c>
      <c r="J93" t="n">
        <v>0</v>
      </c>
      <c r="K93" t="n">
        <v>0</v>
      </c>
      <c r="L93" t="n">
        <v>0</v>
      </c>
      <c r="M93" t="n">
        <v>0</v>
      </c>
      <c r="N93" t="n">
        <v>1</v>
      </c>
      <c r="O93" t="n">
        <v>0</v>
      </c>
      <c r="P93" t="n">
        <v>0</v>
      </c>
      <c r="Q93" t="n">
        <v>1</v>
      </c>
      <c r="R93" t="n">
        <v>1</v>
      </c>
      <c r="S93" t="n">
        <v>1</v>
      </c>
      <c r="T93" t="n">
        <v>2</v>
      </c>
      <c r="U93" t="n">
        <v>0</v>
      </c>
      <c r="V93" s="2" t="inlineStr">
        <is>
          <t>Ask</t>
        </is>
      </c>
      <c r="W93">
        <f>HYPERLINK("https://klasma.github.io/Logging_0885/artfynd/A 24704-2023 artfynd.xlsx", "A 24704-2023")</f>
        <v/>
      </c>
      <c r="X93">
        <f>HYPERLINK("https://klasma.github.io/Logging_0885/kartor/A 24704-2023 karta.png", "A 24704-2023")</f>
        <v/>
      </c>
      <c r="Y93">
        <f>HYPERLINK("https://klasma.github.io/Logging_0885/kartor_geotiff/A 24704-2023 georefererad karta.tif", "A 24704-2023")</f>
        <v/>
      </c>
      <c r="AA93">
        <f>HYPERLINK("https://klasma.github.io/Logging_0885/klagomål/A 24704-2023 FSC-klagomål.docx", "A 24704-2023")</f>
        <v/>
      </c>
      <c r="AB93">
        <f>HYPERLINK("https://klasma.github.io/Logging_0885/klagomålsmail/A 24704-2023 FSC-klagomål mail.docx", "A 24704-2023")</f>
        <v/>
      </c>
      <c r="AC93">
        <f>HYPERLINK("https://klasma.github.io/Logging_0885/tillsyn/A 24704-2023 tillsynsbegäran.docx", "A 24704-2023")</f>
        <v/>
      </c>
      <c r="AD93">
        <f>HYPERLINK("https://klasma.github.io/Logging_0885/tillsynsmail/A 24704-2023 tillsynsbegäran mail.docx", "A 24704-2023")</f>
        <v/>
      </c>
    </row>
    <row r="94" ht="15" customHeight="1">
      <c r="A94" t="inlineStr">
        <is>
          <t>A 26840-2026</t>
        </is>
      </c>
      <c r="B94" t="inlineStr">
        <is>
          <t>avverkningsanmälan</t>
        </is>
      </c>
      <c r="C94" t="inlineStr">
        <is>
          <t>Avverkning för att bevara och utveckla /försöksver</t>
        </is>
      </c>
      <c r="D94" s="1" t="n">
        <v>46185</v>
      </c>
      <c r="E94" s="1" t="n">
        <v>46249</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28782-2025</t>
        </is>
      </c>
      <c r="B95" t="inlineStr">
        <is>
          <t>avverkningsanmälan</t>
        </is>
      </c>
      <c r="C95" t="inlineStr">
        <is>
          <t>Avverkning för att bevara och utveckla /försöksver</t>
        </is>
      </c>
      <c r="D95" s="1" t="n">
        <v>45820</v>
      </c>
      <c r="E95" s="1" t="n">
        <v>46249</v>
      </c>
      <c r="F95" t="inlineStr">
        <is>
          <t>KALMAR LÄN</t>
        </is>
      </c>
      <c r="G95" t="inlineStr">
        <is>
          <t>BORGHOLM</t>
        </is>
      </c>
      <c r="H95" t="inlineStr">
        <is>
          <t>Sveaskog</t>
        </is>
      </c>
      <c r="I95" t="n">
        <v>0.8</v>
      </c>
      <c r="J95" t="n">
        <v>1</v>
      </c>
      <c r="K95" t="n">
        <v>0</v>
      </c>
      <c r="L95" t="n">
        <v>0</v>
      </c>
      <c r="M95" t="n">
        <v>0</v>
      </c>
      <c r="N95" t="n">
        <v>0</v>
      </c>
      <c r="O95" t="n">
        <v>0</v>
      </c>
      <c r="P95" t="n">
        <v>0</v>
      </c>
      <c r="Q95" t="n">
        <v>0</v>
      </c>
      <c r="R95" t="n">
        <v>0</v>
      </c>
      <c r="S95" t="n">
        <v>1</v>
      </c>
      <c r="T95" t="n">
        <v>1</v>
      </c>
      <c r="U95" t="n">
        <v>0</v>
      </c>
      <c r="V95" s="2" t="inlineStr">
        <is>
          <t>Havsörn</t>
        </is>
      </c>
      <c r="W95">
        <f>HYPERLINK("https://klasma.github.io/Logging_0885/artfynd/A 28782-2025 artfynd.xlsx", "A 28782-2025")</f>
        <v/>
      </c>
      <c r="X95">
        <f>HYPERLINK("https://klasma.github.io/Logging_0885/kartor/A 28782-2025 karta.png", "A 28782-2025")</f>
        <v/>
      </c>
      <c r="Y95">
        <f>HYPERLINK("https://klasma.github.io/Logging_0885/kartor_geotiff/A 28782-2025 georefererad karta.tif", "A 28782-2025")</f>
        <v/>
      </c>
      <c r="AA95">
        <f>HYPERLINK("https://klasma.github.io/Logging_0885/klagomål/A 28782-2025 FSC-klagomål.docx", "A 28782-2025")</f>
        <v/>
      </c>
      <c r="AB95">
        <f>HYPERLINK("https://klasma.github.io/Logging_0885/klagomålsmail/A 28782-2025 FSC-klagomål mail.docx", "A 28782-2025")</f>
        <v/>
      </c>
      <c r="AC95">
        <f>HYPERLINK("https://klasma.github.io/Logging_0885/tillsyn/A 28782-2025 tillsynsbegäran.docx", "A 28782-2025")</f>
        <v/>
      </c>
      <c r="AD95">
        <f>HYPERLINK("https://klasma.github.io/Logging_0885/tillsynsmail/A 28782-2025 tillsynsbegäran mail.docx", "A 28782-2025")</f>
        <v/>
      </c>
      <c r="AE95">
        <f>HYPERLINK("https://klasma.github.io/Logging_0885/fåglar/A 28782-2025 prioriterade fågelarter.docx", "A 28782-2025")</f>
        <v/>
      </c>
    </row>
    <row r="96" ht="15" customHeight="1">
      <c r="A96" t="inlineStr">
        <is>
          <t>A 28785-2025</t>
        </is>
      </c>
      <c r="B96" t="inlineStr">
        <is>
          <t>avverkningsanmälan</t>
        </is>
      </c>
      <c r="C96" t="inlineStr">
        <is>
          <t>Avverkning för att bevara och utveckla /försöksver</t>
        </is>
      </c>
      <c r="D96" s="1" t="n">
        <v>45820</v>
      </c>
      <c r="E96" s="1" t="n">
        <v>46249</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28430-2026</t>
        </is>
      </c>
      <c r="B97" t="inlineStr">
        <is>
          <t>avverkningsanmälan</t>
        </is>
      </c>
      <c r="C97" t="inlineStr">
        <is>
          <t>Avverkning för att bevara och utveckla /försöksver</t>
        </is>
      </c>
      <c r="D97" s="1" t="n">
        <v>46197</v>
      </c>
      <c r="E97" s="1" t="n">
        <v>46249</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46249</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A 33293-2026</t>
        </is>
      </c>
      <c r="B99" t="inlineStr">
        <is>
          <t>avverkningsanmälan</t>
        </is>
      </c>
      <c r="C99" t="inlineStr">
        <is>
          <t>Avverkning för att bevara och utveckla /försöksver</t>
        </is>
      </c>
      <c r="D99" s="1" t="n">
        <v>46246</v>
      </c>
      <c r="E99" s="1" t="n">
        <v>46249</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46249</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46249</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46249</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46249</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46249</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46249</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42761-2021</t>
        </is>
      </c>
      <c r="B106" t="inlineStr">
        <is>
          <t>avverkningsanmälan</t>
        </is>
      </c>
      <c r="C106" t="inlineStr">
        <is>
          <t>Avverkning för annat ändamål</t>
        </is>
      </c>
      <c r="D106" s="1" t="n">
        <v>44428</v>
      </c>
      <c r="E106" s="1" t="n">
        <v>46249</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32665-2022</t>
        </is>
      </c>
      <c r="B107" t="inlineStr">
        <is>
          <t>avverkningsanmälan</t>
        </is>
      </c>
      <c r="C107" t="inlineStr">
        <is>
          <t>Avverkning för att bevara och utveckla /försöksver</t>
        </is>
      </c>
      <c r="D107" s="1" t="n">
        <v>44783</v>
      </c>
      <c r="E107" s="1" t="n">
        <v>46249</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46249</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46249</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46249</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46249</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46249</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46249</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46249</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46249</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34951-2022</t>
        </is>
      </c>
      <c r="B116" t="inlineStr">
        <is>
          <t>avverkningsanmälan</t>
        </is>
      </c>
      <c r="C116" t="inlineStr">
        <is>
          <t>Avverkning för att bevara och utveckla /försöksver</t>
        </is>
      </c>
      <c r="D116" s="1" t="n">
        <v>44796</v>
      </c>
      <c r="E116" s="1" t="n">
        <v>46249</v>
      </c>
      <c r="F116" t="inlineStr">
        <is>
          <t>KALMAR LÄN</t>
        </is>
      </c>
      <c r="G116" t="inlineStr">
        <is>
          <t>BORGHOLM</t>
        </is>
      </c>
      <c r="H116" t="inlineStr">
        <is>
          <t>Sveaskog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31699-2022</t>
        </is>
      </c>
      <c r="B117" t="inlineStr">
        <is>
          <t>avverkningsanmälan</t>
        </is>
      </c>
      <c r="C117" t="inlineStr">
        <is>
          <t>Föryngringsavverkning</t>
        </is>
      </c>
      <c r="D117" s="1" t="n">
        <v>44776</v>
      </c>
      <c r="E117" s="1" t="n">
        <v>46249</v>
      </c>
      <c r="F117" t="inlineStr">
        <is>
          <t>KALMAR LÄN</t>
        </is>
      </c>
      <c r="G117" t="inlineStr">
        <is>
          <t>BORGHOLM</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5175-2024</t>
        </is>
      </c>
      <c r="B118" t="inlineStr">
        <is>
          <t>avverkningsanmälan</t>
        </is>
      </c>
      <c r="C118" t="inlineStr">
        <is>
          <t>Föryngringsavverkning</t>
        </is>
      </c>
      <c r="D118" s="1" t="n">
        <v>45330</v>
      </c>
      <c r="E118" s="1" t="n">
        <v>46249</v>
      </c>
      <c r="F118" t="inlineStr">
        <is>
          <t>KALMAR LÄN</t>
        </is>
      </c>
      <c r="G118" t="inlineStr">
        <is>
          <t>BORGHOLM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46249</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46249</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46249</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4159-2024</t>
        </is>
      </c>
      <c r="B122" t="inlineStr">
        <is>
          <t>avverkningsanmälan</t>
        </is>
      </c>
      <c r="C122" t="inlineStr">
        <is>
          <t>Föryngringsavverkning</t>
        </is>
      </c>
      <c r="D122" s="1" t="n">
        <v>45323</v>
      </c>
      <c r="E122" s="1" t="n">
        <v>46249</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46249</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46249</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46249</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3878-2023</t>
        </is>
      </c>
      <c r="B126" t="inlineStr">
        <is>
          <t>avverkningsanmälan</t>
        </is>
      </c>
      <c r="C126" t="inlineStr">
        <is>
          <t>Föryngringsavverkning</t>
        </is>
      </c>
      <c r="D126" s="1" t="n">
        <v>44951</v>
      </c>
      <c r="E126" s="1" t="n">
        <v>46249</v>
      </c>
      <c r="F126" t="inlineStr">
        <is>
          <t>KALMAR LÄN</t>
        </is>
      </c>
      <c r="G126" t="inlineStr">
        <is>
          <t>BORGHOLM</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53050-2021</t>
        </is>
      </c>
      <c r="B127" t="inlineStr">
        <is>
          <t>avverkningsanmälan</t>
        </is>
      </c>
      <c r="C127" t="inlineStr">
        <is>
          <t>Föryngringsavverkning</t>
        </is>
      </c>
      <c r="D127" s="1" t="n">
        <v>44467</v>
      </c>
      <c r="E127" s="1" t="n">
        <v>46249</v>
      </c>
      <c r="F127" t="inlineStr">
        <is>
          <t>KALMAR LÄN</t>
        </is>
      </c>
      <c r="G127" t="inlineStr">
        <is>
          <t>BORGHOLM</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13383-2023</t>
        </is>
      </c>
      <c r="B128" t="inlineStr">
        <is>
          <t>avverkningsanmälan</t>
        </is>
      </c>
      <c r="C128" t="inlineStr">
        <is>
          <t>Föryngringsavverkning</t>
        </is>
      </c>
      <c r="D128" s="1" t="n">
        <v>45005</v>
      </c>
      <c r="E128" s="1" t="n">
        <v>46249</v>
      </c>
      <c r="F128" t="inlineStr">
        <is>
          <t>KALMAR LÄN</t>
        </is>
      </c>
      <c r="G128" t="inlineStr">
        <is>
          <t>BORGHOLM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4165-2023</t>
        </is>
      </c>
      <c r="B129" t="inlineStr">
        <is>
          <t>avverkningsanmälan</t>
        </is>
      </c>
      <c r="C129" t="inlineStr">
        <is>
          <t>Föryngringsavverkning</t>
        </is>
      </c>
      <c r="D129" s="1" t="n">
        <v>44953</v>
      </c>
      <c r="E129" s="1" t="n">
        <v>46249</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12937-2022</t>
        </is>
      </c>
      <c r="B130" t="inlineStr">
        <is>
          <t>avverkningsanmälan</t>
        </is>
      </c>
      <c r="C130" t="inlineStr">
        <is>
          <t>Föryngringsavverkning</t>
        </is>
      </c>
      <c r="D130" s="1" t="n">
        <v>44642</v>
      </c>
      <c r="E130" s="1" t="n">
        <v>46249</v>
      </c>
      <c r="F130" t="inlineStr">
        <is>
          <t>KALMAR LÄN</t>
        </is>
      </c>
      <c r="G130" t="inlineStr">
        <is>
          <t>BORGHOLM</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32921-2023</t>
        </is>
      </c>
      <c r="B131" t="inlineStr">
        <is>
          <t>avverkningsanmälan</t>
        </is>
      </c>
      <c r="C131" t="inlineStr">
        <is>
          <t>Föryngringsavverkning</t>
        </is>
      </c>
      <c r="D131" s="1" t="n">
        <v>45125</v>
      </c>
      <c r="E131" s="1" t="n">
        <v>46249</v>
      </c>
      <c r="F131" t="inlineStr">
        <is>
          <t>KALMAR LÄN</t>
        </is>
      </c>
      <c r="G131" t="inlineStr">
        <is>
          <t>BORGHOLM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61438-2023</t>
        </is>
      </c>
      <c r="B132" t="inlineStr">
        <is>
          <t>avverkningsanmälan</t>
        </is>
      </c>
      <c r="C132" t="inlineStr">
        <is>
          <t>Avverkning för annat ändamål</t>
        </is>
      </c>
      <c r="D132" s="1" t="n">
        <v>45264</v>
      </c>
      <c r="E132" s="1" t="n">
        <v>46249</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13041-2024</t>
        </is>
      </c>
      <c r="B133" t="inlineStr">
        <is>
          <t>avverkningsanmälan</t>
        </is>
      </c>
      <c r="C133" t="inlineStr">
        <is>
          <t>Föryngringsavverkning</t>
        </is>
      </c>
      <c r="D133" s="1" t="n">
        <v>45385</v>
      </c>
      <c r="E133" s="1" t="n">
        <v>46249</v>
      </c>
      <c r="F133" t="inlineStr">
        <is>
          <t>KALMAR LÄN</t>
        </is>
      </c>
      <c r="G133" t="inlineStr">
        <is>
          <t>BORGHOLM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1614-2025</t>
        </is>
      </c>
      <c r="B134" t="inlineStr">
        <is>
          <t>avverkningsanmälan</t>
        </is>
      </c>
      <c r="C134" t="inlineStr">
        <is>
          <t>Föryngringsavverkning</t>
        </is>
      </c>
      <c r="D134" s="1" t="n">
        <v>45670</v>
      </c>
      <c r="E134" s="1" t="n">
        <v>46249</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9259-2026</t>
        </is>
      </c>
      <c r="B135" t="inlineStr">
        <is>
          <t>avverkningsanmälan</t>
        </is>
      </c>
      <c r="C135" t="inlineStr">
        <is>
          <t>Föryngringsavverkning</t>
        </is>
      </c>
      <c r="D135" s="1" t="n">
        <v>46070</v>
      </c>
      <c r="E135" s="1" t="n">
        <v>46249</v>
      </c>
      <c r="F135" t="inlineStr">
        <is>
          <t>KALMAR LÄN</t>
        </is>
      </c>
      <c r="G135" t="inlineStr">
        <is>
          <t>BORGHOLM</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64303-2023</t>
        </is>
      </c>
      <c r="B136" t="inlineStr">
        <is>
          <t>avverkningsanmälan</t>
        </is>
      </c>
      <c r="C136" t="inlineStr">
        <is>
          <t>Avverkning för annat ändamål</t>
        </is>
      </c>
      <c r="D136" s="1" t="n">
        <v>45280</v>
      </c>
      <c r="E136" s="1" t="n">
        <v>46249</v>
      </c>
      <c r="F136" t="inlineStr">
        <is>
          <t>KALMAR LÄN</t>
        </is>
      </c>
      <c r="G136" t="inlineStr">
        <is>
          <t>BORGHOLM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44547-2021</t>
        </is>
      </c>
      <c r="B137" t="inlineStr">
        <is>
          <t>avverkningsanmälan</t>
        </is>
      </c>
      <c r="C137" t="inlineStr">
        <is>
          <t>Avverkning för annat ändamål</t>
        </is>
      </c>
      <c r="D137" s="1" t="n">
        <v>44435</v>
      </c>
      <c r="E137" s="1" t="n">
        <v>46249</v>
      </c>
      <c r="F137" t="inlineStr">
        <is>
          <t>KALMAR LÄN</t>
        </is>
      </c>
      <c r="G137" t="inlineStr">
        <is>
          <t>BORGHOLM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9050-2025</t>
        </is>
      </c>
      <c r="B138" t="inlineStr">
        <is>
          <t>avverkningsanmälan</t>
        </is>
      </c>
      <c r="C138" t="inlineStr">
        <is>
          <t>Avverkning för att bevara och utveckla /försöksver</t>
        </is>
      </c>
      <c r="D138" s="1" t="n">
        <v>45713</v>
      </c>
      <c r="E138" s="1" t="n">
        <v>46249</v>
      </c>
      <c r="F138" t="inlineStr">
        <is>
          <t>KALMAR LÄN</t>
        </is>
      </c>
      <c r="G138" t="inlineStr">
        <is>
          <t>BORGHOLM</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43603-2024</t>
        </is>
      </c>
      <c r="B139" t="inlineStr">
        <is>
          <t>avverkningsanmälan</t>
        </is>
      </c>
      <c r="C139" t="inlineStr">
        <is>
          <t>Föryngringsavverkning</t>
        </is>
      </c>
      <c r="D139" s="1" t="n">
        <v>45569</v>
      </c>
      <c r="E139" s="1" t="n">
        <v>46249</v>
      </c>
      <c r="F139" t="inlineStr">
        <is>
          <t>KALMAR LÄN</t>
        </is>
      </c>
      <c r="G139" t="inlineStr">
        <is>
          <t>BORGHOLM</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63075-2023</t>
        </is>
      </c>
      <c r="B140" t="inlineStr">
        <is>
          <t>avverkningsanmälan</t>
        </is>
      </c>
      <c r="C140" t="inlineStr">
        <is>
          <t>Avverkning för annat ändamål</t>
        </is>
      </c>
      <c r="D140" s="1" t="n">
        <v>45273</v>
      </c>
      <c r="E140" s="1" t="n">
        <v>46249</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27357-2025</t>
        </is>
      </c>
      <c r="B141" t="inlineStr">
        <is>
          <t>avverkningsanmälan</t>
        </is>
      </c>
      <c r="C141" t="inlineStr">
        <is>
          <t>Avverkning för att bevara och utveckla /försöksver</t>
        </is>
      </c>
      <c r="D141" s="1" t="n">
        <v>45812</v>
      </c>
      <c r="E141" s="1" t="n">
        <v>46249</v>
      </c>
      <c r="F141" t="inlineStr">
        <is>
          <t>KALMAR LÄN</t>
        </is>
      </c>
      <c r="G141" t="inlineStr">
        <is>
          <t>BORGHOLM</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7669-2024</t>
        </is>
      </c>
      <c r="B142" t="inlineStr">
        <is>
          <t>avverkningsanmälan</t>
        </is>
      </c>
      <c r="C142" t="inlineStr">
        <is>
          <t>Föryngringsavverkning</t>
        </is>
      </c>
      <c r="D142" s="1" t="n">
        <v>45348</v>
      </c>
      <c r="E142" s="1" t="n">
        <v>46249</v>
      </c>
      <c r="F142" t="inlineStr">
        <is>
          <t>KALMAR LÄN</t>
        </is>
      </c>
      <c r="G142" t="inlineStr">
        <is>
          <t>BORGHOLM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24338-2026</t>
        </is>
      </c>
      <c r="B143" t="inlineStr">
        <is>
          <t>avverkningsanmälan</t>
        </is>
      </c>
      <c r="C143" t="inlineStr">
        <is>
          <t>Avverkning för att bevara och utveckla /försöksver</t>
        </is>
      </c>
      <c r="D143" s="1" t="n">
        <v>46169</v>
      </c>
      <c r="E143" s="1" t="n">
        <v>46249</v>
      </c>
      <c r="F143" t="inlineStr">
        <is>
          <t>KALMAR LÄN</t>
        </is>
      </c>
      <c r="G143" t="inlineStr">
        <is>
          <t>BORGHOLM</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24345-2026</t>
        </is>
      </c>
      <c r="B144" t="inlineStr">
        <is>
          <t>avverkningsanmälan</t>
        </is>
      </c>
      <c r="C144" t="inlineStr">
        <is>
          <t>Avverkning för att bevara och utveckla /försöksver</t>
        </is>
      </c>
      <c r="D144" s="1" t="n">
        <v>46169</v>
      </c>
      <c r="E144" s="1" t="n">
        <v>46249</v>
      </c>
      <c r="F144" t="inlineStr">
        <is>
          <t>KALMAR LÄN</t>
        </is>
      </c>
      <c r="G144" t="inlineStr">
        <is>
          <t>BORGHOLM</t>
        </is>
      </c>
      <c r="H144" t="inlineStr">
        <is>
          <t>Sveaskog</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24323-2026</t>
        </is>
      </c>
      <c r="B145" t="inlineStr">
        <is>
          <t>avverkningsanmälan</t>
        </is>
      </c>
      <c r="C145" t="inlineStr">
        <is>
          <t>Föryngringsavverkning</t>
        </is>
      </c>
      <c r="D145" s="1" t="n">
        <v>46169</v>
      </c>
      <c r="E145" s="1" t="n">
        <v>46249</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22785-2025</t>
        </is>
      </c>
      <c r="B146" t="inlineStr">
        <is>
          <t>avverkningsanmälan</t>
        </is>
      </c>
      <c r="C146" t="inlineStr">
        <is>
          <t>Föryngringsavverkning</t>
        </is>
      </c>
      <c r="D146" s="1" t="n">
        <v>45789</v>
      </c>
      <c r="E146" s="1" t="n">
        <v>46249</v>
      </c>
      <c r="F146" t="inlineStr">
        <is>
          <t>KALMAR LÄN</t>
        </is>
      </c>
      <c r="G146" t="inlineStr">
        <is>
          <t>BORGHOLM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46249</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46249</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40339-2023</t>
        </is>
      </c>
      <c r="B149" t="inlineStr">
        <is>
          <t>avverkningsanmälan</t>
        </is>
      </c>
      <c r="C149" t="inlineStr">
        <is>
          <t>Föryngringsavverkning</t>
        </is>
      </c>
      <c r="D149" s="1" t="n">
        <v>45169</v>
      </c>
      <c r="E149" s="1" t="n">
        <v>46249</v>
      </c>
      <c r="F149" t="inlineStr">
        <is>
          <t>KALMAR LÄN</t>
        </is>
      </c>
      <c r="G149" t="inlineStr">
        <is>
          <t>BORGHOLM</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55367-2024</t>
        </is>
      </c>
      <c r="B150" t="inlineStr">
        <is>
          <t>avverkningsanmälan</t>
        </is>
      </c>
      <c r="C150" t="inlineStr">
        <is>
          <t>Föryngringsavverkning</t>
        </is>
      </c>
      <c r="D150" s="1" t="n">
        <v>45621</v>
      </c>
      <c r="E150" s="1" t="n">
        <v>46249</v>
      </c>
      <c r="F150" t="inlineStr">
        <is>
          <t>KALMAR LÄN</t>
        </is>
      </c>
      <c r="G150" t="inlineStr">
        <is>
          <t>BORGHOLM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20287-2025</t>
        </is>
      </c>
      <c r="B151" t="inlineStr">
        <is>
          <t>avverkningsanmälan</t>
        </is>
      </c>
      <c r="C151" t="inlineStr">
        <is>
          <t>Avverkning för att bevara och utveckla /försöksver</t>
        </is>
      </c>
      <c r="D151" s="1" t="n">
        <v>45774</v>
      </c>
      <c r="E151" s="1" t="n">
        <v>46249</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26190-2025</t>
        </is>
      </c>
      <c r="B152" t="inlineStr">
        <is>
          <t>avverkningsanmälan</t>
        </is>
      </c>
      <c r="C152" t="inlineStr">
        <is>
          <t>Föryngringsavverkning</t>
        </is>
      </c>
      <c r="D152" s="1" t="n">
        <v>45805</v>
      </c>
      <c r="E152" s="1" t="n">
        <v>46249</v>
      </c>
      <c r="F152" t="inlineStr">
        <is>
          <t>KALMAR LÄN</t>
        </is>
      </c>
      <c r="G152" t="inlineStr">
        <is>
          <t>BORGHOLM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9076-2025</t>
        </is>
      </c>
      <c r="B153" t="inlineStr">
        <is>
          <t>avverkningsanmälan</t>
        </is>
      </c>
      <c r="C153" t="inlineStr">
        <is>
          <t>Föryngringsavverkning</t>
        </is>
      </c>
      <c r="D153" s="1" t="n">
        <v>45713</v>
      </c>
      <c r="E153" s="1" t="n">
        <v>46249</v>
      </c>
      <c r="F153" t="inlineStr">
        <is>
          <t>KALMAR LÄN</t>
        </is>
      </c>
      <c r="G153" t="inlineStr">
        <is>
          <t>BORGHOLM</t>
        </is>
      </c>
      <c r="H153" t="inlineStr">
        <is>
          <t>Sveaskog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32919-2023</t>
        </is>
      </c>
      <c r="B154" t="inlineStr">
        <is>
          <t>avverkningsanmälan</t>
        </is>
      </c>
      <c r="C154" t="inlineStr">
        <is>
          <t>Föryngringsavverkning</t>
        </is>
      </c>
      <c r="D154" s="1" t="n">
        <v>45125</v>
      </c>
      <c r="E154" s="1" t="n">
        <v>46249</v>
      </c>
      <c r="F154" t="inlineStr">
        <is>
          <t>KALMAR LÄN</t>
        </is>
      </c>
      <c r="G154" t="inlineStr">
        <is>
          <t>BORGHOLM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28380-2026</t>
        </is>
      </c>
      <c r="B155" t="inlineStr">
        <is>
          <t>avverkningsanmälan</t>
        </is>
      </c>
      <c r="C155" t="inlineStr">
        <is>
          <t>Avverkning för att bevara och utveckla /försöksver</t>
        </is>
      </c>
      <c r="D155" s="1" t="n">
        <v>46196</v>
      </c>
      <c r="E155" s="1" t="n">
        <v>46249</v>
      </c>
      <c r="F155" t="inlineStr">
        <is>
          <t>KALMAR LÄN</t>
        </is>
      </c>
      <c r="G155" t="inlineStr">
        <is>
          <t>BORGHOLM</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28381-2026</t>
        </is>
      </c>
      <c r="B156" t="inlineStr">
        <is>
          <t>avverkningsanmälan</t>
        </is>
      </c>
      <c r="C156" t="inlineStr">
        <is>
          <t>Avverkning för att bevara och utveckla /försöksver</t>
        </is>
      </c>
      <c r="D156" s="1" t="n">
        <v>46196</v>
      </c>
      <c r="E156" s="1" t="n">
        <v>46249</v>
      </c>
      <c r="F156" t="inlineStr">
        <is>
          <t>KALMAR LÄN</t>
        </is>
      </c>
      <c r="G156" t="inlineStr">
        <is>
          <t>BORGHOLM</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28411-2026</t>
        </is>
      </c>
      <c r="B157" t="inlineStr">
        <is>
          <t>avverkningsanmälan</t>
        </is>
      </c>
      <c r="C157" t="inlineStr">
        <is>
          <t>Avverkning för att bevara och utveckla /försöksver</t>
        </is>
      </c>
      <c r="D157" s="1" t="n">
        <v>46197</v>
      </c>
      <c r="E157" s="1" t="n">
        <v>46249</v>
      </c>
      <c r="F157" t="inlineStr">
        <is>
          <t>KALMAR LÄN</t>
        </is>
      </c>
      <c r="G157" t="inlineStr">
        <is>
          <t>BORGHOLM</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36269-2025</t>
        </is>
      </c>
      <c r="B158" t="inlineStr">
        <is>
          <t>avverkningsanmälan</t>
        </is>
      </c>
      <c r="C158" t="inlineStr">
        <is>
          <t>Föryngringsavverkning</t>
        </is>
      </c>
      <c r="D158" s="1" t="n">
        <v>45867</v>
      </c>
      <c r="E158" s="1" t="n">
        <v>46249</v>
      </c>
      <c r="F158" t="inlineStr">
        <is>
          <t>KALMAR LÄN</t>
        </is>
      </c>
      <c r="G158" t="inlineStr">
        <is>
          <t>BORGHOLM</t>
        </is>
      </c>
      <c r="H158" t="inlineStr">
        <is>
          <t>Sveaskog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29413-2026</t>
        </is>
      </c>
      <c r="B159" t="inlineStr">
        <is>
          <t>avverkningsanmälan</t>
        </is>
      </c>
      <c r="C159" t="inlineStr">
        <is>
          <t>Avverkning för att bevara och utveckla /försöksver</t>
        </is>
      </c>
      <c r="D159" s="1" t="n">
        <v>46203</v>
      </c>
      <c r="E159" s="1" t="n">
        <v>46249</v>
      </c>
      <c r="F159" t="inlineStr">
        <is>
          <t>KALMAR LÄN</t>
        </is>
      </c>
      <c r="G159" t="inlineStr">
        <is>
          <t>BORGHOLM</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29414-2026</t>
        </is>
      </c>
      <c r="B160" t="inlineStr">
        <is>
          <t>avverkningsanmälan</t>
        </is>
      </c>
      <c r="C160" t="inlineStr">
        <is>
          <t>Avverkning för att bevara och utveckla /försöksver</t>
        </is>
      </c>
      <c r="D160" s="1" t="n">
        <v>46203</v>
      </c>
      <c r="E160" s="1" t="n">
        <v>46249</v>
      </c>
      <c r="F160" t="inlineStr">
        <is>
          <t>KALMAR LÄN</t>
        </is>
      </c>
      <c r="G160" t="inlineStr">
        <is>
          <t>BORGHOLM</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29431-2026</t>
        </is>
      </c>
      <c r="B161" t="inlineStr">
        <is>
          <t>avverkningsanmälan</t>
        </is>
      </c>
      <c r="C161" t="inlineStr">
        <is>
          <t>Avverkning för att bevara och utveckla /försöksver</t>
        </is>
      </c>
      <c r="D161" s="1" t="n">
        <v>46203</v>
      </c>
      <c r="E161" s="1" t="n">
        <v>46249</v>
      </c>
      <c r="F161" t="inlineStr">
        <is>
          <t>KALMAR LÄN</t>
        </is>
      </c>
      <c r="G161" t="inlineStr">
        <is>
          <t>BORGHOLM</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29410-2026</t>
        </is>
      </c>
      <c r="B162" t="inlineStr">
        <is>
          <t>avverkningsanmälan</t>
        </is>
      </c>
      <c r="C162" t="inlineStr">
        <is>
          <t>Avverkning för att bevara och utveckla /försöksver</t>
        </is>
      </c>
      <c r="D162" s="1" t="n">
        <v>46203</v>
      </c>
      <c r="E162" s="1" t="n">
        <v>46249</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46249</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46249</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46249</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46249</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46249</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46249</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46249</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46249</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46249</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1812-2026</t>
        </is>
      </c>
      <c r="B172" t="inlineStr">
        <is>
          <t>samrådsanmälan</t>
        </is>
      </c>
      <c r="C172" t="inlineStr">
        <is>
          <t>Annan skogsbruksåtgärd</t>
        </is>
      </c>
      <c r="D172" s="1" t="n">
        <v>46197</v>
      </c>
      <c r="E172" s="1" t="n">
        <v>46249</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1806-2026</t>
        </is>
      </c>
      <c r="B173" t="inlineStr">
        <is>
          <t>samrådsanmälan</t>
        </is>
      </c>
      <c r="C173" t="inlineStr">
        <is>
          <t>Annan skogsbruksåtgärd</t>
        </is>
      </c>
      <c r="D173" s="1" t="n">
        <v>46196</v>
      </c>
      <c r="E173" s="1" t="n">
        <v>46249</v>
      </c>
      <c r="F173" t="inlineStr">
        <is>
          <t>KALMAR LÄN</t>
        </is>
      </c>
      <c r="G173" t="inlineStr">
        <is>
          <t>BORGHOLM</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1807-2026</t>
        </is>
      </c>
      <c r="B174" t="inlineStr">
        <is>
          <t>samrådsanmälan</t>
        </is>
      </c>
      <c r="C174" t="inlineStr">
        <is>
          <t>Annan skogsbruksåtgärd</t>
        </is>
      </c>
      <c r="D174" s="1" t="n">
        <v>46196</v>
      </c>
      <c r="E174" s="1" t="n">
        <v>46249</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46249</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46249</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46249</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46249</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2026-08-15T08:29:43Z</dcterms:created>
  <dcterms:modified xmlns:dcterms="http://purl.org/dc/terms/" xmlns:xsi="http://www.w3.org/2001/XMLSchema-instance" xsi:type="dcterms:W3CDTF">2026-08-15T08:29:43Z</dcterms:modified>
</cp:coreProperties>
</file>