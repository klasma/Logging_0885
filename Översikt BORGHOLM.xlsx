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45882</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45882</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45882</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34948-2022</t>
        </is>
      </c>
      <c r="B10" s="1" t="n">
        <v>44796</v>
      </c>
      <c r="C10" s="1" t="n">
        <v>45882</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45882</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45882</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45882</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45882</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45882</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45882</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45882</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44008-2022</t>
        </is>
      </c>
      <c r="B18" s="1" t="n">
        <v>44838</v>
      </c>
      <c r="C18" s="1" t="n">
        <v>45882</v>
      </c>
      <c r="D18" t="inlineStr">
        <is>
          <t>KALMAR LÄN</t>
        </is>
      </c>
      <c r="E18" t="inlineStr">
        <is>
          <t>BORGHOLM</t>
        </is>
      </c>
      <c r="F18" t="inlineStr">
        <is>
          <t>Sveaskog</t>
        </is>
      </c>
      <c r="G18" t="n">
        <v>1.7</v>
      </c>
      <c r="H18" t="n">
        <v>2</v>
      </c>
      <c r="I18" t="n">
        <v>0</v>
      </c>
      <c r="J18" t="n">
        <v>2</v>
      </c>
      <c r="K18" t="n">
        <v>0</v>
      </c>
      <c r="L18" t="n">
        <v>0</v>
      </c>
      <c r="M18" t="n">
        <v>0</v>
      </c>
      <c r="N18" t="n">
        <v>0</v>
      </c>
      <c r="O18" t="n">
        <v>2</v>
      </c>
      <c r="P18" t="n">
        <v>0</v>
      </c>
      <c r="Q18" t="n">
        <v>2</v>
      </c>
      <c r="R18" s="2" t="inlineStr">
        <is>
          <t>Entita
Talltita</t>
        </is>
      </c>
      <c r="S18">
        <f>HYPERLINK("https://klasma.github.io/Logging_0885/artfynd/A 44008-2022 artfynd.xlsx", "A 44008-2022")</f>
        <v/>
      </c>
      <c r="T18">
        <f>HYPERLINK("https://klasma.github.io/Logging_0885/kartor/A 44008-2022 karta.png", "A 44008-2022")</f>
        <v/>
      </c>
      <c r="V18">
        <f>HYPERLINK("https://klasma.github.io/Logging_0885/klagomål/A 44008-2022 FSC-klagomål.docx", "A 44008-2022")</f>
        <v/>
      </c>
      <c r="W18">
        <f>HYPERLINK("https://klasma.github.io/Logging_0885/klagomålsmail/A 44008-2022 FSC-klagomål mail.docx", "A 44008-2022")</f>
        <v/>
      </c>
      <c r="X18">
        <f>HYPERLINK("https://klasma.github.io/Logging_0885/tillsyn/A 44008-2022 tillsynsbegäran.docx", "A 44008-2022")</f>
        <v/>
      </c>
      <c r="Y18">
        <f>HYPERLINK("https://klasma.github.io/Logging_0885/tillsynsmail/A 44008-2022 tillsynsbegäran mail.docx", "A 44008-2022")</f>
        <v/>
      </c>
      <c r="Z18">
        <f>HYPERLINK("https://klasma.github.io/Logging_0885/fåglar/A 44008-2022 prioriterade fågelarter.docx", "A 44008-2022")</f>
        <v/>
      </c>
    </row>
    <row r="19" ht="15" customHeight="1">
      <c r="A19" t="inlineStr">
        <is>
          <t>A 4164-2023</t>
        </is>
      </c>
      <c r="B19" s="1" t="n">
        <v>44953</v>
      </c>
      <c r="C19" s="1" t="n">
        <v>45882</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34944-2022</t>
        </is>
      </c>
      <c r="B20" s="1" t="n">
        <v>44796</v>
      </c>
      <c r="C20" s="1" t="n">
        <v>45882</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13556-2025</t>
        </is>
      </c>
      <c r="B21" s="1" t="n">
        <v>45736.54759259259</v>
      </c>
      <c r="C21" s="1" t="n">
        <v>45882</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32174-2022</t>
        </is>
      </c>
      <c r="B22" s="1" t="n">
        <v>44781</v>
      </c>
      <c r="C22" s="1" t="n">
        <v>45882</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43756-2022</t>
        </is>
      </c>
      <c r="B23" s="1" t="n">
        <v>44837</v>
      </c>
      <c r="C23" s="1" t="n">
        <v>45882</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28779-2025</t>
        </is>
      </c>
      <c r="B24" s="1" t="n">
        <v>45820.44920138889</v>
      </c>
      <c r="C24" s="1" t="n">
        <v>45882</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3871-2021</t>
        </is>
      </c>
      <c r="B25" s="1" t="n">
        <v>44222</v>
      </c>
      <c r="C25" s="1" t="n">
        <v>45882</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45882</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45882</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12785-2021</t>
        </is>
      </c>
      <c r="B28" s="1" t="n">
        <v>44270</v>
      </c>
      <c r="C28" s="1" t="n">
        <v>45882</v>
      </c>
      <c r="D28" t="inlineStr">
        <is>
          <t>KALMAR LÄN</t>
        </is>
      </c>
      <c r="E28" t="inlineStr">
        <is>
          <t>BORGHOLM</t>
        </is>
      </c>
      <c r="G28" t="n">
        <v>1.2</v>
      </c>
      <c r="H28" t="n">
        <v>0</v>
      </c>
      <c r="I28" t="n">
        <v>0</v>
      </c>
      <c r="J28" t="n">
        <v>0</v>
      </c>
      <c r="K28" t="n">
        <v>0</v>
      </c>
      <c r="L28" t="n">
        <v>1</v>
      </c>
      <c r="M28" t="n">
        <v>0</v>
      </c>
      <c r="N28" t="n">
        <v>0</v>
      </c>
      <c r="O28" t="n">
        <v>1</v>
      </c>
      <c r="P28" t="n">
        <v>1</v>
      </c>
      <c r="Q28" t="n">
        <v>1</v>
      </c>
      <c r="R28" s="2" t="inlineStr">
        <is>
          <t>Ask</t>
        </is>
      </c>
      <c r="S28">
        <f>HYPERLINK("https://klasma.github.io/Logging_0885/artfynd/A 12785-2021 artfynd.xlsx", "A 12785-2021")</f>
        <v/>
      </c>
      <c r="T28">
        <f>HYPERLINK("https://klasma.github.io/Logging_0885/kartor/A 12785-2021 karta.png", "A 12785-2021")</f>
        <v/>
      </c>
      <c r="V28">
        <f>HYPERLINK("https://klasma.github.io/Logging_0885/klagomål/A 12785-2021 FSC-klagomål.docx", "A 12785-2021")</f>
        <v/>
      </c>
      <c r="W28">
        <f>HYPERLINK("https://klasma.github.io/Logging_0885/klagomålsmail/A 12785-2021 FSC-klagomål mail.docx", "A 12785-2021")</f>
        <v/>
      </c>
      <c r="X28">
        <f>HYPERLINK("https://klasma.github.io/Logging_0885/tillsyn/A 12785-2021 tillsynsbegäran.docx", "A 12785-2021")</f>
        <v/>
      </c>
      <c r="Y28">
        <f>HYPERLINK("https://klasma.github.io/Logging_0885/tillsynsmail/A 12785-2021 tillsynsbegäran mail.docx", "A 12785-2021")</f>
        <v/>
      </c>
    </row>
    <row r="29" ht="15" customHeight="1">
      <c r="A29" t="inlineStr">
        <is>
          <t>A 9745-2023</t>
        </is>
      </c>
      <c r="B29" s="1" t="n">
        <v>44984</v>
      </c>
      <c r="C29" s="1" t="n">
        <v>45882</v>
      </c>
      <c r="D29" t="inlineStr">
        <is>
          <t>KALMAR LÄN</t>
        </is>
      </c>
      <c r="E29" t="inlineStr">
        <is>
          <t>BORGHOLM</t>
        </is>
      </c>
      <c r="G29" t="n">
        <v>1.2</v>
      </c>
      <c r="H29" t="n">
        <v>1</v>
      </c>
      <c r="I29" t="n">
        <v>1</v>
      </c>
      <c r="J29" t="n">
        <v>0</v>
      </c>
      <c r="K29" t="n">
        <v>0</v>
      </c>
      <c r="L29" t="n">
        <v>0</v>
      </c>
      <c r="M29" t="n">
        <v>0</v>
      </c>
      <c r="N29" t="n">
        <v>0</v>
      </c>
      <c r="O29" t="n">
        <v>0</v>
      </c>
      <c r="P29" t="n">
        <v>0</v>
      </c>
      <c r="Q29" t="n">
        <v>1</v>
      </c>
      <c r="R29" s="2" t="inlineStr">
        <is>
          <t>Skogsknipprot</t>
        </is>
      </c>
      <c r="S29">
        <f>HYPERLINK("https://klasma.github.io/Logging_0885/artfynd/A 9745-2023 artfynd.xlsx", "A 9745-2023")</f>
        <v/>
      </c>
      <c r="T29">
        <f>HYPERLINK("https://klasma.github.io/Logging_0885/kartor/A 9745-2023 karta.png", "A 9745-2023")</f>
        <v/>
      </c>
      <c r="V29">
        <f>HYPERLINK("https://klasma.github.io/Logging_0885/klagomål/A 9745-2023 FSC-klagomål.docx", "A 9745-2023")</f>
        <v/>
      </c>
      <c r="W29">
        <f>HYPERLINK("https://klasma.github.io/Logging_0885/klagomålsmail/A 9745-2023 FSC-klagomål mail.docx", "A 9745-2023")</f>
        <v/>
      </c>
      <c r="X29">
        <f>HYPERLINK("https://klasma.github.io/Logging_0885/tillsyn/A 9745-2023 tillsynsbegäran.docx", "A 9745-2023")</f>
        <v/>
      </c>
      <c r="Y29">
        <f>HYPERLINK("https://klasma.github.io/Logging_0885/tillsynsmail/A 9745-2023 tillsynsbegäran mail.docx", "A 9745-2023")</f>
        <v/>
      </c>
    </row>
    <row r="30" ht="15" customHeight="1">
      <c r="A30" t="inlineStr">
        <is>
          <t>A 24701-2023</t>
        </is>
      </c>
      <c r="B30" s="1" t="n">
        <v>45084</v>
      </c>
      <c r="C30" s="1" t="n">
        <v>45882</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45882</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43603-2024</t>
        </is>
      </c>
      <c r="B32" s="1" t="n">
        <v>45569.44700231482</v>
      </c>
      <c r="C32" s="1" t="n">
        <v>45882</v>
      </c>
      <c r="D32" t="inlineStr">
        <is>
          <t>KALMAR LÄN</t>
        </is>
      </c>
      <c r="E32" t="inlineStr">
        <is>
          <t>BORGHOLM</t>
        </is>
      </c>
      <c r="G32" t="n">
        <v>3.8</v>
      </c>
      <c r="H32" t="n">
        <v>1</v>
      </c>
      <c r="I32" t="n">
        <v>0</v>
      </c>
      <c r="J32" t="n">
        <v>0</v>
      </c>
      <c r="K32" t="n">
        <v>1</v>
      </c>
      <c r="L32" t="n">
        <v>0</v>
      </c>
      <c r="M32" t="n">
        <v>0</v>
      </c>
      <c r="N32" t="n">
        <v>0</v>
      </c>
      <c r="O32" t="n">
        <v>1</v>
      </c>
      <c r="P32" t="n">
        <v>1</v>
      </c>
      <c r="Q32" t="n">
        <v>1</v>
      </c>
      <c r="R32" s="2" t="inlineStr">
        <is>
          <t>Väddnätfjäril</t>
        </is>
      </c>
      <c r="S32">
        <f>HYPERLINK("https://klasma.github.io/Logging_0885/artfynd/A 43603-2024 artfynd.xlsx", "A 43603-2024")</f>
        <v/>
      </c>
      <c r="T32">
        <f>HYPERLINK("https://klasma.github.io/Logging_0885/kartor/A 43603-2024 karta.png", "A 43603-2024")</f>
        <v/>
      </c>
      <c r="V32">
        <f>HYPERLINK("https://klasma.github.io/Logging_0885/klagomål/A 43603-2024 FSC-klagomål.docx", "A 43603-2024")</f>
        <v/>
      </c>
      <c r="W32">
        <f>HYPERLINK("https://klasma.github.io/Logging_0885/klagomålsmail/A 43603-2024 FSC-klagomål mail.docx", "A 43603-2024")</f>
        <v/>
      </c>
      <c r="X32">
        <f>HYPERLINK("https://klasma.github.io/Logging_0885/tillsyn/A 43603-2024 tillsynsbegäran.docx", "A 43603-2024")</f>
        <v/>
      </c>
      <c r="Y32">
        <f>HYPERLINK("https://klasma.github.io/Logging_0885/tillsynsmail/A 43603-2024 tillsynsbegäran mail.docx", "A 43603-2024")</f>
        <v/>
      </c>
    </row>
    <row r="33" ht="15" customHeight="1">
      <c r="A33" t="inlineStr">
        <is>
          <t>A 14789-2021</t>
        </is>
      </c>
      <c r="B33" s="1" t="n">
        <v>44280</v>
      </c>
      <c r="C33" s="1" t="n">
        <v>45882</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24048-2025</t>
        </is>
      </c>
      <c r="B34" s="1" t="n">
        <v>45796.4959375</v>
      </c>
      <c r="C34" s="1" t="n">
        <v>45882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45882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34885-2025</t>
        </is>
      </c>
      <c r="B36" s="1" t="n">
        <v>45849.47128472223</v>
      </c>
      <c r="C36" s="1" t="n">
        <v>45882</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28785-2025</t>
        </is>
      </c>
      <c r="B37" s="1" t="n">
        <v>45820.46159722222</v>
      </c>
      <c r="C37" s="1" t="n">
        <v>45882</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45882</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24704-2023</t>
        </is>
      </c>
      <c r="B39" s="1" t="n">
        <v>45084</v>
      </c>
      <c r="C39" s="1" t="n">
        <v>45882</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56499-2020</t>
        </is>
      </c>
      <c r="B40" s="1" t="n">
        <v>44137</v>
      </c>
      <c r="C40" s="1" t="n">
        <v>45882</v>
      </c>
      <c r="D40" t="inlineStr">
        <is>
          <t>KALMAR LÄN</t>
        </is>
      </c>
      <c r="E40" t="inlineStr">
        <is>
          <t>BORGHOLM</t>
        </is>
      </c>
      <c r="F40" t="inlineStr">
        <is>
          <t>Sveaskog</t>
        </is>
      </c>
      <c r="G40" t="n">
        <v>0.5</v>
      </c>
      <c r="H40" t="n">
        <v>0</v>
      </c>
      <c r="I40" t="n">
        <v>0</v>
      </c>
      <c r="J40" t="n">
        <v>0</v>
      </c>
      <c r="K40" t="n">
        <v>0</v>
      </c>
      <c r="L40" t="n">
        <v>0</v>
      </c>
      <c r="M40" t="n">
        <v>0</v>
      </c>
      <c r="N40" t="n">
        <v>0</v>
      </c>
      <c r="O40" t="n">
        <v>0</v>
      </c>
      <c r="P40" t="n">
        <v>0</v>
      </c>
      <c r="Q40" t="n">
        <v>0</v>
      </c>
      <c r="R40" s="2" t="inlineStr"/>
    </row>
    <row r="41" ht="15" customHeight="1">
      <c r="A41" t="inlineStr">
        <is>
          <t>A 56434-2020</t>
        </is>
      </c>
      <c r="B41" s="1" t="n">
        <v>44137</v>
      </c>
      <c r="C41" s="1" t="n">
        <v>45882</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45882</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45882</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56488-2020</t>
        </is>
      </c>
      <c r="B44" s="1" t="n">
        <v>44137</v>
      </c>
      <c r="C44" s="1" t="n">
        <v>45882</v>
      </c>
      <c r="D44" t="inlineStr">
        <is>
          <t>KALMAR LÄN</t>
        </is>
      </c>
      <c r="E44" t="inlineStr">
        <is>
          <t>BORGHOLM</t>
        </is>
      </c>
      <c r="F44" t="inlineStr">
        <is>
          <t>Sveaskog</t>
        </is>
      </c>
      <c r="G44" t="n">
        <v>1.4</v>
      </c>
      <c r="H44" t="n">
        <v>0</v>
      </c>
      <c r="I44" t="n">
        <v>0</v>
      </c>
      <c r="J44" t="n">
        <v>0</v>
      </c>
      <c r="K44" t="n">
        <v>0</v>
      </c>
      <c r="L44" t="n">
        <v>0</v>
      </c>
      <c r="M44" t="n">
        <v>0</v>
      </c>
      <c r="N44" t="n">
        <v>0</v>
      </c>
      <c r="O44" t="n">
        <v>0</v>
      </c>
      <c r="P44" t="n">
        <v>0</v>
      </c>
      <c r="Q44" t="n">
        <v>0</v>
      </c>
      <c r="R44" s="2" t="inlineStr"/>
    </row>
    <row r="45" ht="15" customHeight="1">
      <c r="A45" t="inlineStr">
        <is>
          <t>A 56506-2020</t>
        </is>
      </c>
      <c r="B45" s="1" t="n">
        <v>44137</v>
      </c>
      <c r="C45" s="1" t="n">
        <v>45882</v>
      </c>
      <c r="D45" t="inlineStr">
        <is>
          <t>KALMAR LÄN</t>
        </is>
      </c>
      <c r="E45" t="inlineStr">
        <is>
          <t>BORGHOLM</t>
        </is>
      </c>
      <c r="F45" t="inlineStr">
        <is>
          <t>Sveaskog</t>
        </is>
      </c>
      <c r="G45" t="n">
        <v>1.7</v>
      </c>
      <c r="H45" t="n">
        <v>0</v>
      </c>
      <c r="I45" t="n">
        <v>0</v>
      </c>
      <c r="J45" t="n">
        <v>0</v>
      </c>
      <c r="K45" t="n">
        <v>0</v>
      </c>
      <c r="L45" t="n">
        <v>0</v>
      </c>
      <c r="M45" t="n">
        <v>0</v>
      </c>
      <c r="N45" t="n">
        <v>0</v>
      </c>
      <c r="O45" t="n">
        <v>0</v>
      </c>
      <c r="P45" t="n">
        <v>0</v>
      </c>
      <c r="Q45" t="n">
        <v>0</v>
      </c>
      <c r="R45" s="2" t="inlineStr"/>
    </row>
    <row r="46" ht="15" customHeight="1">
      <c r="A46" t="inlineStr">
        <is>
          <t>A 12711-2021</t>
        </is>
      </c>
      <c r="B46" s="1" t="n">
        <v>44270</v>
      </c>
      <c r="C46" s="1" t="n">
        <v>45882</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45882</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45882</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45882</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45882</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45882</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45882</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45882</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45882</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45882</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45882</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45882</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45882</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45882</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62631-2021</t>
        </is>
      </c>
      <c r="B61" s="1" t="n">
        <v>44503</v>
      </c>
      <c r="C61" s="1" t="n">
        <v>45882</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45882</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45882</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45882</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45882</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45882</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45882</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45882</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9044-2025</t>
        </is>
      </c>
      <c r="B69" s="1" t="n">
        <v>45713.6275</v>
      </c>
      <c r="C69" s="1" t="n">
        <v>45882</v>
      </c>
      <c r="D69" t="inlineStr">
        <is>
          <t>KALMAR LÄN</t>
        </is>
      </c>
      <c r="E69" t="inlineStr">
        <is>
          <t>BORGHOLM</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29656-2023</t>
        </is>
      </c>
      <c r="B70" s="1" t="n">
        <v>45107</v>
      </c>
      <c r="C70" s="1" t="n">
        <v>45882</v>
      </c>
      <c r="D70" t="inlineStr">
        <is>
          <t>KALMAR LÄN</t>
        </is>
      </c>
      <c r="E70" t="inlineStr">
        <is>
          <t>BORGHOLM</t>
        </is>
      </c>
      <c r="G70" t="n">
        <v>4.1</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45882</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12937-2022</t>
        </is>
      </c>
      <c r="B72" s="1" t="n">
        <v>44642</v>
      </c>
      <c r="C72" s="1" t="n">
        <v>45882</v>
      </c>
      <c r="D72" t="inlineStr">
        <is>
          <t>KALMAR LÄN</t>
        </is>
      </c>
      <c r="E72" t="inlineStr">
        <is>
          <t>BORGHOLM</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20878-2024</t>
        </is>
      </c>
      <c r="B73" s="1" t="n">
        <v>45439.44748842593</v>
      </c>
      <c r="C73" s="1" t="n">
        <v>45882</v>
      </c>
      <c r="D73" t="inlineStr">
        <is>
          <t>KALMAR LÄN</t>
        </is>
      </c>
      <c r="E73" t="inlineStr">
        <is>
          <t>BORGHOLM</t>
        </is>
      </c>
      <c r="G73" t="n">
        <v>1.9</v>
      </c>
      <c r="H73" t="n">
        <v>0</v>
      </c>
      <c r="I73" t="n">
        <v>0</v>
      </c>
      <c r="J73" t="n">
        <v>0</v>
      </c>
      <c r="K73" t="n">
        <v>0</v>
      </c>
      <c r="L73" t="n">
        <v>0</v>
      </c>
      <c r="M73" t="n">
        <v>0</v>
      </c>
      <c r="N73" t="n">
        <v>0</v>
      </c>
      <c r="O73" t="n">
        <v>0</v>
      </c>
      <c r="P73" t="n">
        <v>0</v>
      </c>
      <c r="Q73" t="n">
        <v>0</v>
      </c>
      <c r="R73" s="2" t="inlineStr"/>
    </row>
    <row r="74" ht="15" customHeight="1">
      <c r="A74" t="inlineStr">
        <is>
          <t>A 17699-2025</t>
        </is>
      </c>
      <c r="B74" s="1" t="n">
        <v>45758.41846064815</v>
      </c>
      <c r="C74" s="1" t="n">
        <v>45882</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20287-2025</t>
        </is>
      </c>
      <c r="B75" s="1" t="n">
        <v>45774.60741898148</v>
      </c>
      <c r="C75" s="1" t="n">
        <v>45882</v>
      </c>
      <c r="D75" t="inlineStr">
        <is>
          <t>KALMAR LÄN</t>
        </is>
      </c>
      <c r="E75" t="inlineStr">
        <is>
          <t>BORGHOLM</t>
        </is>
      </c>
      <c r="G75" t="n">
        <v>0.6</v>
      </c>
      <c r="H75" t="n">
        <v>0</v>
      </c>
      <c r="I75" t="n">
        <v>0</v>
      </c>
      <c r="J75" t="n">
        <v>0</v>
      </c>
      <c r="K75" t="n">
        <v>0</v>
      </c>
      <c r="L75" t="n">
        <v>0</v>
      </c>
      <c r="M75" t="n">
        <v>0</v>
      </c>
      <c r="N75" t="n">
        <v>0</v>
      </c>
      <c r="O75" t="n">
        <v>0</v>
      </c>
      <c r="P75" t="n">
        <v>0</v>
      </c>
      <c r="Q75" t="n">
        <v>0</v>
      </c>
      <c r="R75" s="2" t="inlineStr"/>
    </row>
    <row r="76" ht="15" customHeight="1">
      <c r="A76" t="inlineStr">
        <is>
          <t>A 9034-2025</t>
        </is>
      </c>
      <c r="B76" s="1" t="n">
        <v>45713</v>
      </c>
      <c r="C76" s="1" t="n">
        <v>45882</v>
      </c>
      <c r="D76" t="inlineStr">
        <is>
          <t>KALMAR LÄN</t>
        </is>
      </c>
      <c r="E76" t="inlineStr">
        <is>
          <t>BORGHOLM</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45882</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9050-2025</t>
        </is>
      </c>
      <c r="B78" s="1" t="n">
        <v>45713.63512731482</v>
      </c>
      <c r="C78" s="1" t="n">
        <v>45882</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13548-2025</t>
        </is>
      </c>
      <c r="B79" s="1" t="n">
        <v>45736.53827546296</v>
      </c>
      <c r="C79" s="1" t="n">
        <v>45882</v>
      </c>
      <c r="D79" t="inlineStr">
        <is>
          <t>KALMAR LÄN</t>
        </is>
      </c>
      <c r="E79" t="inlineStr">
        <is>
          <t>BORGHOLM</t>
        </is>
      </c>
      <c r="G79" t="n">
        <v>1</v>
      </c>
      <c r="H79" t="n">
        <v>0</v>
      </c>
      <c r="I79" t="n">
        <v>0</v>
      </c>
      <c r="J79" t="n">
        <v>0</v>
      </c>
      <c r="K79" t="n">
        <v>0</v>
      </c>
      <c r="L79" t="n">
        <v>0</v>
      </c>
      <c r="M79" t="n">
        <v>0</v>
      </c>
      <c r="N79" t="n">
        <v>0</v>
      </c>
      <c r="O79" t="n">
        <v>0</v>
      </c>
      <c r="P79" t="n">
        <v>0</v>
      </c>
      <c r="Q79" t="n">
        <v>0</v>
      </c>
      <c r="R79" s="2" t="inlineStr"/>
    </row>
    <row r="80" ht="15" customHeight="1">
      <c r="A80" t="inlineStr">
        <is>
          <t>A 9028-2025</t>
        </is>
      </c>
      <c r="B80" s="1" t="n">
        <v>45713</v>
      </c>
      <c r="C80" s="1" t="n">
        <v>45882</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7669-2024</t>
        </is>
      </c>
      <c r="B81" s="1" t="n">
        <v>45348.82498842593</v>
      </c>
      <c r="C81" s="1" t="n">
        <v>45882</v>
      </c>
      <c r="D81" t="inlineStr">
        <is>
          <t>KALMAR LÄN</t>
        </is>
      </c>
      <c r="E81" t="inlineStr">
        <is>
          <t>BORGHOLM</t>
        </is>
      </c>
      <c r="G81" t="n">
        <v>2.3</v>
      </c>
      <c r="H81" t="n">
        <v>0</v>
      </c>
      <c r="I81" t="n">
        <v>0</v>
      </c>
      <c r="J81" t="n">
        <v>0</v>
      </c>
      <c r="K81" t="n">
        <v>0</v>
      </c>
      <c r="L81" t="n">
        <v>0</v>
      </c>
      <c r="M81" t="n">
        <v>0</v>
      </c>
      <c r="N81" t="n">
        <v>0</v>
      </c>
      <c r="O81" t="n">
        <v>0</v>
      </c>
      <c r="P81" t="n">
        <v>0</v>
      </c>
      <c r="Q81" t="n">
        <v>0</v>
      </c>
      <c r="R81" s="2" t="inlineStr"/>
    </row>
    <row r="82" ht="15" customHeight="1">
      <c r="A82" t="inlineStr">
        <is>
          <t>A 63075-2023</t>
        </is>
      </c>
      <c r="B82" s="1" t="n">
        <v>45273</v>
      </c>
      <c r="C82" s="1" t="n">
        <v>45882</v>
      </c>
      <c r="D82" t="inlineStr">
        <is>
          <t>KALMAR LÄN</t>
        </is>
      </c>
      <c r="E82" t="inlineStr">
        <is>
          <t>BORGHOLM</t>
        </is>
      </c>
      <c r="G82" t="n">
        <v>1.1</v>
      </c>
      <c r="H82" t="n">
        <v>0</v>
      </c>
      <c r="I82" t="n">
        <v>0</v>
      </c>
      <c r="J82" t="n">
        <v>0</v>
      </c>
      <c r="K82" t="n">
        <v>0</v>
      </c>
      <c r="L82" t="n">
        <v>0</v>
      </c>
      <c r="M82" t="n">
        <v>0</v>
      </c>
      <c r="N82" t="n">
        <v>0</v>
      </c>
      <c r="O82" t="n">
        <v>0</v>
      </c>
      <c r="P82" t="n">
        <v>0</v>
      </c>
      <c r="Q82" t="n">
        <v>0</v>
      </c>
      <c r="R82" s="2" t="inlineStr"/>
    </row>
    <row r="83" ht="15" customHeight="1">
      <c r="A83" t="inlineStr">
        <is>
          <t>A 64303-2023</t>
        </is>
      </c>
      <c r="B83" s="1" t="n">
        <v>45280</v>
      </c>
      <c r="C83" s="1" t="n">
        <v>45882</v>
      </c>
      <c r="D83" t="inlineStr">
        <is>
          <t>KALMAR LÄN</t>
        </is>
      </c>
      <c r="E83" t="inlineStr">
        <is>
          <t>BORGHOLM</t>
        </is>
      </c>
      <c r="G83" t="n">
        <v>1.2</v>
      </c>
      <c r="H83" t="n">
        <v>0</v>
      </c>
      <c r="I83" t="n">
        <v>0</v>
      </c>
      <c r="J83" t="n">
        <v>0</v>
      </c>
      <c r="K83" t="n">
        <v>0</v>
      </c>
      <c r="L83" t="n">
        <v>0</v>
      </c>
      <c r="M83" t="n">
        <v>0</v>
      </c>
      <c r="N83" t="n">
        <v>0</v>
      </c>
      <c r="O83" t="n">
        <v>0</v>
      </c>
      <c r="P83" t="n">
        <v>0</v>
      </c>
      <c r="Q83" t="n">
        <v>0</v>
      </c>
      <c r="R83" s="2" t="inlineStr"/>
    </row>
    <row r="84" ht="15" customHeight="1">
      <c r="A84" t="inlineStr">
        <is>
          <t>A 21908-2022</t>
        </is>
      </c>
      <c r="B84" s="1" t="n">
        <v>44711</v>
      </c>
      <c r="C84" s="1" t="n">
        <v>45882</v>
      </c>
      <c r="D84" t="inlineStr">
        <is>
          <t>KALMAR LÄN</t>
        </is>
      </c>
      <c r="E84" t="inlineStr">
        <is>
          <t>BORGHOLM</t>
        </is>
      </c>
      <c r="G84" t="n">
        <v>4.7</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45882</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17978-2021</t>
        </is>
      </c>
      <c r="B86" s="1" t="n">
        <v>44301</v>
      </c>
      <c r="C86" s="1" t="n">
        <v>45882</v>
      </c>
      <c r="D86" t="inlineStr">
        <is>
          <t>KALMAR LÄN</t>
        </is>
      </c>
      <c r="E86" t="inlineStr">
        <is>
          <t>BORGHOLM</t>
        </is>
      </c>
      <c r="G86" t="n">
        <v>6</v>
      </c>
      <c r="H86" t="n">
        <v>0</v>
      </c>
      <c r="I86" t="n">
        <v>0</v>
      </c>
      <c r="J86" t="n">
        <v>0</v>
      </c>
      <c r="K86" t="n">
        <v>0</v>
      </c>
      <c r="L86" t="n">
        <v>0</v>
      </c>
      <c r="M86" t="n">
        <v>0</v>
      </c>
      <c r="N86" t="n">
        <v>0</v>
      </c>
      <c r="O86" t="n">
        <v>0</v>
      </c>
      <c r="P86" t="n">
        <v>0</v>
      </c>
      <c r="Q86" t="n">
        <v>0</v>
      </c>
      <c r="R86" s="2" t="inlineStr"/>
    </row>
    <row r="87" ht="15" customHeight="1">
      <c r="A87" t="inlineStr">
        <is>
          <t>A 55367-2024</t>
        </is>
      </c>
      <c r="B87" s="1" t="n">
        <v>45621.87075231481</v>
      </c>
      <c r="C87" s="1" t="n">
        <v>45882</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22785-2025</t>
        </is>
      </c>
      <c r="B88" s="1" t="n">
        <v>45789.64186342592</v>
      </c>
      <c r="C88" s="1" t="n">
        <v>45882</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12534-2022</t>
        </is>
      </c>
      <c r="B89" s="1" t="n">
        <v>44638</v>
      </c>
      <c r="C89" s="1" t="n">
        <v>45882</v>
      </c>
      <c r="D89" t="inlineStr">
        <is>
          <t>KALMAR LÄN</t>
        </is>
      </c>
      <c r="E89" t="inlineStr">
        <is>
          <t>BORGHOLM</t>
        </is>
      </c>
      <c r="G89" t="n">
        <v>8.6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45882</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40339-2023</t>
        </is>
      </c>
      <c r="B91" s="1" t="n">
        <v>45169.62733796296</v>
      </c>
      <c r="C91" s="1" t="n">
        <v>45882</v>
      </c>
      <c r="D91" t="inlineStr">
        <is>
          <t>KALMAR LÄN</t>
        </is>
      </c>
      <c r="E91" t="inlineStr">
        <is>
          <t>BORGHOLM</t>
        </is>
      </c>
      <c r="G91" t="n">
        <v>3.8</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45882</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45882</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32919-2023</t>
        </is>
      </c>
      <c r="B94" s="1" t="n">
        <v>45125</v>
      </c>
      <c r="C94" s="1" t="n">
        <v>45882</v>
      </c>
      <c r="D94" t="inlineStr">
        <is>
          <t>KALMAR LÄN</t>
        </is>
      </c>
      <c r="E94" t="inlineStr">
        <is>
          <t>BORGHOLM</t>
        </is>
      </c>
      <c r="G94" t="n">
        <v>2.7</v>
      </c>
      <c r="H94" t="n">
        <v>0</v>
      </c>
      <c r="I94" t="n">
        <v>0</v>
      </c>
      <c r="J94" t="n">
        <v>0</v>
      </c>
      <c r="K94" t="n">
        <v>0</v>
      </c>
      <c r="L94" t="n">
        <v>0</v>
      </c>
      <c r="M94" t="n">
        <v>0</v>
      </c>
      <c r="N94" t="n">
        <v>0</v>
      </c>
      <c r="O94" t="n">
        <v>0</v>
      </c>
      <c r="P94" t="n">
        <v>0</v>
      </c>
      <c r="Q94" t="n">
        <v>0</v>
      </c>
      <c r="R94" s="2" t="inlineStr"/>
    </row>
    <row r="95" ht="15" customHeight="1">
      <c r="A95" t="inlineStr">
        <is>
          <t>A 4159-2024</t>
        </is>
      </c>
      <c r="B95" s="1" t="n">
        <v>45323</v>
      </c>
      <c r="C95" s="1" t="n">
        <v>45882</v>
      </c>
      <c r="D95" t="inlineStr">
        <is>
          <t>KALMAR LÄN</t>
        </is>
      </c>
      <c r="E95" t="inlineStr">
        <is>
          <t>BORGHOLM</t>
        </is>
      </c>
      <c r="G95" t="n">
        <v>0.5</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45882</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31720-2022</t>
        </is>
      </c>
      <c r="B97" s="1" t="n">
        <v>44776</v>
      </c>
      <c r="C97" s="1" t="n">
        <v>45882</v>
      </c>
      <c r="D97" t="inlineStr">
        <is>
          <t>KALMAR LÄN</t>
        </is>
      </c>
      <c r="E97" t="inlineStr">
        <is>
          <t>BORGHOLM</t>
        </is>
      </c>
      <c r="F97" t="inlineStr">
        <is>
          <t>Sveaskog</t>
        </is>
      </c>
      <c r="G97" t="n">
        <v>4.5</v>
      </c>
      <c r="H97" t="n">
        <v>0</v>
      </c>
      <c r="I97" t="n">
        <v>0</v>
      </c>
      <c r="J97" t="n">
        <v>0</v>
      </c>
      <c r="K97" t="n">
        <v>0</v>
      </c>
      <c r="L97" t="n">
        <v>0</v>
      </c>
      <c r="M97" t="n">
        <v>0</v>
      </c>
      <c r="N97" t="n">
        <v>0</v>
      </c>
      <c r="O97" t="n">
        <v>0</v>
      </c>
      <c r="P97" t="n">
        <v>0</v>
      </c>
      <c r="Q97" t="n">
        <v>0</v>
      </c>
      <c r="R97" s="2" t="inlineStr"/>
    </row>
    <row r="98" ht="15" customHeight="1">
      <c r="A98" t="inlineStr">
        <is>
          <t>A 26190-2025</t>
        </is>
      </c>
      <c r="B98" s="1" t="n">
        <v>45805.48349537037</v>
      </c>
      <c r="C98" s="1" t="n">
        <v>45882</v>
      </c>
      <c r="D98" t="inlineStr">
        <is>
          <t>KALMAR LÄN</t>
        </is>
      </c>
      <c r="E98" t="inlineStr">
        <is>
          <t>BORGHOLM</t>
        </is>
      </c>
      <c r="G98" t="n">
        <v>3.2</v>
      </c>
      <c r="H98" t="n">
        <v>0</v>
      </c>
      <c r="I98" t="n">
        <v>0</v>
      </c>
      <c r="J98" t="n">
        <v>0</v>
      </c>
      <c r="K98" t="n">
        <v>0</v>
      </c>
      <c r="L98" t="n">
        <v>0</v>
      </c>
      <c r="M98" t="n">
        <v>0</v>
      </c>
      <c r="N98" t="n">
        <v>0</v>
      </c>
      <c r="O98" t="n">
        <v>0</v>
      </c>
      <c r="P98" t="n">
        <v>0</v>
      </c>
      <c r="Q98" t="n">
        <v>0</v>
      </c>
      <c r="R98" s="2" t="inlineStr"/>
    </row>
    <row r="99" ht="15" customHeight="1">
      <c r="A99" t="inlineStr">
        <is>
          <t>A 26160-2025</t>
        </is>
      </c>
      <c r="B99" s="1" t="n">
        <v>45805.4490162037</v>
      </c>
      <c r="C99" s="1" t="n">
        <v>45882</v>
      </c>
      <c r="D99" t="inlineStr">
        <is>
          <t>KALMAR LÄN</t>
        </is>
      </c>
      <c r="E99" t="inlineStr">
        <is>
          <t>BORGHOLM</t>
        </is>
      </c>
      <c r="G99" t="n">
        <v>3.7</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45882</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45882</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32921-2023</t>
        </is>
      </c>
      <c r="B102" s="1" t="n">
        <v>45125</v>
      </c>
      <c r="C102" s="1" t="n">
        <v>45882</v>
      </c>
      <c r="D102" t="inlineStr">
        <is>
          <t>KALMAR LÄN</t>
        </is>
      </c>
      <c r="E102" t="inlineStr">
        <is>
          <t>BORGHOLM</t>
        </is>
      </c>
      <c r="G102" t="n">
        <v>2.9</v>
      </c>
      <c r="H102" t="n">
        <v>0</v>
      </c>
      <c r="I102" t="n">
        <v>0</v>
      </c>
      <c r="J102" t="n">
        <v>0</v>
      </c>
      <c r="K102" t="n">
        <v>0</v>
      </c>
      <c r="L102" t="n">
        <v>0</v>
      </c>
      <c r="M102" t="n">
        <v>0</v>
      </c>
      <c r="N102" t="n">
        <v>0</v>
      </c>
      <c r="O102" t="n">
        <v>0</v>
      </c>
      <c r="P102" t="n">
        <v>0</v>
      </c>
      <c r="Q102" t="n">
        <v>0</v>
      </c>
      <c r="R102" s="2" t="inlineStr"/>
    </row>
    <row r="103" ht="15" customHeight="1">
      <c r="A103" t="inlineStr">
        <is>
          <t>A 34951-2022</t>
        </is>
      </c>
      <c r="B103" s="1" t="n">
        <v>44796</v>
      </c>
      <c r="C103" s="1" t="n">
        <v>45882</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19867-2024</t>
        </is>
      </c>
      <c r="B104" s="1" t="n">
        <v>45433</v>
      </c>
      <c r="C104" s="1" t="n">
        <v>45882</v>
      </c>
      <c r="D104" t="inlineStr">
        <is>
          <t>KALMAR LÄN</t>
        </is>
      </c>
      <c r="E104" t="inlineStr">
        <is>
          <t>BORGHOLM</t>
        </is>
      </c>
      <c r="G104" t="n">
        <v>3.9</v>
      </c>
      <c r="H104" t="n">
        <v>0</v>
      </c>
      <c r="I104" t="n">
        <v>0</v>
      </c>
      <c r="J104" t="n">
        <v>0</v>
      </c>
      <c r="K104" t="n">
        <v>0</v>
      </c>
      <c r="L104" t="n">
        <v>0</v>
      </c>
      <c r="M104" t="n">
        <v>0</v>
      </c>
      <c r="N104" t="n">
        <v>0</v>
      </c>
      <c r="O104" t="n">
        <v>0</v>
      </c>
      <c r="P104" t="n">
        <v>0</v>
      </c>
      <c r="Q104" t="n">
        <v>0</v>
      </c>
      <c r="R104" s="2" t="inlineStr"/>
    </row>
    <row r="105" ht="15" customHeight="1">
      <c r="A105" t="inlineStr">
        <is>
          <t>A 31699-2022</t>
        </is>
      </c>
      <c r="B105" s="1" t="n">
        <v>44776</v>
      </c>
      <c r="C105" s="1" t="n">
        <v>45882</v>
      </c>
      <c r="D105" t="inlineStr">
        <is>
          <t>KALMAR LÄN</t>
        </is>
      </c>
      <c r="E105" t="inlineStr">
        <is>
          <t>BORGHOLM</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45882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45882</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27357-2025</t>
        </is>
      </c>
      <c r="B108" s="1" t="n">
        <v>45812.63650462963</v>
      </c>
      <c r="C108" s="1" t="n">
        <v>45882</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45882</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45882</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45882</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53050-2021</t>
        </is>
      </c>
      <c r="B112" s="1" t="n">
        <v>44467</v>
      </c>
      <c r="C112" s="1" t="n">
        <v>45882</v>
      </c>
      <c r="D112" t="inlineStr">
        <is>
          <t>KALMAR LÄN</t>
        </is>
      </c>
      <c r="E112" t="inlineStr">
        <is>
          <t>BORGHOLM</t>
        </is>
      </c>
      <c r="G112" t="n">
        <v>3.6</v>
      </c>
      <c r="H112" t="n">
        <v>0</v>
      </c>
      <c r="I112" t="n">
        <v>0</v>
      </c>
      <c r="J112" t="n">
        <v>0</v>
      </c>
      <c r="K112" t="n">
        <v>0</v>
      </c>
      <c r="L112" t="n">
        <v>0</v>
      </c>
      <c r="M112" t="n">
        <v>0</v>
      </c>
      <c r="N112" t="n">
        <v>0</v>
      </c>
      <c r="O112" t="n">
        <v>0</v>
      </c>
      <c r="P112" t="n">
        <v>0</v>
      </c>
      <c r="Q112" t="n">
        <v>0</v>
      </c>
      <c r="R112" s="2" t="inlineStr"/>
    </row>
    <row r="113" ht="15" customHeight="1">
      <c r="A113" t="inlineStr">
        <is>
          <t>A 12480-2025</t>
        </is>
      </c>
      <c r="B113" s="1" t="n">
        <v>45730.57706018518</v>
      </c>
      <c r="C113" s="1" t="n">
        <v>45882</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4165-2023</t>
        </is>
      </c>
      <c r="B114" s="1" t="n">
        <v>44953</v>
      </c>
      <c r="C114" s="1" t="n">
        <v>45882</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50129-2021</t>
        </is>
      </c>
      <c r="B115" s="1" t="n">
        <v>44456</v>
      </c>
      <c r="C115" s="1" t="n">
        <v>45882</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45882</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28782-2025</t>
        </is>
      </c>
      <c r="B117" s="1" t="n">
        <v>45820.45572916666</v>
      </c>
      <c r="C117" s="1" t="n">
        <v>45882</v>
      </c>
      <c r="D117" t="inlineStr">
        <is>
          <t>KALMAR LÄN</t>
        </is>
      </c>
      <c r="E117" t="inlineStr">
        <is>
          <t>BORGHOLM</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36269-2025</t>
        </is>
      </c>
      <c r="B118" s="1" t="n">
        <v>45867.61736111111</v>
      </c>
      <c r="C118" s="1" t="n">
        <v>45882</v>
      </c>
      <c r="D118" t="inlineStr">
        <is>
          <t>KALMAR LÄN</t>
        </is>
      </c>
      <c r="E118" t="inlineStr">
        <is>
          <t>BORGHOLM</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27326-2025</t>
        </is>
      </c>
      <c r="B119" s="1" t="n">
        <v>45812</v>
      </c>
      <c r="C119" s="1" t="n">
        <v>45882</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12481-2025</t>
        </is>
      </c>
      <c r="B120" s="1" t="n">
        <v>45730.57878472222</v>
      </c>
      <c r="C120" s="1" t="n">
        <v>45882</v>
      </c>
      <c r="D120" t="inlineStr">
        <is>
          <t>KALMAR LÄN</t>
        </is>
      </c>
      <c r="E120" t="inlineStr">
        <is>
          <t>BORGHOLM</t>
        </is>
      </c>
      <c r="G120" t="n">
        <v>7.2</v>
      </c>
      <c r="H120" t="n">
        <v>0</v>
      </c>
      <c r="I120" t="n">
        <v>0</v>
      </c>
      <c r="J120" t="n">
        <v>0</v>
      </c>
      <c r="K120" t="n">
        <v>0</v>
      </c>
      <c r="L120" t="n">
        <v>0</v>
      </c>
      <c r="M120" t="n">
        <v>0</v>
      </c>
      <c r="N120" t="n">
        <v>0</v>
      </c>
      <c r="O120" t="n">
        <v>0</v>
      </c>
      <c r="P120" t="n">
        <v>0</v>
      </c>
      <c r="Q120" t="n">
        <v>0</v>
      </c>
      <c r="R120" s="2" t="inlineStr"/>
    </row>
    <row r="121" ht="15" customHeight="1">
      <c r="A121" t="inlineStr">
        <is>
          <t>A 9076-2025</t>
        </is>
      </c>
      <c r="B121" s="1" t="n">
        <v>45713.6596875</v>
      </c>
      <c r="C121" s="1" t="n">
        <v>45882</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13043-2024</t>
        </is>
      </c>
      <c r="B122" s="1" t="n">
        <v>45385.60111111111</v>
      </c>
      <c r="C122" s="1" t="n">
        <v>45882</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row r="123" ht="15" customHeight="1">
      <c r="A123" t="inlineStr">
        <is>
          <t>A 1757-2025</t>
        </is>
      </c>
      <c r="B123" s="1" t="n">
        <v>45671.42195601852</v>
      </c>
      <c r="C123" s="1" t="n">
        <v>45882</v>
      </c>
      <c r="D123" t="inlineStr">
        <is>
          <t>KALMAR LÄN</t>
        </is>
      </c>
      <c r="E123" t="inlineStr">
        <is>
          <t>BORGHOLM</t>
        </is>
      </c>
      <c r="G123" t="n">
        <v>1.4</v>
      </c>
      <c r="H123" t="n">
        <v>0</v>
      </c>
      <c r="I123" t="n">
        <v>0</v>
      </c>
      <c r="J123" t="n">
        <v>0</v>
      </c>
      <c r="K123" t="n">
        <v>0</v>
      </c>
      <c r="L123" t="n">
        <v>0</v>
      </c>
      <c r="M123" t="n">
        <v>0</v>
      </c>
      <c r="N123" t="n">
        <v>0</v>
      </c>
      <c r="O123" t="n">
        <v>0</v>
      </c>
      <c r="P123" t="n">
        <v>0</v>
      </c>
      <c r="Q123" t="n">
        <v>0</v>
      </c>
      <c r="R123" s="2" t="inlineStr"/>
    </row>
    <row r="124" ht="15" customHeight="1">
      <c r="A124" t="inlineStr">
        <is>
          <t>A 34780-2022</t>
        </is>
      </c>
      <c r="B124" s="1" t="n">
        <v>44795</v>
      </c>
      <c r="C124" s="1" t="n">
        <v>45882</v>
      </c>
      <c r="D124" t="inlineStr">
        <is>
          <t>KALMAR LÄN</t>
        </is>
      </c>
      <c r="E124" t="inlineStr">
        <is>
          <t>BORGHOLM</t>
        </is>
      </c>
      <c r="F124" t="inlineStr">
        <is>
          <t>Sveaskog</t>
        </is>
      </c>
      <c r="G124" t="n">
        <v>6.7</v>
      </c>
      <c r="H124" t="n">
        <v>0</v>
      </c>
      <c r="I124" t="n">
        <v>0</v>
      </c>
      <c r="J124" t="n">
        <v>0</v>
      </c>
      <c r="K124" t="n">
        <v>0</v>
      </c>
      <c r="L124" t="n">
        <v>0</v>
      </c>
      <c r="M124" t="n">
        <v>0</v>
      </c>
      <c r="N124" t="n">
        <v>0</v>
      </c>
      <c r="O124" t="n">
        <v>0</v>
      </c>
      <c r="P124" t="n">
        <v>0</v>
      </c>
      <c r="Q124" t="n">
        <v>0</v>
      </c>
      <c r="R124" s="2" t="inlineStr"/>
    </row>
    <row r="125">
      <c r="A125" t="inlineStr">
        <is>
          <t>A 7960-2023</t>
        </is>
      </c>
      <c r="B125" s="1" t="n">
        <v>44973</v>
      </c>
      <c r="C125" s="1" t="n">
        <v>45882</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2025-08-13T08:27:26Z</dcterms:created>
  <dcterms:modified xmlns:dcterms="http://purl.org/dc/terms/" xmlns:xsi="http://www.w3.org/2001/XMLSchema-instance" xsi:type="dcterms:W3CDTF">2025-08-13T08:27:27Z</dcterms:modified>
</cp:coreProperties>
</file>