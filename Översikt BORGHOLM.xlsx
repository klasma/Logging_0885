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46260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46260</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46260</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46260</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46260</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46260</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46260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46260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46260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46260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46260</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46260</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46260</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46260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46260</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46260</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46260</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46260</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46260</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46260</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46260</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46260</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46260</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46260</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46260</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46260</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46260</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46260</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32174-2022</t>
        </is>
      </c>
      <c r="B53" t="inlineStr">
        <is>
          <t>avverkningsanmälan</t>
        </is>
      </c>
      <c r="C53" t="inlineStr">
        <is>
          <t>Avverkning för att bevara och utveckla /försöksver</t>
        </is>
      </c>
      <c r="D53" s="1" t="n">
        <v>44781</v>
      </c>
      <c r="E53" s="1" t="n">
        <v>46260</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46260</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31520-2026</t>
        </is>
      </c>
      <c r="B55" t="inlineStr">
        <is>
          <t>avverkningsanmälan</t>
        </is>
      </c>
      <c r="C55" t="inlineStr">
        <is>
          <t>Avverkning för att bevara och utveckla /försöksver</t>
        </is>
      </c>
      <c r="D55" s="1" t="n">
        <v>46223</v>
      </c>
      <c r="E55" s="1" t="n">
        <v>46260</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46260</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46260</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24048-2025</t>
        </is>
      </c>
      <c r="B58" t="inlineStr">
        <is>
          <t>avverkningsanmälan</t>
        </is>
      </c>
      <c r="C58" t="inlineStr">
        <is>
          <t>Föryngringsavverkning</t>
        </is>
      </c>
      <c r="D58" s="1" t="n">
        <v>45796</v>
      </c>
      <c r="E58" s="1" t="n">
        <v>46260</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46260</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46260</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46260</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46260</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46260</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9253-2026</t>
        </is>
      </c>
      <c r="B64" t="inlineStr">
        <is>
          <t>avverkningsanmälan</t>
        </is>
      </c>
      <c r="C64" t="inlineStr">
        <is>
          <t>Föryngringsavverkning</t>
        </is>
      </c>
      <c r="D64" s="1" t="n">
        <v>46070</v>
      </c>
      <c r="E64" s="1" t="n">
        <v>46260</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60141-2025</t>
        </is>
      </c>
      <c r="B65" t="inlineStr">
        <is>
          <t>avverkningsanmälan</t>
        </is>
      </c>
      <c r="C65" t="inlineStr">
        <is>
          <t>Föryngringsavverkning</t>
        </is>
      </c>
      <c r="D65" s="1" t="n">
        <v>45994</v>
      </c>
      <c r="E65" s="1" t="n">
        <v>46260</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46260</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24322-2026</t>
        </is>
      </c>
      <c r="B67" t="inlineStr">
        <is>
          <t>avverkningsanmälan</t>
        </is>
      </c>
      <c r="C67" t="inlineStr">
        <is>
          <t>Föryngringsavverkning</t>
        </is>
      </c>
      <c r="D67" s="1" t="n">
        <v>46169</v>
      </c>
      <c r="E67" s="1" t="n">
        <v>46260</v>
      </c>
      <c r="F67" t="inlineStr">
        <is>
          <t>KALMAR LÄN</t>
        </is>
      </c>
      <c r="G67" t="inlineStr">
        <is>
          <t>BORGHOLM</t>
        </is>
      </c>
      <c r="H67" t="inlineStr">
        <is>
          <t>Sveaskog</t>
        </is>
      </c>
      <c r="I67" t="n">
        <v>5.5</v>
      </c>
      <c r="J67" t="n">
        <v>2</v>
      </c>
      <c r="K67" t="n">
        <v>2</v>
      </c>
      <c r="L67" t="n">
        <v>0</v>
      </c>
      <c r="M67" t="n">
        <v>0</v>
      </c>
      <c r="N67" t="n">
        <v>0</v>
      </c>
      <c r="O67" t="n">
        <v>0</v>
      </c>
      <c r="P67" t="n">
        <v>0</v>
      </c>
      <c r="Q67" t="n">
        <v>0</v>
      </c>
      <c r="R67" t="n">
        <v>0</v>
      </c>
      <c r="S67" t="n">
        <v>2</v>
      </c>
      <c r="T67" t="n">
        <v>2</v>
      </c>
      <c r="U67" t="n">
        <v>0</v>
      </c>
      <c r="V67" s="2" t="inlineStr">
        <is>
          <t>Purpurknipprot
Skogsknipprot</t>
        </is>
      </c>
      <c r="W67">
        <f>HYPERLINK("https://klasma.github.io/Logging_0885/artfynd/A 24322-2026 artfynd.xlsx", "A 24322-2026")</f>
        <v/>
      </c>
      <c r="X67">
        <f>HYPERLINK("https://klasma.github.io/Logging_0885/kartor/A 24322-2026 karta.png", "A 24322-2026")</f>
        <v/>
      </c>
      <c r="Y67">
        <f>HYPERLINK("https://klasma.github.io/Logging_0885/kartor_geotiff/A 24322-2026 georefererad karta.tif", "A 24322-2026")</f>
        <v/>
      </c>
      <c r="AA67">
        <f>HYPERLINK("https://klasma.github.io/Logging_0885/klagomål/A 24322-2026 FSC-klagomål.docx", "A 24322-2026")</f>
        <v/>
      </c>
      <c r="AB67">
        <f>HYPERLINK("https://klasma.github.io/Logging_0885/klagomålsmail/A 24322-2026 FSC-klagomål mail.docx", "A 24322-2026")</f>
        <v/>
      </c>
      <c r="AC67">
        <f>HYPERLINK("https://klasma.github.io/Logging_0885/tillsyn/A 24322-2026 tillsynsbegäran.docx", "A 24322-2026")</f>
        <v/>
      </c>
      <c r="AD67">
        <f>HYPERLINK("https://klasma.github.io/Logging_0885/tillsynsmail/A 24322-2026 tillsynsbegäran mail.docx", "A 24322-2026")</f>
        <v/>
      </c>
    </row>
    <row r="68" ht="15" customHeight="1">
      <c r="A68" t="inlineStr">
        <is>
          <t>A 44678-2022</t>
        </is>
      </c>
      <c r="B68" t="inlineStr">
        <is>
          <t>avverkningsanmälan</t>
        </is>
      </c>
      <c r="C68" t="inlineStr">
        <is>
          <t>Föryngringsavverkning</t>
        </is>
      </c>
      <c r="D68" s="1" t="n">
        <v>44840</v>
      </c>
      <c r="E68" s="1" t="n">
        <v>46260</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29411-2026</t>
        </is>
      </c>
      <c r="B69" t="inlineStr">
        <is>
          <t>avverkningsanmälan</t>
        </is>
      </c>
      <c r="C69" t="inlineStr">
        <is>
          <t>Avverkning för att bevara och utveckla /försöksver</t>
        </is>
      </c>
      <c r="D69" s="1" t="n">
        <v>46203</v>
      </c>
      <c r="E69" s="1" t="n">
        <v>46260</v>
      </c>
      <c r="F69" t="inlineStr">
        <is>
          <t>KALMAR LÄN</t>
        </is>
      </c>
      <c r="G69" t="inlineStr">
        <is>
          <t>BORGHOLM</t>
        </is>
      </c>
      <c r="H69" t="inlineStr">
        <is>
          <t>Sveaskog</t>
        </is>
      </c>
      <c r="I69" t="n">
        <v>0.6</v>
      </c>
      <c r="J69" t="n">
        <v>1</v>
      </c>
      <c r="K69" t="n">
        <v>1</v>
      </c>
      <c r="L69" t="n">
        <v>0</v>
      </c>
      <c r="M69" t="n">
        <v>1</v>
      </c>
      <c r="N69" t="n">
        <v>0</v>
      </c>
      <c r="O69" t="n">
        <v>0</v>
      </c>
      <c r="P69" t="n">
        <v>0</v>
      </c>
      <c r="Q69" t="n">
        <v>1</v>
      </c>
      <c r="R69" t="n">
        <v>1</v>
      </c>
      <c r="S69" t="n">
        <v>2</v>
      </c>
      <c r="T69" t="n">
        <v>2</v>
      </c>
      <c r="U69" t="n">
        <v>1</v>
      </c>
      <c r="V69" s="2" t="inlineStr">
        <is>
          <t>Bredbrämad bastardsvärmare
Ekoxe</t>
        </is>
      </c>
      <c r="W69">
        <f>HYPERLINK("https://klasma.github.io/Logging_0885/artfynd/A 29411-2026 artfynd.xlsx", "A 29411-2026")</f>
        <v/>
      </c>
      <c r="X69">
        <f>HYPERLINK("https://klasma.github.io/Logging_0885/kartor/A 29411-2026 karta.png", "A 29411-2026")</f>
        <v/>
      </c>
      <c r="Y69">
        <f>HYPERLINK("https://klasma.github.io/Logging_0885/kartor_geotiff/A 29411-2026 georefererad karta.tif", "A 29411-2026")</f>
        <v/>
      </c>
      <c r="AA69">
        <f>HYPERLINK("https://klasma.github.io/Logging_0885/klagomål/A 29411-2026 FSC-klagomål.docx", "A 29411-2026")</f>
        <v/>
      </c>
      <c r="AB69">
        <f>HYPERLINK("https://klasma.github.io/Logging_0885/klagomålsmail/A 29411-2026 FSC-klagomål mail.docx", "A 29411-2026")</f>
        <v/>
      </c>
      <c r="AC69">
        <f>HYPERLINK("https://klasma.github.io/Logging_0885/tillsyn/A 29411-2026 tillsynsbegäran.docx", "A 29411-2026")</f>
        <v/>
      </c>
      <c r="AD69">
        <f>HYPERLINK("https://klasma.github.io/Logging_0885/tillsynsmail/A 29411-2026 tillsynsbegäran mail.docx", "A 29411-2026")</f>
        <v/>
      </c>
    </row>
    <row r="70" ht="15" customHeight="1">
      <c r="A70" t="inlineStr">
        <is>
          <t>A 29434-2026</t>
        </is>
      </c>
      <c r="B70" t="inlineStr">
        <is>
          <t>avverkningsanmälan</t>
        </is>
      </c>
      <c r="C70" t="inlineStr">
        <is>
          <t>Avverkning för att bevara och utveckla /försöksver</t>
        </is>
      </c>
      <c r="D70" s="1" t="n">
        <v>46203</v>
      </c>
      <c r="E70" s="1" t="n">
        <v>46260</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50129-2021</t>
        </is>
      </c>
      <c r="B71" t="inlineStr">
        <is>
          <t>avverkningsanmälan</t>
        </is>
      </c>
      <c r="C71" t="inlineStr">
        <is>
          <t>Avverkning för annat ändamål</t>
        </is>
      </c>
      <c r="D71" s="1" t="n">
        <v>44456</v>
      </c>
      <c r="E71" s="1" t="n">
        <v>46260</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46260</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46260</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46260</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46260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46260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46260</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3302-2026</t>
        </is>
      </c>
      <c r="B81" t="inlineStr">
        <is>
          <t>avverkningsanmälan</t>
        </is>
      </c>
      <c r="C81" t="inlineStr">
        <is>
          <t>Avverkning för annat ändamål</t>
        </is>
      </c>
      <c r="D81" s="1" t="n">
        <v>46041</v>
      </c>
      <c r="E81" s="1" t="n">
        <v>46260</v>
      </c>
      <c r="F81" t="inlineStr">
        <is>
          <t>KALMAR LÄN</t>
        </is>
      </c>
      <c r="G81" t="inlineStr">
        <is>
          <t>BORGHOLM</t>
        </is>
      </c>
      <c r="I81" t="n">
        <v>3.9</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HYPERLINK("https://klasma.github.io/Logging_0885/artfynd/A 3302-2026 artfynd.xlsx", "A 3302-2026")</f>
        <v/>
      </c>
      <c r="X81">
        <f>HYPERLINK("https://klasma.github.io/Logging_0885/kartor/A 3302-2026 karta.png", "A 3302-2026")</f>
        <v/>
      </c>
      <c r="Y81">
        <f>HYPERLINK("https://klasma.github.io/Logging_0885/kartor_geotiff/A 3302-2026 georefererad karta.tif", "A 3302-2026")</f>
        <v/>
      </c>
      <c r="AA81">
        <f>HYPERLINK("https://klasma.github.io/Logging_0885/klagomål/A 3302-2026 FSC-klagomål.docx", "A 3302-2026")</f>
        <v/>
      </c>
      <c r="AB81">
        <f>HYPERLINK("https://klasma.github.io/Logging_0885/klagomålsmail/A 3302-2026 FSC-klagomål mail.docx", "A 3302-2026")</f>
        <v/>
      </c>
      <c r="AC81">
        <f>HYPERLINK("https://klasma.github.io/Logging_0885/tillsyn/A 3302-2026 tillsynsbegäran.docx", "A 3302-2026")</f>
        <v/>
      </c>
      <c r="AD81">
        <f>HYPERLINK("https://klasma.github.io/Logging_0885/tillsynsmail/A 3302-2026 tillsynsbegäran mail.docx", "A 3302-2026")</f>
        <v/>
      </c>
    </row>
    <row r="82" ht="15" customHeight="1">
      <c r="A82" t="inlineStr">
        <is>
          <t>A 7481-2026</t>
        </is>
      </c>
      <c r="B82" t="inlineStr">
        <is>
          <t>avverkningsanmälan</t>
        </is>
      </c>
      <c r="C82" t="inlineStr">
        <is>
          <t>Föryngringsavverkning</t>
        </is>
      </c>
      <c r="D82" s="1" t="n">
        <v>46059</v>
      </c>
      <c r="E82" s="1" t="n">
        <v>46260</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7481-2026 artfynd.xlsx", "A 7481-2026")</f>
        <v/>
      </c>
      <c r="X82">
        <f>HYPERLINK("https://klasma.github.io/Logging_0885/kartor/A 7481-2026 karta.png", "A 7481-2026")</f>
        <v/>
      </c>
      <c r="Y82">
        <f>HYPERLINK("https://klasma.github.io/Logging_0885/kartor_geotiff/A 7481-2026 georefererad karta.tif", "A 7481-2026")</f>
        <v/>
      </c>
      <c r="AA82">
        <f>HYPERLINK("https://klasma.github.io/Logging_0885/klagomål/A 7481-2026 FSC-klagomål.docx", "A 7481-2026")</f>
        <v/>
      </c>
      <c r="AB82">
        <f>HYPERLINK("https://klasma.github.io/Logging_0885/klagomålsmail/A 7481-2026 FSC-klagomål mail.docx", "A 7481-2026")</f>
        <v/>
      </c>
      <c r="AC82">
        <f>HYPERLINK("https://klasma.github.io/Logging_0885/tillsyn/A 7481-2026 tillsynsbegäran.docx", "A 7481-2026")</f>
        <v/>
      </c>
      <c r="AD82">
        <f>HYPERLINK("https://klasma.github.io/Logging_0885/tillsynsmail/A 7481-2026 tillsynsbegäran mail.docx", "A 7481-2026")</f>
        <v/>
      </c>
    </row>
    <row r="83" ht="15" customHeight="1">
      <c r="A83" t="inlineStr">
        <is>
          <t>A 41831-2025</t>
        </is>
      </c>
      <c r="B83" t="inlineStr">
        <is>
          <t>avverkningsanmälan</t>
        </is>
      </c>
      <c r="C83" t="inlineStr">
        <is>
          <t>Föryngringsavverkning</t>
        </is>
      </c>
      <c r="D83" s="1" t="n">
        <v>45902</v>
      </c>
      <c r="E83" s="1" t="n">
        <v>46260</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9104-2026</t>
        </is>
      </c>
      <c r="B84" t="inlineStr">
        <is>
          <t>avverkningsanmälan</t>
        </is>
      </c>
      <c r="C84" t="inlineStr">
        <is>
          <t>Avverkning för annat ändamål</t>
        </is>
      </c>
      <c r="D84" s="1" t="n">
        <v>46069</v>
      </c>
      <c r="E84" s="1" t="n">
        <v>46260</v>
      </c>
      <c r="F84" t="inlineStr">
        <is>
          <t>KALMAR LÄN</t>
        </is>
      </c>
      <c r="G84" t="inlineStr">
        <is>
          <t>BORGHOLM</t>
        </is>
      </c>
      <c r="I84" t="n">
        <v>1.3</v>
      </c>
      <c r="J84" t="n">
        <v>0</v>
      </c>
      <c r="K84" t="n">
        <v>0</v>
      </c>
      <c r="L84" t="n">
        <v>0</v>
      </c>
      <c r="M84" t="n">
        <v>0</v>
      </c>
      <c r="N84" t="n">
        <v>0</v>
      </c>
      <c r="O84" t="n">
        <v>0</v>
      </c>
      <c r="P84" t="n">
        <v>0</v>
      </c>
      <c r="Q84" t="n">
        <v>0</v>
      </c>
      <c r="R84" t="n">
        <v>0</v>
      </c>
      <c r="S84" t="n">
        <v>1</v>
      </c>
      <c r="T84" t="n">
        <v>1</v>
      </c>
      <c r="U84" t="n">
        <v>1</v>
      </c>
      <c r="V84" s="2" t="inlineStr">
        <is>
          <t>Liljekonvalj</t>
        </is>
      </c>
      <c r="W84">
        <f>HYPERLINK("https://klasma.github.io/Logging_0885/artfynd/A 9104-2026 artfynd.xlsx", "A 9104-2026")</f>
        <v/>
      </c>
      <c r="X84">
        <f>HYPERLINK("https://klasma.github.io/Logging_0885/kartor/A 9104-2026 karta.png", "A 9104-2026")</f>
        <v/>
      </c>
      <c r="Y84">
        <f>HYPERLINK("https://klasma.github.io/Logging_0885/kartor_geotiff/A 9104-2026 georefererad karta.tif", "A 9104-2026")</f>
        <v/>
      </c>
      <c r="AA84">
        <f>HYPERLINK("https://klasma.github.io/Logging_0885/klagomål/A 9104-2026 FSC-klagomål.docx", "A 9104-2026")</f>
        <v/>
      </c>
      <c r="AB84">
        <f>HYPERLINK("https://klasma.github.io/Logging_0885/klagomålsmail/A 9104-2026 FSC-klagomål mail.docx", "A 9104-2026")</f>
        <v/>
      </c>
      <c r="AC84">
        <f>HYPERLINK("https://klasma.github.io/Logging_0885/tillsyn/A 9104-2026 tillsynsbegäran.docx", "A 9104-2026")</f>
        <v/>
      </c>
      <c r="AD84">
        <f>HYPERLINK("https://klasma.github.io/Logging_0885/tillsynsmail/A 9104-2026 tillsynsbegäran mail.docx", "A 9104-2026")</f>
        <v/>
      </c>
    </row>
    <row r="85" ht="15" customHeight="1">
      <c r="A85" t="inlineStr">
        <is>
          <t>A 28785-2025</t>
        </is>
      </c>
      <c r="B85" t="inlineStr">
        <is>
          <t>avverkningsanmälan</t>
        </is>
      </c>
      <c r="C85" t="inlineStr">
        <is>
          <t>Avverkning för att bevara och utveckla /försöksver</t>
        </is>
      </c>
      <c r="D85" s="1" t="n">
        <v>45820</v>
      </c>
      <c r="E85" s="1" t="n">
        <v>46260</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28782-2025</t>
        </is>
      </c>
      <c r="B86" t="inlineStr">
        <is>
          <t>avverkningsanmälan</t>
        </is>
      </c>
      <c r="C86" t="inlineStr">
        <is>
          <t>Avverkning för att bevara och utveckla /försöksver</t>
        </is>
      </c>
      <c r="D86" s="1" t="n">
        <v>45820</v>
      </c>
      <c r="E86" s="1" t="n">
        <v>46260</v>
      </c>
      <c r="F86" t="inlineStr">
        <is>
          <t>KALMAR LÄN</t>
        </is>
      </c>
      <c r="G86" t="inlineStr">
        <is>
          <t>BORGHOLM</t>
        </is>
      </c>
      <c r="H86" t="inlineStr">
        <is>
          <t>Sveaskog</t>
        </is>
      </c>
      <c r="I86" t="n">
        <v>0.8</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HYPERLINK("https://klasma.github.io/Logging_0885/artfynd/A 28782-2025 artfynd.xlsx", "A 28782-2025")</f>
        <v/>
      </c>
      <c r="X86">
        <f>HYPERLINK("https://klasma.github.io/Logging_0885/kartor/A 28782-2025 karta.png", "A 28782-2025")</f>
        <v/>
      </c>
      <c r="Y86">
        <f>HYPERLINK("https://klasma.github.io/Logging_0885/kartor_geotiff/A 28782-2025 georefererad karta.tif", "A 28782-2025")</f>
        <v/>
      </c>
      <c r="AA86">
        <f>HYPERLINK("https://klasma.github.io/Logging_0885/klagomål/A 28782-2025 FSC-klagomål.docx", "A 28782-2025")</f>
        <v/>
      </c>
      <c r="AB86">
        <f>HYPERLINK("https://klasma.github.io/Logging_0885/klagomålsmail/A 28782-2025 FSC-klagomål mail.docx", "A 28782-2025")</f>
        <v/>
      </c>
      <c r="AC86">
        <f>HYPERLINK("https://klasma.github.io/Logging_0885/tillsyn/A 28782-2025 tillsynsbegäran.docx", "A 28782-2025")</f>
        <v/>
      </c>
      <c r="AD86">
        <f>HYPERLINK("https://klasma.github.io/Logging_0885/tillsynsmail/A 28782-2025 tillsynsbegäran mail.docx", "A 28782-2025")</f>
        <v/>
      </c>
      <c r="AE86">
        <f>HYPERLINK("https://klasma.github.io/Logging_0885/fåglar/A 28782-2025 prioriterade fågelarter.docx", "A 28782-2025")</f>
        <v/>
      </c>
    </row>
    <row r="87" ht="15" customHeight="1">
      <c r="A87" t="inlineStr">
        <is>
          <t>A 9905-2026</t>
        </is>
      </c>
      <c r="B87" t="inlineStr">
        <is>
          <t>avverkningsanmälan</t>
        </is>
      </c>
      <c r="C87" t="inlineStr">
        <is>
          <t>Föryngringsavverkning</t>
        </is>
      </c>
      <c r="D87" s="1" t="n">
        <v>46073</v>
      </c>
      <c r="E87" s="1" t="n">
        <v>46260</v>
      </c>
      <c r="F87" t="inlineStr">
        <is>
          <t>KALMAR LÄN</t>
        </is>
      </c>
      <c r="G87" t="inlineStr">
        <is>
          <t>BORGHOLM</t>
        </is>
      </c>
      <c r="I87" t="n">
        <v>1.4</v>
      </c>
      <c r="J87" t="n">
        <v>0</v>
      </c>
      <c r="K87" t="n">
        <v>0</v>
      </c>
      <c r="L87" t="n">
        <v>0</v>
      </c>
      <c r="M87" t="n">
        <v>0</v>
      </c>
      <c r="N87" t="n">
        <v>1</v>
      </c>
      <c r="O87" t="n">
        <v>0</v>
      </c>
      <c r="P87" t="n">
        <v>0</v>
      </c>
      <c r="Q87" t="n">
        <v>1</v>
      </c>
      <c r="R87" t="n">
        <v>1</v>
      </c>
      <c r="S87" t="n">
        <v>1</v>
      </c>
      <c r="T87" t="n">
        <v>1</v>
      </c>
      <c r="U87" t="n">
        <v>0</v>
      </c>
      <c r="V87" s="2" t="inlineStr">
        <is>
          <t>Ask</t>
        </is>
      </c>
      <c r="W87">
        <f>HYPERLINK("https://klasma.github.io/Logging_0885/artfynd/A 9905-2026 artfynd.xlsx", "A 9905-2026")</f>
        <v/>
      </c>
      <c r="X87">
        <f>HYPERLINK("https://klasma.github.io/Logging_0885/kartor/A 9905-2026 karta.png", "A 9905-2026")</f>
        <v/>
      </c>
      <c r="Y87">
        <f>HYPERLINK("https://klasma.github.io/Logging_0885/kartor_geotiff/A 9905-2026 georefererad karta.tif", "A 9905-2026")</f>
        <v/>
      </c>
      <c r="AA87">
        <f>HYPERLINK("https://klasma.github.io/Logging_0885/klagomål/A 9905-2026 FSC-klagomål.docx", "A 9905-2026")</f>
        <v/>
      </c>
      <c r="AB87">
        <f>HYPERLINK("https://klasma.github.io/Logging_0885/klagomålsmail/A 9905-2026 FSC-klagomål mail.docx", "A 9905-2026")</f>
        <v/>
      </c>
      <c r="AC87">
        <f>HYPERLINK("https://klasma.github.io/Logging_0885/tillsyn/A 9905-2026 tillsynsbegäran.docx", "A 9905-2026")</f>
        <v/>
      </c>
      <c r="AD87">
        <f>HYPERLINK("https://klasma.github.io/Logging_0885/tillsynsmail/A 9905-2026 tillsynsbegäran mail.docx", "A 9905-2026")</f>
        <v/>
      </c>
    </row>
    <row r="88" ht="15" customHeight="1">
      <c r="A88" t="inlineStr">
        <is>
          <t>A 63276-2023</t>
        </is>
      </c>
      <c r="B88" t="inlineStr">
        <is>
          <t>avverkningsanmälan</t>
        </is>
      </c>
      <c r="C88" t="inlineStr">
        <is>
          <t>Föryngringsavverkning</t>
        </is>
      </c>
      <c r="D88" s="1" t="n">
        <v>45273</v>
      </c>
      <c r="E88" s="1" t="n">
        <v>46260</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t="n">
        <v>0</v>
      </c>
      <c r="V88" s="2" t="inlineStr">
        <is>
          <t>Elaphomyces barrioi</t>
        </is>
      </c>
      <c r="W88">
        <f>HYPERLINK("https://klasma.github.io/Logging_0885/artfynd/A 63276-2023 artfynd.xlsx", "A 63276-2023")</f>
        <v/>
      </c>
      <c r="X88">
        <f>HYPERLINK("https://klasma.github.io/Logging_0885/kartor/A 63276-2023 karta.png", "A 63276-2023")</f>
        <v/>
      </c>
      <c r="Y88">
        <f>HYPERLINK("https://klasma.github.io/Logging_0885/kartor_geotiff/A 63276-2023 georefererad karta.tif", "A 63276-2023")</f>
        <v/>
      </c>
      <c r="AA88">
        <f>HYPERLINK("https://klasma.github.io/Logging_0885/klagomål/A 63276-2023 FSC-klagomål.docx", "A 63276-2023")</f>
        <v/>
      </c>
      <c r="AB88">
        <f>HYPERLINK("https://klasma.github.io/Logging_0885/klagomålsmail/A 63276-2023 FSC-klagomål mail.docx", "A 63276-2023")</f>
        <v/>
      </c>
      <c r="AC88">
        <f>HYPERLINK("https://klasma.github.io/Logging_0885/tillsyn/A 63276-2023 tillsynsbegäran.docx", "A 63276-2023")</f>
        <v/>
      </c>
      <c r="AD88">
        <f>HYPERLINK("https://klasma.github.io/Logging_0885/tillsynsmail/A 63276-2023 tillsynsbegäran mail.docx", "A 63276-2023")</f>
        <v/>
      </c>
    </row>
    <row r="89" ht="15" customHeight="1">
      <c r="A89" t="inlineStr">
        <is>
          <t>A 24704-2023</t>
        </is>
      </c>
      <c r="B89" t="inlineStr">
        <is>
          <t>avverkningsanmälan</t>
        </is>
      </c>
      <c r="C89" t="inlineStr">
        <is>
          <t>Föryngringsavverkning</t>
        </is>
      </c>
      <c r="D89" s="1" t="n">
        <v>45084</v>
      </c>
      <c r="E89" s="1" t="n">
        <v>46260</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9745-2023</t>
        </is>
      </c>
      <c r="B90" t="inlineStr">
        <is>
          <t>avverkningsanmälan</t>
        </is>
      </c>
      <c r="C90" t="inlineStr">
        <is>
          <t>Föryngringsavverkning</t>
        </is>
      </c>
      <c r="D90" s="1" t="n">
        <v>44984</v>
      </c>
      <c r="E90" s="1" t="n">
        <v>46260</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26840-2026</t>
        </is>
      </c>
      <c r="B91" t="inlineStr">
        <is>
          <t>avverkningsanmälan</t>
        </is>
      </c>
      <c r="C91" t="inlineStr">
        <is>
          <t>Avverkning för att bevara och utveckla /försöksver</t>
        </is>
      </c>
      <c r="D91" s="1" t="n">
        <v>46185</v>
      </c>
      <c r="E91" s="1" t="n">
        <v>46260</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31720-2022</t>
        </is>
      </c>
      <c r="B92" t="inlineStr">
        <is>
          <t>avverkningsanmälan</t>
        </is>
      </c>
      <c r="C92" t="inlineStr">
        <is>
          <t>Föryngringsavverkning</t>
        </is>
      </c>
      <c r="D92" s="1" t="n">
        <v>44776</v>
      </c>
      <c r="E92" s="1" t="n">
        <v>46260</v>
      </c>
      <c r="F92" t="inlineStr">
        <is>
          <t>KALMAR LÄN</t>
        </is>
      </c>
      <c r="G92" t="inlineStr">
        <is>
          <t>BORGHOLM</t>
        </is>
      </c>
      <c r="H92" t="inlineStr">
        <is>
          <t>Sveaskog</t>
        </is>
      </c>
      <c r="I92" t="n">
        <v>4.5</v>
      </c>
      <c r="J92" t="n">
        <v>1</v>
      </c>
      <c r="K92" t="n">
        <v>1</v>
      </c>
      <c r="L92" t="n">
        <v>0</v>
      </c>
      <c r="M92" t="n">
        <v>0</v>
      </c>
      <c r="N92" t="n">
        <v>0</v>
      </c>
      <c r="O92" t="n">
        <v>0</v>
      </c>
      <c r="P92" t="n">
        <v>0</v>
      </c>
      <c r="Q92" t="n">
        <v>0</v>
      </c>
      <c r="R92" t="n">
        <v>0</v>
      </c>
      <c r="S92" t="n">
        <v>1</v>
      </c>
      <c r="T92" t="n">
        <v>1</v>
      </c>
      <c r="U92" t="n">
        <v>1</v>
      </c>
      <c r="V92" s="2" t="inlineStr">
        <is>
          <t>Tvåblad</t>
        </is>
      </c>
      <c r="W92">
        <f>HYPERLINK("https://klasma.github.io/Logging_0885/artfynd/A 31720-2022 artfynd.xlsx", "A 31720-2022")</f>
        <v/>
      </c>
      <c r="X92">
        <f>HYPERLINK("https://klasma.github.io/Logging_0885/kartor/A 31720-2022 karta.png", "A 31720-2022")</f>
        <v/>
      </c>
      <c r="Y92">
        <f>HYPERLINK("https://klasma.github.io/Logging_0885/kartor_geotiff/A 31720-2022 georefererad karta.tif", "A 31720-2022")</f>
        <v/>
      </c>
      <c r="AA92">
        <f>HYPERLINK("https://klasma.github.io/Logging_0885/klagomål/A 31720-2022 FSC-klagomål.docx", "A 31720-2022")</f>
        <v/>
      </c>
      <c r="AB92">
        <f>HYPERLINK("https://klasma.github.io/Logging_0885/klagomålsmail/A 31720-2022 FSC-klagomål mail.docx", "A 31720-2022")</f>
        <v/>
      </c>
      <c r="AC92">
        <f>HYPERLINK("https://klasma.github.io/Logging_0885/tillsyn/A 31720-2022 tillsynsbegäran.docx", "A 31720-2022")</f>
        <v/>
      </c>
      <c r="AD92">
        <f>HYPERLINK("https://klasma.github.io/Logging_0885/tillsynsmail/A 31720-2022 tillsynsbegäran mail.docx", "A 31720-2022")</f>
        <v/>
      </c>
    </row>
    <row r="93" ht="15" customHeight="1">
      <c r="A93" t="inlineStr">
        <is>
          <t>A 28374-2026</t>
        </is>
      </c>
      <c r="B93" t="inlineStr">
        <is>
          <t>avverkningsanmälan</t>
        </is>
      </c>
      <c r="C93" t="inlineStr">
        <is>
          <t>Avverkning för att bevara och utveckla /försöksver</t>
        </is>
      </c>
      <c r="D93" s="1" t="n">
        <v>46196</v>
      </c>
      <c r="E93" s="1" t="n">
        <v>46260</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46260</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19867-2024</t>
        </is>
      </c>
      <c r="B95" t="inlineStr">
        <is>
          <t>avverkningsanmälan</t>
        </is>
      </c>
      <c r="C95" t="inlineStr">
        <is>
          <t>Föryngringsavverkning</t>
        </is>
      </c>
      <c r="D95" s="1" t="n">
        <v>45433</v>
      </c>
      <c r="E95" s="1" t="n">
        <v>46260</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46260</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46260</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20878-2024</t>
        </is>
      </c>
      <c r="B98" t="inlineStr">
        <is>
          <t>avverkningsanmälan</t>
        </is>
      </c>
      <c r="C98" t="inlineStr">
        <is>
          <t>Föryngringsavverkning</t>
        </is>
      </c>
      <c r="D98" s="1" t="n">
        <v>45439</v>
      </c>
      <c r="E98" s="1" t="n">
        <v>46260</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46260</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46260</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46260</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46260</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46260</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46260</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46260</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46260</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46260</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46260</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46260</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46260</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46260</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46260</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46260</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46260</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46260</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46260</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46260</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9259-2026</t>
        </is>
      </c>
      <c r="B119" t="inlineStr">
        <is>
          <t>avverkningsanmälan</t>
        </is>
      </c>
      <c r="C119" t="inlineStr">
        <is>
          <t>Föryngringsavverkning</t>
        </is>
      </c>
      <c r="D119" s="1" t="n">
        <v>46070</v>
      </c>
      <c r="E119" s="1" t="n">
        <v>46260</v>
      </c>
      <c r="F119" t="inlineStr">
        <is>
          <t>KALMAR LÄN</t>
        </is>
      </c>
      <c r="G119" t="inlineStr">
        <is>
          <t>BORGHOLM</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46260</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46260</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46260</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46260</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15272-2026</t>
        </is>
      </c>
      <c r="B124" t="inlineStr">
        <is>
          <t>avverkningsanmälan</t>
        </is>
      </c>
      <c r="C124" t="inlineStr">
        <is>
          <t>Avverkning för att bevara och utveckla /försöksver</t>
        </is>
      </c>
      <c r="D124" s="1" t="n">
        <v>46105</v>
      </c>
      <c r="E124" s="1" t="n">
        <v>46260</v>
      </c>
      <c r="F124" t="inlineStr">
        <is>
          <t>KALMAR LÄN</t>
        </is>
      </c>
      <c r="G124" t="inlineStr">
        <is>
          <t>BORGHOLM</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15279-2026</t>
        </is>
      </c>
      <c r="B125" t="inlineStr">
        <is>
          <t>avverkningsanmälan</t>
        </is>
      </c>
      <c r="C125" t="inlineStr">
        <is>
          <t>Avverkning för att bevara och utveckla /försöksver</t>
        </is>
      </c>
      <c r="D125" s="1" t="n">
        <v>46105</v>
      </c>
      <c r="E125" s="1" t="n">
        <v>46260</v>
      </c>
      <c r="F125" t="inlineStr">
        <is>
          <t>KALMAR LÄN</t>
        </is>
      </c>
      <c r="G125" t="inlineStr">
        <is>
          <t>BORGHOLM</t>
        </is>
      </c>
      <c r="H125" t="inlineStr">
        <is>
          <t>Sveaskog</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15264-2026</t>
        </is>
      </c>
      <c r="B126" t="inlineStr">
        <is>
          <t>avverkningsanmälan</t>
        </is>
      </c>
      <c r="C126" t="inlineStr">
        <is>
          <t>Avverkning för att bevara och utveckla /försöksver</t>
        </is>
      </c>
      <c r="D126" s="1" t="n">
        <v>46105</v>
      </c>
      <c r="E126" s="1" t="n">
        <v>46260</v>
      </c>
      <c r="F126" t="inlineStr">
        <is>
          <t>KALMAR LÄN</t>
        </is>
      </c>
      <c r="G126" t="inlineStr">
        <is>
          <t>BORGHOLM</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46260</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46260</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46260</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9050-2025</t>
        </is>
      </c>
      <c r="B130" t="inlineStr">
        <is>
          <t>avverkningsanmälan</t>
        </is>
      </c>
      <c r="C130" t="inlineStr">
        <is>
          <t>Avverkning för att bevara och utveckla /försöksver</t>
        </is>
      </c>
      <c r="D130" s="1" t="n">
        <v>45713</v>
      </c>
      <c r="E130" s="1" t="n">
        <v>46260</v>
      </c>
      <c r="F130" t="inlineStr">
        <is>
          <t>KALMAR LÄN</t>
        </is>
      </c>
      <c r="G130" t="inlineStr">
        <is>
          <t>BORGHOLM</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27357-2025</t>
        </is>
      </c>
      <c r="B131" t="inlineStr">
        <is>
          <t>avverkningsanmälan</t>
        </is>
      </c>
      <c r="C131" t="inlineStr">
        <is>
          <t>Avverkning för att bevara och utveckla /försöksver</t>
        </is>
      </c>
      <c r="D131" s="1" t="n">
        <v>45812</v>
      </c>
      <c r="E131" s="1" t="n">
        <v>46260</v>
      </c>
      <c r="F131" t="inlineStr">
        <is>
          <t>KALMAR LÄN</t>
        </is>
      </c>
      <c r="G131" t="inlineStr">
        <is>
          <t>BORGHOLM</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46260</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43603-2024</t>
        </is>
      </c>
      <c r="B133" t="inlineStr">
        <is>
          <t>avverkningsanmälan</t>
        </is>
      </c>
      <c r="C133" t="inlineStr">
        <is>
          <t>Föryngringsavverkning</t>
        </is>
      </c>
      <c r="D133" s="1" t="n">
        <v>45569</v>
      </c>
      <c r="E133" s="1" t="n">
        <v>46260</v>
      </c>
      <c r="F133" t="inlineStr">
        <is>
          <t>KALMAR LÄN</t>
        </is>
      </c>
      <c r="G133" t="inlineStr">
        <is>
          <t>BORGHOLM</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46260</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24345-2026</t>
        </is>
      </c>
      <c r="B135" t="inlineStr">
        <is>
          <t>avverkningsanmälan</t>
        </is>
      </c>
      <c r="C135" t="inlineStr">
        <is>
          <t>Avverkning för att bevara och utveckla /försöksver</t>
        </is>
      </c>
      <c r="D135" s="1" t="n">
        <v>46169</v>
      </c>
      <c r="E135" s="1" t="n">
        <v>46260</v>
      </c>
      <c r="F135" t="inlineStr">
        <is>
          <t>KALMAR LÄN</t>
        </is>
      </c>
      <c r="G135" t="inlineStr">
        <is>
          <t>BORGHOLM</t>
        </is>
      </c>
      <c r="H135" t="inlineStr">
        <is>
          <t>Sveaskog</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24338-2026</t>
        </is>
      </c>
      <c r="B136" t="inlineStr">
        <is>
          <t>avverkningsanmälan</t>
        </is>
      </c>
      <c r="C136" t="inlineStr">
        <is>
          <t>Avverkning för att bevara och utveckla /försöksver</t>
        </is>
      </c>
      <c r="D136" s="1" t="n">
        <v>46169</v>
      </c>
      <c r="E136" s="1" t="n">
        <v>46260</v>
      </c>
      <c r="F136" t="inlineStr">
        <is>
          <t>KALMAR LÄN</t>
        </is>
      </c>
      <c r="G136" t="inlineStr">
        <is>
          <t>BORGHOLM</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36269-2025</t>
        </is>
      </c>
      <c r="B137" t="inlineStr">
        <is>
          <t>avverkningsanmälan</t>
        </is>
      </c>
      <c r="C137" t="inlineStr">
        <is>
          <t>Föryngringsavverkning</t>
        </is>
      </c>
      <c r="D137" s="1" t="n">
        <v>45867</v>
      </c>
      <c r="E137" s="1" t="n">
        <v>46260</v>
      </c>
      <c r="F137" t="inlineStr">
        <is>
          <t>KALMAR LÄN</t>
        </is>
      </c>
      <c r="G137" t="inlineStr">
        <is>
          <t>BORGHOLM</t>
        </is>
      </c>
      <c r="H137" t="inlineStr">
        <is>
          <t>Sveaskog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46260</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28381-2026</t>
        </is>
      </c>
      <c r="B139" t="inlineStr">
        <is>
          <t>avverkningsanmälan</t>
        </is>
      </c>
      <c r="C139" t="inlineStr">
        <is>
          <t>Avverkning för att bevara och utveckla /försöksver</t>
        </is>
      </c>
      <c r="D139" s="1" t="n">
        <v>46196</v>
      </c>
      <c r="E139" s="1" t="n">
        <v>46260</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46260</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44547-2021</t>
        </is>
      </c>
      <c r="B141" t="inlineStr">
        <is>
          <t>avverkningsanmälan</t>
        </is>
      </c>
      <c r="C141" t="inlineStr">
        <is>
          <t>Avverkning för annat ändamål</t>
        </is>
      </c>
      <c r="D141" s="1" t="n">
        <v>44435</v>
      </c>
      <c r="E141" s="1" t="n">
        <v>46260</v>
      </c>
      <c r="F141" t="inlineStr">
        <is>
          <t>KALMAR LÄN</t>
        </is>
      </c>
      <c r="G141" t="inlineStr">
        <is>
          <t>BORGHOLM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5175-2024</t>
        </is>
      </c>
      <c r="B142" t="inlineStr">
        <is>
          <t>avverkningsanmälan</t>
        </is>
      </c>
      <c r="C142" t="inlineStr">
        <is>
          <t>Föryngringsavverkning</t>
        </is>
      </c>
      <c r="D142" s="1" t="n">
        <v>45330</v>
      </c>
      <c r="E142" s="1" t="n">
        <v>46260</v>
      </c>
      <c r="F142" t="inlineStr">
        <is>
          <t>KALMAR LÄN</t>
        </is>
      </c>
      <c r="G142" t="inlineStr">
        <is>
          <t>BORGHOLM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34951-2022</t>
        </is>
      </c>
      <c r="B143" t="inlineStr">
        <is>
          <t>avverkningsanmälan</t>
        </is>
      </c>
      <c r="C143" t="inlineStr">
        <is>
          <t>Avverkning för att bevara och utveckla /försöksver</t>
        </is>
      </c>
      <c r="D143" s="1" t="n">
        <v>44796</v>
      </c>
      <c r="E143" s="1" t="n">
        <v>46260</v>
      </c>
      <c r="F143" t="inlineStr">
        <is>
          <t>KALMAR LÄN</t>
        </is>
      </c>
      <c r="G143" t="inlineStr">
        <is>
          <t>BORGHOLM</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46260</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29413-2026</t>
        </is>
      </c>
      <c r="B145" t="inlineStr">
        <is>
          <t>avverkningsanmälan</t>
        </is>
      </c>
      <c r="C145" t="inlineStr">
        <is>
          <t>Avverkning för att bevara och utveckla /försöksver</t>
        </is>
      </c>
      <c r="D145" s="1" t="n">
        <v>46203</v>
      </c>
      <c r="E145" s="1" t="n">
        <v>46260</v>
      </c>
      <c r="F145" t="inlineStr">
        <is>
          <t>KALMAR LÄN</t>
        </is>
      </c>
      <c r="G145" t="inlineStr">
        <is>
          <t>BORGHOLM</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29414-2026</t>
        </is>
      </c>
      <c r="B146" t="inlineStr">
        <is>
          <t>avverkningsanmälan</t>
        </is>
      </c>
      <c r="C146" t="inlineStr">
        <is>
          <t>Avverkning för att bevara och utveckla /försöksver</t>
        </is>
      </c>
      <c r="D146" s="1" t="n">
        <v>46203</v>
      </c>
      <c r="E146" s="1" t="n">
        <v>46260</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46260</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13383-2023</t>
        </is>
      </c>
      <c r="B148" t="inlineStr">
        <is>
          <t>avverkningsanmälan</t>
        </is>
      </c>
      <c r="C148" t="inlineStr">
        <is>
          <t>Föryngringsavverkning</t>
        </is>
      </c>
      <c r="D148" s="1" t="n">
        <v>45005</v>
      </c>
      <c r="E148" s="1" t="n">
        <v>46260</v>
      </c>
      <c r="F148" t="inlineStr">
        <is>
          <t>KALMAR LÄN</t>
        </is>
      </c>
      <c r="G148" t="inlineStr">
        <is>
          <t>BORGHOLM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29410-2026</t>
        </is>
      </c>
      <c r="B149" t="inlineStr">
        <is>
          <t>avverkningsanmälan</t>
        </is>
      </c>
      <c r="C149" t="inlineStr">
        <is>
          <t>Avverkning för att bevara och utveckla /försöksver</t>
        </is>
      </c>
      <c r="D149" s="1" t="n">
        <v>46203</v>
      </c>
      <c r="E149" s="1" t="n">
        <v>46260</v>
      </c>
      <c r="F149" t="inlineStr">
        <is>
          <t>KALMAR LÄN</t>
        </is>
      </c>
      <c r="G149" t="inlineStr">
        <is>
          <t>BORGHOLM</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46260</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46260</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53050-2021</t>
        </is>
      </c>
      <c r="B152" t="inlineStr">
        <is>
          <t>avverkningsanmälan</t>
        </is>
      </c>
      <c r="C152" t="inlineStr">
        <is>
          <t>Föryngringsavverkning</t>
        </is>
      </c>
      <c r="D152" s="1" t="n">
        <v>44467</v>
      </c>
      <c r="E152" s="1" t="n">
        <v>46260</v>
      </c>
      <c r="F152" t="inlineStr">
        <is>
          <t>KALMAR LÄN</t>
        </is>
      </c>
      <c r="G152" t="inlineStr">
        <is>
          <t>BORGHOLM</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4165-2023</t>
        </is>
      </c>
      <c r="B153" t="inlineStr">
        <is>
          <t>avverkningsanmälan</t>
        </is>
      </c>
      <c r="C153" t="inlineStr">
        <is>
          <t>Föryngringsavverkning</t>
        </is>
      </c>
      <c r="D153" s="1" t="n">
        <v>44953</v>
      </c>
      <c r="E153" s="1" t="n">
        <v>46260</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34780-2022</t>
        </is>
      </c>
      <c r="B154" t="inlineStr">
        <is>
          <t>avverkningsanmälan</t>
        </is>
      </c>
      <c r="C154" t="inlineStr">
        <is>
          <t>Föryngringsavverkning</t>
        </is>
      </c>
      <c r="D154" s="1" t="n">
        <v>44795</v>
      </c>
      <c r="E154" s="1" t="n">
        <v>46260</v>
      </c>
      <c r="F154" t="inlineStr">
        <is>
          <t>KALMAR LÄN</t>
        </is>
      </c>
      <c r="G154" t="inlineStr">
        <is>
          <t>BORGHOLM</t>
        </is>
      </c>
      <c r="H154" t="inlineStr">
        <is>
          <t>Sveaskog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46260</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46260</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46260</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46260</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46260</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26190-2025</t>
        </is>
      </c>
      <c r="B160" t="inlineStr">
        <is>
          <t>avverkningsanmälan</t>
        </is>
      </c>
      <c r="C160" t="inlineStr">
        <is>
          <t>Föryngringsavverkning</t>
        </is>
      </c>
      <c r="D160" s="1" t="n">
        <v>45805</v>
      </c>
      <c r="E160" s="1" t="n">
        <v>46260</v>
      </c>
      <c r="F160" t="inlineStr">
        <is>
          <t>KALMAR LÄN</t>
        </is>
      </c>
      <c r="G160" t="inlineStr">
        <is>
          <t>BORGHOLM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46260</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46260</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46260</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46260</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46260</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46260</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46260</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46260</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1557-2026</t>
        </is>
      </c>
      <c r="B169" t="inlineStr">
        <is>
          <t>samrådsanmälan</t>
        </is>
      </c>
      <c r="C169" t="inlineStr">
        <is>
          <t>Annan skogsbruksåtgärd</t>
        </is>
      </c>
      <c r="D169" s="1" t="n">
        <v>46169</v>
      </c>
      <c r="E169" s="1" t="n">
        <v>46260</v>
      </c>
      <c r="F169" t="inlineStr">
        <is>
          <t>KALMAR LÄN</t>
        </is>
      </c>
      <c r="G169" t="inlineStr">
        <is>
          <t>BORGHOLM</t>
        </is>
      </c>
      <c r="H169" t="inlineStr">
        <is>
          <t>Sveaskog</t>
        </is>
      </c>
      <c r="I169" t="n">
        <v>7.3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46260</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46260</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1812-2026</t>
        </is>
      </c>
      <c r="B172" t="inlineStr">
        <is>
          <t>samrådsanmälan</t>
        </is>
      </c>
      <c r="C172" t="inlineStr">
        <is>
          <t>Annan skogsbruksåtgärd</t>
        </is>
      </c>
      <c r="D172" s="1" t="n">
        <v>46197</v>
      </c>
      <c r="E172" s="1" t="n">
        <v>46260</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1891-2026</t>
        </is>
      </c>
      <c r="B173" t="inlineStr">
        <is>
          <t>samrådsanmälan</t>
        </is>
      </c>
      <c r="C173" t="inlineStr">
        <is>
          <t>Annan skogsbruksåtgärd</t>
        </is>
      </c>
      <c r="D173" s="1" t="n">
        <v>46203</v>
      </c>
      <c r="E173" s="1" t="n">
        <v>46260</v>
      </c>
      <c r="F173" t="inlineStr">
        <is>
          <t>KALMAR LÄN</t>
        </is>
      </c>
      <c r="G173" t="inlineStr">
        <is>
          <t>BORGHOLM</t>
        </is>
      </c>
      <c r="H173" t="inlineStr">
        <is>
          <t>Sveaskog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1885-2026</t>
        </is>
      </c>
      <c r="B174" t="inlineStr">
        <is>
          <t>samrådsanmälan</t>
        </is>
      </c>
      <c r="C174" t="inlineStr">
        <is>
          <t>Annan skogsbruksåtgärd</t>
        </is>
      </c>
      <c r="D174" s="1" t="n">
        <v>46203</v>
      </c>
      <c r="E174" s="1" t="n">
        <v>46260</v>
      </c>
      <c r="F174" t="inlineStr">
        <is>
          <t>KALMAR LÄN</t>
        </is>
      </c>
      <c r="G174" t="inlineStr">
        <is>
          <t>BORGHOLM</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1887-2026</t>
        </is>
      </c>
      <c r="B175" t="inlineStr">
        <is>
          <t>samrådsanmälan</t>
        </is>
      </c>
      <c r="C175" t="inlineStr">
        <is>
          <t>Annan skogsbruksåtgärd</t>
        </is>
      </c>
      <c r="D175" s="1" t="n">
        <v>46203</v>
      </c>
      <c r="E175" s="1" t="n">
        <v>46260</v>
      </c>
      <c r="F175" t="inlineStr">
        <is>
          <t>KALMAR LÄN</t>
        </is>
      </c>
      <c r="G175" t="inlineStr">
        <is>
          <t>BORGHOLM</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c r="A176" t="inlineStr">
        <is>
          <t>S 1888-2026</t>
        </is>
      </c>
      <c r="B176" t="inlineStr">
        <is>
          <t>samrådsanmälan</t>
        </is>
      </c>
      <c r="C176" t="inlineStr">
        <is>
          <t>Annan skogsbruksåtgärd</t>
        </is>
      </c>
      <c r="D176" s="1" t="n">
        <v>46203</v>
      </c>
      <c r="E176" s="1" t="n">
        <v>46260</v>
      </c>
      <c r="F176" t="inlineStr">
        <is>
          <t>KALMAR LÄN</t>
        </is>
      </c>
      <c r="G176" t="inlineStr">
        <is>
          <t>BORGHOLM</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2026-08-26T01:55:31Z</dcterms:created>
  <dcterms:modified xmlns:dcterms="http://purl.org/dc/terms/" xmlns:xsi="http://www.w3.org/2001/XMLSchema-instance" xsi:type="dcterms:W3CDTF">2026-08-26T01:55:31Z</dcterms:modified>
</cp:coreProperties>
</file>