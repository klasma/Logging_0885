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46158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46158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46158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46158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46158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46158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46158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46158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46158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46158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46158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46158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46158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46158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46158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46158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46158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46158</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46158</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46158</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9253-2026</t>
        </is>
      </c>
      <c r="B22" s="1" t="n">
        <v>46070.51003472223</v>
      </c>
      <c r="C22" s="1" t="n">
        <v>46158</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13556-2025</t>
        </is>
      </c>
      <c r="B23" s="1" t="n">
        <v>45736.54759259259</v>
      </c>
      <c r="C23" s="1" t="n">
        <v>46158</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46158</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15285-2026</t>
        </is>
      </c>
      <c r="B25" s="1" t="n">
        <v>46105.6156712963</v>
      </c>
      <c r="C25" s="1" t="n">
        <v>46158</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34944-2022</t>
        </is>
      </c>
      <c r="B26" s="1" t="n">
        <v>44796</v>
      </c>
      <c r="C26" s="1" t="n">
        <v>46158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46158</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46158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46158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46158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46158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46158</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46158</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46158</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46158</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46158</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3302-2026</t>
        </is>
      </c>
      <c r="B37" s="1" t="n">
        <v>46041</v>
      </c>
      <c r="C37" s="1" t="n">
        <v>46158</v>
      </c>
      <c r="D37" t="inlineStr">
        <is>
          <t>KALMAR LÄN</t>
        </is>
      </c>
      <c r="E37" t="inlineStr">
        <is>
          <t>BORGHOLM</t>
        </is>
      </c>
      <c r="G37" t="n">
        <v>3.9</v>
      </c>
      <c r="H37" t="n">
        <v>1</v>
      </c>
      <c r="I37" t="n">
        <v>0</v>
      </c>
      <c r="J37" t="n">
        <v>0</v>
      </c>
      <c r="K37" t="n">
        <v>0</v>
      </c>
      <c r="L37" t="n">
        <v>0</v>
      </c>
      <c r="M37" t="n">
        <v>0</v>
      </c>
      <c r="N37" t="n">
        <v>0</v>
      </c>
      <c r="O37" t="n">
        <v>0</v>
      </c>
      <c r="P37" t="n">
        <v>0</v>
      </c>
      <c r="Q37" t="n">
        <v>1</v>
      </c>
      <c r="R37" s="2" t="inlineStr">
        <is>
          <t>Blåsippa</t>
        </is>
      </c>
      <c r="S37">
        <f>HYPERLINK("https://klasma.github.io/Logging_0885/artfynd/A 3302-2026 artfynd.xlsx", "A 3302-2026")</f>
        <v/>
      </c>
      <c r="T37">
        <f>HYPERLINK("https://klasma.github.io/Logging_0885/kartor/A 3302-2026 karta.png", "A 3302-2026")</f>
        <v/>
      </c>
      <c r="V37">
        <f>HYPERLINK("https://klasma.github.io/Logging_0885/klagomål/A 3302-2026 FSC-klagomål.docx", "A 3302-2026")</f>
        <v/>
      </c>
      <c r="W37">
        <f>HYPERLINK("https://klasma.github.io/Logging_0885/klagomålsmail/A 3302-2026 FSC-klagomål mail.docx", "A 3302-2026")</f>
        <v/>
      </c>
      <c r="X37">
        <f>HYPERLINK("https://klasma.github.io/Logging_0885/tillsyn/A 3302-2026 tillsynsbegäran.docx", "A 3302-2026")</f>
        <v/>
      </c>
      <c r="Y37">
        <f>HYPERLINK("https://klasma.github.io/Logging_0885/tillsynsmail/A 3302-2026 tillsynsbegäran mail.docx", "A 3302-2026")</f>
        <v/>
      </c>
    </row>
    <row r="38" ht="15" customHeight="1">
      <c r="A38" t="inlineStr">
        <is>
          <t>A 34885-2025</t>
        </is>
      </c>
      <c r="B38" s="1" t="n">
        <v>45849.47128472223</v>
      </c>
      <c r="C38" s="1" t="n">
        <v>46158</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46158</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13558-2025</t>
        </is>
      </c>
      <c r="B40" s="1" t="n">
        <v>45736.54974537037</v>
      </c>
      <c r="C40" s="1" t="n">
        <v>46158</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24701-2023</t>
        </is>
      </c>
      <c r="B41" s="1" t="n">
        <v>45084</v>
      </c>
      <c r="C41" s="1" t="n">
        <v>46158</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46158</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46158</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46158</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46158</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46158</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46158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46158</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46158</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46158</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46158</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46158</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46158</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46158</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46158</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46158</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46158</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46158</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46158</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12534-2022</t>
        </is>
      </c>
      <c r="B60" s="1" t="n">
        <v>44638</v>
      </c>
      <c r="C60" s="1" t="n">
        <v>46158</v>
      </c>
      <c r="D60" t="inlineStr">
        <is>
          <t>KALMAR LÄN</t>
        </is>
      </c>
      <c r="E60" t="inlineStr">
        <is>
          <t>BORGHOLM</t>
        </is>
      </c>
      <c r="G60" t="n">
        <v>8.6</v>
      </c>
      <c r="H60" t="n">
        <v>0</v>
      </c>
      <c r="I60" t="n">
        <v>0</v>
      </c>
      <c r="J60" t="n">
        <v>0</v>
      </c>
      <c r="K60" t="n">
        <v>0</v>
      </c>
      <c r="L60" t="n">
        <v>0</v>
      </c>
      <c r="M60" t="n">
        <v>0</v>
      </c>
      <c r="N60" t="n">
        <v>0</v>
      </c>
      <c r="O60" t="n">
        <v>0</v>
      </c>
      <c r="P60" t="n">
        <v>0</v>
      </c>
      <c r="Q60" t="n">
        <v>0</v>
      </c>
      <c r="R60" s="2" t="inlineStr"/>
    </row>
    <row r="61" ht="15" customHeight="1">
      <c r="A61" t="inlineStr">
        <is>
          <t>A 40339-2023</t>
        </is>
      </c>
      <c r="B61" s="1" t="n">
        <v>45169.62733796296</v>
      </c>
      <c r="C61" s="1" t="n">
        <v>46158</v>
      </c>
      <c r="D61" t="inlineStr">
        <is>
          <t>KALMAR LÄN</t>
        </is>
      </c>
      <c r="E61" t="inlineStr">
        <is>
          <t>BORGHOLM</t>
        </is>
      </c>
      <c r="G61" t="n">
        <v>3.8</v>
      </c>
      <c r="H61" t="n">
        <v>0</v>
      </c>
      <c r="I61" t="n">
        <v>0</v>
      </c>
      <c r="J61" t="n">
        <v>0</v>
      </c>
      <c r="K61" t="n">
        <v>0</v>
      </c>
      <c r="L61" t="n">
        <v>0</v>
      </c>
      <c r="M61" t="n">
        <v>0</v>
      </c>
      <c r="N61" t="n">
        <v>0</v>
      </c>
      <c r="O61" t="n">
        <v>0</v>
      </c>
      <c r="P61" t="n">
        <v>0</v>
      </c>
      <c r="Q61" t="n">
        <v>0</v>
      </c>
      <c r="R61" s="2" t="inlineStr"/>
    </row>
    <row r="62" ht="15" customHeight="1">
      <c r="A62" t="inlineStr">
        <is>
          <t>A 20878-2024</t>
        </is>
      </c>
      <c r="B62" s="1" t="n">
        <v>45439.44748842593</v>
      </c>
      <c r="C62" s="1" t="n">
        <v>46158</v>
      </c>
      <c r="D62" t="inlineStr">
        <is>
          <t>KALMAR LÄN</t>
        </is>
      </c>
      <c r="E62" t="inlineStr">
        <is>
          <t>BORGHOLM</t>
        </is>
      </c>
      <c r="G62" t="n">
        <v>1.9</v>
      </c>
      <c r="H62" t="n">
        <v>0</v>
      </c>
      <c r="I62" t="n">
        <v>0</v>
      </c>
      <c r="J62" t="n">
        <v>0</v>
      </c>
      <c r="K62" t="n">
        <v>0</v>
      </c>
      <c r="L62" t="n">
        <v>0</v>
      </c>
      <c r="M62" t="n">
        <v>0</v>
      </c>
      <c r="N62" t="n">
        <v>0</v>
      </c>
      <c r="O62" t="n">
        <v>0</v>
      </c>
      <c r="P62" t="n">
        <v>0</v>
      </c>
      <c r="Q62" t="n">
        <v>0</v>
      </c>
      <c r="R62" s="2" t="inlineStr"/>
    </row>
    <row r="63" ht="15" customHeight="1">
      <c r="A63" t="inlineStr">
        <is>
          <t>A 24166-2022</t>
        </is>
      </c>
      <c r="B63" s="1" t="n">
        <v>44725</v>
      </c>
      <c r="C63" s="1" t="n">
        <v>46158</v>
      </c>
      <c r="D63" t="inlineStr">
        <is>
          <t>KALMAR LÄN</t>
        </is>
      </c>
      <c r="E63" t="inlineStr">
        <is>
          <t>BORGHOLM</t>
        </is>
      </c>
      <c r="G63" t="n">
        <v>10.7</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46158</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46158</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46158</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46158</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41831-2025</t>
        </is>
      </c>
      <c r="B68" s="1" t="n">
        <v>45902.67887731481</v>
      </c>
      <c r="C68" s="1" t="n">
        <v>46158</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46158</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4159-2024</t>
        </is>
      </c>
      <c r="B70" s="1" t="n">
        <v>45323</v>
      </c>
      <c r="C70" s="1" t="n">
        <v>46158</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46158</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28782-2025</t>
        </is>
      </c>
      <c r="B72" s="1" t="n">
        <v>45820.45572916666</v>
      </c>
      <c r="C72" s="1" t="n">
        <v>46158</v>
      </c>
      <c r="D72" t="inlineStr">
        <is>
          <t>KALMAR LÄN</t>
        </is>
      </c>
      <c r="E72" t="inlineStr">
        <is>
          <t>BORGHOLM</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46158</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53050-2021</t>
        </is>
      </c>
      <c r="B74" s="1" t="n">
        <v>44467</v>
      </c>
      <c r="C74" s="1" t="n">
        <v>46158</v>
      </c>
      <c r="D74" t="inlineStr">
        <is>
          <t>KALMAR LÄN</t>
        </is>
      </c>
      <c r="E74" t="inlineStr">
        <is>
          <t>BORGHOLM</t>
        </is>
      </c>
      <c r="G74" t="n">
        <v>3.6</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46158</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46158</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31720-2022</t>
        </is>
      </c>
      <c r="B77" s="1" t="n">
        <v>44776</v>
      </c>
      <c r="C77" s="1" t="n">
        <v>46158</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46845-2025</t>
        </is>
      </c>
      <c r="B78" s="1" t="n">
        <v>45928</v>
      </c>
      <c r="C78" s="1" t="n">
        <v>46158</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29656-2023</t>
        </is>
      </c>
      <c r="B79" s="1" t="n">
        <v>45107</v>
      </c>
      <c r="C79" s="1" t="n">
        <v>46158</v>
      </c>
      <c r="D79" t="inlineStr">
        <is>
          <t>KALMAR LÄN</t>
        </is>
      </c>
      <c r="E79" t="inlineStr">
        <is>
          <t>BORGHOLM</t>
        </is>
      </c>
      <c r="G79" t="n">
        <v>4.1</v>
      </c>
      <c r="H79" t="n">
        <v>0</v>
      </c>
      <c r="I79" t="n">
        <v>0</v>
      </c>
      <c r="J79" t="n">
        <v>0</v>
      </c>
      <c r="K79" t="n">
        <v>0</v>
      </c>
      <c r="L79" t="n">
        <v>0</v>
      </c>
      <c r="M79" t="n">
        <v>0</v>
      </c>
      <c r="N79" t="n">
        <v>0</v>
      </c>
      <c r="O79" t="n">
        <v>0</v>
      </c>
      <c r="P79" t="n">
        <v>0</v>
      </c>
      <c r="Q79" t="n">
        <v>0</v>
      </c>
      <c r="R79" s="2" t="inlineStr"/>
    </row>
    <row r="80" ht="15" customHeight="1">
      <c r="A80" t="inlineStr">
        <is>
          <t>A 4165-2023</t>
        </is>
      </c>
      <c r="B80" s="1" t="n">
        <v>44953</v>
      </c>
      <c r="C80" s="1" t="n">
        <v>46158</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36269-2025</t>
        </is>
      </c>
      <c r="B81" s="1" t="n">
        <v>45867.61736111111</v>
      </c>
      <c r="C81" s="1" t="n">
        <v>46158</v>
      </c>
      <c r="D81" t="inlineStr">
        <is>
          <t>KALMAR LÄN</t>
        </is>
      </c>
      <c r="E81" t="inlineStr">
        <is>
          <t>BORGHOLM</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13548-2025</t>
        </is>
      </c>
      <c r="B82" s="1" t="n">
        <v>45736.53827546296</v>
      </c>
      <c r="C82" s="1" t="n">
        <v>46158</v>
      </c>
      <c r="D82" t="inlineStr">
        <is>
          <t>KALMAR LÄN</t>
        </is>
      </c>
      <c r="E82" t="inlineStr">
        <is>
          <t>BORGHOLM</t>
        </is>
      </c>
      <c r="G82" t="n">
        <v>1</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46158</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7481-2026</t>
        </is>
      </c>
      <c r="B84" s="1" t="n">
        <v>46059.51359953704</v>
      </c>
      <c r="C84" s="1" t="n">
        <v>46158</v>
      </c>
      <c r="D84" t="inlineStr">
        <is>
          <t>KALMAR LÄN</t>
        </is>
      </c>
      <c r="E84" t="inlineStr">
        <is>
          <t>BORGHOLM</t>
        </is>
      </c>
      <c r="G84" t="n">
        <v>1.9</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46158</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9104-2026</t>
        </is>
      </c>
      <c r="B86" s="1" t="n">
        <v>46069</v>
      </c>
      <c r="C86" s="1" t="n">
        <v>46158</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46158</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9259-2026</t>
        </is>
      </c>
      <c r="B88" s="1" t="n">
        <v>46070.51917824074</v>
      </c>
      <c r="C88" s="1" t="n">
        <v>46158</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9905-2026</t>
        </is>
      </c>
      <c r="B89" s="1" t="n">
        <v>46073.4108912037</v>
      </c>
      <c r="C89" s="1" t="n">
        <v>46158</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64303-2023</t>
        </is>
      </c>
      <c r="B90" s="1" t="n">
        <v>45280</v>
      </c>
      <c r="C90" s="1" t="n">
        <v>46158</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44547-2021</t>
        </is>
      </c>
      <c r="B91" s="1" t="n">
        <v>44435</v>
      </c>
      <c r="C91" s="1" t="n">
        <v>46158</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46158</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61723-2025</t>
        </is>
      </c>
      <c r="B93" s="1" t="n">
        <v>46002.58388888889</v>
      </c>
      <c r="C93" s="1" t="n">
        <v>46158</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46158</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46158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46158</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46158</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46158</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46158</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46158</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46158</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45713.6596875</v>
      </c>
      <c r="C102" s="1" t="n">
        <v>46158</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15272-2026</t>
        </is>
      </c>
      <c r="B103" s="1" t="n">
        <v>46105.60017361111</v>
      </c>
      <c r="C103" s="1" t="n">
        <v>46158</v>
      </c>
      <c r="D103" t="inlineStr">
        <is>
          <t>KALMAR LÄN</t>
        </is>
      </c>
      <c r="E103" t="inlineStr">
        <is>
          <t>BORGHOLM</t>
        </is>
      </c>
      <c r="F103" t="inlineStr">
        <is>
          <t>Sveaskog</t>
        </is>
      </c>
      <c r="G103" t="n">
        <v>2.9</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46158</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15264-2026</t>
        </is>
      </c>
      <c r="B105" s="1" t="n">
        <v>46105.59372685185</v>
      </c>
      <c r="C105" s="1" t="n">
        <v>46158</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32919-2023</t>
        </is>
      </c>
      <c r="B106" s="1" t="n">
        <v>45125</v>
      </c>
      <c r="C106" s="1" t="n">
        <v>46158</v>
      </c>
      <c r="D106" t="inlineStr">
        <is>
          <t>KALMAR LÄN</t>
        </is>
      </c>
      <c r="E106" t="inlineStr">
        <is>
          <t>BORGHOLM</t>
        </is>
      </c>
      <c r="G106" t="n">
        <v>2.7</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46158</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46158</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9034-2025</t>
        </is>
      </c>
      <c r="B109" s="1" t="n">
        <v>45713</v>
      </c>
      <c r="C109" s="1" t="n">
        <v>46158</v>
      </c>
      <c r="D109" t="inlineStr">
        <is>
          <t>KALMAR LÄN</t>
        </is>
      </c>
      <c r="E109" t="inlineStr">
        <is>
          <t>BORGHOLM</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46158</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46158</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19867-2024</t>
        </is>
      </c>
      <c r="B112" s="1" t="n">
        <v>45433</v>
      </c>
      <c r="C112" s="1" t="n">
        <v>46158</v>
      </c>
      <c r="D112" t="inlineStr">
        <is>
          <t>KALMAR LÄN</t>
        </is>
      </c>
      <c r="E112" t="inlineStr">
        <is>
          <t>BORGHOLM</t>
        </is>
      </c>
      <c r="G112" t="n">
        <v>3.9</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46158</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46158</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46158</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46158</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46158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1614-2025</t>
        </is>
      </c>
      <c r="B118" s="1" t="n">
        <v>45670.60094907408</v>
      </c>
      <c r="C118" s="1" t="n">
        <v>46158</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63276-2023</t>
        </is>
      </c>
      <c r="B119" s="1" t="n">
        <v>45273.82195601852</v>
      </c>
      <c r="C119" s="1" t="n">
        <v>46158</v>
      </c>
      <c r="D119" t="inlineStr">
        <is>
          <t>KALMAR LÄN</t>
        </is>
      </c>
      <c r="E119" t="inlineStr">
        <is>
          <t>BORGHOLM</t>
        </is>
      </c>
      <c r="G119" t="n">
        <v>5</v>
      </c>
      <c r="H119" t="n">
        <v>0</v>
      </c>
      <c r="I119" t="n">
        <v>0</v>
      </c>
      <c r="J119" t="n">
        <v>0</v>
      </c>
      <c r="K119" t="n">
        <v>0</v>
      </c>
      <c r="L119" t="n">
        <v>0</v>
      </c>
      <c r="M119" t="n">
        <v>0</v>
      </c>
      <c r="N119" t="n">
        <v>0</v>
      </c>
      <c r="O119" t="n">
        <v>0</v>
      </c>
      <c r="P119" t="n">
        <v>0</v>
      </c>
      <c r="Q119" t="n">
        <v>0</v>
      </c>
      <c r="R119" s="2" t="inlineStr"/>
    </row>
    <row r="120" ht="15" customHeight="1">
      <c r="A120" t="inlineStr">
        <is>
          <t>A 9050-2025</t>
        </is>
      </c>
      <c r="B120" s="1" t="n">
        <v>45713.63512731482</v>
      </c>
      <c r="C120" s="1" t="n">
        <v>46158</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46158</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22785-2025</t>
        </is>
      </c>
      <c r="B122" s="1" t="n">
        <v>45789.64186342592</v>
      </c>
      <c r="C122" s="1" t="n">
        <v>46158</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2026-05-16T12:13:31Z</dcterms:created>
  <dcterms:modified xmlns:dcterms="http://purl.org/dc/terms/" xmlns:xsi="http://www.w3.org/2001/XMLSchema-instance" xsi:type="dcterms:W3CDTF">2026-05-16T12:13:31Z</dcterms:modified>
</cp:coreProperties>
</file>