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46118</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46118</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44008-2022</t>
        </is>
      </c>
      <c r="B21" s="1" t="n">
        <v>44838</v>
      </c>
      <c r="C21" s="1" t="n">
        <v>46118</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46118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32174-2022</t>
        </is>
      </c>
      <c r="B23" s="1" t="n">
        <v>44781</v>
      </c>
      <c r="C23" s="1" t="n">
        <v>46118</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60140-2025</t>
        </is>
      </c>
      <c r="B24" s="1" t="n">
        <v>45994.36274305556</v>
      </c>
      <c r="C24" s="1" t="n">
        <v>46118</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43756-2022</t>
        </is>
      </c>
      <c r="B25" s="1" t="n">
        <v>44837</v>
      </c>
      <c r="C25" s="1" t="n">
        <v>46118</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15285-2026</t>
        </is>
      </c>
      <c r="B26" s="1" t="n">
        <v>46105.6156712963</v>
      </c>
      <c r="C26" s="1" t="n">
        <v>46118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9253-2026</t>
        </is>
      </c>
      <c r="B27" s="1" t="n">
        <v>46070.51003472223</v>
      </c>
      <c r="C27" s="1" t="n">
        <v>46118</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46118</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28779-2025</t>
        </is>
      </c>
      <c r="B29" s="1" t="n">
        <v>45820.44920138889</v>
      </c>
      <c r="C29" s="1" t="n">
        <v>46118</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46118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46118</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46118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34885-2025</t>
        </is>
      </c>
      <c r="B34" s="1" t="n">
        <v>45849.47128472223</v>
      </c>
      <c r="C34" s="1" t="n">
        <v>46118</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46118</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46118</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45693-2025</t>
        </is>
      </c>
      <c r="B37" s="1" t="n">
        <v>45923</v>
      </c>
      <c r="C37" s="1" t="n">
        <v>46118</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46118</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46118</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46118</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46118</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46118</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46118</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42761-2021</t>
        </is>
      </c>
      <c r="B44" s="1" t="n">
        <v>44428</v>
      </c>
      <c r="C44" s="1" t="n">
        <v>46118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46118</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46118</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46118</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46118</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46118</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46118</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46118</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46118</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46118</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46118</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46118</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46118</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46118</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46118</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46118</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46118</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46118</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46118</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46118</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46118</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36269-2025</t>
        </is>
      </c>
      <c r="B66" s="1" t="n">
        <v>45867.61736111111</v>
      </c>
      <c r="C66" s="1" t="n">
        <v>46118</v>
      </c>
      <c r="D66" t="inlineStr">
        <is>
          <t>KALMAR LÄN</t>
        </is>
      </c>
      <c r="E66" t="inlineStr">
        <is>
          <t>BORGHOLM</t>
        </is>
      </c>
      <c r="F66" t="inlineStr">
        <is>
          <t>Sveaskog</t>
        </is>
      </c>
      <c r="G66" t="n">
        <v>3.3</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46118</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63276-2023</t>
        </is>
      </c>
      <c r="B68" s="1" t="n">
        <v>45273.82195601852</v>
      </c>
      <c r="C68" s="1" t="n">
        <v>46118</v>
      </c>
      <c r="D68" t="inlineStr">
        <is>
          <t>KALMAR LÄN</t>
        </is>
      </c>
      <c r="E68" t="inlineStr">
        <is>
          <t>BORGHOLM</t>
        </is>
      </c>
      <c r="G68" t="n">
        <v>5</v>
      </c>
      <c r="H68" t="n">
        <v>0</v>
      </c>
      <c r="I68" t="n">
        <v>0</v>
      </c>
      <c r="J68" t="n">
        <v>0</v>
      </c>
      <c r="K68" t="n">
        <v>0</v>
      </c>
      <c r="L68" t="n">
        <v>0</v>
      </c>
      <c r="M68" t="n">
        <v>0</v>
      </c>
      <c r="N68" t="n">
        <v>0</v>
      </c>
      <c r="O68" t="n">
        <v>0</v>
      </c>
      <c r="P68" t="n">
        <v>0</v>
      </c>
      <c r="Q68" t="n">
        <v>0</v>
      </c>
      <c r="R68" s="2" t="inlineStr"/>
    </row>
    <row r="69" ht="15" customHeight="1">
      <c r="A69" t="inlineStr">
        <is>
          <t>A 1614-2025</t>
        </is>
      </c>
      <c r="B69" s="1" t="n">
        <v>45670.60094907408</v>
      </c>
      <c r="C69" s="1" t="n">
        <v>46118</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46118</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46118</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46118</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46118</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46118</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46118</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46118</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46118</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46118</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46118</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46118</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9050-2025</t>
        </is>
      </c>
      <c r="B81" s="1" t="n">
        <v>45713.63512731482</v>
      </c>
      <c r="C81" s="1" t="n">
        <v>46118</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46118</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46118</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46118</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46118</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46118</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46118</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31720-2022</t>
        </is>
      </c>
      <c r="B88" s="1" t="n">
        <v>44776</v>
      </c>
      <c r="C88" s="1" t="n">
        <v>46118</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46118</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46118</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46118</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19867-2024</t>
        </is>
      </c>
      <c r="B92" s="1" t="n">
        <v>45433</v>
      </c>
      <c r="C92" s="1" t="n">
        <v>46118</v>
      </c>
      <c r="D92" t="inlineStr">
        <is>
          <t>KALMAR LÄN</t>
        </is>
      </c>
      <c r="E92" t="inlineStr">
        <is>
          <t>BORGHOLM</t>
        </is>
      </c>
      <c r="G92" t="n">
        <v>3.9</v>
      </c>
      <c r="H92" t="n">
        <v>0</v>
      </c>
      <c r="I92" t="n">
        <v>0</v>
      </c>
      <c r="J92" t="n">
        <v>0</v>
      </c>
      <c r="K92" t="n">
        <v>0</v>
      </c>
      <c r="L92" t="n">
        <v>0</v>
      </c>
      <c r="M92" t="n">
        <v>0</v>
      </c>
      <c r="N92" t="n">
        <v>0</v>
      </c>
      <c r="O92" t="n">
        <v>0</v>
      </c>
      <c r="P92" t="n">
        <v>0</v>
      </c>
      <c r="Q92" t="n">
        <v>0</v>
      </c>
      <c r="R92" s="2" t="inlineStr"/>
    </row>
    <row r="93" ht="15" customHeight="1">
      <c r="A93" t="inlineStr">
        <is>
          <t>A 13383-2023</t>
        </is>
      </c>
      <c r="B93" s="1" t="n">
        <v>45005</v>
      </c>
      <c r="C93" s="1" t="n">
        <v>46118</v>
      </c>
      <c r="D93" t="inlineStr">
        <is>
          <t>KALMAR LÄN</t>
        </is>
      </c>
      <c r="E93" t="inlineStr">
        <is>
          <t>BORGHOLM</t>
        </is>
      </c>
      <c r="G93" t="n">
        <v>0.8</v>
      </c>
      <c r="H93" t="n">
        <v>0</v>
      </c>
      <c r="I93" t="n">
        <v>0</v>
      </c>
      <c r="J93" t="n">
        <v>0</v>
      </c>
      <c r="K93" t="n">
        <v>0</v>
      </c>
      <c r="L93" t="n">
        <v>0</v>
      </c>
      <c r="M93" t="n">
        <v>0</v>
      </c>
      <c r="N93" t="n">
        <v>0</v>
      </c>
      <c r="O93" t="n">
        <v>0</v>
      </c>
      <c r="P93" t="n">
        <v>0</v>
      </c>
      <c r="Q93" t="n">
        <v>0</v>
      </c>
      <c r="R93" s="2" t="inlineStr"/>
    </row>
    <row r="94" ht="15" customHeight="1">
      <c r="A94" t="inlineStr">
        <is>
          <t>A 61438-2023</t>
        </is>
      </c>
      <c r="B94" s="1" t="n">
        <v>45264</v>
      </c>
      <c r="C94" s="1" t="n">
        <v>46118</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13041-2024</t>
        </is>
      </c>
      <c r="B95" s="1" t="n">
        <v>45385.60065972222</v>
      </c>
      <c r="C95" s="1" t="n">
        <v>46118</v>
      </c>
      <c r="D95" t="inlineStr">
        <is>
          <t>KALMAR LÄN</t>
        </is>
      </c>
      <c r="E95" t="inlineStr">
        <is>
          <t>BORGHOLM</t>
        </is>
      </c>
      <c r="G95" t="n">
        <v>0.5</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46118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4165-2023</t>
        </is>
      </c>
      <c r="B97" s="1" t="n">
        <v>44953</v>
      </c>
      <c r="C97" s="1" t="n">
        <v>46118</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46118</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13043-2024</t>
        </is>
      </c>
      <c r="B99" s="1" t="n">
        <v>45385.60111111111</v>
      </c>
      <c r="C99" s="1" t="n">
        <v>46118</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46118</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46118</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46118</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46118</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46118</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46118</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9044-2025</t>
        </is>
      </c>
      <c r="B106" s="1" t="n">
        <v>45713.6275</v>
      </c>
      <c r="C106" s="1" t="n">
        <v>46118</v>
      </c>
      <c r="D106" t="inlineStr">
        <is>
          <t>KALMAR LÄN</t>
        </is>
      </c>
      <c r="E106" t="inlineStr">
        <is>
          <t>BORGHOLM</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9259-2026</t>
        </is>
      </c>
      <c r="B107" s="1" t="n">
        <v>46070.51917824074</v>
      </c>
      <c r="C107" s="1" t="n">
        <v>46118</v>
      </c>
      <c r="D107" t="inlineStr">
        <is>
          <t>KALMAR LÄN</t>
        </is>
      </c>
      <c r="E107" t="inlineStr">
        <is>
          <t>BORGHOLM</t>
        </is>
      </c>
      <c r="G107" t="n">
        <v>1.6</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46118</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20878-2024</t>
        </is>
      </c>
      <c r="B109" s="1" t="n">
        <v>45439.44748842593</v>
      </c>
      <c r="C109" s="1" t="n">
        <v>46118</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17699-2025</t>
        </is>
      </c>
      <c r="B110" s="1" t="n">
        <v>45758.41846064815</v>
      </c>
      <c r="C110" s="1" t="n">
        <v>46118</v>
      </c>
      <c r="D110" t="inlineStr">
        <is>
          <t>KALMAR LÄN</t>
        </is>
      </c>
      <c r="E110" t="inlineStr">
        <is>
          <t>BORGHOLM</t>
        </is>
      </c>
      <c r="G110" t="n">
        <v>0.7</v>
      </c>
      <c r="H110" t="n">
        <v>0</v>
      </c>
      <c r="I110" t="n">
        <v>0</v>
      </c>
      <c r="J110" t="n">
        <v>0</v>
      </c>
      <c r="K110" t="n">
        <v>0</v>
      </c>
      <c r="L110" t="n">
        <v>0</v>
      </c>
      <c r="M110" t="n">
        <v>0</v>
      </c>
      <c r="N110" t="n">
        <v>0</v>
      </c>
      <c r="O110" t="n">
        <v>0</v>
      </c>
      <c r="P110" t="n">
        <v>0</v>
      </c>
      <c r="Q110" t="n">
        <v>0</v>
      </c>
      <c r="R110" s="2" t="inlineStr"/>
    </row>
    <row r="111" ht="15" customHeight="1">
      <c r="A111" t="inlineStr">
        <is>
          <t>A 20287-2025</t>
        </is>
      </c>
      <c r="B111" s="1" t="n">
        <v>45774.60741898148</v>
      </c>
      <c r="C111" s="1" t="n">
        <v>46118</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26160-2024</t>
        </is>
      </c>
      <c r="B112" s="1" t="n">
        <v>45468</v>
      </c>
      <c r="C112" s="1" t="n">
        <v>46118</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c r="T112">
        <f>HYPERLINK("https://klasma.github.io/Logging_0885/kartor/A 26160-2024 karta.png", "A 26160-2024")</f>
        <v/>
      </c>
      <c r="V112">
        <f>HYPERLINK("https://klasma.github.io/Logging_0885/klagomål/A 26160-2024 FSC-klagomål.docx", "A 26160-2024")</f>
        <v/>
      </c>
      <c r="W112">
        <f>HYPERLINK("https://klasma.github.io/Logging_0885/klagomålsmail/A 26160-2024 FSC-klagomål mail.docx", "A 26160-2024")</f>
        <v/>
      </c>
      <c r="X112">
        <f>HYPERLINK("https://klasma.github.io/Logging_0885/tillsyn/A 26160-2024 tillsynsbegäran.docx", "A 26160-2024")</f>
        <v/>
      </c>
      <c r="Y112">
        <f>HYPERLINK("https://klasma.github.io/Logging_0885/tillsynsmail/A 26160-2024 tillsynsbegäran mail.docx", "A 26160-2024")</f>
        <v/>
      </c>
    </row>
    <row r="113" ht="15" customHeight="1">
      <c r="A113" t="inlineStr">
        <is>
          <t>A 63075-2023</t>
        </is>
      </c>
      <c r="B113" s="1" t="n">
        <v>45273</v>
      </c>
      <c r="C113" s="1" t="n">
        <v>46118</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17978-2021</t>
        </is>
      </c>
      <c r="B114" s="1" t="n">
        <v>44301</v>
      </c>
      <c r="C114" s="1" t="n">
        <v>46118</v>
      </c>
      <c r="D114" t="inlineStr">
        <is>
          <t>KALMAR LÄN</t>
        </is>
      </c>
      <c r="E114" t="inlineStr">
        <is>
          <t>BORGHOLM</t>
        </is>
      </c>
      <c r="G114" t="n">
        <v>6</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46118</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46118</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46118</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46118</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46118</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46118</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27357-2025</t>
        </is>
      </c>
      <c r="B121" s="1" t="n">
        <v>45812.63650462963</v>
      </c>
      <c r="C121" s="1" t="n">
        <v>46118</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27366-2025</t>
        </is>
      </c>
      <c r="B122" s="1" t="n">
        <v>45812.64475694444</v>
      </c>
      <c r="C122" s="1" t="n">
        <v>46118</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28782-2025</t>
        </is>
      </c>
      <c r="B123" s="1" t="n">
        <v>45820.45572916666</v>
      </c>
      <c r="C123" s="1" t="n">
        <v>46118</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2026-04-06T10:43:28Z</dcterms:created>
  <dcterms:modified xmlns:dcterms="http://purl.org/dc/terms/" xmlns:xsi="http://www.w3.org/2001/XMLSchema-instance" xsi:type="dcterms:W3CDTF">2026-04-06T10:43:29Z</dcterms:modified>
</cp:coreProperties>
</file>