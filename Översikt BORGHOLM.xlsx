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46103</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46103</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60140-2025</t>
        </is>
      </c>
      <c r="B21" s="1" t="n">
        <v>45994.36274305556</v>
      </c>
      <c r="C21" s="1" t="n">
        <v>46103</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9253-2026</t>
        </is>
      </c>
      <c r="B22" s="1" t="n">
        <v>46070.51003472223</v>
      </c>
      <c r="C22" s="1" t="n">
        <v>46103</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44008-2022</t>
        </is>
      </c>
      <c r="B23" s="1" t="n">
        <v>44838</v>
      </c>
      <c r="C23" s="1" t="n">
        <v>46103</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28779-2025</t>
        </is>
      </c>
      <c r="B24" s="1" t="n">
        <v>45820.44920138889</v>
      </c>
      <c r="C24" s="1" t="n">
        <v>46103</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34944-2022</t>
        </is>
      </c>
      <c r="B25" s="1" t="n">
        <v>44796</v>
      </c>
      <c r="C25" s="1" t="n">
        <v>46103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46103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46103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46103</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46103</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46103</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46103</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46103</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24048-2025</t>
        </is>
      </c>
      <c r="B33" s="1" t="n">
        <v>45796.4959375</v>
      </c>
      <c r="C33" s="1" t="n">
        <v>46103</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46103</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45693-2025</t>
        </is>
      </c>
      <c r="B35" s="1" t="n">
        <v>45923</v>
      </c>
      <c r="C35" s="1" t="n">
        <v>46103</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3302-2026</t>
        </is>
      </c>
      <c r="B36" s="1" t="n">
        <v>46041</v>
      </c>
      <c r="C36" s="1" t="n">
        <v>46103</v>
      </c>
      <c r="D36" t="inlineStr">
        <is>
          <t>KALMAR LÄN</t>
        </is>
      </c>
      <c r="E36" t="inlineStr">
        <is>
          <t>BORGHOLM</t>
        </is>
      </c>
      <c r="G36" t="n">
        <v>3.9</v>
      </c>
      <c r="H36" t="n">
        <v>1</v>
      </c>
      <c r="I36" t="n">
        <v>0</v>
      </c>
      <c r="J36" t="n">
        <v>0</v>
      </c>
      <c r="K36" t="n">
        <v>0</v>
      </c>
      <c r="L36" t="n">
        <v>0</v>
      </c>
      <c r="M36" t="n">
        <v>0</v>
      </c>
      <c r="N36" t="n">
        <v>0</v>
      </c>
      <c r="O36" t="n">
        <v>0</v>
      </c>
      <c r="P36" t="n">
        <v>0</v>
      </c>
      <c r="Q36" t="n">
        <v>1</v>
      </c>
      <c r="R36" s="2" t="inlineStr">
        <is>
          <t>Blåsippa</t>
        </is>
      </c>
      <c r="S36">
        <f>HYPERLINK("https://klasma.github.io/Logging_0885/artfynd/A 3302-2026 artfynd.xlsx", "A 3302-2026")</f>
        <v/>
      </c>
      <c r="T36">
        <f>HYPERLINK("https://klasma.github.io/Logging_0885/kartor/A 3302-2026 karta.png", "A 3302-2026")</f>
        <v/>
      </c>
      <c r="V36">
        <f>HYPERLINK("https://klasma.github.io/Logging_0885/klagomål/A 3302-2026 FSC-klagomål.docx", "A 3302-2026")</f>
        <v/>
      </c>
      <c r="W36">
        <f>HYPERLINK("https://klasma.github.io/Logging_0885/klagomålsmail/A 3302-2026 FSC-klagomål mail.docx", "A 3302-2026")</f>
        <v/>
      </c>
      <c r="X36">
        <f>HYPERLINK("https://klasma.github.io/Logging_0885/tillsyn/A 3302-2026 tillsynsbegäran.docx", "A 3302-2026")</f>
        <v/>
      </c>
      <c r="Y36">
        <f>HYPERLINK("https://klasma.github.io/Logging_0885/tillsynsmail/A 3302-2026 tillsynsbegäran mail.docx", "A 3302-2026")</f>
        <v/>
      </c>
    </row>
    <row r="37" ht="15" customHeight="1">
      <c r="A37" t="inlineStr">
        <is>
          <t>A 24704-2023</t>
        </is>
      </c>
      <c r="B37" s="1" t="n">
        <v>45084</v>
      </c>
      <c r="C37" s="1" t="n">
        <v>46103</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9745-2023</t>
        </is>
      </c>
      <c r="B38" s="1" t="n">
        <v>44984</v>
      </c>
      <c r="C38" s="1" t="n">
        <v>46103</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28785-2025</t>
        </is>
      </c>
      <c r="B39" s="1" t="n">
        <v>45820.46159722222</v>
      </c>
      <c r="C39" s="1" t="n">
        <v>46103</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29962-2025</t>
        </is>
      </c>
      <c r="B40" s="1" t="n">
        <v>45826.48184027777</v>
      </c>
      <c r="C40" s="1" t="n">
        <v>46103</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43603-2024</t>
        </is>
      </c>
      <c r="B41" s="1" t="n">
        <v>45569.44700231482</v>
      </c>
      <c r="C41" s="1" t="n">
        <v>46103</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34885-2025</t>
        </is>
      </c>
      <c r="B42" s="1" t="n">
        <v>45849.47128472223</v>
      </c>
      <c r="C42" s="1" t="n">
        <v>46103</v>
      </c>
      <c r="D42" t="inlineStr">
        <is>
          <t>KALMAR LÄN</t>
        </is>
      </c>
      <c r="E42" t="inlineStr">
        <is>
          <t>BORGHOLM</t>
        </is>
      </c>
      <c r="G42" t="n">
        <v>4.4</v>
      </c>
      <c r="H42" t="n">
        <v>0</v>
      </c>
      <c r="I42" t="n">
        <v>0</v>
      </c>
      <c r="J42" t="n">
        <v>1</v>
      </c>
      <c r="K42" t="n">
        <v>0</v>
      </c>
      <c r="L42" t="n">
        <v>0</v>
      </c>
      <c r="M42" t="n">
        <v>0</v>
      </c>
      <c r="N42" t="n">
        <v>0</v>
      </c>
      <c r="O42" t="n">
        <v>1</v>
      </c>
      <c r="P42" t="n">
        <v>0</v>
      </c>
      <c r="Q42" t="n">
        <v>1</v>
      </c>
      <c r="R42" s="2" t="inlineStr">
        <is>
          <t>Backfryle</t>
        </is>
      </c>
      <c r="S42">
        <f>HYPERLINK("https://klasma.github.io/Logging_0885/artfynd/A 34885-2025 artfynd.xlsx", "A 34885-2025")</f>
        <v/>
      </c>
      <c r="T42">
        <f>HYPERLINK("https://klasma.github.io/Logging_0885/kartor/A 34885-2025 karta.png", "A 34885-2025")</f>
        <v/>
      </c>
      <c r="V42">
        <f>HYPERLINK("https://klasma.github.io/Logging_0885/klagomål/A 34885-2025 FSC-klagomål.docx", "A 34885-2025")</f>
        <v/>
      </c>
      <c r="W42">
        <f>HYPERLINK("https://klasma.github.io/Logging_0885/klagomålsmail/A 34885-2025 FSC-klagomål mail.docx", "A 34885-2025")</f>
        <v/>
      </c>
      <c r="X42">
        <f>HYPERLINK("https://klasma.github.io/Logging_0885/tillsyn/A 34885-2025 tillsynsbegäran.docx", "A 34885-2025")</f>
        <v/>
      </c>
      <c r="Y42">
        <f>HYPERLINK("https://klasma.github.io/Logging_0885/tillsynsmail/A 34885-2025 tillsynsbegäran mail.docx", "A 34885-2025")</f>
        <v/>
      </c>
    </row>
    <row r="43" ht="15" customHeight="1">
      <c r="A43" t="inlineStr">
        <is>
          <t>A 14789-2021</t>
        </is>
      </c>
      <c r="B43" s="1" t="n">
        <v>44280</v>
      </c>
      <c r="C43" s="1" t="n">
        <v>46103</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42761-2021</t>
        </is>
      </c>
      <c r="B44" s="1" t="n">
        <v>44428</v>
      </c>
      <c r="C44" s="1" t="n">
        <v>46103</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46103</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46103</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46103</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46103</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46103</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46103</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46103</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46103</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46103</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46103</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46103</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46103</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46103</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46103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17978-2021</t>
        </is>
      </c>
      <c r="B61" s="1" t="n">
        <v>44301</v>
      </c>
      <c r="C61" s="1" t="n">
        <v>46103</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46103</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64303-2023</t>
        </is>
      </c>
      <c r="B63" s="1" t="n">
        <v>45280</v>
      </c>
      <c r="C63" s="1" t="n">
        <v>46103</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60141-2025</t>
        </is>
      </c>
      <c r="B64" s="1" t="n">
        <v>45994.36873842592</v>
      </c>
      <c r="C64" s="1" t="n">
        <v>46103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41831-2025</t>
        </is>
      </c>
      <c r="B65" s="1" t="n">
        <v>45902.67887731481</v>
      </c>
      <c r="C65" s="1" t="n">
        <v>46103</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46103</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46103</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12534-2022</t>
        </is>
      </c>
      <c r="B68" s="1" t="n">
        <v>44638</v>
      </c>
      <c r="C68" s="1" t="n">
        <v>46103</v>
      </c>
      <c r="D68" t="inlineStr">
        <is>
          <t>KALMAR LÄN</t>
        </is>
      </c>
      <c r="E68" t="inlineStr">
        <is>
          <t>BORGHOLM</t>
        </is>
      </c>
      <c r="G68" t="n">
        <v>8.6</v>
      </c>
      <c r="H68" t="n">
        <v>0</v>
      </c>
      <c r="I68" t="n">
        <v>0</v>
      </c>
      <c r="J68" t="n">
        <v>0</v>
      </c>
      <c r="K68" t="n">
        <v>0</v>
      </c>
      <c r="L68" t="n">
        <v>0</v>
      </c>
      <c r="M68" t="n">
        <v>0</v>
      </c>
      <c r="N68" t="n">
        <v>0</v>
      </c>
      <c r="O68" t="n">
        <v>0</v>
      </c>
      <c r="P68" t="n">
        <v>0</v>
      </c>
      <c r="Q68" t="n">
        <v>0</v>
      </c>
      <c r="R68" s="2" t="inlineStr"/>
    </row>
    <row r="69" ht="15" customHeight="1">
      <c r="A69" t="inlineStr">
        <is>
          <t>A 21908-2022</t>
        </is>
      </c>
      <c r="B69" s="1" t="n">
        <v>44711</v>
      </c>
      <c r="C69" s="1" t="n">
        <v>46103</v>
      </c>
      <c r="D69" t="inlineStr">
        <is>
          <t>KALMAR LÄN</t>
        </is>
      </c>
      <c r="E69" t="inlineStr">
        <is>
          <t>BORGHOLM</t>
        </is>
      </c>
      <c r="G69" t="n">
        <v>4.7</v>
      </c>
      <c r="H69" t="n">
        <v>0</v>
      </c>
      <c r="I69" t="n">
        <v>0</v>
      </c>
      <c r="J69" t="n">
        <v>0</v>
      </c>
      <c r="K69" t="n">
        <v>0</v>
      </c>
      <c r="L69" t="n">
        <v>0</v>
      </c>
      <c r="M69" t="n">
        <v>0</v>
      </c>
      <c r="N69" t="n">
        <v>0</v>
      </c>
      <c r="O69" t="n">
        <v>0</v>
      </c>
      <c r="P69" t="n">
        <v>0</v>
      </c>
      <c r="Q69" t="n">
        <v>0</v>
      </c>
      <c r="R69" s="2" t="inlineStr"/>
    </row>
    <row r="70" ht="15" customHeight="1">
      <c r="A70" t="inlineStr">
        <is>
          <t>A 55367-2024</t>
        </is>
      </c>
      <c r="B70" s="1" t="n">
        <v>45621.87075231481</v>
      </c>
      <c r="C70" s="1" t="n">
        <v>46103</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46103</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61723-2025</t>
        </is>
      </c>
      <c r="B72" s="1" t="n">
        <v>46002.58388888889</v>
      </c>
      <c r="C72" s="1" t="n">
        <v>46103</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46103</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46103</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40339-2023</t>
        </is>
      </c>
      <c r="B75" s="1" t="n">
        <v>45169.62733796296</v>
      </c>
      <c r="C75" s="1" t="n">
        <v>46103</v>
      </c>
      <c r="D75" t="inlineStr">
        <is>
          <t>KALMAR LÄN</t>
        </is>
      </c>
      <c r="E75" t="inlineStr">
        <is>
          <t>BORGHOLM</t>
        </is>
      </c>
      <c r="G75" t="n">
        <v>3.8</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46103</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46103</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46103</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46103</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9259-2026</t>
        </is>
      </c>
      <c r="B80" s="1" t="n">
        <v>46070.51917824074</v>
      </c>
      <c r="C80" s="1" t="n">
        <v>46103</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46103</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46103</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31699-2022</t>
        </is>
      </c>
      <c r="B83" s="1" t="n">
        <v>44776</v>
      </c>
      <c r="C83" s="1" t="n">
        <v>46103</v>
      </c>
      <c r="D83" t="inlineStr">
        <is>
          <t>KALMAR LÄN</t>
        </is>
      </c>
      <c r="E83" t="inlineStr">
        <is>
          <t>BORGHOLM</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63276-2023</t>
        </is>
      </c>
      <c r="B84" s="1" t="n">
        <v>45273.82195601852</v>
      </c>
      <c r="C84" s="1" t="n">
        <v>46103</v>
      </c>
      <c r="D84" t="inlineStr">
        <is>
          <t>KALMAR LÄN</t>
        </is>
      </c>
      <c r="E84" t="inlineStr">
        <is>
          <t>BORGHOLM</t>
        </is>
      </c>
      <c r="G84" t="n">
        <v>5</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46103</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46103</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46103</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9076-2025</t>
        </is>
      </c>
      <c r="B88" s="1" t="n">
        <v>45713.6596875</v>
      </c>
      <c r="C88" s="1" t="n">
        <v>46103</v>
      </c>
      <c r="D88" t="inlineStr">
        <is>
          <t>KALMAR LÄN</t>
        </is>
      </c>
      <c r="E88" t="inlineStr">
        <is>
          <t>BORGHOLM</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46103</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7960-2023</t>
        </is>
      </c>
      <c r="B90" s="1" t="n">
        <v>44973</v>
      </c>
      <c r="C90" s="1" t="n">
        <v>46103</v>
      </c>
      <c r="D90" t="inlineStr">
        <is>
          <t>KALMAR LÄN</t>
        </is>
      </c>
      <c r="E90" t="inlineStr">
        <is>
          <t>BORGHOLM</t>
        </is>
      </c>
      <c r="G90" t="n">
        <v>2.1</v>
      </c>
      <c r="H90" t="n">
        <v>0</v>
      </c>
      <c r="I90" t="n">
        <v>0</v>
      </c>
      <c r="J90" t="n">
        <v>0</v>
      </c>
      <c r="K90" t="n">
        <v>0</v>
      </c>
      <c r="L90" t="n">
        <v>0</v>
      </c>
      <c r="M90" t="n">
        <v>0</v>
      </c>
      <c r="N90" t="n">
        <v>0</v>
      </c>
      <c r="O90" t="n">
        <v>0</v>
      </c>
      <c r="P90" t="n">
        <v>0</v>
      </c>
      <c r="Q90" t="n">
        <v>0</v>
      </c>
      <c r="R90" s="2" t="inlineStr"/>
    </row>
    <row r="91" ht="15" customHeight="1">
      <c r="A91" t="inlineStr">
        <is>
          <t>A 27357-2025</t>
        </is>
      </c>
      <c r="B91" s="1" t="n">
        <v>45812.63650462963</v>
      </c>
      <c r="C91" s="1" t="n">
        <v>46103</v>
      </c>
      <c r="D91" t="inlineStr">
        <is>
          <t>KALMAR LÄN</t>
        </is>
      </c>
      <c r="E91" t="inlineStr">
        <is>
          <t>BORGHOLM</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27366-2025</t>
        </is>
      </c>
      <c r="B92" s="1" t="n">
        <v>45812.64475694444</v>
      </c>
      <c r="C92" s="1" t="n">
        <v>46103</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29656-2023</t>
        </is>
      </c>
      <c r="B93" s="1" t="n">
        <v>45107</v>
      </c>
      <c r="C93" s="1" t="n">
        <v>46103</v>
      </c>
      <c r="D93" t="inlineStr">
        <is>
          <t>KALMAR LÄN</t>
        </is>
      </c>
      <c r="E93" t="inlineStr">
        <is>
          <t>BORGHOLM</t>
        </is>
      </c>
      <c r="G93" t="n">
        <v>4.1</v>
      </c>
      <c r="H93" t="n">
        <v>0</v>
      </c>
      <c r="I93" t="n">
        <v>0</v>
      </c>
      <c r="J93" t="n">
        <v>0</v>
      </c>
      <c r="K93" t="n">
        <v>0</v>
      </c>
      <c r="L93" t="n">
        <v>0</v>
      </c>
      <c r="M93" t="n">
        <v>0</v>
      </c>
      <c r="N93" t="n">
        <v>0</v>
      </c>
      <c r="O93" t="n">
        <v>0</v>
      </c>
      <c r="P93" t="n">
        <v>0</v>
      </c>
      <c r="Q93" t="n">
        <v>0</v>
      </c>
      <c r="R93" s="2" t="inlineStr"/>
    </row>
    <row r="94" ht="15" customHeight="1">
      <c r="A94" t="inlineStr">
        <is>
          <t>A 7481-2026</t>
        </is>
      </c>
      <c r="B94" s="1" t="n">
        <v>46059.51359953704</v>
      </c>
      <c r="C94" s="1" t="n">
        <v>46103</v>
      </c>
      <c r="D94" t="inlineStr">
        <is>
          <t>KALMAR LÄN</t>
        </is>
      </c>
      <c r="E94" t="inlineStr">
        <is>
          <t>BORGHOLM</t>
        </is>
      </c>
      <c r="G94" t="n">
        <v>1.9</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46103</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46103</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46103</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46103</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46103</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46103</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46103</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46103</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46103</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46103</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46103</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46103</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46103</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46103</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46103</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46103</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46103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46103</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46103</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46103</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46103</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46103</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46103</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46103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46103</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46103</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2026-03-22T11:31:12Z</dcterms:created>
  <dcterms:modified xmlns:dcterms="http://purl.org/dc/terms/" xmlns:xsi="http://www.w3.org/2001/XMLSchema-instance" xsi:type="dcterms:W3CDTF">2026-03-22T11:31:12Z</dcterms:modified>
</cp:coreProperties>
</file>