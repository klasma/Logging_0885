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45974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45974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45974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45974</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45974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45974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45974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45974</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45974</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45974</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45974</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45974</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45974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44008-2022</t>
        </is>
      </c>
      <c r="B21" s="1" t="n">
        <v>44838</v>
      </c>
      <c r="C21" s="1" t="n">
        <v>45974</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28779-2025</t>
        </is>
      </c>
      <c r="B22" s="1" t="n">
        <v>45820.44920138889</v>
      </c>
      <c r="C22" s="1" t="n">
        <v>45974</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4164-2023</t>
        </is>
      </c>
      <c r="B23" s="1" t="n">
        <v>44953</v>
      </c>
      <c r="C23" s="1" t="n">
        <v>45974</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38860-2025</t>
        </is>
      </c>
      <c r="B24" s="1" t="n">
        <v>45887.5609375</v>
      </c>
      <c r="C24" s="1" t="n">
        <v>45974</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34944-2022</t>
        </is>
      </c>
      <c r="B25" s="1" t="n">
        <v>44796</v>
      </c>
      <c r="C25" s="1" t="n">
        <v>45974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45974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45974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3871-2021</t>
        </is>
      </c>
      <c r="B28" s="1" t="n">
        <v>44222</v>
      </c>
      <c r="C28" s="1" t="n">
        <v>45974</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45974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45974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45974</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45974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45974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45974</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24048-2025</t>
        </is>
      </c>
      <c r="B35" s="1" t="n">
        <v>45796.4959375</v>
      </c>
      <c r="C35" s="1" t="n">
        <v>45974</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45974</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12785-2021</t>
        </is>
      </c>
      <c r="B37" s="1" t="n">
        <v>44270</v>
      </c>
      <c r="C37" s="1" t="n">
        <v>45974</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28785-2025</t>
        </is>
      </c>
      <c r="B38" s="1" t="n">
        <v>45820.46159722222</v>
      </c>
      <c r="C38" s="1" t="n">
        <v>45974</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9745-2023</t>
        </is>
      </c>
      <c r="B39" s="1" t="n">
        <v>44984</v>
      </c>
      <c r="C39" s="1" t="n">
        <v>45974</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29962-2025</t>
        </is>
      </c>
      <c r="B40" s="1" t="n">
        <v>45826.48184027777</v>
      </c>
      <c r="C40" s="1" t="n">
        <v>45974</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34885-2025</t>
        </is>
      </c>
      <c r="B41" s="1" t="n">
        <v>45849.47128472223</v>
      </c>
      <c r="C41" s="1" t="n">
        <v>45974</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43603-2024</t>
        </is>
      </c>
      <c r="B42" s="1" t="n">
        <v>45569.44700231482</v>
      </c>
      <c r="C42" s="1" t="n">
        <v>45974</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45974</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45693-2025</t>
        </is>
      </c>
      <c r="B44" s="1" t="n">
        <v>45923</v>
      </c>
      <c r="C44" s="1" t="n">
        <v>45974</v>
      </c>
      <c r="D44" t="inlineStr">
        <is>
          <t>KALMAR LÄN</t>
        </is>
      </c>
      <c r="E44" t="inlineStr">
        <is>
          <t>BORGHOLM</t>
        </is>
      </c>
      <c r="G44" t="n">
        <v>4.8</v>
      </c>
      <c r="H44" t="n">
        <v>0</v>
      </c>
      <c r="I44" t="n">
        <v>0</v>
      </c>
      <c r="J44" t="n">
        <v>1</v>
      </c>
      <c r="K44" t="n">
        <v>0</v>
      </c>
      <c r="L44" t="n">
        <v>0</v>
      </c>
      <c r="M44" t="n">
        <v>0</v>
      </c>
      <c r="N44" t="n">
        <v>0</v>
      </c>
      <c r="O44" t="n">
        <v>1</v>
      </c>
      <c r="P44" t="n">
        <v>0</v>
      </c>
      <c r="Q44" t="n">
        <v>1</v>
      </c>
      <c r="R44" s="2" t="inlineStr">
        <is>
          <t>Stjälkröksvamp</t>
        </is>
      </c>
      <c r="S44">
        <f>HYPERLINK("https://klasma.github.io/Logging_0885/artfynd/A 45693-2025 artfynd.xlsx", "A 45693-2025")</f>
        <v/>
      </c>
      <c r="T44">
        <f>HYPERLINK("https://klasma.github.io/Logging_0885/kartor/A 45693-2025 karta.png", "A 45693-2025")</f>
        <v/>
      </c>
      <c r="V44">
        <f>HYPERLINK("https://klasma.github.io/Logging_0885/klagomål/A 45693-2025 FSC-klagomål.docx", "A 45693-2025")</f>
        <v/>
      </c>
      <c r="W44">
        <f>HYPERLINK("https://klasma.github.io/Logging_0885/klagomålsmail/A 45693-2025 FSC-klagomål mail.docx", "A 45693-2025")</f>
        <v/>
      </c>
      <c r="X44">
        <f>HYPERLINK("https://klasma.github.io/Logging_0885/tillsyn/A 45693-2025 tillsynsbegäran.docx", "A 45693-2025")</f>
        <v/>
      </c>
      <c r="Y44">
        <f>HYPERLINK("https://klasma.github.io/Logging_0885/tillsynsmail/A 45693-2025 tillsynsbegäran mail.docx", "A 45693-2025")</f>
        <v/>
      </c>
    </row>
    <row r="45" ht="15" customHeight="1">
      <c r="A45" t="inlineStr">
        <is>
          <t>A 12711-2021</t>
        </is>
      </c>
      <c r="B45" s="1" t="n">
        <v>44270</v>
      </c>
      <c r="C45" s="1" t="n">
        <v>45974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45974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45974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45974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45974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45974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45974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45974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45974</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45974</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45974</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45974</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45974</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45974</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45974</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45974</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4878-2021</t>
        </is>
      </c>
      <c r="B61" s="1" t="n">
        <v>44225</v>
      </c>
      <c r="C61" s="1" t="n">
        <v>45974</v>
      </c>
      <c r="D61" t="inlineStr">
        <is>
          <t>KALMAR LÄN</t>
        </is>
      </c>
      <c r="E61" t="inlineStr">
        <is>
          <t>BORGHOLM</t>
        </is>
      </c>
      <c r="G61" t="n">
        <v>3</v>
      </c>
      <c r="H61" t="n">
        <v>0</v>
      </c>
      <c r="I61" t="n">
        <v>0</v>
      </c>
      <c r="J61" t="n">
        <v>0</v>
      </c>
      <c r="K61" t="n">
        <v>0</v>
      </c>
      <c r="L61" t="n">
        <v>0</v>
      </c>
      <c r="M61" t="n">
        <v>0</v>
      </c>
      <c r="N61" t="n">
        <v>0</v>
      </c>
      <c r="O61" t="n">
        <v>0</v>
      </c>
      <c r="P61" t="n">
        <v>0</v>
      </c>
      <c r="Q61" t="n">
        <v>0</v>
      </c>
      <c r="R61" s="2" t="inlineStr"/>
    </row>
    <row r="62" ht="15" customHeight="1">
      <c r="A62" t="inlineStr">
        <is>
          <t>A 61438-2023</t>
        </is>
      </c>
      <c r="B62" s="1" t="n">
        <v>45264</v>
      </c>
      <c r="C62" s="1" t="n">
        <v>45974</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13041-2024</t>
        </is>
      </c>
      <c r="B63" s="1" t="n">
        <v>45385.60065972222</v>
      </c>
      <c r="C63" s="1" t="n">
        <v>45974</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53050-2021</t>
        </is>
      </c>
      <c r="B64" s="1" t="n">
        <v>44467</v>
      </c>
      <c r="C64" s="1" t="n">
        <v>45974</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4165-2023</t>
        </is>
      </c>
      <c r="B65" s="1" t="n">
        <v>44953</v>
      </c>
      <c r="C65" s="1" t="n">
        <v>45974</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50129-2021</t>
        </is>
      </c>
      <c r="B66" s="1" t="n">
        <v>44456</v>
      </c>
      <c r="C66" s="1" t="n">
        <v>45974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65144-2020</t>
        </is>
      </c>
      <c r="B67" s="1" t="n">
        <v>44172</v>
      </c>
      <c r="C67" s="1" t="n">
        <v>45974</v>
      </c>
      <c r="D67" t="inlineStr">
        <is>
          <t>KALMAR LÄN</t>
        </is>
      </c>
      <c r="E67" t="inlineStr">
        <is>
          <t>BORGHOLM</t>
        </is>
      </c>
      <c r="G67" t="n">
        <v>1.7</v>
      </c>
      <c r="H67" t="n">
        <v>0</v>
      </c>
      <c r="I67" t="n">
        <v>0</v>
      </c>
      <c r="J67" t="n">
        <v>0</v>
      </c>
      <c r="K67" t="n">
        <v>0</v>
      </c>
      <c r="L67" t="n">
        <v>0</v>
      </c>
      <c r="M67" t="n">
        <v>0</v>
      </c>
      <c r="N67" t="n">
        <v>0</v>
      </c>
      <c r="O67" t="n">
        <v>0</v>
      </c>
      <c r="P67" t="n">
        <v>0</v>
      </c>
      <c r="Q67" t="n">
        <v>0</v>
      </c>
      <c r="R67" s="2" t="inlineStr"/>
    </row>
    <row r="68" ht="15" customHeight="1">
      <c r="A68" t="inlineStr">
        <is>
          <t>A 3878-2023</t>
        </is>
      </c>
      <c r="B68" s="1" t="n">
        <v>44951</v>
      </c>
      <c r="C68" s="1" t="n">
        <v>45974</v>
      </c>
      <c r="D68" t="inlineStr">
        <is>
          <t>KALMAR LÄN</t>
        </is>
      </c>
      <c r="E68" t="inlineStr">
        <is>
          <t>BORGHOLM</t>
        </is>
      </c>
      <c r="G68" t="n">
        <v>1.7</v>
      </c>
      <c r="H68" t="n">
        <v>0</v>
      </c>
      <c r="I68" t="n">
        <v>0</v>
      </c>
      <c r="J68" t="n">
        <v>0</v>
      </c>
      <c r="K68" t="n">
        <v>0</v>
      </c>
      <c r="L68" t="n">
        <v>0</v>
      </c>
      <c r="M68" t="n">
        <v>0</v>
      </c>
      <c r="N68" t="n">
        <v>0</v>
      </c>
      <c r="O68" t="n">
        <v>0</v>
      </c>
      <c r="P68" t="n">
        <v>0</v>
      </c>
      <c r="Q68" t="n">
        <v>0</v>
      </c>
      <c r="R68" s="2" t="inlineStr"/>
    </row>
    <row r="69" ht="15" customHeight="1">
      <c r="A69" t="inlineStr">
        <is>
          <t>A 4159-2024</t>
        </is>
      </c>
      <c r="B69" s="1" t="n">
        <v>45323</v>
      </c>
      <c r="C69" s="1" t="n">
        <v>45974</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12937-2022</t>
        </is>
      </c>
      <c r="B70" s="1" t="n">
        <v>44642</v>
      </c>
      <c r="C70" s="1" t="n">
        <v>45974</v>
      </c>
      <c r="D70" t="inlineStr">
        <is>
          <t>KALMAR LÄN</t>
        </is>
      </c>
      <c r="E70" t="inlineStr">
        <is>
          <t>BORGHOLM</t>
        </is>
      </c>
      <c r="F70" t="inlineStr">
        <is>
          <t>Sveaskog</t>
        </is>
      </c>
      <c r="G70" t="n">
        <v>1.8</v>
      </c>
      <c r="H70" t="n">
        <v>0</v>
      </c>
      <c r="I70" t="n">
        <v>0</v>
      </c>
      <c r="J70" t="n">
        <v>0</v>
      </c>
      <c r="K70" t="n">
        <v>0</v>
      </c>
      <c r="L70" t="n">
        <v>0</v>
      </c>
      <c r="M70" t="n">
        <v>0</v>
      </c>
      <c r="N70" t="n">
        <v>0</v>
      </c>
      <c r="O70" t="n">
        <v>0</v>
      </c>
      <c r="P70" t="n">
        <v>0</v>
      </c>
      <c r="Q70" t="n">
        <v>0</v>
      </c>
      <c r="R70" s="2" t="inlineStr"/>
    </row>
    <row r="71" ht="15" customHeight="1">
      <c r="A71" t="inlineStr">
        <is>
          <t>A 63075-2023</t>
        </is>
      </c>
      <c r="B71" s="1" t="n">
        <v>45273</v>
      </c>
      <c r="C71" s="1" t="n">
        <v>45974</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32921-2023</t>
        </is>
      </c>
      <c r="B72" s="1" t="n">
        <v>45125</v>
      </c>
      <c r="C72" s="1" t="n">
        <v>45974</v>
      </c>
      <c r="D72" t="inlineStr">
        <is>
          <t>KALMAR LÄN</t>
        </is>
      </c>
      <c r="E72" t="inlineStr">
        <is>
          <t>BORGHOLM</t>
        </is>
      </c>
      <c r="G72" t="n">
        <v>2.9</v>
      </c>
      <c r="H72" t="n">
        <v>0</v>
      </c>
      <c r="I72" t="n">
        <v>0</v>
      </c>
      <c r="J72" t="n">
        <v>0</v>
      </c>
      <c r="K72" t="n">
        <v>0</v>
      </c>
      <c r="L72" t="n">
        <v>0</v>
      </c>
      <c r="M72" t="n">
        <v>0</v>
      </c>
      <c r="N72" t="n">
        <v>0</v>
      </c>
      <c r="O72" t="n">
        <v>0</v>
      </c>
      <c r="P72" t="n">
        <v>0</v>
      </c>
      <c r="Q72" t="n">
        <v>0</v>
      </c>
      <c r="R72" s="2" t="inlineStr"/>
    </row>
    <row r="73" ht="15" customHeight="1">
      <c r="A73" t="inlineStr">
        <is>
          <t>A 9034-2025</t>
        </is>
      </c>
      <c r="B73" s="1" t="n">
        <v>45713</v>
      </c>
      <c r="C73" s="1" t="n">
        <v>45974</v>
      </c>
      <c r="D73" t="inlineStr">
        <is>
          <t>KALMAR LÄN</t>
        </is>
      </c>
      <c r="E73" t="inlineStr">
        <is>
          <t>BORGHOLM</t>
        </is>
      </c>
      <c r="F73" t="inlineStr">
        <is>
          <t>Sveaskog</t>
        </is>
      </c>
      <c r="G73" t="n">
        <v>6.8</v>
      </c>
      <c r="H73" t="n">
        <v>0</v>
      </c>
      <c r="I73" t="n">
        <v>0</v>
      </c>
      <c r="J73" t="n">
        <v>0</v>
      </c>
      <c r="K73" t="n">
        <v>0</v>
      </c>
      <c r="L73" t="n">
        <v>0</v>
      </c>
      <c r="M73" t="n">
        <v>0</v>
      </c>
      <c r="N73" t="n">
        <v>0</v>
      </c>
      <c r="O73" t="n">
        <v>0</v>
      </c>
      <c r="P73" t="n">
        <v>0</v>
      </c>
      <c r="Q73" t="n">
        <v>0</v>
      </c>
      <c r="R73" s="2" t="inlineStr"/>
    </row>
    <row r="74" ht="15" customHeight="1">
      <c r="A74" t="inlineStr">
        <is>
          <t>A 31699-2022</t>
        </is>
      </c>
      <c r="B74" s="1" t="n">
        <v>44776</v>
      </c>
      <c r="C74" s="1" t="n">
        <v>45974</v>
      </c>
      <c r="D74" t="inlineStr">
        <is>
          <t>KALMAR LÄN</t>
        </is>
      </c>
      <c r="E74" t="inlineStr">
        <is>
          <t>BORGHOLM</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63276-2023</t>
        </is>
      </c>
      <c r="B75" s="1" t="n">
        <v>45273.82195601852</v>
      </c>
      <c r="C75" s="1" t="n">
        <v>45974</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13548-2025</t>
        </is>
      </c>
      <c r="B76" s="1" t="n">
        <v>45736.53827546296</v>
      </c>
      <c r="C76" s="1" t="n">
        <v>45974</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1614-2025</t>
        </is>
      </c>
      <c r="B77" s="1" t="n">
        <v>45670.60094907408</v>
      </c>
      <c r="C77" s="1" t="n">
        <v>45974</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17978-2021</t>
        </is>
      </c>
      <c r="B78" s="1" t="n">
        <v>44301</v>
      </c>
      <c r="C78" s="1" t="n">
        <v>45974</v>
      </c>
      <c r="D78" t="inlineStr">
        <is>
          <t>KALMAR LÄN</t>
        </is>
      </c>
      <c r="E78" t="inlineStr">
        <is>
          <t>BORGHOLM</t>
        </is>
      </c>
      <c r="G78" t="n">
        <v>6</v>
      </c>
      <c r="H78" t="n">
        <v>0</v>
      </c>
      <c r="I78" t="n">
        <v>0</v>
      </c>
      <c r="J78" t="n">
        <v>0</v>
      </c>
      <c r="K78" t="n">
        <v>0</v>
      </c>
      <c r="L78" t="n">
        <v>0</v>
      </c>
      <c r="M78" t="n">
        <v>0</v>
      </c>
      <c r="N78" t="n">
        <v>0</v>
      </c>
      <c r="O78" t="n">
        <v>0</v>
      </c>
      <c r="P78" t="n">
        <v>0</v>
      </c>
      <c r="Q78" t="n">
        <v>0</v>
      </c>
      <c r="R78" s="2" t="inlineStr"/>
    </row>
    <row r="79" ht="15" customHeight="1">
      <c r="A79" t="inlineStr">
        <is>
          <t>A 22785-2025</t>
        </is>
      </c>
      <c r="B79" s="1" t="n">
        <v>45789.64186342592</v>
      </c>
      <c r="C79" s="1" t="n">
        <v>45974</v>
      </c>
      <c r="D79" t="inlineStr">
        <is>
          <t>KALMAR LÄN</t>
        </is>
      </c>
      <c r="E79" t="inlineStr">
        <is>
          <t>BORGHOLM</t>
        </is>
      </c>
      <c r="G79" t="n">
        <v>0.6</v>
      </c>
      <c r="H79" t="n">
        <v>0</v>
      </c>
      <c r="I79" t="n">
        <v>0</v>
      </c>
      <c r="J79" t="n">
        <v>0</v>
      </c>
      <c r="K79" t="n">
        <v>0</v>
      </c>
      <c r="L79" t="n">
        <v>0</v>
      </c>
      <c r="M79" t="n">
        <v>0</v>
      </c>
      <c r="N79" t="n">
        <v>0</v>
      </c>
      <c r="O79" t="n">
        <v>0</v>
      </c>
      <c r="P79" t="n">
        <v>0</v>
      </c>
      <c r="Q79" t="n">
        <v>0</v>
      </c>
      <c r="R79" s="2" t="inlineStr"/>
    </row>
    <row r="80" ht="15" customHeight="1">
      <c r="A80" t="inlineStr">
        <is>
          <t>A 13043-2024</t>
        </is>
      </c>
      <c r="B80" s="1" t="n">
        <v>45385.60111111111</v>
      </c>
      <c r="C80" s="1" t="n">
        <v>45974</v>
      </c>
      <c r="D80" t="inlineStr">
        <is>
          <t>KALMAR LÄN</t>
        </is>
      </c>
      <c r="E80" t="inlineStr">
        <is>
          <t>BORGHOLM</t>
        </is>
      </c>
      <c r="G80" t="n">
        <v>0.4</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45974</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12534-2022</t>
        </is>
      </c>
      <c r="B82" s="1" t="n">
        <v>44638</v>
      </c>
      <c r="C82" s="1" t="n">
        <v>45974</v>
      </c>
      <c r="D82" t="inlineStr">
        <is>
          <t>KALMAR LÄN</t>
        </is>
      </c>
      <c r="E82" t="inlineStr">
        <is>
          <t>BORGHOLM</t>
        </is>
      </c>
      <c r="G82" t="n">
        <v>8.6</v>
      </c>
      <c r="H82" t="n">
        <v>0</v>
      </c>
      <c r="I82" t="n">
        <v>0</v>
      </c>
      <c r="J82" t="n">
        <v>0</v>
      </c>
      <c r="K82" t="n">
        <v>0</v>
      </c>
      <c r="L82" t="n">
        <v>0</v>
      </c>
      <c r="M82" t="n">
        <v>0</v>
      </c>
      <c r="N82" t="n">
        <v>0</v>
      </c>
      <c r="O82" t="n">
        <v>0</v>
      </c>
      <c r="P82" t="n">
        <v>0</v>
      </c>
      <c r="Q82" t="n">
        <v>0</v>
      </c>
      <c r="R82" s="2" t="inlineStr"/>
    </row>
    <row r="83" ht="15" customHeight="1">
      <c r="A83" t="inlineStr">
        <is>
          <t>A 64303-2023</t>
        </is>
      </c>
      <c r="B83" s="1" t="n">
        <v>45280</v>
      </c>
      <c r="C83" s="1" t="n">
        <v>45974</v>
      </c>
      <c r="D83" t="inlineStr">
        <is>
          <t>KALMAR LÄN</t>
        </is>
      </c>
      <c r="E83" t="inlineStr">
        <is>
          <t>BORGHOLM</t>
        </is>
      </c>
      <c r="G83" t="n">
        <v>1.2</v>
      </c>
      <c r="H83" t="n">
        <v>0</v>
      </c>
      <c r="I83" t="n">
        <v>0</v>
      </c>
      <c r="J83" t="n">
        <v>0</v>
      </c>
      <c r="K83" t="n">
        <v>0</v>
      </c>
      <c r="L83" t="n">
        <v>0</v>
      </c>
      <c r="M83" t="n">
        <v>0</v>
      </c>
      <c r="N83" t="n">
        <v>0</v>
      </c>
      <c r="O83" t="n">
        <v>0</v>
      </c>
      <c r="P83" t="n">
        <v>0</v>
      </c>
      <c r="Q83" t="n">
        <v>0</v>
      </c>
      <c r="R83" s="2" t="inlineStr"/>
    </row>
    <row r="84" ht="15" customHeight="1">
      <c r="A84" t="inlineStr">
        <is>
          <t>A 40339-2023</t>
        </is>
      </c>
      <c r="B84" s="1" t="n">
        <v>45169.62733796296</v>
      </c>
      <c r="C84" s="1" t="n">
        <v>45974</v>
      </c>
      <c r="D84" t="inlineStr">
        <is>
          <t>KALMAR LÄN</t>
        </is>
      </c>
      <c r="E84" t="inlineStr">
        <is>
          <t>BORGHOLM</t>
        </is>
      </c>
      <c r="G84" t="n">
        <v>3.8</v>
      </c>
      <c r="H84" t="n">
        <v>0</v>
      </c>
      <c r="I84" t="n">
        <v>0</v>
      </c>
      <c r="J84" t="n">
        <v>0</v>
      </c>
      <c r="K84" t="n">
        <v>0</v>
      </c>
      <c r="L84" t="n">
        <v>0</v>
      </c>
      <c r="M84" t="n">
        <v>0</v>
      </c>
      <c r="N84" t="n">
        <v>0</v>
      </c>
      <c r="O84" t="n">
        <v>0</v>
      </c>
      <c r="P84" t="n">
        <v>0</v>
      </c>
      <c r="Q84" t="n">
        <v>0</v>
      </c>
      <c r="R84" s="2" t="inlineStr"/>
    </row>
    <row r="85" ht="15" customHeight="1">
      <c r="A85" t="inlineStr">
        <is>
          <t>A 24166-2022</t>
        </is>
      </c>
      <c r="B85" s="1" t="n">
        <v>44725</v>
      </c>
      <c r="C85" s="1" t="n">
        <v>45974</v>
      </c>
      <c r="D85" t="inlineStr">
        <is>
          <t>KALMAR LÄN</t>
        </is>
      </c>
      <c r="E85" t="inlineStr">
        <is>
          <t>BORGHOLM</t>
        </is>
      </c>
      <c r="G85" t="n">
        <v>10.7</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45974</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21908-2022</t>
        </is>
      </c>
      <c r="B87" s="1" t="n">
        <v>44711</v>
      </c>
      <c r="C87" s="1" t="n">
        <v>45974</v>
      </c>
      <c r="D87" t="inlineStr">
        <is>
          <t>KALMAR LÄN</t>
        </is>
      </c>
      <c r="E87" t="inlineStr">
        <is>
          <t>BORGHOLM</t>
        </is>
      </c>
      <c r="G87" t="n">
        <v>4.7</v>
      </c>
      <c r="H87" t="n">
        <v>0</v>
      </c>
      <c r="I87" t="n">
        <v>0</v>
      </c>
      <c r="J87" t="n">
        <v>0</v>
      </c>
      <c r="K87" t="n">
        <v>0</v>
      </c>
      <c r="L87" t="n">
        <v>0</v>
      </c>
      <c r="M87" t="n">
        <v>0</v>
      </c>
      <c r="N87" t="n">
        <v>0</v>
      </c>
      <c r="O87" t="n">
        <v>0</v>
      </c>
      <c r="P87" t="n">
        <v>0</v>
      </c>
      <c r="Q87" t="n">
        <v>0</v>
      </c>
      <c r="R87" s="2" t="inlineStr"/>
    </row>
    <row r="88" ht="15" customHeight="1">
      <c r="A88" t="inlineStr">
        <is>
          <t>A 26160-2025</t>
        </is>
      </c>
      <c r="B88" s="1" t="n">
        <v>45805.4490162037</v>
      </c>
      <c r="C88" s="1" t="n">
        <v>45974</v>
      </c>
      <c r="D88" t="inlineStr">
        <is>
          <t>KALMAR LÄN</t>
        </is>
      </c>
      <c r="E88" t="inlineStr">
        <is>
          <t>BORGHOLM</t>
        </is>
      </c>
      <c r="G88" t="n">
        <v>3.7</v>
      </c>
      <c r="H88" t="n">
        <v>0</v>
      </c>
      <c r="I88" t="n">
        <v>0</v>
      </c>
      <c r="J88" t="n">
        <v>0</v>
      </c>
      <c r="K88" t="n">
        <v>0</v>
      </c>
      <c r="L88" t="n">
        <v>0</v>
      </c>
      <c r="M88" t="n">
        <v>0</v>
      </c>
      <c r="N88" t="n">
        <v>0</v>
      </c>
      <c r="O88" t="n">
        <v>0</v>
      </c>
      <c r="P88" t="n">
        <v>0</v>
      </c>
      <c r="Q88" t="n">
        <v>0</v>
      </c>
      <c r="R88" s="2" t="inlineStr"/>
    </row>
    <row r="89" ht="15" customHeight="1">
      <c r="A89" t="inlineStr">
        <is>
          <t>A 55367-2024</t>
        </is>
      </c>
      <c r="B89" s="1" t="n">
        <v>45621.87075231481</v>
      </c>
      <c r="C89" s="1" t="n">
        <v>45974</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45974</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45974</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45974</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9044-2025</t>
        </is>
      </c>
      <c r="B93" s="1" t="n">
        <v>45713.6275</v>
      </c>
      <c r="C93" s="1" t="n">
        <v>45974</v>
      </c>
      <c r="D93" t="inlineStr">
        <is>
          <t>KALMAR LÄN</t>
        </is>
      </c>
      <c r="E93" t="inlineStr">
        <is>
          <t>BORGHOLM</t>
        </is>
      </c>
      <c r="F93" t="inlineStr">
        <is>
          <t>Sveaskog</t>
        </is>
      </c>
      <c r="G93" t="n">
        <v>4</v>
      </c>
      <c r="H93" t="n">
        <v>0</v>
      </c>
      <c r="I93" t="n">
        <v>0</v>
      </c>
      <c r="J93" t="n">
        <v>0</v>
      </c>
      <c r="K93" t="n">
        <v>0</v>
      </c>
      <c r="L93" t="n">
        <v>0</v>
      </c>
      <c r="M93" t="n">
        <v>0</v>
      </c>
      <c r="N93" t="n">
        <v>0</v>
      </c>
      <c r="O93" t="n">
        <v>0</v>
      </c>
      <c r="P93" t="n">
        <v>0</v>
      </c>
      <c r="Q93" t="n">
        <v>0</v>
      </c>
      <c r="R93" s="2" t="inlineStr"/>
    </row>
    <row r="94" ht="15" customHeight="1">
      <c r="A94" t="inlineStr">
        <is>
          <t>A 7960-2023</t>
        </is>
      </c>
      <c r="B94" s="1" t="n">
        <v>44973</v>
      </c>
      <c r="C94" s="1" t="n">
        <v>45974</v>
      </c>
      <c r="D94" t="inlineStr">
        <is>
          <t>KALMAR LÄN</t>
        </is>
      </c>
      <c r="E94" t="inlineStr">
        <is>
          <t>BORGHOLM</t>
        </is>
      </c>
      <c r="G94" t="n">
        <v>2.1</v>
      </c>
      <c r="H94" t="n">
        <v>0</v>
      </c>
      <c r="I94" t="n">
        <v>0</v>
      </c>
      <c r="J94" t="n">
        <v>0</v>
      </c>
      <c r="K94" t="n">
        <v>0</v>
      </c>
      <c r="L94" t="n">
        <v>0</v>
      </c>
      <c r="M94" t="n">
        <v>0</v>
      </c>
      <c r="N94" t="n">
        <v>0</v>
      </c>
      <c r="O94" t="n">
        <v>0</v>
      </c>
      <c r="P94" t="n">
        <v>0</v>
      </c>
      <c r="Q94" t="n">
        <v>0</v>
      </c>
      <c r="R94" s="2" t="inlineStr"/>
    </row>
    <row r="95" ht="15" customHeight="1">
      <c r="A95" t="inlineStr">
        <is>
          <t>A 27366-2025</t>
        </is>
      </c>
      <c r="B95" s="1" t="n">
        <v>45812.64475694444</v>
      </c>
      <c r="C95" s="1" t="n">
        <v>45974</v>
      </c>
      <c r="D95" t="inlineStr">
        <is>
          <t>KALMAR LÄN</t>
        </is>
      </c>
      <c r="E95" t="inlineStr">
        <is>
          <t>BORGHOLM</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45974</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45974</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20878-2024</t>
        </is>
      </c>
      <c r="B98" s="1" t="n">
        <v>45439.44748842593</v>
      </c>
      <c r="C98" s="1" t="n">
        <v>45974</v>
      </c>
      <c r="D98" t="inlineStr">
        <is>
          <t>KALMAR LÄN</t>
        </is>
      </c>
      <c r="E98" t="inlineStr">
        <is>
          <t>BORGHOLM</t>
        </is>
      </c>
      <c r="G98" t="n">
        <v>1.9</v>
      </c>
      <c r="H98" t="n">
        <v>0</v>
      </c>
      <c r="I98" t="n">
        <v>0</v>
      </c>
      <c r="J98" t="n">
        <v>0</v>
      </c>
      <c r="K98" t="n">
        <v>0</v>
      </c>
      <c r="L98" t="n">
        <v>0</v>
      </c>
      <c r="M98" t="n">
        <v>0</v>
      </c>
      <c r="N98" t="n">
        <v>0</v>
      </c>
      <c r="O98" t="n">
        <v>0</v>
      </c>
      <c r="P98" t="n">
        <v>0</v>
      </c>
      <c r="Q98" t="n">
        <v>0</v>
      </c>
      <c r="R98" s="2" t="inlineStr"/>
    </row>
    <row r="99" ht="15" customHeight="1">
      <c r="A99" t="inlineStr">
        <is>
          <t>A 17699-2025</t>
        </is>
      </c>
      <c r="B99" s="1" t="n">
        <v>45758.41846064815</v>
      </c>
      <c r="C99" s="1" t="n">
        <v>45974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45974</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26160-2024</t>
        </is>
      </c>
      <c r="B101" s="1" t="n">
        <v>45468</v>
      </c>
      <c r="C101" s="1" t="n">
        <v>45974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c r="T101">
        <f>HYPERLINK("https://klasma.github.io/Logging_0885/kartor/A 26160-2024 karta.png", "A 26160-2024")</f>
        <v/>
      </c>
      <c r="V101">
        <f>HYPERLINK("https://klasma.github.io/Logging_0885/klagomål/A 26160-2024 FSC-klagomål.docx", "A 26160-2024")</f>
        <v/>
      </c>
      <c r="W101">
        <f>HYPERLINK("https://klasma.github.io/Logging_0885/klagomålsmail/A 26160-2024 FSC-klagomål mail.docx", "A 26160-2024")</f>
        <v/>
      </c>
      <c r="X101">
        <f>HYPERLINK("https://klasma.github.io/Logging_0885/tillsyn/A 26160-2024 tillsynsbegäran.docx", "A 26160-2024")</f>
        <v/>
      </c>
      <c r="Y101">
        <f>HYPERLINK("https://klasma.github.io/Logging_0885/tillsynsmail/A 26160-2024 tillsynsbegäran mail.docx", "A 26160-2024")</f>
        <v/>
      </c>
    </row>
    <row r="102" ht="15" customHeight="1">
      <c r="A102" t="inlineStr">
        <is>
          <t>A 9050-2025</t>
        </is>
      </c>
      <c r="B102" s="1" t="n">
        <v>45713.63512731482</v>
      </c>
      <c r="C102" s="1" t="n">
        <v>45974</v>
      </c>
      <c r="D102" t="inlineStr">
        <is>
          <t>KALMAR LÄN</t>
        </is>
      </c>
      <c r="E102" t="inlineStr">
        <is>
          <t>BORGHOLM</t>
        </is>
      </c>
      <c r="F102" t="inlineStr">
        <is>
          <t>Sveaskog</t>
        </is>
      </c>
      <c r="G102" t="n">
        <v>2.5</v>
      </c>
      <c r="H102" t="n">
        <v>0</v>
      </c>
      <c r="I102" t="n">
        <v>0</v>
      </c>
      <c r="J102" t="n">
        <v>0</v>
      </c>
      <c r="K102" t="n">
        <v>0</v>
      </c>
      <c r="L102" t="n">
        <v>0</v>
      </c>
      <c r="M102" t="n">
        <v>0</v>
      </c>
      <c r="N102" t="n">
        <v>0</v>
      </c>
      <c r="O102" t="n">
        <v>0</v>
      </c>
      <c r="P102" t="n">
        <v>0</v>
      </c>
      <c r="Q102" t="n">
        <v>0</v>
      </c>
      <c r="R102" s="2" t="inlineStr"/>
    </row>
    <row r="103" ht="15" customHeight="1">
      <c r="A103" t="inlineStr">
        <is>
          <t>A 36269-2025</t>
        </is>
      </c>
      <c r="B103" s="1" t="n">
        <v>45867.61736111111</v>
      </c>
      <c r="C103" s="1" t="n">
        <v>45974</v>
      </c>
      <c r="D103" t="inlineStr">
        <is>
          <t>KALMAR LÄN</t>
        </is>
      </c>
      <c r="E103" t="inlineStr">
        <is>
          <t>BORGHOLM</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7669-2024</t>
        </is>
      </c>
      <c r="B104" s="1" t="n">
        <v>45348.82498842593</v>
      </c>
      <c r="C104" s="1" t="n">
        <v>45974</v>
      </c>
      <c r="D104" t="inlineStr">
        <is>
          <t>KALMAR LÄN</t>
        </is>
      </c>
      <c r="E104" t="inlineStr">
        <is>
          <t>BORGHOLM</t>
        </is>
      </c>
      <c r="G104" t="n">
        <v>2.3</v>
      </c>
      <c r="H104" t="n">
        <v>0</v>
      </c>
      <c r="I104" t="n">
        <v>0</v>
      </c>
      <c r="J104" t="n">
        <v>0</v>
      </c>
      <c r="K104" t="n">
        <v>0</v>
      </c>
      <c r="L104" t="n">
        <v>0</v>
      </c>
      <c r="M104" t="n">
        <v>0</v>
      </c>
      <c r="N104" t="n">
        <v>0</v>
      </c>
      <c r="O104" t="n">
        <v>0</v>
      </c>
      <c r="P104" t="n">
        <v>0</v>
      </c>
      <c r="Q104" t="n">
        <v>0</v>
      </c>
      <c r="R104" s="2" t="inlineStr"/>
    </row>
    <row r="105" ht="15" customHeight="1">
      <c r="A105" t="inlineStr">
        <is>
          <t>A 41831-2025</t>
        </is>
      </c>
      <c r="B105" s="1" t="n">
        <v>45902.67887731481</v>
      </c>
      <c r="C105" s="1" t="n">
        <v>45974</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41950-2025</t>
        </is>
      </c>
      <c r="B106" s="1" t="n">
        <v>45903.45767361111</v>
      </c>
      <c r="C106" s="1" t="n">
        <v>45974</v>
      </c>
      <c r="D106" t="inlineStr">
        <is>
          <t>KALMAR LÄN</t>
        </is>
      </c>
      <c r="E106" t="inlineStr">
        <is>
          <t>BORGHOLM</t>
        </is>
      </c>
      <c r="G106" t="n">
        <v>1.8</v>
      </c>
      <c r="H106" t="n">
        <v>0</v>
      </c>
      <c r="I106" t="n">
        <v>0</v>
      </c>
      <c r="J106" t="n">
        <v>0</v>
      </c>
      <c r="K106" t="n">
        <v>0</v>
      </c>
      <c r="L106" t="n">
        <v>0</v>
      </c>
      <c r="M106" t="n">
        <v>0</v>
      </c>
      <c r="N106" t="n">
        <v>0</v>
      </c>
      <c r="O106" t="n">
        <v>0</v>
      </c>
      <c r="P106" t="n">
        <v>0</v>
      </c>
      <c r="Q106" t="n">
        <v>0</v>
      </c>
      <c r="R106" s="2" t="inlineStr"/>
    </row>
    <row r="107" ht="15" customHeight="1">
      <c r="A107" t="inlineStr">
        <is>
          <t>A 42232-2025</t>
        </is>
      </c>
      <c r="B107" s="1" t="n">
        <v>45904.55591435185</v>
      </c>
      <c r="C107" s="1" t="n">
        <v>45974</v>
      </c>
      <c r="D107" t="inlineStr">
        <is>
          <t>KALMAR LÄN</t>
        </is>
      </c>
      <c r="E107" t="inlineStr">
        <is>
          <t>BORGHOLM</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31840-2021</t>
        </is>
      </c>
      <c r="B108" s="1" t="n">
        <v>44370</v>
      </c>
      <c r="C108" s="1" t="n">
        <v>45974</v>
      </c>
      <c r="D108" t="inlineStr">
        <is>
          <t>KALMAR LÄN</t>
        </is>
      </c>
      <c r="E108" t="inlineStr">
        <is>
          <t>BORGHOLM</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43542-2025</t>
        </is>
      </c>
      <c r="B109" s="1" t="n">
        <v>45911.61123842592</v>
      </c>
      <c r="C109" s="1" t="n">
        <v>45974</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44224-2025</t>
        </is>
      </c>
      <c r="B110" s="1" t="n">
        <v>45915</v>
      </c>
      <c r="C110" s="1" t="n">
        <v>45974</v>
      </c>
      <c r="D110" t="inlineStr">
        <is>
          <t>KALMAR LÄN</t>
        </is>
      </c>
      <c r="E110" t="inlineStr">
        <is>
          <t>BORGHOLM</t>
        </is>
      </c>
      <c r="G110" t="n">
        <v>1.3</v>
      </c>
      <c r="H110" t="n">
        <v>0</v>
      </c>
      <c r="I110" t="n">
        <v>0</v>
      </c>
      <c r="J110" t="n">
        <v>0</v>
      </c>
      <c r="K110" t="n">
        <v>0</v>
      </c>
      <c r="L110" t="n">
        <v>0</v>
      </c>
      <c r="M110" t="n">
        <v>0</v>
      </c>
      <c r="N110" t="n">
        <v>0</v>
      </c>
      <c r="O110" t="n">
        <v>0</v>
      </c>
      <c r="P110" t="n">
        <v>0</v>
      </c>
      <c r="Q110" t="n">
        <v>0</v>
      </c>
      <c r="R110" s="2" t="inlineStr"/>
    </row>
    <row r="111" ht="15" customHeight="1">
      <c r="A111" t="inlineStr">
        <is>
          <t>A 32919-2023</t>
        </is>
      </c>
      <c r="B111" s="1" t="n">
        <v>45125</v>
      </c>
      <c r="C111" s="1" t="n">
        <v>45974</v>
      </c>
      <c r="D111" t="inlineStr">
        <is>
          <t>KALMAR LÄN</t>
        </is>
      </c>
      <c r="E111" t="inlineStr">
        <is>
          <t>BORGHOLM</t>
        </is>
      </c>
      <c r="G111" t="n">
        <v>2.7</v>
      </c>
      <c r="H111" t="n">
        <v>0</v>
      </c>
      <c r="I111" t="n">
        <v>0</v>
      </c>
      <c r="J111" t="n">
        <v>0</v>
      </c>
      <c r="K111" t="n">
        <v>0</v>
      </c>
      <c r="L111" t="n">
        <v>0</v>
      </c>
      <c r="M111" t="n">
        <v>0</v>
      </c>
      <c r="N111" t="n">
        <v>0</v>
      </c>
      <c r="O111" t="n">
        <v>0</v>
      </c>
      <c r="P111" t="n">
        <v>0</v>
      </c>
      <c r="Q111" t="n">
        <v>0</v>
      </c>
      <c r="R111" s="2" t="inlineStr"/>
    </row>
    <row r="112" ht="15" customHeight="1">
      <c r="A112" t="inlineStr">
        <is>
          <t>A 45734-2025</t>
        </is>
      </c>
      <c r="B112" s="1" t="n">
        <v>45923.46512731481</v>
      </c>
      <c r="C112" s="1" t="n">
        <v>45974</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45869-2025</t>
        </is>
      </c>
      <c r="B113" s="1" t="n">
        <v>45923.65313657407</v>
      </c>
      <c r="C113" s="1" t="n">
        <v>45974</v>
      </c>
      <c r="D113" t="inlineStr">
        <is>
          <t>KALMAR LÄN</t>
        </is>
      </c>
      <c r="E113" t="inlineStr">
        <is>
          <t>BORGHOLM</t>
        </is>
      </c>
      <c r="G113" t="n">
        <v>4.5</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44840.65100694444</v>
      </c>
      <c r="C114" s="1" t="n">
        <v>45974</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45974</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44547-2021</t>
        </is>
      </c>
      <c r="B116" s="1" t="n">
        <v>44435</v>
      </c>
      <c r="C116" s="1" t="n">
        <v>45974</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5175-2024</t>
        </is>
      </c>
      <c r="B117" s="1" t="n">
        <v>45330</v>
      </c>
      <c r="C117" s="1" t="n">
        <v>45974</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34951-2022</t>
        </is>
      </c>
      <c r="B118" s="1" t="n">
        <v>44796</v>
      </c>
      <c r="C118" s="1" t="n">
        <v>45974</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19867-2024</t>
        </is>
      </c>
      <c r="B119" s="1" t="n">
        <v>45433</v>
      </c>
      <c r="C119" s="1" t="n">
        <v>45974</v>
      </c>
      <c r="D119" t="inlineStr">
        <is>
          <t>KALMAR LÄN</t>
        </is>
      </c>
      <c r="E119" t="inlineStr">
        <is>
          <t>BORGHOLM</t>
        </is>
      </c>
      <c r="G119" t="n">
        <v>3.9</v>
      </c>
      <c r="H119" t="n">
        <v>0</v>
      </c>
      <c r="I119" t="n">
        <v>0</v>
      </c>
      <c r="J119" t="n">
        <v>0</v>
      </c>
      <c r="K119" t="n">
        <v>0</v>
      </c>
      <c r="L119" t="n">
        <v>0</v>
      </c>
      <c r="M119" t="n">
        <v>0</v>
      </c>
      <c r="N119" t="n">
        <v>0</v>
      </c>
      <c r="O119" t="n">
        <v>0</v>
      </c>
      <c r="P119" t="n">
        <v>0</v>
      </c>
      <c r="Q119" t="n">
        <v>0</v>
      </c>
      <c r="R119" s="2" t="inlineStr"/>
    </row>
    <row r="120" ht="15" customHeight="1">
      <c r="A120" t="inlineStr">
        <is>
          <t>A 46845-2025</t>
        </is>
      </c>
      <c r="B120" s="1" t="n">
        <v>45928</v>
      </c>
      <c r="C120" s="1" t="n">
        <v>45974</v>
      </c>
      <c r="D120" t="inlineStr">
        <is>
          <t>KALMAR LÄN</t>
        </is>
      </c>
      <c r="E120" t="inlineStr">
        <is>
          <t>BORGHOLM</t>
        </is>
      </c>
      <c r="G120" t="n">
        <v>2.7</v>
      </c>
      <c r="H120" t="n">
        <v>0</v>
      </c>
      <c r="I120" t="n">
        <v>0</v>
      </c>
      <c r="J120" t="n">
        <v>0</v>
      </c>
      <c r="K120" t="n">
        <v>0</v>
      </c>
      <c r="L120" t="n">
        <v>0</v>
      </c>
      <c r="M120" t="n">
        <v>0</v>
      </c>
      <c r="N120" t="n">
        <v>0</v>
      </c>
      <c r="O120" t="n">
        <v>0</v>
      </c>
      <c r="P120" t="n">
        <v>0</v>
      </c>
      <c r="Q120" t="n">
        <v>0</v>
      </c>
      <c r="R120" s="2" t="inlineStr"/>
    </row>
    <row r="121">
      <c r="A121" t="inlineStr">
        <is>
          <t>A 13383-2023</t>
        </is>
      </c>
      <c r="B121" s="1" t="n">
        <v>45005</v>
      </c>
      <c r="C121" s="1" t="n">
        <v>45974</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2025-11-13T10:12:20Z</dcterms:created>
  <dcterms:modified xmlns:dcterms="http://purl.org/dc/terms/" xmlns:xsi="http://www.w3.org/2001/XMLSchema-instance" xsi:type="dcterms:W3CDTF">2025-11-13T10:12:20Z</dcterms:modified>
</cp:coreProperties>
</file>