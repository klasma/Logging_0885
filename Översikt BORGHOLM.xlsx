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46299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46299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46299</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46299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46299</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46299</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46299</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46299</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46299</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46299</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46299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46299</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46299</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46299</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46299</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46299</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46299</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46299</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46299</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46299</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46299</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46299</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46299</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46299</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24048-2025</t>
        </is>
      </c>
      <c r="B53" t="inlineStr">
        <is>
          <t>avverkningsanmälan</t>
        </is>
      </c>
      <c r="C53" t="inlineStr">
        <is>
          <t>Föryngringsavverkning</t>
        </is>
      </c>
      <c r="D53" s="1" t="n">
        <v>45796</v>
      </c>
      <c r="E53" s="1" t="n">
        <v>46299</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15285-2026</t>
        </is>
      </c>
      <c r="B54" t="inlineStr">
        <is>
          <t>avverkningsanmälan</t>
        </is>
      </c>
      <c r="C54" t="inlineStr">
        <is>
          <t>Avverkning för att bevara och utveckla /försöksver</t>
        </is>
      </c>
      <c r="D54" s="1" t="n">
        <v>46105</v>
      </c>
      <c r="E54" s="1" t="n">
        <v>46299</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46299</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27283-2026</t>
        </is>
      </c>
      <c r="B56" t="inlineStr">
        <is>
          <t>avverkningsanmälan</t>
        </is>
      </c>
      <c r="C56" t="inlineStr">
        <is>
          <t>Avverkning för att bevara och utveckla /försöksver</t>
        </is>
      </c>
      <c r="D56" s="1" t="n">
        <v>46188</v>
      </c>
      <c r="E56" s="1" t="n">
        <v>46299</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46299</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46299</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46299</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46299</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46299</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46299</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46299</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46299</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24166-2022</t>
        </is>
      </c>
      <c r="B65" t="inlineStr">
        <is>
          <t>avverkningsanmälan</t>
        </is>
      </c>
      <c r="C65" t="inlineStr">
        <is>
          <t>Avverkning för annat ändamål</t>
        </is>
      </c>
      <c r="D65" s="1" t="n">
        <v>44725</v>
      </c>
      <c r="E65" s="1" t="n">
        <v>46299</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9253-2026</t>
        </is>
      </c>
      <c r="B66" t="inlineStr">
        <is>
          <t>avverkningsanmälan</t>
        </is>
      </c>
      <c r="C66" t="inlineStr">
        <is>
          <t>Föryngringsavverkning</t>
        </is>
      </c>
      <c r="D66" s="1" t="n">
        <v>46070</v>
      </c>
      <c r="E66" s="1" t="n">
        <v>46299</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60141-2025</t>
        </is>
      </c>
      <c r="B67" t="inlineStr">
        <is>
          <t>avverkningsanmälan</t>
        </is>
      </c>
      <c r="C67" t="inlineStr">
        <is>
          <t>Föryngringsavverkning</t>
        </is>
      </c>
      <c r="D67" s="1" t="n">
        <v>45994</v>
      </c>
      <c r="E67" s="1" t="n">
        <v>46299</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46299</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24322-2026</t>
        </is>
      </c>
      <c r="B69" t="inlineStr">
        <is>
          <t>avverkningsanmälan</t>
        </is>
      </c>
      <c r="C69" t="inlineStr">
        <is>
          <t>Föryngringsavverkning</t>
        </is>
      </c>
      <c r="D69" s="1" t="n">
        <v>46169</v>
      </c>
      <c r="E69" s="1" t="n">
        <v>46299</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46299</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44678-2022</t>
        </is>
      </c>
      <c r="B71" t="inlineStr">
        <is>
          <t>avverkningsanmälan</t>
        </is>
      </c>
      <c r="C71" t="inlineStr">
        <is>
          <t>Föryngringsavverkning</t>
        </is>
      </c>
      <c r="D71" s="1" t="n">
        <v>44840</v>
      </c>
      <c r="E71" s="1" t="n">
        <v>46299</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29434-2026</t>
        </is>
      </c>
      <c r="B72" t="inlineStr">
        <is>
          <t>avverkningsanmälan</t>
        </is>
      </c>
      <c r="C72" t="inlineStr">
        <is>
          <t>Avverkning för att bevara och utveckla /försöksver</t>
        </is>
      </c>
      <c r="D72" s="1" t="n">
        <v>46203</v>
      </c>
      <c r="E72" s="1" t="n">
        <v>46299</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17699-2025</t>
        </is>
      </c>
      <c r="B73" t="inlineStr">
        <is>
          <t>avverkningsanmälan</t>
        </is>
      </c>
      <c r="C73" t="inlineStr">
        <is>
          <t>Föryngringsavverkning</t>
        </is>
      </c>
      <c r="D73" s="1" t="n">
        <v>45758</v>
      </c>
      <c r="E73" s="1" t="n">
        <v>46299</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46299</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46299</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46299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46299</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46299</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46299</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46299</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3302-2026</t>
        </is>
      </c>
      <c r="B82" t="inlineStr">
        <is>
          <t>avverkningsanmälan</t>
        </is>
      </c>
      <c r="C82" t="inlineStr">
        <is>
          <t>Avverkning för annat ändamål</t>
        </is>
      </c>
      <c r="D82" s="1" t="n">
        <v>46041</v>
      </c>
      <c r="E82" s="1" t="n">
        <v>46299</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7481-2026</t>
        </is>
      </c>
      <c r="B83" t="inlineStr">
        <is>
          <t>avverkningsanmälan</t>
        </is>
      </c>
      <c r="C83" t="inlineStr">
        <is>
          <t>Föryngringsavverkning</t>
        </is>
      </c>
      <c r="D83" s="1" t="n">
        <v>46059</v>
      </c>
      <c r="E83" s="1" t="n">
        <v>46299</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7481-2026 artfynd.xlsx", "A 7481-2026")</f>
        <v/>
      </c>
      <c r="X83">
        <f>HYPERLINK("https://klasma.github.io/Logging_0885/kartor/A 7481-2026 karta.png", "A 7481-2026")</f>
        <v/>
      </c>
      <c r="Y83">
        <f>HYPERLINK("https://klasma.github.io/Logging_0885/kartor_geotiff/A 7481-2026 georefererad karta.tif", "A 7481-2026")</f>
        <v/>
      </c>
      <c r="AA83">
        <f>HYPERLINK("https://klasma.github.io/Logging_0885/klagomål/A 7481-2026 FSC-klagomål.docx", "A 7481-2026")</f>
        <v/>
      </c>
      <c r="AB83">
        <f>HYPERLINK("https://klasma.github.io/Logging_0885/klagomålsmail/A 7481-2026 FSC-klagomål mail.docx", "A 7481-2026")</f>
        <v/>
      </c>
      <c r="AC83">
        <f>HYPERLINK("https://klasma.github.io/Logging_0885/tillsyn/A 7481-2026 tillsynsbegäran.docx", "A 7481-2026")</f>
        <v/>
      </c>
      <c r="AD83">
        <f>HYPERLINK("https://klasma.github.io/Logging_0885/tillsynsmail/A 7481-2026 tillsynsbegäran mail.docx", "A 7481-2026")</f>
        <v/>
      </c>
    </row>
    <row r="84" ht="15" customHeight="1">
      <c r="A84" t="inlineStr">
        <is>
          <t>A 9104-2026</t>
        </is>
      </c>
      <c r="B84" t="inlineStr">
        <is>
          <t>avverkningsanmälan</t>
        </is>
      </c>
      <c r="C84" t="inlineStr">
        <is>
          <t>Avverkning för annat ändamål</t>
        </is>
      </c>
      <c r="D84" s="1" t="n">
        <v>46069</v>
      </c>
      <c r="E84" s="1" t="n">
        <v>46299</v>
      </c>
      <c r="F84" t="inlineStr">
        <is>
          <t>KALMAR LÄN</t>
        </is>
      </c>
      <c r="G84" t="inlineStr">
        <is>
          <t>BORGHOLM</t>
        </is>
      </c>
      <c r="I84" t="n">
        <v>1.3</v>
      </c>
      <c r="J84" t="n">
        <v>0</v>
      </c>
      <c r="K84" t="n">
        <v>0</v>
      </c>
      <c r="L84" t="n">
        <v>0</v>
      </c>
      <c r="M84" t="n">
        <v>0</v>
      </c>
      <c r="N84" t="n">
        <v>0</v>
      </c>
      <c r="O84" t="n">
        <v>0</v>
      </c>
      <c r="P84" t="n">
        <v>0</v>
      </c>
      <c r="Q84" t="n">
        <v>0</v>
      </c>
      <c r="R84" t="n">
        <v>0</v>
      </c>
      <c r="S84" t="n">
        <v>1</v>
      </c>
      <c r="T84" t="n">
        <v>1</v>
      </c>
      <c r="U84" t="n">
        <v>1</v>
      </c>
      <c r="V84" s="2" t="inlineStr">
        <is>
          <t>Liljekonvalj</t>
        </is>
      </c>
      <c r="W84">
        <f>HYPERLINK("https://klasma.github.io/Logging_0885/artfynd/A 9104-2026 artfynd.xlsx", "A 9104-2026")</f>
        <v/>
      </c>
      <c r="X84">
        <f>HYPERLINK("https://klasma.github.io/Logging_0885/kartor/A 9104-2026 karta.png", "A 9104-2026")</f>
        <v/>
      </c>
      <c r="Y84">
        <f>HYPERLINK("https://klasma.github.io/Logging_0885/kartor_geotiff/A 9104-2026 georefererad karta.tif", "A 9104-2026")</f>
        <v/>
      </c>
      <c r="AA84">
        <f>HYPERLINK("https://klasma.github.io/Logging_0885/klagomål/A 9104-2026 FSC-klagomål.docx", "A 9104-2026")</f>
        <v/>
      </c>
      <c r="AB84">
        <f>HYPERLINK("https://klasma.github.io/Logging_0885/klagomålsmail/A 9104-2026 FSC-klagomål mail.docx", "A 9104-2026")</f>
        <v/>
      </c>
      <c r="AC84">
        <f>HYPERLINK("https://klasma.github.io/Logging_0885/tillsyn/A 9104-2026 tillsynsbegäran.docx", "A 9104-2026")</f>
        <v/>
      </c>
      <c r="AD84">
        <f>HYPERLINK("https://klasma.github.io/Logging_0885/tillsynsmail/A 9104-2026 tillsynsbegäran mail.docx", "A 9104-2026")</f>
        <v/>
      </c>
    </row>
    <row r="85" ht="15" customHeight="1">
      <c r="A85" t="inlineStr">
        <is>
          <t>A 9905-2026</t>
        </is>
      </c>
      <c r="B85" t="inlineStr">
        <is>
          <t>avverkningsanmälan</t>
        </is>
      </c>
      <c r="C85" t="inlineStr">
        <is>
          <t>Föryngringsavverkning</t>
        </is>
      </c>
      <c r="D85" s="1" t="n">
        <v>46073</v>
      </c>
      <c r="E85" s="1" t="n">
        <v>46299</v>
      </c>
      <c r="F85" t="inlineStr">
        <is>
          <t>KALMAR LÄN</t>
        </is>
      </c>
      <c r="G85" t="inlineStr">
        <is>
          <t>BORGHOLM</t>
        </is>
      </c>
      <c r="I85" t="n">
        <v>1.4</v>
      </c>
      <c r="J85" t="n">
        <v>0</v>
      </c>
      <c r="K85" t="n">
        <v>0</v>
      </c>
      <c r="L85" t="n">
        <v>0</v>
      </c>
      <c r="M85" t="n">
        <v>0</v>
      </c>
      <c r="N85" t="n">
        <v>1</v>
      </c>
      <c r="O85" t="n">
        <v>0</v>
      </c>
      <c r="P85" t="n">
        <v>0</v>
      </c>
      <c r="Q85" t="n">
        <v>1</v>
      </c>
      <c r="R85" t="n">
        <v>1</v>
      </c>
      <c r="S85" t="n">
        <v>1</v>
      </c>
      <c r="T85" t="n">
        <v>1</v>
      </c>
      <c r="U85" t="n">
        <v>0</v>
      </c>
      <c r="V85" s="2" t="inlineStr">
        <is>
          <t>Ask</t>
        </is>
      </c>
      <c r="W85">
        <f>HYPERLINK("https://klasma.github.io/Logging_0885/artfynd/A 9905-2026 artfynd.xlsx", "A 9905-2026")</f>
        <v/>
      </c>
      <c r="X85">
        <f>HYPERLINK("https://klasma.github.io/Logging_0885/kartor/A 9905-2026 karta.png", "A 9905-2026")</f>
        <v/>
      </c>
      <c r="Y85">
        <f>HYPERLINK("https://klasma.github.io/Logging_0885/kartor_geotiff/A 9905-2026 georefererad karta.tif", "A 9905-2026")</f>
        <v/>
      </c>
      <c r="AA85">
        <f>HYPERLINK("https://klasma.github.io/Logging_0885/klagomål/A 9905-2026 FSC-klagomål.docx", "A 9905-2026")</f>
        <v/>
      </c>
      <c r="AB85">
        <f>HYPERLINK("https://klasma.github.io/Logging_0885/klagomålsmail/A 9905-2026 FSC-klagomål mail.docx", "A 9905-2026")</f>
        <v/>
      </c>
      <c r="AC85">
        <f>HYPERLINK("https://klasma.github.io/Logging_0885/tillsyn/A 9905-2026 tillsynsbegäran.docx", "A 9905-2026")</f>
        <v/>
      </c>
      <c r="AD85">
        <f>HYPERLINK("https://klasma.github.io/Logging_0885/tillsynsmail/A 9905-2026 tillsynsbegäran mail.docx", "A 9905-2026")</f>
        <v/>
      </c>
    </row>
    <row r="86" ht="15" customHeight="1">
      <c r="A86" t="inlineStr">
        <is>
          <t>A 63276-2023</t>
        </is>
      </c>
      <c r="B86" t="inlineStr">
        <is>
          <t>avverkningsanmälan</t>
        </is>
      </c>
      <c r="C86" t="inlineStr">
        <is>
          <t>Föryngringsavverkning</t>
        </is>
      </c>
      <c r="D86" s="1" t="n">
        <v>45273</v>
      </c>
      <c r="E86" s="1" t="n">
        <v>46299</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28785-2025</t>
        </is>
      </c>
      <c r="B87" t="inlineStr">
        <is>
          <t>avverkningsanmälan</t>
        </is>
      </c>
      <c r="C87" t="inlineStr">
        <is>
          <t>Avverkning för att bevara och utveckla /försöksver</t>
        </is>
      </c>
      <c r="D87" s="1" t="n">
        <v>45820</v>
      </c>
      <c r="E87" s="1" t="n">
        <v>46299</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28782-2025</t>
        </is>
      </c>
      <c r="B88" t="inlineStr">
        <is>
          <t>avverkningsanmälan</t>
        </is>
      </c>
      <c r="C88" t="inlineStr">
        <is>
          <t>Avverkning för att bevara och utveckla /försöksver</t>
        </is>
      </c>
      <c r="D88" s="1" t="n">
        <v>45820</v>
      </c>
      <c r="E88" s="1" t="n">
        <v>46299</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24704-2023</t>
        </is>
      </c>
      <c r="B89" t="inlineStr">
        <is>
          <t>avverkningsanmälan</t>
        </is>
      </c>
      <c r="C89" t="inlineStr">
        <is>
          <t>Föryngringsavverkning</t>
        </is>
      </c>
      <c r="D89" s="1" t="n">
        <v>45084</v>
      </c>
      <c r="E89" s="1" t="n">
        <v>46299</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9745-2023</t>
        </is>
      </c>
      <c r="B90" t="inlineStr">
        <is>
          <t>avverkningsanmälan</t>
        </is>
      </c>
      <c r="C90" t="inlineStr">
        <is>
          <t>Föryngringsavverkning</t>
        </is>
      </c>
      <c r="D90" s="1" t="n">
        <v>44984</v>
      </c>
      <c r="E90" s="1" t="n">
        <v>46299</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26840-2026</t>
        </is>
      </c>
      <c r="B91" t="inlineStr">
        <is>
          <t>avverkningsanmälan</t>
        </is>
      </c>
      <c r="C91" t="inlineStr">
        <is>
          <t>Avverkning för att bevara och utveckla /försöksver</t>
        </is>
      </c>
      <c r="D91" s="1" t="n">
        <v>46185</v>
      </c>
      <c r="E91" s="1" t="n">
        <v>46299</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28374-2026</t>
        </is>
      </c>
      <c r="B92" t="inlineStr">
        <is>
          <t>avverkningsanmälan</t>
        </is>
      </c>
      <c r="C92" t="inlineStr">
        <is>
          <t>Avverkning för att bevara och utveckla /försöksver</t>
        </is>
      </c>
      <c r="D92" s="1" t="n">
        <v>46196</v>
      </c>
      <c r="E92" s="1" t="n">
        <v>46299</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46299</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31720-2022</t>
        </is>
      </c>
      <c r="B94" t="inlineStr">
        <is>
          <t>avverkningsanmälan</t>
        </is>
      </c>
      <c r="C94" t="inlineStr">
        <is>
          <t>Föryngringsavverkning</t>
        </is>
      </c>
      <c r="D94" s="1" t="n">
        <v>44776</v>
      </c>
      <c r="E94" s="1" t="n">
        <v>46299</v>
      </c>
      <c r="F94" t="inlineStr">
        <is>
          <t>KALMAR LÄN</t>
        </is>
      </c>
      <c r="G94" t="inlineStr">
        <is>
          <t>BORGHOLM</t>
        </is>
      </c>
      <c r="H94" t="inlineStr">
        <is>
          <t>Sveaskog</t>
        </is>
      </c>
      <c r="I94" t="n">
        <v>4.5</v>
      </c>
      <c r="J94" t="n">
        <v>1</v>
      </c>
      <c r="K94" t="n">
        <v>1</v>
      </c>
      <c r="L94" t="n">
        <v>0</v>
      </c>
      <c r="M94" t="n">
        <v>0</v>
      </c>
      <c r="N94" t="n">
        <v>0</v>
      </c>
      <c r="O94" t="n">
        <v>0</v>
      </c>
      <c r="P94" t="n">
        <v>0</v>
      </c>
      <c r="Q94" t="n">
        <v>0</v>
      </c>
      <c r="R94" t="n">
        <v>0</v>
      </c>
      <c r="S94" t="n">
        <v>1</v>
      </c>
      <c r="T94" t="n">
        <v>1</v>
      </c>
      <c r="U94" t="n">
        <v>1</v>
      </c>
      <c r="V94" s="2" t="inlineStr">
        <is>
          <t>Tvåblad</t>
        </is>
      </c>
      <c r="W94">
        <f>HYPERLINK("https://klasma.github.io/Logging_0885/artfynd/A 31720-2022 artfynd.xlsx", "A 31720-2022")</f>
        <v/>
      </c>
      <c r="X94">
        <f>HYPERLINK("https://klasma.github.io/Logging_0885/kartor/A 31720-2022 karta.png", "A 31720-2022")</f>
        <v/>
      </c>
      <c r="Y94">
        <f>HYPERLINK("https://klasma.github.io/Logging_0885/kartor_geotiff/A 31720-2022 georefererad karta.tif", "A 31720-2022")</f>
        <v/>
      </c>
      <c r="AA94">
        <f>HYPERLINK("https://klasma.github.io/Logging_0885/klagomål/A 31720-2022 FSC-klagomål.docx", "A 31720-2022")</f>
        <v/>
      </c>
      <c r="AB94">
        <f>HYPERLINK("https://klasma.github.io/Logging_0885/klagomålsmail/A 31720-2022 FSC-klagomål mail.docx", "A 31720-2022")</f>
        <v/>
      </c>
      <c r="AC94">
        <f>HYPERLINK("https://klasma.github.io/Logging_0885/tillsyn/A 31720-2022 tillsynsbegäran.docx", "A 31720-2022")</f>
        <v/>
      </c>
      <c r="AD94">
        <f>HYPERLINK("https://klasma.github.io/Logging_0885/tillsynsmail/A 31720-2022 tillsynsbegäran mail.docx", "A 31720-2022")</f>
        <v/>
      </c>
    </row>
    <row r="95" ht="15" customHeight="1">
      <c r="A95" t="inlineStr">
        <is>
          <t>A 19867-2024</t>
        </is>
      </c>
      <c r="B95" t="inlineStr">
        <is>
          <t>avverkningsanmälan</t>
        </is>
      </c>
      <c r="C95" t="inlineStr">
        <is>
          <t>Föryngringsavverkning</t>
        </is>
      </c>
      <c r="D95" s="1" t="n">
        <v>45433</v>
      </c>
      <c r="E95" s="1" t="n">
        <v>46299</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46299</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46299</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20878-2024</t>
        </is>
      </c>
      <c r="B98" t="inlineStr">
        <is>
          <t>avverkningsanmälan</t>
        </is>
      </c>
      <c r="C98" t="inlineStr">
        <is>
          <t>Föryngringsavverkning</t>
        </is>
      </c>
      <c r="D98" s="1" t="n">
        <v>45439</v>
      </c>
      <c r="E98" s="1" t="n">
        <v>46299</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46299</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46299</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46299</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46299</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46299</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46299</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46299</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46299</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46299</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46299</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46299</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46299</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46299</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46299</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46299</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46299</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46299</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46299</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40339-2023</t>
        </is>
      </c>
      <c r="B118" t="inlineStr">
        <is>
          <t>avverkningsanmälan</t>
        </is>
      </c>
      <c r="C118" t="inlineStr">
        <is>
          <t>Föryngringsavverkning</t>
        </is>
      </c>
      <c r="D118" s="1" t="n">
        <v>45169</v>
      </c>
      <c r="E118" s="1" t="n">
        <v>46299</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55367-2024</t>
        </is>
      </c>
      <c r="B119" t="inlineStr">
        <is>
          <t>avverkningsanmälan</t>
        </is>
      </c>
      <c r="C119" t="inlineStr">
        <is>
          <t>Föryngringsavverkning</t>
        </is>
      </c>
      <c r="D119" s="1" t="n">
        <v>45621</v>
      </c>
      <c r="E119" s="1" t="n">
        <v>46299</v>
      </c>
      <c r="F119" t="inlineStr">
        <is>
          <t>KALMAR LÄN</t>
        </is>
      </c>
      <c r="G119" t="inlineStr">
        <is>
          <t>BORGHOLM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26190-2025</t>
        </is>
      </c>
      <c r="B120" t="inlineStr">
        <is>
          <t>avverkningsanmälan</t>
        </is>
      </c>
      <c r="C120" t="inlineStr">
        <is>
          <t>Föryngringsavverkning</t>
        </is>
      </c>
      <c r="D120" s="1" t="n">
        <v>45805</v>
      </c>
      <c r="E120" s="1" t="n">
        <v>46299</v>
      </c>
      <c r="F120" t="inlineStr">
        <is>
          <t>KALMAR LÄN</t>
        </is>
      </c>
      <c r="G120" t="inlineStr">
        <is>
          <t>BORGHOLM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46299</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46299</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46299</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46299</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46299</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46299</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15272-2026</t>
        </is>
      </c>
      <c r="B127" t="inlineStr">
        <is>
          <t>avverkningsanmälan</t>
        </is>
      </c>
      <c r="C127" t="inlineStr">
        <is>
          <t>Avverkning för att bevara och utveckla /försöksver</t>
        </is>
      </c>
      <c r="D127" s="1" t="n">
        <v>46105</v>
      </c>
      <c r="E127" s="1" t="n">
        <v>46299</v>
      </c>
      <c r="F127" t="inlineStr">
        <is>
          <t>KALMAR LÄN</t>
        </is>
      </c>
      <c r="G127" t="inlineStr">
        <is>
          <t>BORGHOLM</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15279-2026</t>
        </is>
      </c>
      <c r="B128" t="inlineStr">
        <is>
          <t>avverkningsanmälan</t>
        </is>
      </c>
      <c r="C128" t="inlineStr">
        <is>
          <t>Avverkning för att bevara och utveckla /försöksver</t>
        </is>
      </c>
      <c r="D128" s="1" t="n">
        <v>46105</v>
      </c>
      <c r="E128" s="1" t="n">
        <v>46299</v>
      </c>
      <c r="F128" t="inlineStr">
        <is>
          <t>KALMAR LÄN</t>
        </is>
      </c>
      <c r="G128" t="inlineStr">
        <is>
          <t>BORGHOLM</t>
        </is>
      </c>
      <c r="H128" t="inlineStr">
        <is>
          <t>Sveaskog</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15264-2026</t>
        </is>
      </c>
      <c r="B129" t="inlineStr">
        <is>
          <t>avverkningsanmälan</t>
        </is>
      </c>
      <c r="C129" t="inlineStr">
        <is>
          <t>Avverkning för att bevara och utveckla /försöksver</t>
        </is>
      </c>
      <c r="D129" s="1" t="n">
        <v>46105</v>
      </c>
      <c r="E129" s="1" t="n">
        <v>46299</v>
      </c>
      <c r="F129" t="inlineStr">
        <is>
          <t>KALMAR LÄN</t>
        </is>
      </c>
      <c r="G129" t="inlineStr">
        <is>
          <t>BORGHOLM</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1614-2025</t>
        </is>
      </c>
      <c r="B130" t="inlineStr">
        <is>
          <t>avverkningsanmälan</t>
        </is>
      </c>
      <c r="C130" t="inlineStr">
        <is>
          <t>Föryngringsavverkning</t>
        </is>
      </c>
      <c r="D130" s="1" t="n">
        <v>45670</v>
      </c>
      <c r="E130" s="1" t="n">
        <v>46299</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9076-2025</t>
        </is>
      </c>
      <c r="B131" t="inlineStr">
        <is>
          <t>avverkningsanmälan</t>
        </is>
      </c>
      <c r="C131" t="inlineStr">
        <is>
          <t>Föryngringsavverkning</t>
        </is>
      </c>
      <c r="D131" s="1" t="n">
        <v>45713</v>
      </c>
      <c r="E131" s="1" t="n">
        <v>46299</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46299</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36269-2025</t>
        </is>
      </c>
      <c r="B133" t="inlineStr">
        <is>
          <t>avverkningsanmälan</t>
        </is>
      </c>
      <c r="C133" t="inlineStr">
        <is>
          <t>Föryngringsavverkning</t>
        </is>
      </c>
      <c r="D133" s="1" t="n">
        <v>45867</v>
      </c>
      <c r="E133" s="1" t="n">
        <v>46299</v>
      </c>
      <c r="F133" t="inlineStr">
        <is>
          <t>KALMAR LÄN</t>
        </is>
      </c>
      <c r="G133" t="inlineStr">
        <is>
          <t>BORGHOLM</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9050-2025</t>
        </is>
      </c>
      <c r="B134" t="inlineStr">
        <is>
          <t>avverkningsanmälan</t>
        </is>
      </c>
      <c r="C134" t="inlineStr">
        <is>
          <t>Avverkning för att bevara och utveckla /försöksver</t>
        </is>
      </c>
      <c r="D134" s="1" t="n">
        <v>45713</v>
      </c>
      <c r="E134" s="1" t="n">
        <v>46299</v>
      </c>
      <c r="F134" t="inlineStr">
        <is>
          <t>KALMAR LÄN</t>
        </is>
      </c>
      <c r="G134" t="inlineStr">
        <is>
          <t>BORGHOLM</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46299</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46299</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46299</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46299</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28381-2026</t>
        </is>
      </c>
      <c r="B139" t="inlineStr">
        <is>
          <t>avverkningsanmälan</t>
        </is>
      </c>
      <c r="C139" t="inlineStr">
        <is>
          <t>Avverkning för att bevara och utveckla /försöksver</t>
        </is>
      </c>
      <c r="D139" s="1" t="n">
        <v>46196</v>
      </c>
      <c r="E139" s="1" t="n">
        <v>46299</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46299</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28411-2026</t>
        </is>
      </c>
      <c r="B141" t="inlineStr">
        <is>
          <t>avverkningsanmälan</t>
        </is>
      </c>
      <c r="C141" t="inlineStr">
        <is>
          <t>Avverkning för att bevara och utveckla /försöksver</t>
        </is>
      </c>
      <c r="D141" s="1" t="n">
        <v>46197</v>
      </c>
      <c r="E141" s="1" t="n">
        <v>46299</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32919-2023</t>
        </is>
      </c>
      <c r="B142" t="inlineStr">
        <is>
          <t>avverkningsanmälan</t>
        </is>
      </c>
      <c r="C142" t="inlineStr">
        <is>
          <t>Föryngringsavverkning</t>
        </is>
      </c>
      <c r="D142" s="1" t="n">
        <v>45125</v>
      </c>
      <c r="E142" s="1" t="n">
        <v>46299</v>
      </c>
      <c r="F142" t="inlineStr">
        <is>
          <t>KALMAR LÄN</t>
        </is>
      </c>
      <c r="G142" t="inlineStr">
        <is>
          <t>BORGHOLM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46299</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46299</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46299</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46299</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5175-2024</t>
        </is>
      </c>
      <c r="B147" t="inlineStr">
        <is>
          <t>avverkningsanmälan</t>
        </is>
      </c>
      <c r="C147" t="inlineStr">
        <is>
          <t>Föryngringsavverkning</t>
        </is>
      </c>
      <c r="D147" s="1" t="n">
        <v>45330</v>
      </c>
      <c r="E147" s="1" t="n">
        <v>46299</v>
      </c>
      <c r="F147" t="inlineStr">
        <is>
          <t>KALMAR LÄN</t>
        </is>
      </c>
      <c r="G147" t="inlineStr">
        <is>
          <t>BORGHOLM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34951-2022</t>
        </is>
      </c>
      <c r="B148" t="inlineStr">
        <is>
          <t>avverkningsanmälan</t>
        </is>
      </c>
      <c r="C148" t="inlineStr">
        <is>
          <t>Avverkning för att bevara och utveckla /försöksver</t>
        </is>
      </c>
      <c r="D148" s="1" t="n">
        <v>44796</v>
      </c>
      <c r="E148" s="1" t="n">
        <v>46299</v>
      </c>
      <c r="F148" t="inlineStr">
        <is>
          <t>KALMAR LÄN</t>
        </is>
      </c>
      <c r="G148" t="inlineStr">
        <is>
          <t>BORGHOLM</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46299</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46299</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46299</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4165-2023</t>
        </is>
      </c>
      <c r="B152" t="inlineStr">
        <is>
          <t>avverkningsanmälan</t>
        </is>
      </c>
      <c r="C152" t="inlineStr">
        <is>
          <t>Föryngringsavverkning</t>
        </is>
      </c>
      <c r="D152" s="1" t="n">
        <v>44953</v>
      </c>
      <c r="E152" s="1" t="n">
        <v>46299</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46299</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46299</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46299</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46299</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46299</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46299</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46299</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46299</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46299</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46299</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46299</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46299</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46299</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46299</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46299</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46299</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46299</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46299</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46299</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46299</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2026-10-04T01:56:18Z</dcterms:created>
  <dcterms:modified xmlns:dcterms="http://purl.org/dc/terms/" xmlns:xsi="http://www.w3.org/2001/XMLSchema-instance" xsi:type="dcterms:W3CDTF">2026-10-04T01:56:18Z</dcterms:modified>
</cp:coreProperties>
</file>