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46282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46282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46282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46282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46282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46282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46282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46282</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46282</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46282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46282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46282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46282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46282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46282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46282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46282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46282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46282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46282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46282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46282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46282</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46282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46282</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46282</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46282</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46282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46282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46282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46282</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46282</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46282</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46282</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46282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46282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46282</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46282</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46282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46282</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46282</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46282</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13556-2025</t>
        </is>
      </c>
      <c r="B44" t="inlineStr">
        <is>
          <t>avverkningsanmälan</t>
        </is>
      </c>
      <c r="C44" t="inlineStr">
        <is>
          <t>Föryngringsavverkning</t>
        </is>
      </c>
      <c r="D44" s="1" t="n">
        <v>45736</v>
      </c>
      <c r="E44" s="1" t="n">
        <v>46282</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7960-2023</t>
        </is>
      </c>
      <c r="B45" t="inlineStr">
        <is>
          <t>avverkningsanmälan</t>
        </is>
      </c>
      <c r="C45" t="inlineStr">
        <is>
          <t>Föryngringsavverkning</t>
        </is>
      </c>
      <c r="D45" s="1" t="n">
        <v>44973</v>
      </c>
      <c r="E45" s="1" t="n">
        <v>46282</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46282</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46282</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46282</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46282</v>
      </c>
      <c r="F49" t="inlineStr">
        <is>
          <t>KALMAR LÄN</t>
        </is>
      </c>
      <c r="G49" t="inlineStr">
        <is>
          <t>BORGHOLM</t>
        </is>
      </c>
      <c r="I49" t="n">
        <v>4.4</v>
      </c>
      <c r="J49" t="n">
        <v>3</v>
      </c>
      <c r="K49" t="n">
        <v>1</v>
      </c>
      <c r="L49" t="n">
        <v>1</v>
      </c>
      <c r="M49" t="n">
        <v>0</v>
      </c>
      <c r="N49" t="n">
        <v>1</v>
      </c>
      <c r="O49" t="n">
        <v>0</v>
      </c>
      <c r="P49" t="n">
        <v>0</v>
      </c>
      <c r="Q49" t="n">
        <v>2</v>
      </c>
      <c r="R49" t="n">
        <v>1</v>
      </c>
      <c r="S49" t="n">
        <v>4</v>
      </c>
      <c r="T49" t="n">
        <v>21</v>
      </c>
      <c r="U49" t="n">
        <v>21</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46282</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46282</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46282</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46282</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46282</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46282</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43756-2022</t>
        </is>
      </c>
      <c r="B56" t="inlineStr">
        <is>
          <t>avverkningsanmälan</t>
        </is>
      </c>
      <c r="C56" t="inlineStr">
        <is>
          <t>Föryngringsavverkning</t>
        </is>
      </c>
      <c r="D56" s="1" t="n">
        <v>44837</v>
      </c>
      <c r="E56" s="1" t="n">
        <v>46282</v>
      </c>
      <c r="F56" t="inlineStr">
        <is>
          <t>KALMAR LÄN</t>
        </is>
      </c>
      <c r="G56" t="inlineStr">
        <is>
          <t>BORGHOLM</t>
        </is>
      </c>
      <c r="I56" t="n">
        <v>2.2</v>
      </c>
      <c r="J56" t="n">
        <v>2</v>
      </c>
      <c r="K56" t="n">
        <v>1</v>
      </c>
      <c r="L56" t="n">
        <v>0</v>
      </c>
      <c r="M56" t="n">
        <v>0</v>
      </c>
      <c r="N56" t="n">
        <v>0</v>
      </c>
      <c r="O56" t="n">
        <v>0</v>
      </c>
      <c r="P56" t="n">
        <v>0</v>
      </c>
      <c r="Q56" t="n">
        <v>0</v>
      </c>
      <c r="R56" t="n">
        <v>0</v>
      </c>
      <c r="S56" t="n">
        <v>3</v>
      </c>
      <c r="T56" t="n">
        <v>5</v>
      </c>
      <c r="U56" t="n">
        <v>5</v>
      </c>
      <c r="V56" s="2" t="inlineStr">
        <is>
          <t>Murgröna
Blåsippa
Gullviva</t>
        </is>
      </c>
      <c r="W56">
        <f>HYPERLINK("https://klasma.github.io/Logging_0885/artfynd/A 43756-2022 artfynd.xlsx", "A 43756-2022")</f>
        <v/>
      </c>
      <c r="X56">
        <f>HYPERLINK("https://klasma.github.io/Logging_0885/kartor/A 43756-2022 karta.png", "A 43756-2022")</f>
        <v/>
      </c>
      <c r="Y56">
        <f>HYPERLINK("https://klasma.github.io/Logging_0885/kartor_geotiff/A 43756-2022 georefererad karta.tif", "A 43756-2022")</f>
        <v/>
      </c>
      <c r="AA56">
        <f>HYPERLINK("https://klasma.github.io/Logging_0885/klagomål/A 43756-2022 FSC-klagomål.docx", "A 43756-2022")</f>
        <v/>
      </c>
      <c r="AB56">
        <f>HYPERLINK("https://klasma.github.io/Logging_0885/klagomålsmail/A 43756-2022 FSC-klagomål mail.docx", "A 43756-2022")</f>
        <v/>
      </c>
      <c r="AC56">
        <f>HYPERLINK("https://klasma.github.io/Logging_0885/tillsyn/A 43756-2022 tillsynsbegäran.docx", "A 43756-2022")</f>
        <v/>
      </c>
      <c r="AD56">
        <f>HYPERLINK("https://klasma.github.io/Logging_0885/tillsynsmail/A 43756-2022 tillsynsbegäran mail.docx", "A 43756-2022")</f>
        <v/>
      </c>
    </row>
    <row r="57" ht="15" customHeight="1">
      <c r="A57" t="inlineStr">
        <is>
          <t>A 27283-2026</t>
        </is>
      </c>
      <c r="B57" t="inlineStr">
        <is>
          <t>avverkningsanmälan</t>
        </is>
      </c>
      <c r="C57" t="inlineStr">
        <is>
          <t>Avverkning för att bevara och utveckla /försöksver</t>
        </is>
      </c>
      <c r="D57" s="1" t="n">
        <v>46188</v>
      </c>
      <c r="E57" s="1" t="n">
        <v>46282</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46282</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46282</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46282</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46282</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46282</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46282</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46282</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46282</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46282</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46282</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46282</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46282</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44678-2022</t>
        </is>
      </c>
      <c r="B70" t="inlineStr">
        <is>
          <t>avverkningsanmälan</t>
        </is>
      </c>
      <c r="C70" t="inlineStr">
        <is>
          <t>Föryngringsavverkning</t>
        </is>
      </c>
      <c r="D70" s="1" t="n">
        <v>44840</v>
      </c>
      <c r="E70" s="1" t="n">
        <v>46282</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24322-2026</t>
        </is>
      </c>
      <c r="B71" t="inlineStr">
        <is>
          <t>avverkningsanmälan</t>
        </is>
      </c>
      <c r="C71" t="inlineStr">
        <is>
          <t>Föryngringsavverkning</t>
        </is>
      </c>
      <c r="D71" s="1" t="n">
        <v>46169</v>
      </c>
      <c r="E71" s="1" t="n">
        <v>46282</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50129-2021</t>
        </is>
      </c>
      <c r="B72" t="inlineStr">
        <is>
          <t>avverkningsanmälan</t>
        </is>
      </c>
      <c r="C72" t="inlineStr">
        <is>
          <t>Avverkning för annat ändamål</t>
        </is>
      </c>
      <c r="D72" s="1" t="n">
        <v>44456</v>
      </c>
      <c r="E72" s="1" t="n">
        <v>46282</v>
      </c>
      <c r="F72" t="inlineStr">
        <is>
          <t>KALMAR LÄN</t>
        </is>
      </c>
      <c r="G72" t="inlineStr">
        <is>
          <t>BORGHOLM</t>
        </is>
      </c>
      <c r="I72" t="n">
        <v>1.6</v>
      </c>
      <c r="J72" t="n">
        <v>1</v>
      </c>
      <c r="K72" t="n">
        <v>1</v>
      </c>
      <c r="L72" t="n">
        <v>0</v>
      </c>
      <c r="M72" t="n">
        <v>0</v>
      </c>
      <c r="N72" t="n">
        <v>0</v>
      </c>
      <c r="O72" t="n">
        <v>0</v>
      </c>
      <c r="P72" t="n">
        <v>0</v>
      </c>
      <c r="Q72" t="n">
        <v>0</v>
      </c>
      <c r="R72" t="n">
        <v>0</v>
      </c>
      <c r="S72" t="n">
        <v>2</v>
      </c>
      <c r="T72" t="n">
        <v>2</v>
      </c>
      <c r="U72" t="n">
        <v>2</v>
      </c>
      <c r="V72" s="2" t="inlineStr">
        <is>
          <t>Murgröna
Blåsippa</t>
        </is>
      </c>
      <c r="W72">
        <f>HYPERLINK("https://klasma.github.io/Logging_0885/artfynd/A 50129-2021 artfynd.xlsx", "A 50129-2021")</f>
        <v/>
      </c>
      <c r="X72">
        <f>HYPERLINK("https://klasma.github.io/Logging_0885/kartor/A 50129-2021 karta.png", "A 50129-2021")</f>
        <v/>
      </c>
      <c r="Y72">
        <f>HYPERLINK("https://klasma.github.io/Logging_0885/kartor_geotiff/A 50129-2021 georefererad karta.tif", "A 50129-2021")</f>
        <v/>
      </c>
      <c r="AA72">
        <f>HYPERLINK("https://klasma.github.io/Logging_0885/klagomål/A 50129-2021 FSC-klagomål.docx", "A 50129-2021")</f>
        <v/>
      </c>
      <c r="AB72">
        <f>HYPERLINK("https://klasma.github.io/Logging_0885/klagomålsmail/A 50129-2021 FSC-klagomål mail.docx", "A 50129-2021")</f>
        <v/>
      </c>
      <c r="AC72">
        <f>HYPERLINK("https://klasma.github.io/Logging_0885/tillsyn/A 50129-2021 tillsynsbegäran.docx", "A 50129-2021")</f>
        <v/>
      </c>
      <c r="AD72">
        <f>HYPERLINK("https://klasma.github.io/Logging_0885/tillsynsmail/A 50129-2021 tillsynsbegäran mail.docx", "A 50129-2021")</f>
        <v/>
      </c>
    </row>
    <row r="73" ht="15" customHeight="1">
      <c r="A73" t="inlineStr">
        <is>
          <t>A 29411-2026</t>
        </is>
      </c>
      <c r="B73" t="inlineStr">
        <is>
          <t>avverkningsanmälan</t>
        </is>
      </c>
      <c r="C73" t="inlineStr">
        <is>
          <t>Avverkning för att bevara och utveckla /försöksver</t>
        </is>
      </c>
      <c r="D73" s="1" t="n">
        <v>46203</v>
      </c>
      <c r="E73" s="1" t="n">
        <v>46282</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17699-2025</t>
        </is>
      </c>
      <c r="B74" t="inlineStr">
        <is>
          <t>avverkningsanmälan</t>
        </is>
      </c>
      <c r="C74" t="inlineStr">
        <is>
          <t>Föryngringsavverkning</t>
        </is>
      </c>
      <c r="D74" s="1" t="n">
        <v>45758</v>
      </c>
      <c r="E74" s="1" t="n">
        <v>46282</v>
      </c>
      <c r="F74" t="inlineStr">
        <is>
          <t>KALMAR LÄN</t>
        </is>
      </c>
      <c r="G74" t="inlineStr">
        <is>
          <t>BORGHOLM</t>
        </is>
      </c>
      <c r="I74" t="n">
        <v>0.7</v>
      </c>
      <c r="J74" t="n">
        <v>0</v>
      </c>
      <c r="K74" t="n">
        <v>0</v>
      </c>
      <c r="L74" t="n">
        <v>2</v>
      </c>
      <c r="M74" t="n">
        <v>0</v>
      </c>
      <c r="N74" t="n">
        <v>0</v>
      </c>
      <c r="O74" t="n">
        <v>0</v>
      </c>
      <c r="P74" t="n">
        <v>0</v>
      </c>
      <c r="Q74" t="n">
        <v>2</v>
      </c>
      <c r="R74" t="n">
        <v>0</v>
      </c>
      <c r="S74" t="n">
        <v>2</v>
      </c>
      <c r="T74" t="n">
        <v>2</v>
      </c>
      <c r="U74" t="n">
        <v>2</v>
      </c>
      <c r="V74" s="2" t="inlineStr">
        <is>
          <t>Backtimjan
Klibbveronika</t>
        </is>
      </c>
      <c r="W74">
        <f>HYPERLINK("https://klasma.github.io/Logging_0885/artfynd/A 17699-2025 artfynd.xlsx", "A 17699-2025")</f>
        <v/>
      </c>
      <c r="X74">
        <f>HYPERLINK("https://klasma.github.io/Logging_0885/kartor/A 17699-2025 karta.png", "A 17699-2025")</f>
        <v/>
      </c>
      <c r="Y74">
        <f>HYPERLINK("https://klasma.github.io/Logging_0885/kartor_geotiff/A 17699-2025 georefererad karta.tif", "A 17699-2025")</f>
        <v/>
      </c>
      <c r="AA74">
        <f>HYPERLINK("https://klasma.github.io/Logging_0885/klagomål/A 17699-2025 FSC-klagomål.docx", "A 17699-2025")</f>
        <v/>
      </c>
      <c r="AB74">
        <f>HYPERLINK("https://klasma.github.io/Logging_0885/klagomålsmail/A 17699-2025 FSC-klagomål mail.docx", "A 17699-2025")</f>
        <v/>
      </c>
      <c r="AC74">
        <f>HYPERLINK("https://klasma.github.io/Logging_0885/tillsyn/A 17699-2025 tillsynsbegäran.docx", "A 17699-2025")</f>
        <v/>
      </c>
      <c r="AD74">
        <f>HYPERLINK("https://klasma.github.io/Logging_0885/tillsynsmail/A 17699-2025 tillsynsbegäran mail.docx", "A 17699-2025")</f>
        <v/>
      </c>
    </row>
    <row r="75" ht="15" customHeight="1">
      <c r="A75" t="inlineStr">
        <is>
          <t>A 29434-2026</t>
        </is>
      </c>
      <c r="B75" t="inlineStr">
        <is>
          <t>avverkningsanmälan</t>
        </is>
      </c>
      <c r="C75" t="inlineStr">
        <is>
          <t>Avverkning för att bevara och utveckla /försöksver</t>
        </is>
      </c>
      <c r="D75" s="1" t="n">
        <v>46203</v>
      </c>
      <c r="E75" s="1" t="n">
        <v>46282</v>
      </c>
      <c r="F75" t="inlineStr">
        <is>
          <t>KALMAR LÄN</t>
        </is>
      </c>
      <c r="G75" t="inlineStr">
        <is>
          <t>BORGHOLM</t>
        </is>
      </c>
      <c r="H75" t="inlineStr">
        <is>
          <t>Sveaskog</t>
        </is>
      </c>
      <c r="I75" t="n">
        <v>2.1</v>
      </c>
      <c r="J75" t="n">
        <v>0</v>
      </c>
      <c r="K75" t="n">
        <v>0</v>
      </c>
      <c r="L75" t="n">
        <v>0</v>
      </c>
      <c r="M75" t="n">
        <v>2</v>
      </c>
      <c r="N75" t="n">
        <v>0</v>
      </c>
      <c r="O75" t="n">
        <v>0</v>
      </c>
      <c r="P75" t="n">
        <v>0</v>
      </c>
      <c r="Q75" t="n">
        <v>2</v>
      </c>
      <c r="R75" t="n">
        <v>2</v>
      </c>
      <c r="S75" t="n">
        <v>2</v>
      </c>
      <c r="T75" t="n">
        <v>2</v>
      </c>
      <c r="U75" t="n">
        <v>0</v>
      </c>
      <c r="V75" s="2" t="inlineStr">
        <is>
          <t>Bredbrämad bastardsvärmare
Purpurmusseron</t>
        </is>
      </c>
      <c r="W75">
        <f>HYPERLINK("https://klasma.github.io/Logging_0885/artfynd/A 29434-2026 artfynd.xlsx", "A 29434-2026")</f>
        <v/>
      </c>
      <c r="X75">
        <f>HYPERLINK("https://klasma.github.io/Logging_0885/kartor/A 29434-2026 karta.png", "A 29434-2026")</f>
        <v/>
      </c>
      <c r="Y75">
        <f>HYPERLINK("https://klasma.github.io/Logging_0885/kartor_geotiff/A 29434-2026 georefererad karta.tif", "A 29434-2026")</f>
        <v/>
      </c>
      <c r="AA75">
        <f>HYPERLINK("https://klasma.github.io/Logging_0885/klagomål/A 29434-2026 FSC-klagomål.docx", "A 29434-2026")</f>
        <v/>
      </c>
      <c r="AB75">
        <f>HYPERLINK("https://klasma.github.io/Logging_0885/klagomålsmail/A 29434-2026 FSC-klagomål mail.docx", "A 29434-2026")</f>
        <v/>
      </c>
      <c r="AC75">
        <f>HYPERLINK("https://klasma.github.io/Logging_0885/tillsyn/A 29434-2026 tillsynsbegäran.docx", "A 29434-2026")</f>
        <v/>
      </c>
      <c r="AD75">
        <f>HYPERLINK("https://klasma.github.io/Logging_0885/tillsynsmail/A 29434-2026 tillsynsbegäran mail.docx", "A 29434-2026")</f>
        <v/>
      </c>
    </row>
    <row r="76" ht="15" customHeight="1">
      <c r="A76" t="inlineStr">
        <is>
          <t>S 6144-2022</t>
        </is>
      </c>
      <c r="B76" t="inlineStr">
        <is>
          <t>samrådsanmälan</t>
        </is>
      </c>
      <c r="C76" t="inlineStr">
        <is>
          <t>Annan skogsbruksåtgärd</t>
        </is>
      </c>
      <c r="D76" s="1" t="n">
        <v>44865</v>
      </c>
      <c r="E76" s="1" t="n">
        <v>46282</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1650-2022</t>
        </is>
      </c>
      <c r="B77" t="inlineStr">
        <is>
          <t>samrådsanmälan</t>
        </is>
      </c>
      <c r="C77" t="inlineStr">
        <is>
          <t>Åtgärd i nyckelbiotop</t>
        </is>
      </c>
      <c r="D77" s="1" t="n">
        <v>44649</v>
      </c>
      <c r="E77" s="1" t="n">
        <v>46282</v>
      </c>
      <c r="F77" t="inlineStr">
        <is>
          <t>KALMAR LÄN</t>
        </is>
      </c>
      <c r="G77" t="inlineStr">
        <is>
          <t>BORGHOLM</t>
        </is>
      </c>
      <c r="I77" t="n">
        <v>0.1</v>
      </c>
      <c r="J77" t="n">
        <v>0</v>
      </c>
      <c r="K77" t="n">
        <v>2</v>
      </c>
      <c r="L77" t="n">
        <v>0</v>
      </c>
      <c r="M77" t="n">
        <v>0</v>
      </c>
      <c r="N77" t="n">
        <v>0</v>
      </c>
      <c r="O77" t="n">
        <v>0</v>
      </c>
      <c r="P77" t="n">
        <v>0</v>
      </c>
      <c r="Q77" t="n">
        <v>0</v>
      </c>
      <c r="R77" t="n">
        <v>0</v>
      </c>
      <c r="S77" t="n">
        <v>2</v>
      </c>
      <c r="T77" t="n">
        <v>2</v>
      </c>
      <c r="U77" t="n">
        <v>0</v>
      </c>
      <c r="V77" s="2" t="inlineStr">
        <is>
          <t>Guldlockmossa
Gulpudrad spiklav</t>
        </is>
      </c>
      <c r="W77">
        <f>HYPERLINK("https://klasma.github.io/Logging_0885/artfynd/S 1650-2022 artfynd.xlsx", "S 1650-2022")</f>
        <v/>
      </c>
      <c r="X77">
        <f>HYPERLINK("https://klasma.github.io/Logging_0885/kartor/S 1650-2022 karta.png", "S 1650-2022")</f>
        <v/>
      </c>
      <c r="Y77">
        <f>HYPERLINK("https://klasma.github.io/Logging_0885/kartor_geotiff/S 1650-2022 georefererad karta.tif", "S 1650-2022")</f>
        <v/>
      </c>
      <c r="AA77">
        <f>HYPERLINK("https://klasma.github.io/Logging_0885/klagomål/S 1650-2022 FSC-klagomål.docx", "S 1650-2022")</f>
        <v/>
      </c>
      <c r="AB77">
        <f>HYPERLINK("https://klasma.github.io/Logging_0885/klagomålsmail/S 1650-2022 FSC-klagomål mail.docx", "S 1650-2022")</f>
        <v/>
      </c>
      <c r="AC77">
        <f>HYPERLINK("https://klasma.github.io/Logging_0885/tillsyn/S 1650-2022 tillsynsbegäran.docx", "S 1650-2022")</f>
        <v/>
      </c>
      <c r="AD77">
        <f>HYPERLINK("https://klasma.github.io/Logging_0885/tillsynsmail/S 1650-2022 tillsynsbegäran mail.docx", "S 1650-2022")</f>
        <v/>
      </c>
    </row>
    <row r="78" ht="15" customHeight="1">
      <c r="A78" t="inlineStr">
        <is>
          <t>S 1886-2026</t>
        </is>
      </c>
      <c r="B78" t="inlineStr">
        <is>
          <t>samrådsanmälan</t>
        </is>
      </c>
      <c r="C78" t="inlineStr">
        <is>
          <t>Annan skogsbruksåtgärd</t>
        </is>
      </c>
      <c r="D78" s="1" t="n">
        <v>46203</v>
      </c>
      <c r="E78" s="1" t="n">
        <v>46282</v>
      </c>
      <c r="F78" t="inlineStr">
        <is>
          <t>KALMAR LÄN</t>
        </is>
      </c>
      <c r="G78" t="inlineStr">
        <is>
          <t>BORGHOLM</t>
        </is>
      </c>
      <c r="H78" t="inlineStr">
        <is>
          <t>Sveaskog</t>
        </is>
      </c>
      <c r="I78" t="n">
        <v>0.6</v>
      </c>
      <c r="J78" t="n">
        <v>1</v>
      </c>
      <c r="K78" t="n">
        <v>1</v>
      </c>
      <c r="L78" t="n">
        <v>0</v>
      </c>
      <c r="M78" t="n">
        <v>1</v>
      </c>
      <c r="N78" t="n">
        <v>0</v>
      </c>
      <c r="O78" t="n">
        <v>0</v>
      </c>
      <c r="P78" t="n">
        <v>0</v>
      </c>
      <c r="Q78" t="n">
        <v>1</v>
      </c>
      <c r="R78" t="n">
        <v>1</v>
      </c>
      <c r="S78" t="n">
        <v>2</v>
      </c>
      <c r="T78" t="n">
        <v>2</v>
      </c>
      <c r="U78" t="n">
        <v>1</v>
      </c>
      <c r="V78" s="2" t="inlineStr">
        <is>
          <t>Bredbrämad bastardsvärmare
Ekoxe</t>
        </is>
      </c>
      <c r="W78">
        <f>HYPERLINK("https://klasma.github.io/Logging_0885/artfynd/S 1886-2026 artfynd.xlsx", "S 1886-2026")</f>
        <v/>
      </c>
      <c r="X78">
        <f>HYPERLINK("https://klasma.github.io/Logging_0885/kartor/S 1886-2026 karta.png", "S 1886-2026")</f>
        <v/>
      </c>
      <c r="Y78">
        <f>HYPERLINK("https://klasma.github.io/Logging_0885/kartor_geotiff/S 1886-2026 georefererad karta.tif", "S 1886-2026")</f>
        <v/>
      </c>
      <c r="AA78">
        <f>HYPERLINK("https://klasma.github.io/Logging_0885/klagomål/S 1886-2026 FSC-klagomål.docx", "S 1886-2026")</f>
        <v/>
      </c>
      <c r="AB78">
        <f>HYPERLINK("https://klasma.github.io/Logging_0885/klagomålsmail/S 1886-2026 FSC-klagomål mail.docx", "S 1886-2026")</f>
        <v/>
      </c>
      <c r="AC78">
        <f>HYPERLINK("https://klasma.github.io/Logging_0885/tillsyn/S 1886-2026 tillsynsbegäran.docx", "S 1886-2026")</f>
        <v/>
      </c>
      <c r="AD78">
        <f>HYPERLINK("https://klasma.github.io/Logging_0885/tillsynsmail/S 1886-2026 tillsynsbegäran mail.docx", "S 1886-2026")</f>
        <v/>
      </c>
    </row>
    <row r="79" ht="15" customHeight="1">
      <c r="A79" t="inlineStr">
        <is>
          <t>S 1892-2026</t>
        </is>
      </c>
      <c r="B79" t="inlineStr">
        <is>
          <t>samrådsanmälan</t>
        </is>
      </c>
      <c r="C79" t="inlineStr">
        <is>
          <t>Annan skogsbruksåtgärd</t>
        </is>
      </c>
      <c r="D79" s="1" t="n">
        <v>46203</v>
      </c>
      <c r="E79" s="1" t="n">
        <v>46282</v>
      </c>
      <c r="F79" t="inlineStr">
        <is>
          <t>KALMAR LÄN</t>
        </is>
      </c>
      <c r="G79" t="inlineStr">
        <is>
          <t>BORGHOLM</t>
        </is>
      </c>
      <c r="H79" t="inlineStr">
        <is>
          <t>Sveaskog</t>
        </is>
      </c>
      <c r="I79" t="n">
        <v>2.1</v>
      </c>
      <c r="J79" t="n">
        <v>0</v>
      </c>
      <c r="K79" t="n">
        <v>0</v>
      </c>
      <c r="L79" t="n">
        <v>0</v>
      </c>
      <c r="M79" t="n">
        <v>2</v>
      </c>
      <c r="N79" t="n">
        <v>0</v>
      </c>
      <c r="O79" t="n">
        <v>0</v>
      </c>
      <c r="P79" t="n">
        <v>0</v>
      </c>
      <c r="Q79" t="n">
        <v>2</v>
      </c>
      <c r="R79" t="n">
        <v>2</v>
      </c>
      <c r="S79" t="n">
        <v>2</v>
      </c>
      <c r="T79" t="n">
        <v>2</v>
      </c>
      <c r="U79" t="n">
        <v>0</v>
      </c>
      <c r="V79" s="2" t="inlineStr">
        <is>
          <t>Bredbrämad bastardsvärmare
Purpurmusseron</t>
        </is>
      </c>
      <c r="W79">
        <f>HYPERLINK("https://klasma.github.io/Logging_0885/artfynd/S 1892-2026 artfynd.xlsx", "S 1892-2026")</f>
        <v/>
      </c>
      <c r="X79">
        <f>HYPERLINK("https://klasma.github.io/Logging_0885/kartor/S 1892-2026 karta.png", "S 1892-2026")</f>
        <v/>
      </c>
      <c r="Y79">
        <f>HYPERLINK("https://klasma.github.io/Logging_0885/kartor_geotiff/S 1892-2026 georefererad karta.tif", "S 1892-2026")</f>
        <v/>
      </c>
      <c r="AA79">
        <f>HYPERLINK("https://klasma.github.io/Logging_0885/klagomål/S 1892-2026 FSC-klagomål.docx", "S 1892-2026")</f>
        <v/>
      </c>
      <c r="AB79">
        <f>HYPERLINK("https://klasma.github.io/Logging_0885/klagomålsmail/S 1892-2026 FSC-klagomål mail.docx", "S 1892-2026")</f>
        <v/>
      </c>
      <c r="AC79">
        <f>HYPERLINK("https://klasma.github.io/Logging_0885/tillsyn/S 1892-2026 tillsynsbegäran.docx", "S 1892-2026")</f>
        <v/>
      </c>
      <c r="AD79">
        <f>HYPERLINK("https://klasma.github.io/Logging_0885/tillsynsmail/S 1892-2026 tillsynsbegäran mail.docx", "S 1892-2026")</f>
        <v/>
      </c>
    </row>
    <row r="80" ht="15" customHeight="1">
      <c r="A80" t="inlineStr">
        <is>
          <t>A 31295-2022</t>
        </is>
      </c>
      <c r="B80" t="inlineStr">
        <is>
          <t>avverkningsanmälan</t>
        </is>
      </c>
      <c r="C80" t="inlineStr">
        <is>
          <t>Avverkning för att bevara och utveckla /försöksver</t>
        </is>
      </c>
      <c r="D80" s="1" t="n">
        <v>44772</v>
      </c>
      <c r="E80" s="1" t="n">
        <v>46282</v>
      </c>
      <c r="F80" t="inlineStr">
        <is>
          <t>KALMAR LÄN</t>
        </is>
      </c>
      <c r="G80" t="inlineStr">
        <is>
          <t>BORGHOLM</t>
        </is>
      </c>
      <c r="H80" t="inlineStr">
        <is>
          <t>Sveaskog</t>
        </is>
      </c>
      <c r="I80" t="n">
        <v>6.1</v>
      </c>
      <c r="J80" t="n">
        <v>0</v>
      </c>
      <c r="K80" t="n">
        <v>0</v>
      </c>
      <c r="L80" t="n">
        <v>0</v>
      </c>
      <c r="M80" t="n">
        <v>1</v>
      </c>
      <c r="N80" t="n">
        <v>0</v>
      </c>
      <c r="O80" t="n">
        <v>0</v>
      </c>
      <c r="P80" t="n">
        <v>0</v>
      </c>
      <c r="Q80" t="n">
        <v>1</v>
      </c>
      <c r="R80" t="n">
        <v>1</v>
      </c>
      <c r="S80" t="n">
        <v>1</v>
      </c>
      <c r="T80" t="n">
        <v>2</v>
      </c>
      <c r="U80" t="n">
        <v>0</v>
      </c>
      <c r="V80" s="2" t="inlineStr">
        <is>
          <t>Skärrande gräshoppa</t>
        </is>
      </c>
      <c r="W80">
        <f>HYPERLINK("https://klasma.github.io/Logging_0885/artfynd/A 31295-2022 artfynd.xlsx", "A 31295-2022")</f>
        <v/>
      </c>
      <c r="X80">
        <f>HYPERLINK("https://klasma.github.io/Logging_0885/kartor/A 31295-2022 karta.png", "A 31295-2022")</f>
        <v/>
      </c>
      <c r="Y80">
        <f>HYPERLINK("https://klasma.github.io/Logging_0885/kartor_geotiff/A 31295-2022 georefererad karta.tif", "A 31295-2022")</f>
        <v/>
      </c>
      <c r="AA80">
        <f>HYPERLINK("https://klasma.github.io/Logging_0885/klagomål/A 31295-2022 FSC-klagomål.docx", "A 31295-2022")</f>
        <v/>
      </c>
      <c r="AB80">
        <f>HYPERLINK("https://klasma.github.io/Logging_0885/klagomålsmail/A 31295-2022 FSC-klagomål mail.docx", "A 31295-2022")</f>
        <v/>
      </c>
      <c r="AC80">
        <f>HYPERLINK("https://klasma.github.io/Logging_0885/tillsyn/A 31295-2022 tillsynsbegäran.docx", "A 31295-2022")</f>
        <v/>
      </c>
      <c r="AD80">
        <f>HYPERLINK("https://klasma.github.io/Logging_0885/tillsynsmail/A 31295-2022 tillsynsbegäran mail.docx", "A 31295-2022")</f>
        <v/>
      </c>
    </row>
    <row r="81" ht="15" customHeight="1">
      <c r="A81" t="inlineStr">
        <is>
          <t>A 32180-2022</t>
        </is>
      </c>
      <c r="B81" t="inlineStr">
        <is>
          <t>avverkningsanmälan</t>
        </is>
      </c>
      <c r="C81" t="inlineStr">
        <is>
          <t>Avverkning för att bevara och utveckla /försöksver</t>
        </is>
      </c>
      <c r="D81" s="1" t="n">
        <v>44781</v>
      </c>
      <c r="E81" s="1" t="n">
        <v>46282</v>
      </c>
      <c r="F81" t="inlineStr">
        <is>
          <t>KALMAR LÄN</t>
        </is>
      </c>
      <c r="G81" t="inlineStr">
        <is>
          <t>BORGHOLM</t>
        </is>
      </c>
      <c r="H81" t="inlineStr">
        <is>
          <t>Sveaskog</t>
        </is>
      </c>
      <c r="I81" t="n">
        <v>0.9</v>
      </c>
      <c r="J81" t="n">
        <v>0</v>
      </c>
      <c r="K81" t="n">
        <v>0</v>
      </c>
      <c r="L81" t="n">
        <v>1</v>
      </c>
      <c r="M81" t="n">
        <v>0</v>
      </c>
      <c r="N81" t="n">
        <v>0</v>
      </c>
      <c r="O81" t="n">
        <v>0</v>
      </c>
      <c r="P81" t="n">
        <v>0</v>
      </c>
      <c r="Q81" t="n">
        <v>1</v>
      </c>
      <c r="R81" t="n">
        <v>0</v>
      </c>
      <c r="S81" t="n">
        <v>1</v>
      </c>
      <c r="T81" t="n">
        <v>1</v>
      </c>
      <c r="U81" t="n">
        <v>0</v>
      </c>
      <c r="V81" s="2" t="inlineStr">
        <is>
          <t>Fyrflikig jordstjärna</t>
        </is>
      </c>
      <c r="W81">
        <f>HYPERLINK("https://klasma.github.io/Logging_0885/artfynd/A 32180-2022 artfynd.xlsx", "A 32180-2022")</f>
        <v/>
      </c>
      <c r="X81">
        <f>HYPERLINK("https://klasma.github.io/Logging_0885/kartor/A 32180-2022 karta.png", "A 32180-2022")</f>
        <v/>
      </c>
      <c r="Y81">
        <f>HYPERLINK("https://klasma.github.io/Logging_0885/kartor_geotiff/A 32180-2022 georefererad karta.tif", "A 32180-2022")</f>
        <v/>
      </c>
      <c r="AA81">
        <f>HYPERLINK("https://klasma.github.io/Logging_0885/klagomål/A 32180-2022 FSC-klagomål.docx", "A 32180-2022")</f>
        <v/>
      </c>
      <c r="AB81">
        <f>HYPERLINK("https://klasma.github.io/Logging_0885/klagomålsmail/A 32180-2022 FSC-klagomål mail.docx", "A 32180-2022")</f>
        <v/>
      </c>
      <c r="AC81">
        <f>HYPERLINK("https://klasma.github.io/Logging_0885/tillsyn/A 32180-2022 tillsynsbegäran.docx", "A 32180-2022")</f>
        <v/>
      </c>
      <c r="AD81">
        <f>HYPERLINK("https://klasma.github.io/Logging_0885/tillsynsmail/A 32180-2022 tillsynsbegäran mail.docx", "A 32180-2022")</f>
        <v/>
      </c>
    </row>
    <row r="82" ht="15" customHeight="1">
      <c r="A82" t="inlineStr">
        <is>
          <t>A 24701-2023</t>
        </is>
      </c>
      <c r="B82" t="inlineStr">
        <is>
          <t>avverkningsanmälan</t>
        </is>
      </c>
      <c r="C82" t="inlineStr">
        <is>
          <t>Föryngringsavverkning</t>
        </is>
      </c>
      <c r="D82" s="1" t="n">
        <v>45084</v>
      </c>
      <c r="E82" s="1" t="n">
        <v>46282</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24701-2023 artfynd.xlsx", "A 24701-2023")</f>
        <v/>
      </c>
      <c r="X82">
        <f>HYPERLINK("https://klasma.github.io/Logging_0885/kartor/A 24701-2023 karta.png", "A 24701-2023")</f>
        <v/>
      </c>
      <c r="Y82">
        <f>HYPERLINK("https://klasma.github.io/Logging_0885/kartor_geotiff/A 24701-2023 georefererad karta.tif", "A 24701-2023")</f>
        <v/>
      </c>
      <c r="AA82">
        <f>HYPERLINK("https://klasma.github.io/Logging_0885/klagomål/A 24701-2023 FSC-klagomål.docx", "A 24701-2023")</f>
        <v/>
      </c>
      <c r="AB82">
        <f>HYPERLINK("https://klasma.github.io/Logging_0885/klagomålsmail/A 24701-2023 FSC-klagomål mail.docx", "A 24701-2023")</f>
        <v/>
      </c>
      <c r="AC82">
        <f>HYPERLINK("https://klasma.github.io/Logging_0885/tillsyn/A 24701-2023 tillsynsbegäran.docx", "A 24701-2023")</f>
        <v/>
      </c>
      <c r="AD82">
        <f>HYPERLINK("https://klasma.github.io/Logging_0885/tillsynsmail/A 24701-2023 tillsynsbegäran mail.docx", "A 24701-2023")</f>
        <v/>
      </c>
    </row>
    <row r="83" ht="15" customHeight="1">
      <c r="A83" t="inlineStr">
        <is>
          <t>A 28785-2025</t>
        </is>
      </c>
      <c r="B83" t="inlineStr">
        <is>
          <t>avverkningsanmälan</t>
        </is>
      </c>
      <c r="C83" t="inlineStr">
        <is>
          <t>Avverkning för att bevara och utveckla /försöksver</t>
        </is>
      </c>
      <c r="D83" s="1" t="n">
        <v>45820</v>
      </c>
      <c r="E83" s="1" t="n">
        <v>46282</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28782-2025</t>
        </is>
      </c>
      <c r="B84" t="inlineStr">
        <is>
          <t>avverkningsanmälan</t>
        </is>
      </c>
      <c r="C84" t="inlineStr">
        <is>
          <t>Avverkning för att bevara och utveckla /försöksver</t>
        </is>
      </c>
      <c r="D84" s="1" t="n">
        <v>45820</v>
      </c>
      <c r="E84" s="1" t="n">
        <v>46282</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41831-2025</t>
        </is>
      </c>
      <c r="B85" t="inlineStr">
        <is>
          <t>avverkningsanmälan</t>
        </is>
      </c>
      <c r="C85" t="inlineStr">
        <is>
          <t>Föryngringsavverkning</t>
        </is>
      </c>
      <c r="D85" s="1" t="n">
        <v>45902</v>
      </c>
      <c r="E85" s="1" t="n">
        <v>46282</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3302-2026</t>
        </is>
      </c>
      <c r="B86" t="inlineStr">
        <is>
          <t>avverkningsanmälan</t>
        </is>
      </c>
      <c r="C86" t="inlineStr">
        <is>
          <t>Avverkning för annat ändamål</t>
        </is>
      </c>
      <c r="D86" s="1" t="n">
        <v>46041</v>
      </c>
      <c r="E86" s="1" t="n">
        <v>46282</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63276-2023</t>
        </is>
      </c>
      <c r="B87" t="inlineStr">
        <is>
          <t>avverkningsanmälan</t>
        </is>
      </c>
      <c r="C87" t="inlineStr">
        <is>
          <t>Föryngringsavverkning</t>
        </is>
      </c>
      <c r="D87" s="1" t="n">
        <v>45273</v>
      </c>
      <c r="E87" s="1" t="n">
        <v>46282</v>
      </c>
      <c r="F87" t="inlineStr">
        <is>
          <t>KALMAR LÄN</t>
        </is>
      </c>
      <c r="G87" t="inlineStr">
        <is>
          <t>BORGHOLM</t>
        </is>
      </c>
      <c r="I87" t="n">
        <v>5</v>
      </c>
      <c r="J87" t="n">
        <v>0</v>
      </c>
      <c r="K87" t="n">
        <v>0</v>
      </c>
      <c r="L87" t="n">
        <v>0</v>
      </c>
      <c r="M87" t="n">
        <v>1</v>
      </c>
      <c r="N87" t="n">
        <v>0</v>
      </c>
      <c r="O87" t="n">
        <v>0</v>
      </c>
      <c r="P87" t="n">
        <v>0</v>
      </c>
      <c r="Q87" t="n">
        <v>1</v>
      </c>
      <c r="R87" t="n">
        <v>1</v>
      </c>
      <c r="S87" t="n">
        <v>1</v>
      </c>
      <c r="T87" t="n">
        <v>1</v>
      </c>
      <c r="U87" t="n">
        <v>0</v>
      </c>
      <c r="V87" s="2" t="inlineStr">
        <is>
          <t>Elaphomyces barrioi</t>
        </is>
      </c>
      <c r="W87">
        <f>HYPERLINK("https://klasma.github.io/Logging_0885/artfynd/A 63276-2023 artfynd.xlsx", "A 63276-2023")</f>
        <v/>
      </c>
      <c r="X87">
        <f>HYPERLINK("https://klasma.github.io/Logging_0885/kartor/A 63276-2023 karta.png", "A 63276-2023")</f>
        <v/>
      </c>
      <c r="Y87">
        <f>HYPERLINK("https://klasma.github.io/Logging_0885/kartor_geotiff/A 63276-2023 georefererad karta.tif", "A 63276-2023")</f>
        <v/>
      </c>
      <c r="AA87">
        <f>HYPERLINK("https://klasma.github.io/Logging_0885/klagomål/A 63276-2023 FSC-klagomål.docx", "A 63276-2023")</f>
        <v/>
      </c>
      <c r="AB87">
        <f>HYPERLINK("https://klasma.github.io/Logging_0885/klagomålsmail/A 63276-2023 FSC-klagomål mail.docx", "A 63276-2023")</f>
        <v/>
      </c>
      <c r="AC87">
        <f>HYPERLINK("https://klasma.github.io/Logging_0885/tillsyn/A 63276-2023 tillsynsbegäran.docx", "A 63276-2023")</f>
        <v/>
      </c>
      <c r="AD87">
        <f>HYPERLINK("https://klasma.github.io/Logging_0885/tillsynsmail/A 63276-2023 tillsynsbegäran mail.docx", "A 63276-2023")</f>
        <v/>
      </c>
    </row>
    <row r="88" ht="15" customHeight="1">
      <c r="A88" t="inlineStr">
        <is>
          <t>A 7481-2026</t>
        </is>
      </c>
      <c r="B88" t="inlineStr">
        <is>
          <t>avverkningsanmälan</t>
        </is>
      </c>
      <c r="C88" t="inlineStr">
        <is>
          <t>Föryngringsavverkning</t>
        </is>
      </c>
      <c r="D88" s="1" t="n">
        <v>46059</v>
      </c>
      <c r="E88" s="1" t="n">
        <v>46282</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46282</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46282</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24704-2023</t>
        </is>
      </c>
      <c r="B91" t="inlineStr">
        <is>
          <t>avverkningsanmälan</t>
        </is>
      </c>
      <c r="C91" t="inlineStr">
        <is>
          <t>Föryngringsavverkning</t>
        </is>
      </c>
      <c r="D91" s="1" t="n">
        <v>45084</v>
      </c>
      <c r="E91" s="1" t="n">
        <v>46282</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9745-2023</t>
        </is>
      </c>
      <c r="B92" t="inlineStr">
        <is>
          <t>avverkningsanmälan</t>
        </is>
      </c>
      <c r="C92" t="inlineStr">
        <is>
          <t>Föryngringsavverkning</t>
        </is>
      </c>
      <c r="D92" s="1" t="n">
        <v>44984</v>
      </c>
      <c r="E92" s="1" t="n">
        <v>46282</v>
      </c>
      <c r="F92" t="inlineStr">
        <is>
          <t>KALMAR LÄN</t>
        </is>
      </c>
      <c r="G92" t="inlineStr">
        <is>
          <t>BORGHOLM</t>
        </is>
      </c>
      <c r="I92" t="n">
        <v>1.2</v>
      </c>
      <c r="J92" t="n">
        <v>1</v>
      </c>
      <c r="K92" t="n">
        <v>1</v>
      </c>
      <c r="L92" t="n">
        <v>0</v>
      </c>
      <c r="M92" t="n">
        <v>0</v>
      </c>
      <c r="N92" t="n">
        <v>0</v>
      </c>
      <c r="O92" t="n">
        <v>0</v>
      </c>
      <c r="P92" t="n">
        <v>0</v>
      </c>
      <c r="Q92" t="n">
        <v>0</v>
      </c>
      <c r="R92" t="n">
        <v>0</v>
      </c>
      <c r="S92" t="n">
        <v>1</v>
      </c>
      <c r="T92" t="n">
        <v>2</v>
      </c>
      <c r="U92" t="n">
        <v>1</v>
      </c>
      <c r="V92" s="2" t="inlineStr">
        <is>
          <t>Skogsknipprot</t>
        </is>
      </c>
      <c r="W92">
        <f>HYPERLINK("https://klasma.github.io/Logging_0885/artfynd/A 9745-2023 artfynd.xlsx", "A 9745-2023")</f>
        <v/>
      </c>
      <c r="X92">
        <f>HYPERLINK("https://klasma.github.io/Logging_0885/kartor/A 9745-2023 karta.png", "A 9745-2023")</f>
        <v/>
      </c>
      <c r="Y92">
        <f>HYPERLINK("https://klasma.github.io/Logging_0885/kartor_geotiff/A 9745-2023 georefererad karta.tif", "A 9745-2023")</f>
        <v/>
      </c>
      <c r="AA92">
        <f>HYPERLINK("https://klasma.github.io/Logging_0885/klagomål/A 9745-2023 FSC-klagomål.docx", "A 9745-2023")</f>
        <v/>
      </c>
      <c r="AB92">
        <f>HYPERLINK("https://klasma.github.io/Logging_0885/klagomålsmail/A 9745-2023 FSC-klagomål mail.docx", "A 9745-2023")</f>
        <v/>
      </c>
      <c r="AC92">
        <f>HYPERLINK("https://klasma.github.io/Logging_0885/tillsyn/A 9745-2023 tillsynsbegäran.docx", "A 9745-2023")</f>
        <v/>
      </c>
      <c r="AD92">
        <f>HYPERLINK("https://klasma.github.io/Logging_0885/tillsynsmail/A 9745-2023 tillsynsbegäran mail.docx", "A 9745-2023")</f>
        <v/>
      </c>
    </row>
    <row r="93" ht="15" customHeight="1">
      <c r="A93" t="inlineStr">
        <is>
          <t>A 31720-2022</t>
        </is>
      </c>
      <c r="B93" t="inlineStr">
        <is>
          <t>avverkningsanmälan</t>
        </is>
      </c>
      <c r="C93" t="inlineStr">
        <is>
          <t>Föryngringsavverkning</t>
        </is>
      </c>
      <c r="D93" s="1" t="n">
        <v>44776</v>
      </c>
      <c r="E93" s="1" t="n">
        <v>46282</v>
      </c>
      <c r="F93" t="inlineStr">
        <is>
          <t>KALMAR LÄN</t>
        </is>
      </c>
      <c r="G93" t="inlineStr">
        <is>
          <t>BORGHOLM</t>
        </is>
      </c>
      <c r="H93" t="inlineStr">
        <is>
          <t>Sveaskog</t>
        </is>
      </c>
      <c r="I93" t="n">
        <v>4.5</v>
      </c>
      <c r="J93" t="n">
        <v>1</v>
      </c>
      <c r="K93" t="n">
        <v>1</v>
      </c>
      <c r="L93" t="n">
        <v>0</v>
      </c>
      <c r="M93" t="n">
        <v>0</v>
      </c>
      <c r="N93" t="n">
        <v>0</v>
      </c>
      <c r="O93" t="n">
        <v>0</v>
      </c>
      <c r="P93" t="n">
        <v>0</v>
      </c>
      <c r="Q93" t="n">
        <v>0</v>
      </c>
      <c r="R93" t="n">
        <v>0</v>
      </c>
      <c r="S93" t="n">
        <v>1</v>
      </c>
      <c r="T93" t="n">
        <v>1</v>
      </c>
      <c r="U93" t="n">
        <v>1</v>
      </c>
      <c r="V93" s="2" t="inlineStr">
        <is>
          <t>Tvåblad</t>
        </is>
      </c>
      <c r="W93">
        <f>HYPERLINK("https://klasma.github.io/Logging_0885/artfynd/A 31720-2022 artfynd.xlsx", "A 31720-2022")</f>
        <v/>
      </c>
      <c r="X93">
        <f>HYPERLINK("https://klasma.github.io/Logging_0885/kartor/A 31720-2022 karta.png", "A 31720-2022")</f>
        <v/>
      </c>
      <c r="Y93">
        <f>HYPERLINK("https://klasma.github.io/Logging_0885/kartor_geotiff/A 31720-2022 georefererad karta.tif", "A 31720-2022")</f>
        <v/>
      </c>
      <c r="AA93">
        <f>HYPERLINK("https://klasma.github.io/Logging_0885/klagomål/A 31720-2022 FSC-klagomål.docx", "A 31720-2022")</f>
        <v/>
      </c>
      <c r="AB93">
        <f>HYPERLINK("https://klasma.github.io/Logging_0885/klagomålsmail/A 31720-2022 FSC-klagomål mail.docx", "A 31720-2022")</f>
        <v/>
      </c>
      <c r="AC93">
        <f>HYPERLINK("https://klasma.github.io/Logging_0885/tillsyn/A 31720-2022 tillsynsbegäran.docx", "A 31720-2022")</f>
        <v/>
      </c>
      <c r="AD93">
        <f>HYPERLINK("https://klasma.github.io/Logging_0885/tillsynsmail/A 31720-2022 tillsynsbegäran mail.docx", "A 31720-2022")</f>
        <v/>
      </c>
    </row>
    <row r="94" ht="15" customHeight="1">
      <c r="A94" t="inlineStr">
        <is>
          <t>A 19867-2024</t>
        </is>
      </c>
      <c r="B94" t="inlineStr">
        <is>
          <t>avverkningsanmälan</t>
        </is>
      </c>
      <c r="C94" t="inlineStr">
        <is>
          <t>Föryngringsavverkning</t>
        </is>
      </c>
      <c r="D94" s="1" t="n">
        <v>45433</v>
      </c>
      <c r="E94" s="1" t="n">
        <v>46282</v>
      </c>
      <c r="F94" t="inlineStr">
        <is>
          <t>KALMAR LÄN</t>
        </is>
      </c>
      <c r="G94" t="inlineStr">
        <is>
          <t>BORGHOLM</t>
        </is>
      </c>
      <c r="I94" t="n">
        <v>3.9</v>
      </c>
      <c r="J94" t="n">
        <v>0</v>
      </c>
      <c r="K94" t="n">
        <v>0</v>
      </c>
      <c r="L94" t="n">
        <v>1</v>
      </c>
      <c r="M94" t="n">
        <v>0</v>
      </c>
      <c r="N94" t="n">
        <v>0</v>
      </c>
      <c r="O94" t="n">
        <v>0</v>
      </c>
      <c r="P94" t="n">
        <v>0</v>
      </c>
      <c r="Q94" t="n">
        <v>1</v>
      </c>
      <c r="R94" t="n">
        <v>0</v>
      </c>
      <c r="S94" t="n">
        <v>1</v>
      </c>
      <c r="T94" t="n">
        <v>1</v>
      </c>
      <c r="U94" t="n">
        <v>1</v>
      </c>
      <c r="V94" s="2" t="inlineStr">
        <is>
          <t>Åkerkulla</t>
        </is>
      </c>
      <c r="W94">
        <f>HYPERLINK("https://klasma.github.io/Logging_0885/artfynd/A 19867-2024 artfynd.xlsx", "A 19867-2024")</f>
        <v/>
      </c>
      <c r="X94">
        <f>HYPERLINK("https://klasma.github.io/Logging_0885/kartor/A 19867-2024 karta.png", "A 19867-2024")</f>
        <v/>
      </c>
      <c r="Y94">
        <f>HYPERLINK("https://klasma.github.io/Logging_0885/kartor_geotiff/A 19867-2024 georefererad karta.tif", "A 19867-2024")</f>
        <v/>
      </c>
      <c r="AA94">
        <f>HYPERLINK("https://klasma.github.io/Logging_0885/klagomål/A 19867-2024 FSC-klagomål.docx", "A 19867-2024")</f>
        <v/>
      </c>
      <c r="AB94">
        <f>HYPERLINK("https://klasma.github.io/Logging_0885/klagomålsmail/A 19867-2024 FSC-klagomål mail.docx", "A 19867-2024")</f>
        <v/>
      </c>
      <c r="AC94">
        <f>HYPERLINK("https://klasma.github.io/Logging_0885/tillsyn/A 19867-2024 tillsynsbegäran.docx", "A 19867-2024")</f>
        <v/>
      </c>
      <c r="AD94">
        <f>HYPERLINK("https://klasma.github.io/Logging_0885/tillsynsmail/A 19867-2024 tillsynsbegäran mail.docx", "A 19867-2024")</f>
        <v/>
      </c>
    </row>
    <row r="95" ht="15" customHeight="1">
      <c r="A95" t="inlineStr">
        <is>
          <t>A 26840-2026</t>
        </is>
      </c>
      <c r="B95" t="inlineStr">
        <is>
          <t>avverkningsanmälan</t>
        </is>
      </c>
      <c r="C95" t="inlineStr">
        <is>
          <t>Avverkning för att bevara och utveckla /försöksver</t>
        </is>
      </c>
      <c r="D95" s="1" t="n">
        <v>46185</v>
      </c>
      <c r="E95" s="1" t="n">
        <v>46282</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28374-2026</t>
        </is>
      </c>
      <c r="B96" t="inlineStr">
        <is>
          <t>avverkningsanmälan</t>
        </is>
      </c>
      <c r="C96" t="inlineStr">
        <is>
          <t>Avverkning för att bevara och utveckla /försöksver</t>
        </is>
      </c>
      <c r="D96" s="1" t="n">
        <v>46196</v>
      </c>
      <c r="E96" s="1" t="n">
        <v>46282</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28430-2026</t>
        </is>
      </c>
      <c r="B97" t="inlineStr">
        <is>
          <t>avverkningsanmälan</t>
        </is>
      </c>
      <c r="C97" t="inlineStr">
        <is>
          <t>Avverkning för att bevara och utveckla /försöksver</t>
        </is>
      </c>
      <c r="D97" s="1" t="n">
        <v>46197</v>
      </c>
      <c r="E97" s="1" t="n">
        <v>46282</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33293-2026</t>
        </is>
      </c>
      <c r="B98" t="inlineStr">
        <is>
          <t>avverkningsanmälan</t>
        </is>
      </c>
      <c r="C98" t="inlineStr">
        <is>
          <t>Avverkning för att bevara och utveckla /försöksver</t>
        </is>
      </c>
      <c r="D98" s="1" t="n">
        <v>46246</v>
      </c>
      <c r="E98" s="1" t="n">
        <v>46282</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13043-2024</t>
        </is>
      </c>
      <c r="B99" t="inlineStr">
        <is>
          <t>avverkningsanmälan</t>
        </is>
      </c>
      <c r="C99" t="inlineStr">
        <is>
          <t>Föryngringsavverkning</t>
        </is>
      </c>
      <c r="D99" s="1" t="n">
        <v>45385</v>
      </c>
      <c r="E99" s="1" t="n">
        <v>46282</v>
      </c>
      <c r="F99" t="inlineStr">
        <is>
          <t>KALMAR LÄN</t>
        </is>
      </c>
      <c r="G99" t="inlineStr">
        <is>
          <t>BORGHOLM</t>
        </is>
      </c>
      <c r="I99" t="n">
        <v>0.4</v>
      </c>
      <c r="J99" t="n">
        <v>1</v>
      </c>
      <c r="K99" t="n">
        <v>1</v>
      </c>
      <c r="L99" t="n">
        <v>0</v>
      </c>
      <c r="M99" t="n">
        <v>0</v>
      </c>
      <c r="N99" t="n">
        <v>0</v>
      </c>
      <c r="O99" t="n">
        <v>0</v>
      </c>
      <c r="P99" t="n">
        <v>0</v>
      </c>
      <c r="Q99" t="n">
        <v>0</v>
      </c>
      <c r="R99" t="n">
        <v>0</v>
      </c>
      <c r="S99" t="n">
        <v>1</v>
      </c>
      <c r="T99" t="n">
        <v>1</v>
      </c>
      <c r="U99" t="n">
        <v>0</v>
      </c>
      <c r="V99" s="2" t="inlineStr">
        <is>
          <t>Ekoxe</t>
        </is>
      </c>
      <c r="W99">
        <f>HYPERLINK("https://klasma.github.io/Logging_0885/artfynd/A 13043-2024 artfynd.xlsx", "A 13043-2024")</f>
        <v/>
      </c>
      <c r="X99">
        <f>HYPERLINK("https://klasma.github.io/Logging_0885/kartor/A 13043-2024 karta.png", "A 13043-2024")</f>
        <v/>
      </c>
      <c r="Y99">
        <f>HYPERLINK("https://klasma.github.io/Logging_0885/kartor_geotiff/A 13043-2024 georefererad karta.tif", "A 13043-2024")</f>
        <v/>
      </c>
      <c r="AA99">
        <f>HYPERLINK("https://klasma.github.io/Logging_0885/klagomål/A 13043-2024 FSC-klagomål.docx", "A 13043-2024")</f>
        <v/>
      </c>
      <c r="AB99">
        <f>HYPERLINK("https://klasma.github.io/Logging_0885/klagomålsmail/A 13043-2024 FSC-klagomål mail.docx", "A 13043-2024")</f>
        <v/>
      </c>
      <c r="AC99">
        <f>HYPERLINK("https://klasma.github.io/Logging_0885/tillsyn/A 13043-2024 tillsynsbegäran.docx", "A 13043-2024")</f>
        <v/>
      </c>
      <c r="AD99">
        <f>HYPERLINK("https://klasma.github.io/Logging_0885/tillsynsmail/A 13043-2024 tillsynsbegäran mail.docx", "A 13043-2024")</f>
        <v/>
      </c>
    </row>
    <row r="100" ht="15" customHeight="1">
      <c r="A100" t="inlineStr">
        <is>
          <t>A 20878-2024</t>
        </is>
      </c>
      <c r="B100" t="inlineStr">
        <is>
          <t>avverkningsanmälan</t>
        </is>
      </c>
      <c r="C100" t="inlineStr">
        <is>
          <t>Föryngringsavverkning</t>
        </is>
      </c>
      <c r="D100" s="1" t="n">
        <v>45439</v>
      </c>
      <c r="E100" s="1" t="n">
        <v>46282</v>
      </c>
      <c r="F100" t="inlineStr">
        <is>
          <t>KALMAR LÄN</t>
        </is>
      </c>
      <c r="G100" t="inlineStr">
        <is>
          <t>BORGHOLM</t>
        </is>
      </c>
      <c r="I100" t="n">
        <v>1.9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HYPERLINK("https://klasma.github.io/Logging_0885/artfynd/A 20878-2024 artfynd.xlsx", "A 20878-2024")</f>
        <v/>
      </c>
      <c r="X100">
        <f>HYPERLINK("https://klasma.github.io/Logging_0885/kartor/A 20878-2024 karta.png", "A 20878-2024")</f>
        <v/>
      </c>
      <c r="Y100">
        <f>HYPERLINK("https://klasma.github.io/Logging_0885/kartor_geotiff/A 20878-2024 georefererad karta.tif", "A 20878-2024")</f>
        <v/>
      </c>
      <c r="AA100">
        <f>HYPERLINK("https://klasma.github.io/Logging_0885/klagomål/A 20878-2024 FSC-klagomål.docx", "A 20878-2024")</f>
        <v/>
      </c>
      <c r="AB100">
        <f>HYPERLINK("https://klasma.github.io/Logging_0885/klagomålsmail/A 20878-2024 FSC-klagomål mail.docx", "A 20878-2024")</f>
        <v/>
      </c>
      <c r="AC100">
        <f>HYPERLINK("https://klasma.github.io/Logging_0885/tillsyn/A 20878-2024 tillsynsbegäran.docx", "A 20878-2024")</f>
        <v/>
      </c>
      <c r="AD100">
        <f>HYPERLINK("https://klasma.github.io/Logging_0885/tillsynsmail/A 20878-2024 tillsynsbegäran mail.docx", "A 20878-2024")</f>
        <v/>
      </c>
    </row>
    <row r="101" ht="15" customHeight="1">
      <c r="A101" t="inlineStr">
        <is>
          <t>S 2390-2023</t>
        </is>
      </c>
      <c r="B101" t="inlineStr">
        <is>
          <t>samrådsanmälan</t>
        </is>
      </c>
      <c r="C101" t="inlineStr">
        <is>
          <t>Annan skogsbruksåtgärd</t>
        </is>
      </c>
      <c r="D101" s="1" t="n">
        <v>45111</v>
      </c>
      <c r="E101" s="1" t="n">
        <v>46282</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46282</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46282</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1803-2026</t>
        </is>
      </c>
      <c r="B104" t="inlineStr">
        <is>
          <t>samrådsanmälan</t>
        </is>
      </c>
      <c r="C104" t="inlineStr">
        <is>
          <t>Annan skogsbruksåtgärd</t>
        </is>
      </c>
      <c r="D104" s="1" t="n">
        <v>46196</v>
      </c>
      <c r="E104" s="1" t="n">
        <v>46282</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1813-2026</t>
        </is>
      </c>
      <c r="B105" t="inlineStr">
        <is>
          <t>samrådsanmälan</t>
        </is>
      </c>
      <c r="C105" t="inlineStr">
        <is>
          <t>Annan skogsbruksåtgärd</t>
        </is>
      </c>
      <c r="D105" s="1" t="n">
        <v>46197</v>
      </c>
      <c r="E105" s="1" t="n">
        <v>46282</v>
      </c>
      <c r="F105" t="inlineStr">
        <is>
          <t>KALMAR LÄN</t>
        </is>
      </c>
      <c r="G105" t="inlineStr">
        <is>
          <t>BORGHOLM</t>
        </is>
      </c>
      <c r="H105" t="inlineStr">
        <is>
          <t>Sveaskog</t>
        </is>
      </c>
      <c r="I105" t="n">
        <v>1.8</v>
      </c>
      <c r="J105" t="n">
        <v>0</v>
      </c>
      <c r="K105" t="n">
        <v>0</v>
      </c>
      <c r="L105" t="n">
        <v>1</v>
      </c>
      <c r="M105" t="n">
        <v>0</v>
      </c>
      <c r="N105" t="n">
        <v>0</v>
      </c>
      <c r="O105" t="n">
        <v>0</v>
      </c>
      <c r="P105" t="n">
        <v>0</v>
      </c>
      <c r="Q105" t="n">
        <v>1</v>
      </c>
      <c r="R105" t="n">
        <v>0</v>
      </c>
      <c r="S105" t="n">
        <v>1</v>
      </c>
      <c r="T105" t="n">
        <v>2</v>
      </c>
      <c r="U105" t="n">
        <v>0</v>
      </c>
      <c r="V105" s="2" t="inlineStr">
        <is>
          <t>Oxtungssvamp</t>
        </is>
      </c>
      <c r="W105">
        <f>HYPERLINK("https://klasma.github.io/Logging_0885/artfynd/S 1813-2026 artfynd.xlsx", "S 1813-2026")</f>
        <v/>
      </c>
      <c r="X105">
        <f>HYPERLINK("https://klasma.github.io/Logging_0885/kartor/S 1813-2026 karta.png", "S 1813-2026")</f>
        <v/>
      </c>
      <c r="Y105">
        <f>HYPERLINK("https://klasma.github.io/Logging_0885/kartor_geotiff/S 1813-2026 georefererad karta.tif", "S 1813-2026")</f>
        <v/>
      </c>
      <c r="AA105">
        <f>HYPERLINK("https://klasma.github.io/Logging_0885/klagomål/S 1813-2026 FSC-klagomål.docx", "S 1813-2026")</f>
        <v/>
      </c>
      <c r="AB105">
        <f>HYPERLINK("https://klasma.github.io/Logging_0885/klagomålsmail/S 1813-2026 FSC-klagomål mail.docx", "S 1813-2026")</f>
        <v/>
      </c>
      <c r="AC105">
        <f>HYPERLINK("https://klasma.github.io/Logging_0885/tillsyn/S 1813-2026 tillsynsbegäran.docx", "S 1813-2026")</f>
        <v/>
      </c>
      <c r="AD105">
        <f>HYPERLINK("https://klasma.github.io/Logging_0885/tillsynsmail/S 1813-2026 tillsynsbegäran mail.docx", "S 1813-2026")</f>
        <v/>
      </c>
    </row>
    <row r="106" ht="15" customHeight="1">
      <c r="A106" t="inlineStr">
        <is>
          <t>S 2140-2026</t>
        </is>
      </c>
      <c r="B106" t="inlineStr">
        <is>
          <t>samrådsanmälan</t>
        </is>
      </c>
      <c r="C106" t="inlineStr">
        <is>
          <t>Annan skogsbruksåtgärd</t>
        </is>
      </c>
      <c r="D106" s="1" t="n">
        <v>46246</v>
      </c>
      <c r="E106" s="1" t="n">
        <v>46282</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46282</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46282</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46282</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46282</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46282</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46282</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46282</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27437-2022</t>
        </is>
      </c>
      <c r="B114" t="inlineStr">
        <is>
          <t>avverkningsanmälan</t>
        </is>
      </c>
      <c r="C114" t="inlineStr">
        <is>
          <t>Föryngringsavverkning</t>
        </is>
      </c>
      <c r="D114" s="1" t="n">
        <v>44742</v>
      </c>
      <c r="E114" s="1" t="n">
        <v>46282</v>
      </c>
      <c r="F114" t="inlineStr">
        <is>
          <t>KALMAR LÄN</t>
        </is>
      </c>
      <c r="G114" t="inlineStr">
        <is>
          <t>BORGHOLM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12937-2022</t>
        </is>
      </c>
      <c r="B115" t="inlineStr">
        <is>
          <t>avverkningsanmälan</t>
        </is>
      </c>
      <c r="C115" t="inlineStr">
        <is>
          <t>Föryngringsavverkning</t>
        </is>
      </c>
      <c r="D115" s="1" t="n">
        <v>44642</v>
      </c>
      <c r="E115" s="1" t="n">
        <v>46282</v>
      </c>
      <c r="F115" t="inlineStr">
        <is>
          <t>KALMAR LÄN</t>
        </is>
      </c>
      <c r="G115" t="inlineStr">
        <is>
          <t>BORGHOLM</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3878-2023</t>
        </is>
      </c>
      <c r="B116" t="inlineStr">
        <is>
          <t>avverkningsanmälan</t>
        </is>
      </c>
      <c r="C116" t="inlineStr">
        <is>
          <t>Föryngringsavverkning</t>
        </is>
      </c>
      <c r="D116" s="1" t="n">
        <v>44951</v>
      </c>
      <c r="E116" s="1" t="n">
        <v>46282</v>
      </c>
      <c r="F116" t="inlineStr">
        <is>
          <t>KALMAR LÄN</t>
        </is>
      </c>
      <c r="G116" t="inlineStr">
        <is>
          <t>BORGHOLM</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64303-2023</t>
        </is>
      </c>
      <c r="B117" t="inlineStr">
        <is>
          <t>avverkningsanmälan</t>
        </is>
      </c>
      <c r="C117" t="inlineStr">
        <is>
          <t>Avverkning för annat ändamål</t>
        </is>
      </c>
      <c r="D117" s="1" t="n">
        <v>45280</v>
      </c>
      <c r="E117" s="1" t="n">
        <v>46282</v>
      </c>
      <c r="F117" t="inlineStr">
        <is>
          <t>KALMAR LÄN</t>
        </is>
      </c>
      <c r="G117" t="inlineStr">
        <is>
          <t>BORGHOLM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40339-2023</t>
        </is>
      </c>
      <c r="B118" t="inlineStr">
        <is>
          <t>avverkningsanmälan</t>
        </is>
      </c>
      <c r="C118" t="inlineStr">
        <is>
          <t>Föryngringsavverkning</t>
        </is>
      </c>
      <c r="D118" s="1" t="n">
        <v>45169</v>
      </c>
      <c r="E118" s="1" t="n">
        <v>46282</v>
      </c>
      <c r="F118" t="inlineStr">
        <is>
          <t>KALMAR LÄN</t>
        </is>
      </c>
      <c r="G118" t="inlineStr">
        <is>
          <t>BORGHOLM</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26190-2025</t>
        </is>
      </c>
      <c r="B119" t="inlineStr">
        <is>
          <t>avverkningsanmälan</t>
        </is>
      </c>
      <c r="C119" t="inlineStr">
        <is>
          <t>Föryngringsavverkning</t>
        </is>
      </c>
      <c r="D119" s="1" t="n">
        <v>45805</v>
      </c>
      <c r="E119" s="1" t="n">
        <v>46282</v>
      </c>
      <c r="F119" t="inlineStr">
        <is>
          <t>KALMAR LÄN</t>
        </is>
      </c>
      <c r="G119" t="inlineStr">
        <is>
          <t>BORGHOLM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55367-2024</t>
        </is>
      </c>
      <c r="B120" t="inlineStr">
        <is>
          <t>avverkningsanmälan</t>
        </is>
      </c>
      <c r="C120" t="inlineStr">
        <is>
          <t>Föryngringsavverkning</t>
        </is>
      </c>
      <c r="D120" s="1" t="n">
        <v>45621</v>
      </c>
      <c r="E120" s="1" t="n">
        <v>46282</v>
      </c>
      <c r="F120" t="inlineStr">
        <is>
          <t>KALMAR LÄN</t>
        </is>
      </c>
      <c r="G120" t="inlineStr">
        <is>
          <t>BORGHOLM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46282</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46282</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46282</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46282</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36269-2025</t>
        </is>
      </c>
      <c r="B125" t="inlineStr">
        <is>
          <t>avverkningsanmälan</t>
        </is>
      </c>
      <c r="C125" t="inlineStr">
        <is>
          <t>Föryngringsavverkning</t>
        </is>
      </c>
      <c r="D125" s="1" t="n">
        <v>45867</v>
      </c>
      <c r="E125" s="1" t="n">
        <v>46282</v>
      </c>
      <c r="F125" t="inlineStr">
        <is>
          <t>KALMAR LÄN</t>
        </is>
      </c>
      <c r="G125" t="inlineStr">
        <is>
          <t>BORGHOLM</t>
        </is>
      </c>
      <c r="H125" t="inlineStr">
        <is>
          <t>Sveaskog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32921-2023</t>
        </is>
      </c>
      <c r="B126" t="inlineStr">
        <is>
          <t>avverkningsanmälan</t>
        </is>
      </c>
      <c r="C126" t="inlineStr">
        <is>
          <t>Föryngringsavverkning</t>
        </is>
      </c>
      <c r="D126" s="1" t="n">
        <v>45125</v>
      </c>
      <c r="E126" s="1" t="n">
        <v>46282</v>
      </c>
      <c r="F126" t="inlineStr">
        <is>
          <t>KALMAR LÄN</t>
        </is>
      </c>
      <c r="G126" t="inlineStr">
        <is>
          <t>BORGHOLM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31699-2022</t>
        </is>
      </c>
      <c r="B127" t="inlineStr">
        <is>
          <t>avverkningsanmälan</t>
        </is>
      </c>
      <c r="C127" t="inlineStr">
        <is>
          <t>Föryngringsavverkning</t>
        </is>
      </c>
      <c r="D127" s="1" t="n">
        <v>44776</v>
      </c>
      <c r="E127" s="1" t="n">
        <v>46282</v>
      </c>
      <c r="F127" t="inlineStr">
        <is>
          <t>KALMAR LÄN</t>
        </is>
      </c>
      <c r="G127" t="inlineStr">
        <is>
          <t>BORGHOLM</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1614-2025</t>
        </is>
      </c>
      <c r="B128" t="inlineStr">
        <is>
          <t>avverkningsanmälan</t>
        </is>
      </c>
      <c r="C128" t="inlineStr">
        <is>
          <t>Föryngringsavverkning</t>
        </is>
      </c>
      <c r="D128" s="1" t="n">
        <v>45670</v>
      </c>
      <c r="E128" s="1" t="n">
        <v>46282</v>
      </c>
      <c r="F128" t="inlineStr">
        <is>
          <t>KALMAR LÄN</t>
        </is>
      </c>
      <c r="G128" t="inlineStr">
        <is>
          <t>BORGHOLM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9259-2026</t>
        </is>
      </c>
      <c r="B129" t="inlineStr">
        <is>
          <t>avverkningsanmälan</t>
        </is>
      </c>
      <c r="C129" t="inlineStr">
        <is>
          <t>Föryngringsavverkning</t>
        </is>
      </c>
      <c r="D129" s="1" t="n">
        <v>46070</v>
      </c>
      <c r="E129" s="1" t="n">
        <v>46282</v>
      </c>
      <c r="F129" t="inlineStr">
        <is>
          <t>KALMAR LÄN</t>
        </is>
      </c>
      <c r="G129" t="inlineStr">
        <is>
          <t>BORGHOLM</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46282</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1757-2025</t>
        </is>
      </c>
      <c r="B131" t="inlineStr">
        <is>
          <t>avverkningsanmälan</t>
        </is>
      </c>
      <c r="C131" t="inlineStr">
        <is>
          <t>Föryngringsavverkning</t>
        </is>
      </c>
      <c r="D131" s="1" t="n">
        <v>45671</v>
      </c>
      <c r="E131" s="1" t="n">
        <v>46282</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15272-2026</t>
        </is>
      </c>
      <c r="B132" t="inlineStr">
        <is>
          <t>avverkningsanmälan</t>
        </is>
      </c>
      <c r="C132" t="inlineStr">
        <is>
          <t>Avverkning för att bevara och utveckla /försöksver</t>
        </is>
      </c>
      <c r="D132" s="1" t="n">
        <v>46105</v>
      </c>
      <c r="E132" s="1" t="n">
        <v>46282</v>
      </c>
      <c r="F132" t="inlineStr">
        <is>
          <t>KALMAR LÄN</t>
        </is>
      </c>
      <c r="G132" t="inlineStr">
        <is>
          <t>BORGHOLM</t>
        </is>
      </c>
      <c r="H132" t="inlineStr">
        <is>
          <t>Sveaskog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15279-2026</t>
        </is>
      </c>
      <c r="B133" t="inlineStr">
        <is>
          <t>avverkningsanmälan</t>
        </is>
      </c>
      <c r="C133" t="inlineStr">
        <is>
          <t>Avverkning för att bevara och utveckla /försöksver</t>
        </is>
      </c>
      <c r="D133" s="1" t="n">
        <v>46105</v>
      </c>
      <c r="E133" s="1" t="n">
        <v>46282</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15264-2026</t>
        </is>
      </c>
      <c r="B134" t="inlineStr">
        <is>
          <t>avverkningsanmälan</t>
        </is>
      </c>
      <c r="C134" t="inlineStr">
        <is>
          <t>Avverkning för att bevara och utveckla /försöksver</t>
        </is>
      </c>
      <c r="D134" s="1" t="n">
        <v>46105</v>
      </c>
      <c r="E134" s="1" t="n">
        <v>46282</v>
      </c>
      <c r="F134" t="inlineStr">
        <is>
          <t>KALMAR LÄN</t>
        </is>
      </c>
      <c r="G134" t="inlineStr">
        <is>
          <t>BORGHOLM</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9050-2025</t>
        </is>
      </c>
      <c r="B135" t="inlineStr">
        <is>
          <t>avverkningsanmälan</t>
        </is>
      </c>
      <c r="C135" t="inlineStr">
        <is>
          <t>Avverkning för att bevara och utveckla /försöksver</t>
        </is>
      </c>
      <c r="D135" s="1" t="n">
        <v>45713</v>
      </c>
      <c r="E135" s="1" t="n">
        <v>46282</v>
      </c>
      <c r="F135" t="inlineStr">
        <is>
          <t>KALMAR LÄN</t>
        </is>
      </c>
      <c r="G135" t="inlineStr">
        <is>
          <t>BORGHOLM</t>
        </is>
      </c>
      <c r="H135" t="inlineStr">
        <is>
          <t>Sveaskog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43603-2024</t>
        </is>
      </c>
      <c r="B136" t="inlineStr">
        <is>
          <t>avverkningsanmälan</t>
        </is>
      </c>
      <c r="C136" t="inlineStr">
        <is>
          <t>Föryngringsavverkning</t>
        </is>
      </c>
      <c r="D136" s="1" t="n">
        <v>45569</v>
      </c>
      <c r="E136" s="1" t="n">
        <v>46282</v>
      </c>
      <c r="F136" t="inlineStr">
        <is>
          <t>KALMAR LÄN</t>
        </is>
      </c>
      <c r="G136" t="inlineStr">
        <is>
          <t>BORGHOLM</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27357-2025</t>
        </is>
      </c>
      <c r="B137" t="inlineStr">
        <is>
          <t>avverkningsanmälan</t>
        </is>
      </c>
      <c r="C137" t="inlineStr">
        <is>
          <t>Avverkning för att bevara och utveckla /försöksver</t>
        </is>
      </c>
      <c r="D137" s="1" t="n">
        <v>45812</v>
      </c>
      <c r="E137" s="1" t="n">
        <v>46282</v>
      </c>
      <c r="F137" t="inlineStr">
        <is>
          <t>KALMAR LÄN</t>
        </is>
      </c>
      <c r="G137" t="inlineStr">
        <is>
          <t>BORGHOLM</t>
        </is>
      </c>
      <c r="H137" t="inlineStr">
        <is>
          <t>Sveaskog</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46282</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7669-2024</t>
        </is>
      </c>
      <c r="B139" t="inlineStr">
        <is>
          <t>avverkningsanmälan</t>
        </is>
      </c>
      <c r="C139" t="inlineStr">
        <is>
          <t>Föryngringsavverkning</t>
        </is>
      </c>
      <c r="D139" s="1" t="n">
        <v>45348</v>
      </c>
      <c r="E139" s="1" t="n">
        <v>46282</v>
      </c>
      <c r="F139" t="inlineStr">
        <is>
          <t>KALMAR LÄN</t>
        </is>
      </c>
      <c r="G139" t="inlineStr">
        <is>
          <t>BORGHOLM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5175-2024</t>
        </is>
      </c>
      <c r="B140" t="inlineStr">
        <is>
          <t>avverkningsanmälan</t>
        </is>
      </c>
      <c r="C140" t="inlineStr">
        <is>
          <t>Föryngringsavverkning</t>
        </is>
      </c>
      <c r="D140" s="1" t="n">
        <v>45330</v>
      </c>
      <c r="E140" s="1" t="n">
        <v>46282</v>
      </c>
      <c r="F140" t="inlineStr">
        <is>
          <t>KALMAR LÄN</t>
        </is>
      </c>
      <c r="G140" t="inlineStr">
        <is>
          <t>BORGHOLM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24323-2026</t>
        </is>
      </c>
      <c r="B141" t="inlineStr">
        <is>
          <t>avverkningsanmälan</t>
        </is>
      </c>
      <c r="C141" t="inlineStr">
        <is>
          <t>Föryngringsavverkning</t>
        </is>
      </c>
      <c r="D141" s="1" t="n">
        <v>46169</v>
      </c>
      <c r="E141" s="1" t="n">
        <v>46282</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34951-2022</t>
        </is>
      </c>
      <c r="B142" t="inlineStr">
        <is>
          <t>avverkningsanmälan</t>
        </is>
      </c>
      <c r="C142" t="inlineStr">
        <is>
          <t>Avverkning för att bevara och utveckla /försöksver</t>
        </is>
      </c>
      <c r="D142" s="1" t="n">
        <v>44796</v>
      </c>
      <c r="E142" s="1" t="n">
        <v>46282</v>
      </c>
      <c r="F142" t="inlineStr">
        <is>
          <t>KALMAR LÄN</t>
        </is>
      </c>
      <c r="G142" t="inlineStr">
        <is>
          <t>BORGHOLM</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24338-2026</t>
        </is>
      </c>
      <c r="B143" t="inlineStr">
        <is>
          <t>avverkningsanmälan</t>
        </is>
      </c>
      <c r="C143" t="inlineStr">
        <is>
          <t>Avverkning för att bevara och utveckla /försöksver</t>
        </is>
      </c>
      <c r="D143" s="1" t="n">
        <v>46169</v>
      </c>
      <c r="E143" s="1" t="n">
        <v>46282</v>
      </c>
      <c r="F143" t="inlineStr">
        <is>
          <t>KALMAR LÄN</t>
        </is>
      </c>
      <c r="G143" t="inlineStr">
        <is>
          <t>BORGHOLM</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13383-2023</t>
        </is>
      </c>
      <c r="B144" t="inlineStr">
        <is>
          <t>avverkningsanmälan</t>
        </is>
      </c>
      <c r="C144" t="inlineStr">
        <is>
          <t>Föryngringsavverkning</t>
        </is>
      </c>
      <c r="D144" s="1" t="n">
        <v>45005</v>
      </c>
      <c r="E144" s="1" t="n">
        <v>46282</v>
      </c>
      <c r="F144" t="inlineStr">
        <is>
          <t>KALMAR LÄN</t>
        </is>
      </c>
      <c r="G144" t="inlineStr">
        <is>
          <t>BORGHOLM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61438-2023</t>
        </is>
      </c>
      <c r="B145" t="inlineStr">
        <is>
          <t>avverkningsanmälan</t>
        </is>
      </c>
      <c r="C145" t="inlineStr">
        <is>
          <t>Avverkning för annat ändamål</t>
        </is>
      </c>
      <c r="D145" s="1" t="n">
        <v>45264</v>
      </c>
      <c r="E145" s="1" t="n">
        <v>46282</v>
      </c>
      <c r="F145" t="inlineStr">
        <is>
          <t>KALMAR LÄN</t>
        </is>
      </c>
      <c r="G145" t="inlineStr">
        <is>
          <t>BORGHOLM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13041-2024</t>
        </is>
      </c>
      <c r="B146" t="inlineStr">
        <is>
          <t>avverkningsanmälan</t>
        </is>
      </c>
      <c r="C146" t="inlineStr">
        <is>
          <t>Föryngringsavverkning</t>
        </is>
      </c>
      <c r="D146" s="1" t="n">
        <v>45385</v>
      </c>
      <c r="E146" s="1" t="n">
        <v>46282</v>
      </c>
      <c r="F146" t="inlineStr">
        <is>
          <t>KALMAR LÄN</t>
        </is>
      </c>
      <c r="G146" t="inlineStr">
        <is>
          <t>BORGHOLM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53050-2021</t>
        </is>
      </c>
      <c r="B147" t="inlineStr">
        <is>
          <t>avverkningsanmälan</t>
        </is>
      </c>
      <c r="C147" t="inlineStr">
        <is>
          <t>Föryngringsavverkning</t>
        </is>
      </c>
      <c r="D147" s="1" t="n">
        <v>44467</v>
      </c>
      <c r="E147" s="1" t="n">
        <v>46282</v>
      </c>
      <c r="F147" t="inlineStr">
        <is>
          <t>KALMAR LÄN</t>
        </is>
      </c>
      <c r="G147" t="inlineStr">
        <is>
          <t>BORGHOLM</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4165-2023</t>
        </is>
      </c>
      <c r="B148" t="inlineStr">
        <is>
          <t>avverkningsanmälan</t>
        </is>
      </c>
      <c r="C148" t="inlineStr">
        <is>
          <t>Föryngringsavverkning</t>
        </is>
      </c>
      <c r="D148" s="1" t="n">
        <v>44953</v>
      </c>
      <c r="E148" s="1" t="n">
        <v>46282</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28381-2026</t>
        </is>
      </c>
      <c r="B149" t="inlineStr">
        <is>
          <t>avverkningsanmälan</t>
        </is>
      </c>
      <c r="C149" t="inlineStr">
        <is>
          <t>Avverkning för att bevara och utveckla /försöksver</t>
        </is>
      </c>
      <c r="D149" s="1" t="n">
        <v>46196</v>
      </c>
      <c r="E149" s="1" t="n">
        <v>46282</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28380-2026</t>
        </is>
      </c>
      <c r="B150" t="inlineStr">
        <is>
          <t>avverkningsanmälan</t>
        </is>
      </c>
      <c r="C150" t="inlineStr">
        <is>
          <t>Avverkning för att bevara och utveckla /försöksver</t>
        </is>
      </c>
      <c r="D150" s="1" t="n">
        <v>46196</v>
      </c>
      <c r="E150" s="1" t="n">
        <v>46282</v>
      </c>
      <c r="F150" t="inlineStr">
        <is>
          <t>KALMAR LÄN</t>
        </is>
      </c>
      <c r="G150" t="inlineStr">
        <is>
          <t>BORGHOLM</t>
        </is>
      </c>
      <c r="H150" t="inlineStr">
        <is>
          <t>Sveaskog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28411-2026</t>
        </is>
      </c>
      <c r="B151" t="inlineStr">
        <is>
          <t>avverkningsanmälan</t>
        </is>
      </c>
      <c r="C151" t="inlineStr">
        <is>
          <t>Avverkning för att bevara och utveckla /försöksver</t>
        </is>
      </c>
      <c r="D151" s="1" t="n">
        <v>46197</v>
      </c>
      <c r="E151" s="1" t="n">
        <v>46282</v>
      </c>
      <c r="F151" t="inlineStr">
        <is>
          <t>KALMAR LÄN</t>
        </is>
      </c>
      <c r="G151" t="inlineStr">
        <is>
          <t>BORGHOLM</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29413-2026</t>
        </is>
      </c>
      <c r="B152" t="inlineStr">
        <is>
          <t>avverkningsanmälan</t>
        </is>
      </c>
      <c r="C152" t="inlineStr">
        <is>
          <t>Avverkning för att bevara och utveckla /försöksver</t>
        </is>
      </c>
      <c r="D152" s="1" t="n">
        <v>46203</v>
      </c>
      <c r="E152" s="1" t="n">
        <v>46282</v>
      </c>
      <c r="F152" t="inlineStr">
        <is>
          <t>KALMAR LÄN</t>
        </is>
      </c>
      <c r="G152" t="inlineStr">
        <is>
          <t>BORGHOLM</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29414-2026</t>
        </is>
      </c>
      <c r="B153" t="inlineStr">
        <is>
          <t>avverkningsanmälan</t>
        </is>
      </c>
      <c r="C153" t="inlineStr">
        <is>
          <t>Avverkning för att bevara och utveckla /försöksver</t>
        </is>
      </c>
      <c r="D153" s="1" t="n">
        <v>46203</v>
      </c>
      <c r="E153" s="1" t="n">
        <v>46282</v>
      </c>
      <c r="F153" t="inlineStr">
        <is>
          <t>KALMAR LÄN</t>
        </is>
      </c>
      <c r="G153" t="inlineStr">
        <is>
          <t>BORGHOLM</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29431-2026</t>
        </is>
      </c>
      <c r="B154" t="inlineStr">
        <is>
          <t>avverkningsanmälan</t>
        </is>
      </c>
      <c r="C154" t="inlineStr">
        <is>
          <t>Avverkning för att bevara och utveckla /försöksver</t>
        </is>
      </c>
      <c r="D154" s="1" t="n">
        <v>46203</v>
      </c>
      <c r="E154" s="1" t="n">
        <v>46282</v>
      </c>
      <c r="F154" t="inlineStr">
        <is>
          <t>KALMAR LÄN</t>
        </is>
      </c>
      <c r="G154" t="inlineStr">
        <is>
          <t>BORGHOLM</t>
        </is>
      </c>
      <c r="H154" t="inlineStr">
        <is>
          <t>Sveaskog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29410-2026</t>
        </is>
      </c>
      <c r="B155" t="inlineStr">
        <is>
          <t>avverkningsanmälan</t>
        </is>
      </c>
      <c r="C155" t="inlineStr">
        <is>
          <t>Avverkning för att bevara och utveckla /försöksver</t>
        </is>
      </c>
      <c r="D155" s="1" t="n">
        <v>46203</v>
      </c>
      <c r="E155" s="1" t="n">
        <v>46282</v>
      </c>
      <c r="F155" t="inlineStr">
        <is>
          <t>KALMAR LÄN</t>
        </is>
      </c>
      <c r="G155" t="inlineStr">
        <is>
          <t>BORGHOLM</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34780-2022</t>
        </is>
      </c>
      <c r="B156" t="inlineStr">
        <is>
          <t>avverkningsanmälan</t>
        </is>
      </c>
      <c r="C156" t="inlineStr">
        <is>
          <t>Föryngringsavverkning</t>
        </is>
      </c>
      <c r="D156" s="1" t="n">
        <v>44795</v>
      </c>
      <c r="E156" s="1" t="n">
        <v>46282</v>
      </c>
      <c r="F156" t="inlineStr">
        <is>
          <t>KALMAR LÄN</t>
        </is>
      </c>
      <c r="G156" t="inlineStr">
        <is>
          <t>BORGHOLM</t>
        </is>
      </c>
      <c r="H156" t="inlineStr">
        <is>
          <t>Sveaskog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20287-2025</t>
        </is>
      </c>
      <c r="B157" t="inlineStr">
        <is>
          <t>avverkningsanmälan</t>
        </is>
      </c>
      <c r="C157" t="inlineStr">
        <is>
          <t>Avverkning för att bevara och utveckla /försöksver</t>
        </is>
      </c>
      <c r="D157" s="1" t="n">
        <v>45774</v>
      </c>
      <c r="E157" s="1" t="n">
        <v>46282</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26160-2024</t>
        </is>
      </c>
      <c r="B158" t="inlineStr">
        <is>
          <t>avverkningsanmälan</t>
        </is>
      </c>
      <c r="C158" t="inlineStr">
        <is>
          <t>Avverkning för annat ändamål</t>
        </is>
      </c>
      <c r="D158" s="1" t="n">
        <v>45468</v>
      </c>
      <c r="E158" s="1" t="n">
        <v>46282</v>
      </c>
      <c r="F158" t="inlineStr">
        <is>
          <t>KALMAR LÄN</t>
        </is>
      </c>
      <c r="G158" t="inlineStr">
        <is>
          <t>BORGHOLM</t>
        </is>
      </c>
      <c r="I158" t="n">
        <v>0.4</v>
      </c>
      <c r="J158" t="n">
        <v>0</v>
      </c>
      <c r="K158" t="n">
        <v>0</v>
      </c>
      <c r="L158" t="n">
        <v>0</v>
      </c>
      <c r="M158" t="n">
        <v>0</v>
      </c>
      <c r="N158" t="n">
        <v>0</v>
      </c>
      <c r="O158" t="n">
        <v>0</v>
      </c>
      <c r="P158" t="n">
        <v>0</v>
      </c>
      <c r="Q158" t="n">
        <v>0</v>
      </c>
      <c r="R158" t="n">
        <v>0</v>
      </c>
      <c r="S158" t="n">
        <v>0</v>
      </c>
      <c r="T158" t="n">
        <v>0</v>
      </c>
      <c r="U158" t="n">
        <v>0</v>
      </c>
      <c r="V158" s="2" t="inlineStr"/>
      <c r="X158">
        <f>HYPERLINK("https://klasma.github.io/Logging_0885/kartor/A 26160-2024 karta.png", "A 26160-2024")</f>
        <v/>
      </c>
      <c r="Y158">
        <f>HYPERLINK("https://klasma.github.io/Logging_0885/kartor_geotiff/A 26160-2024 georefererad karta.tif", "A 26160-2024")</f>
        <v/>
      </c>
      <c r="AA158">
        <f>HYPERLINK("https://klasma.github.io/Logging_0885/klagomål/A 26160-2024 FSC-klagomål.docx", "A 26160-2024")</f>
        <v/>
      </c>
      <c r="AB158">
        <f>HYPERLINK("https://klasma.github.io/Logging_0885/klagomålsmail/A 26160-2024 FSC-klagomål mail.docx", "A 26160-2024")</f>
        <v/>
      </c>
      <c r="AC158">
        <f>HYPERLINK("https://klasma.github.io/Logging_0885/tillsyn/A 26160-2024 tillsynsbegäran.docx", "A 26160-2024")</f>
        <v/>
      </c>
      <c r="AD158">
        <f>HYPERLINK("https://klasma.github.io/Logging_0885/tillsynsmail/A 26160-2024 tillsynsbegäran mail.docx", "A 26160-2024")</f>
        <v/>
      </c>
    </row>
    <row r="159" ht="15" customHeight="1">
      <c r="A159" t="inlineStr">
        <is>
          <t>A 63075-2023</t>
        </is>
      </c>
      <c r="B159" t="inlineStr">
        <is>
          <t>avverkningsanmälan</t>
        </is>
      </c>
      <c r="C159" t="inlineStr">
        <is>
          <t>Avverkning för annat ändamål</t>
        </is>
      </c>
      <c r="D159" s="1" t="n">
        <v>45273</v>
      </c>
      <c r="E159" s="1" t="n">
        <v>46282</v>
      </c>
      <c r="F159" t="inlineStr">
        <is>
          <t>KALMAR LÄN</t>
        </is>
      </c>
      <c r="G159" t="inlineStr">
        <is>
          <t>BORGHOLM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46282</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46282</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46282</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46282</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46282</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46282</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46282</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46282</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1556-2026</t>
        </is>
      </c>
      <c r="B168" t="inlineStr">
        <is>
          <t>samrådsanmälan</t>
        </is>
      </c>
      <c r="C168" t="inlineStr">
        <is>
          <t>Annan skogsbruksåtgärd</t>
        </is>
      </c>
      <c r="D168" s="1" t="n">
        <v>46169</v>
      </c>
      <c r="E168" s="1" t="n">
        <v>46282</v>
      </c>
      <c r="F168" t="inlineStr">
        <is>
          <t>KALMAR LÄN</t>
        </is>
      </c>
      <c r="G168" t="inlineStr">
        <is>
          <t>BORGHOLM</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46282</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46282</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46282</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46282</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46282</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46282</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46282</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2026-09-17T02:03:00Z</dcterms:created>
  <dcterms:modified xmlns:dcterms="http://purl.org/dc/terms/" xmlns:xsi="http://www.w3.org/2001/XMLSchema-instance" xsi:type="dcterms:W3CDTF">2026-09-17T02:03:01Z</dcterms:modified>
</cp:coreProperties>
</file>