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46048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46048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46048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46048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46048</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46048</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46048</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46048</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46048</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44008-2022</t>
        </is>
      </c>
      <c r="B20" s="1" t="n">
        <v>44838</v>
      </c>
      <c r="C20" s="1" t="n">
        <v>46048</v>
      </c>
      <c r="D20" t="inlineStr">
        <is>
          <t>KALMAR LÄN</t>
        </is>
      </c>
      <c r="E20" t="inlineStr">
        <is>
          <t>BORGHOLM</t>
        </is>
      </c>
      <c r="F20" t="inlineStr">
        <is>
          <t>Sveaskog</t>
        </is>
      </c>
      <c r="G20" t="n">
        <v>1.7</v>
      </c>
      <c r="H20" t="n">
        <v>2</v>
      </c>
      <c r="I20" t="n">
        <v>0</v>
      </c>
      <c r="J20" t="n">
        <v>2</v>
      </c>
      <c r="K20" t="n">
        <v>0</v>
      </c>
      <c r="L20" t="n">
        <v>0</v>
      </c>
      <c r="M20" t="n">
        <v>0</v>
      </c>
      <c r="N20" t="n">
        <v>0</v>
      </c>
      <c r="O20" t="n">
        <v>2</v>
      </c>
      <c r="P20" t="n">
        <v>0</v>
      </c>
      <c r="Q20" t="n">
        <v>2</v>
      </c>
      <c r="R20" s="2" t="inlineStr">
        <is>
          <t>Entita
Talltita</t>
        </is>
      </c>
      <c r="S20">
        <f>HYPERLINK("https://klasma.github.io/Logging_0885/artfynd/A 44008-2022 artfynd.xlsx", "A 44008-2022")</f>
        <v/>
      </c>
      <c r="T20">
        <f>HYPERLINK("https://klasma.github.io/Logging_0885/kartor/A 44008-2022 karta.png", "A 44008-2022")</f>
        <v/>
      </c>
      <c r="V20">
        <f>HYPERLINK("https://klasma.github.io/Logging_0885/klagomål/A 44008-2022 FSC-klagomål.docx", "A 44008-2022")</f>
        <v/>
      </c>
      <c r="W20">
        <f>HYPERLINK("https://klasma.github.io/Logging_0885/klagomålsmail/A 44008-2022 FSC-klagomål mail.docx", "A 44008-2022")</f>
        <v/>
      </c>
      <c r="X20">
        <f>HYPERLINK("https://klasma.github.io/Logging_0885/tillsyn/A 44008-2022 tillsynsbegäran.docx", "A 44008-2022")</f>
        <v/>
      </c>
      <c r="Y20">
        <f>HYPERLINK("https://klasma.github.io/Logging_0885/tillsynsmail/A 44008-2022 tillsynsbegäran mail.docx", "A 44008-2022")</f>
        <v/>
      </c>
      <c r="Z20">
        <f>HYPERLINK("https://klasma.github.io/Logging_0885/fåglar/A 44008-2022 prioriterade fågelarter.docx", "A 44008-2022")</f>
        <v/>
      </c>
    </row>
    <row r="21" ht="15" customHeight="1">
      <c r="A21" t="inlineStr">
        <is>
          <t>A 13556-2025</t>
        </is>
      </c>
      <c r="B21" s="1" t="n">
        <v>45736.54759259259</v>
      </c>
      <c r="C21" s="1" t="n">
        <v>46048</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34944-2022</t>
        </is>
      </c>
      <c r="B22" s="1" t="n">
        <v>44796</v>
      </c>
      <c r="C22" s="1" t="n">
        <v>46048</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28779-2025</t>
        </is>
      </c>
      <c r="B23" s="1" t="n">
        <v>45820.44920138889</v>
      </c>
      <c r="C23" s="1" t="n">
        <v>46048</v>
      </c>
      <c r="D23" t="inlineStr">
        <is>
          <t>KALMAR LÄN</t>
        </is>
      </c>
      <c r="E23" t="inlineStr">
        <is>
          <t>BORGHOLM</t>
        </is>
      </c>
      <c r="F23" t="inlineStr">
        <is>
          <t>Sveaskog</t>
        </is>
      </c>
      <c r="G23" t="n">
        <v>4.1</v>
      </c>
      <c r="H23" t="n">
        <v>2</v>
      </c>
      <c r="I23" t="n">
        <v>1</v>
      </c>
      <c r="J23" t="n">
        <v>1</v>
      </c>
      <c r="K23" t="n">
        <v>0</v>
      </c>
      <c r="L23" t="n">
        <v>0</v>
      </c>
      <c r="M23" t="n">
        <v>0</v>
      </c>
      <c r="N23" t="n">
        <v>0</v>
      </c>
      <c r="O23" t="n">
        <v>1</v>
      </c>
      <c r="P23" t="n">
        <v>0</v>
      </c>
      <c r="Q23" t="n">
        <v>2</v>
      </c>
      <c r="R23" s="2" t="inlineStr">
        <is>
          <t>Havsörn
Skogsknipprot</t>
        </is>
      </c>
      <c r="S23">
        <f>HYPERLINK("https://klasma.github.io/Logging_0885/artfynd/A 28779-2025 artfynd.xlsx", "A 28779-2025")</f>
        <v/>
      </c>
      <c r="T23">
        <f>HYPERLINK("https://klasma.github.io/Logging_0885/kartor/A 28779-2025 karta.png", "A 28779-2025")</f>
        <v/>
      </c>
      <c r="V23">
        <f>HYPERLINK("https://klasma.github.io/Logging_0885/klagomål/A 28779-2025 FSC-klagomål.docx", "A 28779-2025")</f>
        <v/>
      </c>
      <c r="W23">
        <f>HYPERLINK("https://klasma.github.io/Logging_0885/klagomålsmail/A 28779-2025 FSC-klagomål mail.docx", "A 28779-2025")</f>
        <v/>
      </c>
      <c r="X23">
        <f>HYPERLINK("https://klasma.github.io/Logging_0885/tillsyn/A 28779-2025 tillsynsbegäran.docx", "A 28779-2025")</f>
        <v/>
      </c>
      <c r="Y23">
        <f>HYPERLINK("https://klasma.github.io/Logging_0885/tillsynsmail/A 28779-2025 tillsynsbegäran mail.docx", "A 28779-2025")</f>
        <v/>
      </c>
      <c r="Z23">
        <f>HYPERLINK("https://klasma.github.io/Logging_0885/fåglar/A 28779-2025 prioriterade fågelarter.docx", "A 28779-2025")</f>
        <v/>
      </c>
    </row>
    <row r="24" ht="15" customHeight="1">
      <c r="A24" t="inlineStr">
        <is>
          <t>A 32174-2022</t>
        </is>
      </c>
      <c r="B24" s="1" t="n">
        <v>44781</v>
      </c>
      <c r="C24" s="1" t="n">
        <v>46048</v>
      </c>
      <c r="D24" t="inlineStr">
        <is>
          <t>KALMAR LÄN</t>
        </is>
      </c>
      <c r="E24" t="inlineStr">
        <is>
          <t>BORGHOLM</t>
        </is>
      </c>
      <c r="F24" t="inlineStr">
        <is>
          <t>Sveaskog</t>
        </is>
      </c>
      <c r="G24" t="n">
        <v>1.6</v>
      </c>
      <c r="H24" t="n">
        <v>1</v>
      </c>
      <c r="I24" t="n">
        <v>1</v>
      </c>
      <c r="J24" t="n">
        <v>1</v>
      </c>
      <c r="K24" t="n">
        <v>0</v>
      </c>
      <c r="L24" t="n">
        <v>0</v>
      </c>
      <c r="M24" t="n">
        <v>0</v>
      </c>
      <c r="N24" t="n">
        <v>0</v>
      </c>
      <c r="O24" t="n">
        <v>1</v>
      </c>
      <c r="P24" t="n">
        <v>0</v>
      </c>
      <c r="Q24" t="n">
        <v>2</v>
      </c>
      <c r="R24" s="2" t="inlineStr">
        <is>
          <t>Backklöver
Tvåblad</t>
        </is>
      </c>
      <c r="S24">
        <f>HYPERLINK("https://klasma.github.io/Logging_0885/artfynd/A 32174-2022 artfynd.xlsx", "A 32174-2022")</f>
        <v/>
      </c>
      <c r="T24">
        <f>HYPERLINK("https://klasma.github.io/Logging_0885/kartor/A 32174-2022 karta.png", "A 32174-2022")</f>
        <v/>
      </c>
      <c r="V24">
        <f>HYPERLINK("https://klasma.github.io/Logging_0885/klagomål/A 32174-2022 FSC-klagomål.docx", "A 32174-2022")</f>
        <v/>
      </c>
      <c r="W24">
        <f>HYPERLINK("https://klasma.github.io/Logging_0885/klagomålsmail/A 32174-2022 FSC-klagomål mail.docx", "A 32174-2022")</f>
        <v/>
      </c>
      <c r="X24">
        <f>HYPERLINK("https://klasma.github.io/Logging_0885/tillsyn/A 32174-2022 tillsynsbegäran.docx", "A 32174-2022")</f>
        <v/>
      </c>
      <c r="Y24">
        <f>HYPERLINK("https://klasma.github.io/Logging_0885/tillsynsmail/A 32174-2022 tillsynsbegäran mail.docx", "A 32174-2022")</f>
        <v/>
      </c>
    </row>
    <row r="25" ht="15" customHeight="1">
      <c r="A25" t="inlineStr">
        <is>
          <t>A 43756-2022</t>
        </is>
      </c>
      <c r="B25" s="1" t="n">
        <v>44837</v>
      </c>
      <c r="C25" s="1" t="n">
        <v>46048</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38860-2025</t>
        </is>
      </c>
      <c r="B26" s="1" t="n">
        <v>45887.5609375</v>
      </c>
      <c r="C26" s="1" t="n">
        <v>46048</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4164-2023</t>
        </is>
      </c>
      <c r="B27" s="1" t="n">
        <v>44953</v>
      </c>
      <c r="C27" s="1" t="n">
        <v>46048</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60140-2025</t>
        </is>
      </c>
      <c r="B28" s="1" t="n">
        <v>45994.36274305556</v>
      </c>
      <c r="C28" s="1" t="n">
        <v>46048</v>
      </c>
      <c r="D28" t="inlineStr">
        <is>
          <t>KALMAR LÄN</t>
        </is>
      </c>
      <c r="E28" t="inlineStr">
        <is>
          <t>BORGHOLM</t>
        </is>
      </c>
      <c r="G28" t="n">
        <v>0.8</v>
      </c>
      <c r="H28" t="n">
        <v>1</v>
      </c>
      <c r="I28" t="n">
        <v>2</v>
      </c>
      <c r="J28" t="n">
        <v>0</v>
      </c>
      <c r="K28" t="n">
        <v>0</v>
      </c>
      <c r="L28" t="n">
        <v>0</v>
      </c>
      <c r="M28" t="n">
        <v>0</v>
      </c>
      <c r="N28" t="n">
        <v>0</v>
      </c>
      <c r="O28" t="n">
        <v>0</v>
      </c>
      <c r="P28" t="n">
        <v>0</v>
      </c>
      <c r="Q28" t="n">
        <v>2</v>
      </c>
      <c r="R28" s="2" t="inlineStr">
        <is>
          <t>Skogsknipprot
Strävlosta</t>
        </is>
      </c>
      <c r="S28">
        <f>HYPERLINK("https://klasma.github.io/Logging_0885/artfynd/A 60140-2025 artfynd.xlsx", "A 60140-2025")</f>
        <v/>
      </c>
      <c r="T28">
        <f>HYPERLINK("https://klasma.github.io/Logging_0885/kartor/A 60140-2025 karta.png", "A 60140-2025")</f>
        <v/>
      </c>
      <c r="V28">
        <f>HYPERLINK("https://klasma.github.io/Logging_0885/klagomål/A 60140-2025 FSC-klagomål.docx", "A 60140-2025")</f>
        <v/>
      </c>
      <c r="W28">
        <f>HYPERLINK("https://klasma.github.io/Logging_0885/klagomålsmail/A 60140-2025 FSC-klagomål mail.docx", "A 60140-2025")</f>
        <v/>
      </c>
      <c r="X28">
        <f>HYPERLINK("https://klasma.github.io/Logging_0885/tillsyn/A 60140-2025 tillsynsbegäran.docx", "A 60140-2025")</f>
        <v/>
      </c>
      <c r="Y28">
        <f>HYPERLINK("https://klasma.github.io/Logging_0885/tillsynsmail/A 60140-2025 tillsynsbegäran mail.docx", "A 60140-2025")</f>
        <v/>
      </c>
    </row>
    <row r="29" ht="15" customHeight="1">
      <c r="A29" t="inlineStr">
        <is>
          <t>A 3871-2021</t>
        </is>
      </c>
      <c r="B29" s="1" t="n">
        <v>44222</v>
      </c>
      <c r="C29" s="1" t="n">
        <v>46048</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46048</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46048</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9745-2023</t>
        </is>
      </c>
      <c r="B34" s="1" t="n">
        <v>44984</v>
      </c>
      <c r="C34" s="1" t="n">
        <v>46048</v>
      </c>
      <c r="D34" t="inlineStr">
        <is>
          <t>KALMAR LÄN</t>
        </is>
      </c>
      <c r="E34" t="inlineStr">
        <is>
          <t>BORGHOLM</t>
        </is>
      </c>
      <c r="G34" t="n">
        <v>1.2</v>
      </c>
      <c r="H34" t="n">
        <v>1</v>
      </c>
      <c r="I34" t="n">
        <v>1</v>
      </c>
      <c r="J34" t="n">
        <v>0</v>
      </c>
      <c r="K34" t="n">
        <v>0</v>
      </c>
      <c r="L34" t="n">
        <v>0</v>
      </c>
      <c r="M34" t="n">
        <v>0</v>
      </c>
      <c r="N34" t="n">
        <v>0</v>
      </c>
      <c r="O34" t="n">
        <v>0</v>
      </c>
      <c r="P34" t="n">
        <v>0</v>
      </c>
      <c r="Q34" t="n">
        <v>1</v>
      </c>
      <c r="R34" s="2" t="inlineStr">
        <is>
          <t>Skogsknipprot</t>
        </is>
      </c>
      <c r="S34">
        <f>HYPERLINK("https://klasma.github.io/Logging_0885/artfynd/A 9745-2023 artfynd.xlsx", "A 9745-2023")</f>
        <v/>
      </c>
      <c r="T34">
        <f>HYPERLINK("https://klasma.github.io/Logging_0885/kartor/A 9745-2023 karta.png", "A 9745-2023")</f>
        <v/>
      </c>
      <c r="V34">
        <f>HYPERLINK("https://klasma.github.io/Logging_0885/klagomål/A 9745-2023 FSC-klagomål.docx", "A 9745-2023")</f>
        <v/>
      </c>
      <c r="W34">
        <f>HYPERLINK("https://klasma.github.io/Logging_0885/klagomålsmail/A 9745-2023 FSC-klagomål mail.docx", "A 9745-2023")</f>
        <v/>
      </c>
      <c r="X34">
        <f>HYPERLINK("https://klasma.github.io/Logging_0885/tillsyn/A 9745-2023 tillsynsbegäran.docx", "A 9745-2023")</f>
        <v/>
      </c>
      <c r="Y34">
        <f>HYPERLINK("https://klasma.github.io/Logging_0885/tillsynsmail/A 9745-2023 tillsynsbegäran mail.docx", "A 9745-2023")</f>
        <v/>
      </c>
    </row>
    <row r="35" ht="15" customHeight="1">
      <c r="A35" t="inlineStr">
        <is>
          <t>A 24048-2025</t>
        </is>
      </c>
      <c r="B35" s="1" t="n">
        <v>45796.4959375</v>
      </c>
      <c r="C35" s="1" t="n">
        <v>46048</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46048</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43603-2024</t>
        </is>
      </c>
      <c r="B37" s="1" t="n">
        <v>45569.44700231482</v>
      </c>
      <c r="C37" s="1" t="n">
        <v>46048</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28785-2025</t>
        </is>
      </c>
      <c r="B38" s="1" t="n">
        <v>45820.46159722222</v>
      </c>
      <c r="C38" s="1" t="n">
        <v>46048</v>
      </c>
      <c r="D38" t="inlineStr">
        <is>
          <t>KALMAR LÄN</t>
        </is>
      </c>
      <c r="E38" t="inlineStr">
        <is>
          <t>BORGHOLM</t>
        </is>
      </c>
      <c r="F38" t="inlineStr">
        <is>
          <t>Sveaskog</t>
        </is>
      </c>
      <c r="G38" t="n">
        <v>2.3</v>
      </c>
      <c r="H38" t="n">
        <v>1</v>
      </c>
      <c r="I38" t="n">
        <v>0</v>
      </c>
      <c r="J38" t="n">
        <v>1</v>
      </c>
      <c r="K38" t="n">
        <v>0</v>
      </c>
      <c r="L38" t="n">
        <v>0</v>
      </c>
      <c r="M38" t="n">
        <v>0</v>
      </c>
      <c r="N38" t="n">
        <v>0</v>
      </c>
      <c r="O38" t="n">
        <v>1</v>
      </c>
      <c r="P38" t="n">
        <v>0</v>
      </c>
      <c r="Q38" t="n">
        <v>1</v>
      </c>
      <c r="R38" s="2" t="inlineStr">
        <is>
          <t>Havsörn</t>
        </is>
      </c>
      <c r="S38">
        <f>HYPERLINK("https://klasma.github.io/Logging_0885/artfynd/A 28785-2025 artfynd.xlsx", "A 28785-2025")</f>
        <v/>
      </c>
      <c r="T38">
        <f>HYPERLINK("https://klasma.github.io/Logging_0885/kartor/A 28785-2025 karta.png", "A 28785-2025")</f>
        <v/>
      </c>
      <c r="V38">
        <f>HYPERLINK("https://klasma.github.io/Logging_0885/klagomål/A 28785-2025 FSC-klagomål.docx", "A 28785-2025")</f>
        <v/>
      </c>
      <c r="W38">
        <f>HYPERLINK("https://klasma.github.io/Logging_0885/klagomålsmail/A 28785-2025 FSC-klagomål mail.docx", "A 28785-2025")</f>
        <v/>
      </c>
      <c r="X38">
        <f>HYPERLINK("https://klasma.github.io/Logging_0885/tillsyn/A 28785-2025 tillsynsbegäran.docx", "A 28785-2025")</f>
        <v/>
      </c>
      <c r="Y38">
        <f>HYPERLINK("https://klasma.github.io/Logging_0885/tillsynsmail/A 28785-2025 tillsynsbegäran mail.docx", "A 28785-2025")</f>
        <v/>
      </c>
      <c r="Z38">
        <f>HYPERLINK("https://klasma.github.io/Logging_0885/fåglar/A 28785-2025 prioriterade fågelarter.docx", "A 28785-2025")</f>
        <v/>
      </c>
    </row>
    <row r="39" ht="15" customHeight="1">
      <c r="A39" t="inlineStr">
        <is>
          <t>A 14789-2021</t>
        </is>
      </c>
      <c r="B39" s="1" t="n">
        <v>44280</v>
      </c>
      <c r="C39" s="1" t="n">
        <v>46048</v>
      </c>
      <c r="D39" t="inlineStr">
        <is>
          <t>KALMAR LÄN</t>
        </is>
      </c>
      <c r="E39" t="inlineStr">
        <is>
          <t>BORGHOLM</t>
        </is>
      </c>
      <c r="G39" t="n">
        <v>1</v>
      </c>
      <c r="H39" t="n">
        <v>1</v>
      </c>
      <c r="I39" t="n">
        <v>1</v>
      </c>
      <c r="J39" t="n">
        <v>0</v>
      </c>
      <c r="K39" t="n">
        <v>0</v>
      </c>
      <c r="L39" t="n">
        <v>0</v>
      </c>
      <c r="M39" t="n">
        <v>0</v>
      </c>
      <c r="N39" t="n">
        <v>0</v>
      </c>
      <c r="O39" t="n">
        <v>0</v>
      </c>
      <c r="P39" t="n">
        <v>0</v>
      </c>
      <c r="Q39" t="n">
        <v>1</v>
      </c>
      <c r="R39" s="2" t="inlineStr">
        <is>
          <t>Skogsknipprot</t>
        </is>
      </c>
      <c r="S39">
        <f>HYPERLINK("https://klasma.github.io/Logging_0885/artfynd/A 14789-2021 artfynd.xlsx", "A 14789-2021")</f>
        <v/>
      </c>
      <c r="T39">
        <f>HYPERLINK("https://klasma.github.io/Logging_0885/kartor/A 14789-2021 karta.png", "A 14789-2021")</f>
        <v/>
      </c>
      <c r="V39">
        <f>HYPERLINK("https://klasma.github.io/Logging_0885/klagomål/A 14789-2021 FSC-klagomål.docx", "A 14789-2021")</f>
        <v/>
      </c>
      <c r="W39">
        <f>HYPERLINK("https://klasma.github.io/Logging_0885/klagomålsmail/A 14789-2021 FSC-klagomål mail.docx", "A 14789-2021")</f>
        <v/>
      </c>
      <c r="X39">
        <f>HYPERLINK("https://klasma.github.io/Logging_0885/tillsyn/A 14789-2021 tillsynsbegäran.docx", "A 14789-2021")</f>
        <v/>
      </c>
      <c r="Y39">
        <f>HYPERLINK("https://klasma.github.io/Logging_0885/tillsynsmail/A 14789-2021 tillsynsbegäran mail.docx", "A 14789-2021")</f>
        <v/>
      </c>
    </row>
    <row r="40" ht="15" customHeight="1">
      <c r="A40" t="inlineStr">
        <is>
          <t>A 29962-2025</t>
        </is>
      </c>
      <c r="B40" s="1" t="n">
        <v>45826.48184027777</v>
      </c>
      <c r="C40" s="1" t="n">
        <v>46048</v>
      </c>
      <c r="D40" t="inlineStr">
        <is>
          <t>KALMAR LÄN</t>
        </is>
      </c>
      <c r="E40" t="inlineStr">
        <is>
          <t>BORGHOLM</t>
        </is>
      </c>
      <c r="G40" t="n">
        <v>3.3</v>
      </c>
      <c r="H40" t="n">
        <v>1</v>
      </c>
      <c r="I40" t="n">
        <v>0</v>
      </c>
      <c r="J40" t="n">
        <v>0</v>
      </c>
      <c r="K40" t="n">
        <v>0</v>
      </c>
      <c r="L40" t="n">
        <v>0</v>
      </c>
      <c r="M40" t="n">
        <v>0</v>
      </c>
      <c r="N40" t="n">
        <v>0</v>
      </c>
      <c r="O40" t="n">
        <v>0</v>
      </c>
      <c r="P40" t="n">
        <v>0</v>
      </c>
      <c r="Q40" t="n">
        <v>1</v>
      </c>
      <c r="R40" s="2" t="inlineStr">
        <is>
          <t>Grönvit nattviol</t>
        </is>
      </c>
      <c r="S40">
        <f>HYPERLINK("https://klasma.github.io/Logging_0885/artfynd/A 29962-2025 artfynd.xlsx", "A 29962-2025")</f>
        <v/>
      </c>
      <c r="T40">
        <f>HYPERLINK("https://klasma.github.io/Logging_0885/kartor/A 29962-2025 karta.png", "A 29962-2025")</f>
        <v/>
      </c>
      <c r="V40">
        <f>HYPERLINK("https://klasma.github.io/Logging_0885/klagomål/A 29962-2025 FSC-klagomål.docx", "A 29962-2025")</f>
        <v/>
      </c>
      <c r="W40">
        <f>HYPERLINK("https://klasma.github.io/Logging_0885/klagomålsmail/A 29962-2025 FSC-klagomål mail.docx", "A 29962-2025")</f>
        <v/>
      </c>
      <c r="X40">
        <f>HYPERLINK("https://klasma.github.io/Logging_0885/tillsyn/A 29962-2025 tillsynsbegäran.docx", "A 29962-2025")</f>
        <v/>
      </c>
      <c r="Y40">
        <f>HYPERLINK("https://klasma.github.io/Logging_0885/tillsynsmail/A 29962-2025 tillsynsbegäran mail.docx", "A 29962-2025")</f>
        <v/>
      </c>
    </row>
    <row r="41" ht="15" customHeight="1">
      <c r="A41" t="inlineStr">
        <is>
          <t>A 34885-2025</t>
        </is>
      </c>
      <c r="B41" s="1" t="n">
        <v>45849.47128472223</v>
      </c>
      <c r="C41" s="1" t="n">
        <v>46048</v>
      </c>
      <c r="D41" t="inlineStr">
        <is>
          <t>KALMAR LÄN</t>
        </is>
      </c>
      <c r="E41" t="inlineStr">
        <is>
          <t>BORGHOLM</t>
        </is>
      </c>
      <c r="G41" t="n">
        <v>4.4</v>
      </c>
      <c r="H41" t="n">
        <v>0</v>
      </c>
      <c r="I41" t="n">
        <v>0</v>
      </c>
      <c r="J41" t="n">
        <v>1</v>
      </c>
      <c r="K41" t="n">
        <v>0</v>
      </c>
      <c r="L41" t="n">
        <v>0</v>
      </c>
      <c r="M41" t="n">
        <v>0</v>
      </c>
      <c r="N41" t="n">
        <v>0</v>
      </c>
      <c r="O41" t="n">
        <v>1</v>
      </c>
      <c r="P41" t="n">
        <v>0</v>
      </c>
      <c r="Q41" t="n">
        <v>1</v>
      </c>
      <c r="R41" s="2" t="inlineStr">
        <is>
          <t>Backfryle</t>
        </is>
      </c>
      <c r="S41">
        <f>HYPERLINK("https://klasma.github.io/Logging_0885/artfynd/A 34885-2025 artfynd.xlsx", "A 34885-2025")</f>
        <v/>
      </c>
      <c r="T41">
        <f>HYPERLINK("https://klasma.github.io/Logging_0885/kartor/A 34885-2025 karta.png", "A 34885-2025")</f>
        <v/>
      </c>
      <c r="V41">
        <f>HYPERLINK("https://klasma.github.io/Logging_0885/klagomål/A 34885-2025 FSC-klagomål.docx", "A 34885-2025")</f>
        <v/>
      </c>
      <c r="W41">
        <f>HYPERLINK("https://klasma.github.io/Logging_0885/klagomålsmail/A 34885-2025 FSC-klagomål mail.docx", "A 34885-2025")</f>
        <v/>
      </c>
      <c r="X41">
        <f>HYPERLINK("https://klasma.github.io/Logging_0885/tillsyn/A 34885-2025 tillsynsbegäran.docx", "A 34885-2025")</f>
        <v/>
      </c>
      <c r="Y41">
        <f>HYPERLINK("https://klasma.github.io/Logging_0885/tillsynsmail/A 34885-2025 tillsynsbegäran mail.docx", "A 34885-2025")</f>
        <v/>
      </c>
    </row>
    <row r="42" ht="15" customHeight="1">
      <c r="A42" t="inlineStr">
        <is>
          <t>A 24704-2023</t>
        </is>
      </c>
      <c r="B42" s="1" t="n">
        <v>45084</v>
      </c>
      <c r="C42" s="1" t="n">
        <v>46048</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12785-2021</t>
        </is>
      </c>
      <c r="B43" s="1" t="n">
        <v>44270</v>
      </c>
      <c r="C43" s="1" t="n">
        <v>46048</v>
      </c>
      <c r="D43" t="inlineStr">
        <is>
          <t>KALMAR LÄN</t>
        </is>
      </c>
      <c r="E43" t="inlineStr">
        <is>
          <t>BORGHOLM</t>
        </is>
      </c>
      <c r="G43" t="n">
        <v>1.2</v>
      </c>
      <c r="H43" t="n">
        <v>0</v>
      </c>
      <c r="I43" t="n">
        <v>0</v>
      </c>
      <c r="J43" t="n">
        <v>0</v>
      </c>
      <c r="K43" t="n">
        <v>0</v>
      </c>
      <c r="L43" t="n">
        <v>1</v>
      </c>
      <c r="M43" t="n">
        <v>0</v>
      </c>
      <c r="N43" t="n">
        <v>0</v>
      </c>
      <c r="O43" t="n">
        <v>1</v>
      </c>
      <c r="P43" t="n">
        <v>1</v>
      </c>
      <c r="Q43" t="n">
        <v>1</v>
      </c>
      <c r="R43" s="2" t="inlineStr">
        <is>
          <t>Ask</t>
        </is>
      </c>
      <c r="S43">
        <f>HYPERLINK("https://klasma.github.io/Logging_0885/artfynd/A 12785-2021 artfynd.xlsx", "A 12785-2021")</f>
        <v/>
      </c>
      <c r="T43">
        <f>HYPERLINK("https://klasma.github.io/Logging_0885/kartor/A 12785-2021 karta.png", "A 12785-2021")</f>
        <v/>
      </c>
      <c r="V43">
        <f>HYPERLINK("https://klasma.github.io/Logging_0885/klagomål/A 12785-2021 FSC-klagomål.docx", "A 12785-2021")</f>
        <v/>
      </c>
      <c r="W43">
        <f>HYPERLINK("https://klasma.github.io/Logging_0885/klagomålsmail/A 12785-2021 FSC-klagomål mail.docx", "A 12785-2021")</f>
        <v/>
      </c>
      <c r="X43">
        <f>HYPERLINK("https://klasma.github.io/Logging_0885/tillsyn/A 12785-2021 tillsynsbegäran.docx", "A 12785-2021")</f>
        <v/>
      </c>
      <c r="Y43">
        <f>HYPERLINK("https://klasma.github.io/Logging_0885/tillsynsmail/A 12785-2021 tillsynsbegäran mail.docx", "A 12785-2021")</f>
        <v/>
      </c>
    </row>
    <row r="44" ht="15" customHeight="1">
      <c r="A44" t="inlineStr">
        <is>
          <t>A 45693-2025</t>
        </is>
      </c>
      <c r="B44" s="1" t="n">
        <v>45923</v>
      </c>
      <c r="C44" s="1" t="n">
        <v>46048</v>
      </c>
      <c r="D44" t="inlineStr">
        <is>
          <t>KALMAR LÄN</t>
        </is>
      </c>
      <c r="E44" t="inlineStr">
        <is>
          <t>BORGHOLM</t>
        </is>
      </c>
      <c r="G44" t="n">
        <v>4.8</v>
      </c>
      <c r="H44" t="n">
        <v>0</v>
      </c>
      <c r="I44" t="n">
        <v>0</v>
      </c>
      <c r="J44" t="n">
        <v>1</v>
      </c>
      <c r="K44" t="n">
        <v>0</v>
      </c>
      <c r="L44" t="n">
        <v>0</v>
      </c>
      <c r="M44" t="n">
        <v>0</v>
      </c>
      <c r="N44" t="n">
        <v>0</v>
      </c>
      <c r="O44" t="n">
        <v>1</v>
      </c>
      <c r="P44" t="n">
        <v>0</v>
      </c>
      <c r="Q44" t="n">
        <v>1</v>
      </c>
      <c r="R44" s="2" t="inlineStr">
        <is>
          <t>Stjälkröksvamp</t>
        </is>
      </c>
      <c r="S44">
        <f>HYPERLINK("https://klasma.github.io/Logging_0885/artfynd/A 45693-2025 artfynd.xlsx", "A 45693-2025")</f>
        <v/>
      </c>
      <c r="T44">
        <f>HYPERLINK("https://klasma.github.io/Logging_0885/kartor/A 45693-2025 karta.png", "A 45693-2025")</f>
        <v/>
      </c>
      <c r="V44">
        <f>HYPERLINK("https://klasma.github.io/Logging_0885/klagomål/A 45693-2025 FSC-klagomål.docx", "A 45693-2025")</f>
        <v/>
      </c>
      <c r="W44">
        <f>HYPERLINK("https://klasma.github.io/Logging_0885/klagomålsmail/A 45693-2025 FSC-klagomål mail.docx", "A 45693-2025")</f>
        <v/>
      </c>
      <c r="X44">
        <f>HYPERLINK("https://klasma.github.io/Logging_0885/tillsyn/A 45693-2025 tillsynsbegäran.docx", "A 45693-2025")</f>
        <v/>
      </c>
      <c r="Y44">
        <f>HYPERLINK("https://klasma.github.io/Logging_0885/tillsynsmail/A 45693-2025 tillsynsbegäran mail.docx", "A 45693-2025")</f>
        <v/>
      </c>
    </row>
    <row r="45" ht="15" customHeight="1">
      <c r="A45" t="inlineStr">
        <is>
          <t>A 3302-2026</t>
        </is>
      </c>
      <c r="B45" s="1" t="n">
        <v>46041</v>
      </c>
      <c r="C45" s="1" t="n">
        <v>46048</v>
      </c>
      <c r="D45" t="inlineStr">
        <is>
          <t>KALMAR LÄN</t>
        </is>
      </c>
      <c r="E45" t="inlineStr">
        <is>
          <t>BORGHOLM</t>
        </is>
      </c>
      <c r="G45" t="n">
        <v>3.9</v>
      </c>
      <c r="H45" t="n">
        <v>1</v>
      </c>
      <c r="I45" t="n">
        <v>0</v>
      </c>
      <c r="J45" t="n">
        <v>0</v>
      </c>
      <c r="K45" t="n">
        <v>0</v>
      </c>
      <c r="L45" t="n">
        <v>0</v>
      </c>
      <c r="M45" t="n">
        <v>0</v>
      </c>
      <c r="N45" t="n">
        <v>0</v>
      </c>
      <c r="O45" t="n">
        <v>0</v>
      </c>
      <c r="P45" t="n">
        <v>0</v>
      </c>
      <c r="Q45" t="n">
        <v>1</v>
      </c>
      <c r="R45" s="2" t="inlineStr">
        <is>
          <t>Blåsippa</t>
        </is>
      </c>
      <c r="S45">
        <f>HYPERLINK("https://klasma.github.io/Logging_0885/artfynd/A 3302-2026 artfynd.xlsx", "A 3302-2026")</f>
        <v/>
      </c>
      <c r="T45">
        <f>HYPERLINK("https://klasma.github.io/Logging_0885/kartor/A 3302-2026 karta.png", "A 3302-2026")</f>
        <v/>
      </c>
      <c r="V45">
        <f>HYPERLINK("https://klasma.github.io/Logging_0885/klagomål/A 3302-2026 FSC-klagomål.docx", "A 3302-2026")</f>
        <v/>
      </c>
      <c r="W45">
        <f>HYPERLINK("https://klasma.github.io/Logging_0885/klagomålsmail/A 3302-2026 FSC-klagomål mail.docx", "A 3302-2026")</f>
        <v/>
      </c>
      <c r="X45">
        <f>HYPERLINK("https://klasma.github.io/Logging_0885/tillsyn/A 3302-2026 tillsynsbegäran.docx", "A 3302-2026")</f>
        <v/>
      </c>
      <c r="Y45">
        <f>HYPERLINK("https://klasma.github.io/Logging_0885/tillsynsmail/A 3302-2026 tillsynsbegäran mail.docx", "A 3302-2026")</f>
        <v/>
      </c>
    </row>
    <row r="46" ht="15" customHeight="1">
      <c r="A46" t="inlineStr">
        <is>
          <t>A 12711-2021</t>
        </is>
      </c>
      <c r="B46" s="1" t="n">
        <v>44270</v>
      </c>
      <c r="C46" s="1" t="n">
        <v>46048</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46048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46048</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46048</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46048</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46048</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46048</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46048</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46048</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46048</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61828-2021</t>
        </is>
      </c>
      <c r="B56" s="1" t="n">
        <v>44501</v>
      </c>
      <c r="C56" s="1" t="n">
        <v>46048</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56983-2021</t>
        </is>
      </c>
      <c r="B57" s="1" t="n">
        <v>44482</v>
      </c>
      <c r="C57" s="1" t="n">
        <v>46048</v>
      </c>
      <c r="D57" t="inlineStr">
        <is>
          <t>KALMAR LÄN</t>
        </is>
      </c>
      <c r="E57" t="inlineStr">
        <is>
          <t>BORGHOLM</t>
        </is>
      </c>
      <c r="G57" t="n">
        <v>1.2</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46048</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46048</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46048</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46048</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46048</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3878-2023</t>
        </is>
      </c>
      <c r="B63" s="1" t="n">
        <v>44951</v>
      </c>
      <c r="C63" s="1" t="n">
        <v>46048</v>
      </c>
      <c r="D63" t="inlineStr">
        <is>
          <t>KALMAR LÄN</t>
        </is>
      </c>
      <c r="E63" t="inlineStr">
        <is>
          <t>BORGHOLM</t>
        </is>
      </c>
      <c r="G63" t="n">
        <v>1.7</v>
      </c>
      <c r="H63" t="n">
        <v>0</v>
      </c>
      <c r="I63" t="n">
        <v>0</v>
      </c>
      <c r="J63" t="n">
        <v>0</v>
      </c>
      <c r="K63" t="n">
        <v>0</v>
      </c>
      <c r="L63" t="n">
        <v>0</v>
      </c>
      <c r="M63" t="n">
        <v>0</v>
      </c>
      <c r="N63" t="n">
        <v>0</v>
      </c>
      <c r="O63" t="n">
        <v>0</v>
      </c>
      <c r="P63" t="n">
        <v>0</v>
      </c>
      <c r="Q63" t="n">
        <v>0</v>
      </c>
      <c r="R63" s="2" t="inlineStr"/>
    </row>
    <row r="64" ht="15" customHeight="1">
      <c r="A64" t="inlineStr">
        <is>
          <t>A 13548-2025</t>
        </is>
      </c>
      <c r="B64" s="1" t="n">
        <v>45736.53827546296</v>
      </c>
      <c r="C64" s="1" t="n">
        <v>46048</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9076-2025</t>
        </is>
      </c>
      <c r="B65" s="1" t="n">
        <v>45713.6596875</v>
      </c>
      <c r="C65" s="1" t="n">
        <v>46048</v>
      </c>
      <c r="D65" t="inlineStr">
        <is>
          <t>KALMAR LÄN</t>
        </is>
      </c>
      <c r="E65" t="inlineStr">
        <is>
          <t>BORGHOLM</t>
        </is>
      </c>
      <c r="F65" t="inlineStr">
        <is>
          <t>Sveaskog</t>
        </is>
      </c>
      <c r="G65" t="n">
        <v>4.2</v>
      </c>
      <c r="H65" t="n">
        <v>0</v>
      </c>
      <c r="I65" t="n">
        <v>0</v>
      </c>
      <c r="J65" t="n">
        <v>0</v>
      </c>
      <c r="K65" t="n">
        <v>0</v>
      </c>
      <c r="L65" t="n">
        <v>0</v>
      </c>
      <c r="M65" t="n">
        <v>0</v>
      </c>
      <c r="N65" t="n">
        <v>0</v>
      </c>
      <c r="O65" t="n">
        <v>0</v>
      </c>
      <c r="P65" t="n">
        <v>0</v>
      </c>
      <c r="Q65" t="n">
        <v>0</v>
      </c>
      <c r="R65" s="2" t="inlineStr"/>
    </row>
    <row r="66" ht="15" customHeight="1">
      <c r="A66" t="inlineStr">
        <is>
          <t>A 1757-2025</t>
        </is>
      </c>
      <c r="B66" s="1" t="n">
        <v>45671.42195601852</v>
      </c>
      <c r="C66" s="1" t="n">
        <v>46048</v>
      </c>
      <c r="D66" t="inlineStr">
        <is>
          <t>KALMAR LÄN</t>
        </is>
      </c>
      <c r="E66" t="inlineStr">
        <is>
          <t>BORGHOLM</t>
        </is>
      </c>
      <c r="G66" t="n">
        <v>1.4</v>
      </c>
      <c r="H66" t="n">
        <v>0</v>
      </c>
      <c r="I66" t="n">
        <v>0</v>
      </c>
      <c r="J66" t="n">
        <v>0</v>
      </c>
      <c r="K66" t="n">
        <v>0</v>
      </c>
      <c r="L66" t="n">
        <v>0</v>
      </c>
      <c r="M66" t="n">
        <v>0</v>
      </c>
      <c r="N66" t="n">
        <v>0</v>
      </c>
      <c r="O66" t="n">
        <v>0</v>
      </c>
      <c r="P66" t="n">
        <v>0</v>
      </c>
      <c r="Q66" t="n">
        <v>0</v>
      </c>
      <c r="R66" s="2" t="inlineStr"/>
    </row>
    <row r="67" ht="15" customHeight="1">
      <c r="A67" t="inlineStr">
        <is>
          <t>A 34951-2022</t>
        </is>
      </c>
      <c r="B67" s="1" t="n">
        <v>44796</v>
      </c>
      <c r="C67" s="1" t="n">
        <v>46048</v>
      </c>
      <c r="D67" t="inlineStr">
        <is>
          <t>KALMAR LÄN</t>
        </is>
      </c>
      <c r="E67" t="inlineStr">
        <is>
          <t>BORGHOLM</t>
        </is>
      </c>
      <c r="F67" t="inlineStr">
        <is>
          <t>Sveaskog</t>
        </is>
      </c>
      <c r="G67" t="n">
        <v>4.6</v>
      </c>
      <c r="H67" t="n">
        <v>0</v>
      </c>
      <c r="I67" t="n">
        <v>0</v>
      </c>
      <c r="J67" t="n">
        <v>0</v>
      </c>
      <c r="K67" t="n">
        <v>0</v>
      </c>
      <c r="L67" t="n">
        <v>0</v>
      </c>
      <c r="M67" t="n">
        <v>0</v>
      </c>
      <c r="N67" t="n">
        <v>0</v>
      </c>
      <c r="O67" t="n">
        <v>0</v>
      </c>
      <c r="P67" t="n">
        <v>0</v>
      </c>
      <c r="Q67" t="n">
        <v>0</v>
      </c>
      <c r="R67" s="2" t="inlineStr"/>
    </row>
    <row r="68" ht="15" customHeight="1">
      <c r="A68" t="inlineStr">
        <is>
          <t>A 19867-2024</t>
        </is>
      </c>
      <c r="B68" s="1" t="n">
        <v>45433</v>
      </c>
      <c r="C68" s="1" t="n">
        <v>46048</v>
      </c>
      <c r="D68" t="inlineStr">
        <is>
          <t>KALMAR LÄN</t>
        </is>
      </c>
      <c r="E68" t="inlineStr">
        <is>
          <t>BORGHOLM</t>
        </is>
      </c>
      <c r="G68" t="n">
        <v>3.9</v>
      </c>
      <c r="H68" t="n">
        <v>0</v>
      </c>
      <c r="I68" t="n">
        <v>0</v>
      </c>
      <c r="J68" t="n">
        <v>0</v>
      </c>
      <c r="K68" t="n">
        <v>0</v>
      </c>
      <c r="L68" t="n">
        <v>0</v>
      </c>
      <c r="M68" t="n">
        <v>0</v>
      </c>
      <c r="N68" t="n">
        <v>0</v>
      </c>
      <c r="O68" t="n">
        <v>0</v>
      </c>
      <c r="P68" t="n">
        <v>0</v>
      </c>
      <c r="Q68" t="n">
        <v>0</v>
      </c>
      <c r="R68" s="2" t="inlineStr"/>
    </row>
    <row r="69" ht="15" customHeight="1">
      <c r="A69" t="inlineStr">
        <is>
          <t>A 7960-2023</t>
        </is>
      </c>
      <c r="B69" s="1" t="n">
        <v>44973</v>
      </c>
      <c r="C69" s="1" t="n">
        <v>46048</v>
      </c>
      <c r="D69" t="inlineStr">
        <is>
          <t>KALMAR LÄN</t>
        </is>
      </c>
      <c r="E69" t="inlineStr">
        <is>
          <t>BORGHOLM</t>
        </is>
      </c>
      <c r="G69" t="n">
        <v>2.1</v>
      </c>
      <c r="H69" t="n">
        <v>0</v>
      </c>
      <c r="I69" t="n">
        <v>0</v>
      </c>
      <c r="J69" t="n">
        <v>0</v>
      </c>
      <c r="K69" t="n">
        <v>0</v>
      </c>
      <c r="L69" t="n">
        <v>0</v>
      </c>
      <c r="M69" t="n">
        <v>0</v>
      </c>
      <c r="N69" t="n">
        <v>0</v>
      </c>
      <c r="O69" t="n">
        <v>0</v>
      </c>
      <c r="P69" t="n">
        <v>0</v>
      </c>
      <c r="Q69" t="n">
        <v>0</v>
      </c>
      <c r="R69" s="2" t="inlineStr"/>
    </row>
    <row r="70" ht="15" customHeight="1">
      <c r="A70" t="inlineStr">
        <is>
          <t>A 17978-2021</t>
        </is>
      </c>
      <c r="B70" s="1" t="n">
        <v>44301</v>
      </c>
      <c r="C70" s="1" t="n">
        <v>46048</v>
      </c>
      <c r="D70" t="inlineStr">
        <is>
          <t>KALMAR LÄN</t>
        </is>
      </c>
      <c r="E70" t="inlineStr">
        <is>
          <t>BORGHOLM</t>
        </is>
      </c>
      <c r="G70" t="n">
        <v>6</v>
      </c>
      <c r="H70" t="n">
        <v>0</v>
      </c>
      <c r="I70" t="n">
        <v>0</v>
      </c>
      <c r="J70" t="n">
        <v>0</v>
      </c>
      <c r="K70" t="n">
        <v>0</v>
      </c>
      <c r="L70" t="n">
        <v>0</v>
      </c>
      <c r="M70" t="n">
        <v>0</v>
      </c>
      <c r="N70" t="n">
        <v>0</v>
      </c>
      <c r="O70" t="n">
        <v>0</v>
      </c>
      <c r="P70" t="n">
        <v>0</v>
      </c>
      <c r="Q70" t="n">
        <v>0</v>
      </c>
      <c r="R70" s="2" t="inlineStr"/>
    </row>
    <row r="71" ht="15" customHeight="1">
      <c r="A71" t="inlineStr">
        <is>
          <t>A 22785-2025</t>
        </is>
      </c>
      <c r="B71" s="1" t="n">
        <v>45789.64186342592</v>
      </c>
      <c r="C71" s="1" t="n">
        <v>46048</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29656-2023</t>
        </is>
      </c>
      <c r="B72" s="1" t="n">
        <v>45107</v>
      </c>
      <c r="C72" s="1" t="n">
        <v>46048</v>
      </c>
      <c r="D72" t="inlineStr">
        <is>
          <t>KALMAR LÄN</t>
        </is>
      </c>
      <c r="E72" t="inlineStr">
        <is>
          <t>BORGHOLM</t>
        </is>
      </c>
      <c r="G72" t="n">
        <v>4.1</v>
      </c>
      <c r="H72" t="n">
        <v>0</v>
      </c>
      <c r="I72" t="n">
        <v>0</v>
      </c>
      <c r="J72" t="n">
        <v>0</v>
      </c>
      <c r="K72" t="n">
        <v>0</v>
      </c>
      <c r="L72" t="n">
        <v>0</v>
      </c>
      <c r="M72" t="n">
        <v>0</v>
      </c>
      <c r="N72" t="n">
        <v>0</v>
      </c>
      <c r="O72" t="n">
        <v>0</v>
      </c>
      <c r="P72" t="n">
        <v>0</v>
      </c>
      <c r="Q72" t="n">
        <v>0</v>
      </c>
      <c r="R72" s="2" t="inlineStr"/>
    </row>
    <row r="73" ht="15" customHeight="1">
      <c r="A73" t="inlineStr">
        <is>
          <t>A 12534-2022</t>
        </is>
      </c>
      <c r="B73" s="1" t="n">
        <v>44638</v>
      </c>
      <c r="C73" s="1" t="n">
        <v>46048</v>
      </c>
      <c r="D73" t="inlineStr">
        <is>
          <t>KALMAR LÄN</t>
        </is>
      </c>
      <c r="E73" t="inlineStr">
        <is>
          <t>BORGHOLM</t>
        </is>
      </c>
      <c r="G73" t="n">
        <v>8.6</v>
      </c>
      <c r="H73" t="n">
        <v>0</v>
      </c>
      <c r="I73" t="n">
        <v>0</v>
      </c>
      <c r="J73" t="n">
        <v>0</v>
      </c>
      <c r="K73" t="n">
        <v>0</v>
      </c>
      <c r="L73" t="n">
        <v>0</v>
      </c>
      <c r="M73" t="n">
        <v>0</v>
      </c>
      <c r="N73" t="n">
        <v>0</v>
      </c>
      <c r="O73" t="n">
        <v>0</v>
      </c>
      <c r="P73" t="n">
        <v>0</v>
      </c>
      <c r="Q73" t="n">
        <v>0</v>
      </c>
      <c r="R73" s="2" t="inlineStr"/>
    </row>
    <row r="74" ht="15" customHeight="1">
      <c r="A74" t="inlineStr">
        <is>
          <t>A 64303-2023</t>
        </is>
      </c>
      <c r="B74" s="1" t="n">
        <v>45280</v>
      </c>
      <c r="C74" s="1" t="n">
        <v>46048</v>
      </c>
      <c r="D74" t="inlineStr">
        <is>
          <t>KALMAR LÄN</t>
        </is>
      </c>
      <c r="E74" t="inlineStr">
        <is>
          <t>BORGHOLM</t>
        </is>
      </c>
      <c r="G74" t="n">
        <v>1.2</v>
      </c>
      <c r="H74" t="n">
        <v>0</v>
      </c>
      <c r="I74" t="n">
        <v>0</v>
      </c>
      <c r="J74" t="n">
        <v>0</v>
      </c>
      <c r="K74" t="n">
        <v>0</v>
      </c>
      <c r="L74" t="n">
        <v>0</v>
      </c>
      <c r="M74" t="n">
        <v>0</v>
      </c>
      <c r="N74" t="n">
        <v>0</v>
      </c>
      <c r="O74" t="n">
        <v>0</v>
      </c>
      <c r="P74" t="n">
        <v>0</v>
      </c>
      <c r="Q74" t="n">
        <v>0</v>
      </c>
      <c r="R74" s="2" t="inlineStr"/>
    </row>
    <row r="75" ht="15" customHeight="1">
      <c r="A75" t="inlineStr">
        <is>
          <t>A 13383-2023</t>
        </is>
      </c>
      <c r="B75" s="1" t="n">
        <v>45005</v>
      </c>
      <c r="C75" s="1" t="n">
        <v>46048</v>
      </c>
      <c r="D75" t="inlineStr">
        <is>
          <t>KALMAR LÄN</t>
        </is>
      </c>
      <c r="E75" t="inlineStr">
        <is>
          <t>BORGHOLM</t>
        </is>
      </c>
      <c r="G75" t="n">
        <v>0.8</v>
      </c>
      <c r="H75" t="n">
        <v>0</v>
      </c>
      <c r="I75" t="n">
        <v>0</v>
      </c>
      <c r="J75" t="n">
        <v>0</v>
      </c>
      <c r="K75" t="n">
        <v>0</v>
      </c>
      <c r="L75" t="n">
        <v>0</v>
      </c>
      <c r="M75" t="n">
        <v>0</v>
      </c>
      <c r="N75" t="n">
        <v>0</v>
      </c>
      <c r="O75" t="n">
        <v>0</v>
      </c>
      <c r="P75" t="n">
        <v>0</v>
      </c>
      <c r="Q75" t="n">
        <v>0</v>
      </c>
      <c r="R75" s="2" t="inlineStr"/>
    </row>
    <row r="76" ht="15" customHeight="1">
      <c r="A76" t="inlineStr">
        <is>
          <t>A 40339-2023</t>
        </is>
      </c>
      <c r="B76" s="1" t="n">
        <v>45169.62733796296</v>
      </c>
      <c r="C76" s="1" t="n">
        <v>46048</v>
      </c>
      <c r="D76" t="inlineStr">
        <is>
          <t>KALMAR LÄN</t>
        </is>
      </c>
      <c r="E76" t="inlineStr">
        <is>
          <t>BORGHOLM</t>
        </is>
      </c>
      <c r="G76" t="n">
        <v>3.8</v>
      </c>
      <c r="H76" t="n">
        <v>0</v>
      </c>
      <c r="I76" t="n">
        <v>0</v>
      </c>
      <c r="J76" t="n">
        <v>0</v>
      </c>
      <c r="K76" t="n">
        <v>0</v>
      </c>
      <c r="L76" t="n">
        <v>0</v>
      </c>
      <c r="M76" t="n">
        <v>0</v>
      </c>
      <c r="N76" t="n">
        <v>0</v>
      </c>
      <c r="O76" t="n">
        <v>0</v>
      </c>
      <c r="P76" t="n">
        <v>0</v>
      </c>
      <c r="Q76" t="n">
        <v>0</v>
      </c>
      <c r="R76" s="2" t="inlineStr"/>
    </row>
    <row r="77" ht="15" customHeight="1">
      <c r="A77" t="inlineStr">
        <is>
          <t>A 61438-2023</t>
        </is>
      </c>
      <c r="B77" s="1" t="n">
        <v>45264</v>
      </c>
      <c r="C77" s="1" t="n">
        <v>46048</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13041-2024</t>
        </is>
      </c>
      <c r="B78" s="1" t="n">
        <v>45385.60065972222</v>
      </c>
      <c r="C78" s="1" t="n">
        <v>46048</v>
      </c>
      <c r="D78" t="inlineStr">
        <is>
          <t>KALMAR LÄN</t>
        </is>
      </c>
      <c r="E78" t="inlineStr">
        <is>
          <t>BORGHOLM</t>
        </is>
      </c>
      <c r="G78" t="n">
        <v>0.5</v>
      </c>
      <c r="H78" t="n">
        <v>0</v>
      </c>
      <c r="I78" t="n">
        <v>0</v>
      </c>
      <c r="J78" t="n">
        <v>0</v>
      </c>
      <c r="K78" t="n">
        <v>0</v>
      </c>
      <c r="L78" t="n">
        <v>0</v>
      </c>
      <c r="M78" t="n">
        <v>0</v>
      </c>
      <c r="N78" t="n">
        <v>0</v>
      </c>
      <c r="O78" t="n">
        <v>0</v>
      </c>
      <c r="P78" t="n">
        <v>0</v>
      </c>
      <c r="Q78" t="n">
        <v>0</v>
      </c>
      <c r="R78" s="2" t="inlineStr"/>
    </row>
    <row r="79" ht="15" customHeight="1">
      <c r="A79" t="inlineStr">
        <is>
          <t>A 9050-2025</t>
        </is>
      </c>
      <c r="B79" s="1" t="n">
        <v>45713.63512731482</v>
      </c>
      <c r="C79" s="1" t="n">
        <v>46048</v>
      </c>
      <c r="D79" t="inlineStr">
        <is>
          <t>KALMAR LÄN</t>
        </is>
      </c>
      <c r="E79" t="inlineStr">
        <is>
          <t>BORGHOLM</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24166-2022</t>
        </is>
      </c>
      <c r="B80" s="1" t="n">
        <v>44725</v>
      </c>
      <c r="C80" s="1" t="n">
        <v>46048</v>
      </c>
      <c r="D80" t="inlineStr">
        <is>
          <t>KALMAR LÄN</t>
        </is>
      </c>
      <c r="E80" t="inlineStr">
        <is>
          <t>BORGHOLM</t>
        </is>
      </c>
      <c r="G80" t="n">
        <v>10.7</v>
      </c>
      <c r="H80" t="n">
        <v>0</v>
      </c>
      <c r="I80" t="n">
        <v>0</v>
      </c>
      <c r="J80" t="n">
        <v>0</v>
      </c>
      <c r="K80" t="n">
        <v>0</v>
      </c>
      <c r="L80" t="n">
        <v>0</v>
      </c>
      <c r="M80" t="n">
        <v>0</v>
      </c>
      <c r="N80" t="n">
        <v>0</v>
      </c>
      <c r="O80" t="n">
        <v>0</v>
      </c>
      <c r="P80" t="n">
        <v>0</v>
      </c>
      <c r="Q80" t="n">
        <v>0</v>
      </c>
      <c r="R80" s="2" t="inlineStr"/>
    </row>
    <row r="81" ht="15" customHeight="1">
      <c r="A81" t="inlineStr">
        <is>
          <t>A 53050-2021</t>
        </is>
      </c>
      <c r="B81" s="1" t="n">
        <v>44467</v>
      </c>
      <c r="C81" s="1" t="n">
        <v>46048</v>
      </c>
      <c r="D81" t="inlineStr">
        <is>
          <t>KALMAR LÄN</t>
        </is>
      </c>
      <c r="E81" t="inlineStr">
        <is>
          <t>BORGHOLM</t>
        </is>
      </c>
      <c r="G81" t="n">
        <v>3.6</v>
      </c>
      <c r="H81" t="n">
        <v>0</v>
      </c>
      <c r="I81" t="n">
        <v>0</v>
      </c>
      <c r="J81" t="n">
        <v>0</v>
      </c>
      <c r="K81" t="n">
        <v>0</v>
      </c>
      <c r="L81" t="n">
        <v>0</v>
      </c>
      <c r="M81" t="n">
        <v>0</v>
      </c>
      <c r="N81" t="n">
        <v>0</v>
      </c>
      <c r="O81" t="n">
        <v>0</v>
      </c>
      <c r="P81" t="n">
        <v>0</v>
      </c>
      <c r="Q81" t="n">
        <v>0</v>
      </c>
      <c r="R81" s="2" t="inlineStr"/>
    </row>
    <row r="82" ht="15" customHeight="1">
      <c r="A82" t="inlineStr">
        <is>
          <t>A 4165-2023</t>
        </is>
      </c>
      <c r="B82" s="1" t="n">
        <v>44953</v>
      </c>
      <c r="C82" s="1" t="n">
        <v>46048</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21908-2022</t>
        </is>
      </c>
      <c r="B83" s="1" t="n">
        <v>44711</v>
      </c>
      <c r="C83" s="1" t="n">
        <v>46048</v>
      </c>
      <c r="D83" t="inlineStr">
        <is>
          <t>KALMAR LÄN</t>
        </is>
      </c>
      <c r="E83" t="inlineStr">
        <is>
          <t>BORGHOLM</t>
        </is>
      </c>
      <c r="G83" t="n">
        <v>4.7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46048</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50129-2021</t>
        </is>
      </c>
      <c r="B85" s="1" t="n">
        <v>44456</v>
      </c>
      <c r="C85" s="1" t="n">
        <v>46048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46048</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46048</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46048</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7669-2024</t>
        </is>
      </c>
      <c r="B89" s="1" t="n">
        <v>45348.82498842593</v>
      </c>
      <c r="C89" s="1" t="n">
        <v>46048</v>
      </c>
      <c r="D89" t="inlineStr">
        <is>
          <t>KALMAR LÄN</t>
        </is>
      </c>
      <c r="E89" t="inlineStr">
        <is>
          <t>BORGHOLM</t>
        </is>
      </c>
      <c r="G89" t="n">
        <v>2.3</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46048</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27366-2025</t>
        </is>
      </c>
      <c r="B91" s="1" t="n">
        <v>45812.64475694444</v>
      </c>
      <c r="C91" s="1" t="n">
        <v>46048</v>
      </c>
      <c r="D91" t="inlineStr">
        <is>
          <t>KALMAR LÄN</t>
        </is>
      </c>
      <c r="E91" t="inlineStr">
        <is>
          <t>BORGHOLM</t>
        </is>
      </c>
      <c r="F91" t="inlineStr">
        <is>
          <t>Sveaskog</t>
        </is>
      </c>
      <c r="G91" t="n">
        <v>2.5</v>
      </c>
      <c r="H91" t="n">
        <v>0</v>
      </c>
      <c r="I91" t="n">
        <v>0</v>
      </c>
      <c r="J91" t="n">
        <v>0</v>
      </c>
      <c r="K91" t="n">
        <v>0</v>
      </c>
      <c r="L91" t="n">
        <v>0</v>
      </c>
      <c r="M91" t="n">
        <v>0</v>
      </c>
      <c r="N91" t="n">
        <v>0</v>
      </c>
      <c r="O91" t="n">
        <v>0</v>
      </c>
      <c r="P91" t="n">
        <v>0</v>
      </c>
      <c r="Q91" t="n">
        <v>0</v>
      </c>
      <c r="R91" s="2" t="inlineStr"/>
    </row>
    <row r="92" ht="15" customHeight="1">
      <c r="A92" t="inlineStr">
        <is>
          <t>A 28782-2025</t>
        </is>
      </c>
      <c r="B92" s="1" t="n">
        <v>45820.45572916666</v>
      </c>
      <c r="C92" s="1" t="n">
        <v>46048</v>
      </c>
      <c r="D92" t="inlineStr">
        <is>
          <t>KALMAR LÄN</t>
        </is>
      </c>
      <c r="E92" t="inlineStr">
        <is>
          <t>BORGHOLM</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46048</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46048</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46048</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31699-2022</t>
        </is>
      </c>
      <c r="B96" s="1" t="n">
        <v>44776</v>
      </c>
      <c r="C96" s="1" t="n">
        <v>46048</v>
      </c>
      <c r="D96" t="inlineStr">
        <is>
          <t>KALMAR LÄN</t>
        </is>
      </c>
      <c r="E96" t="inlineStr">
        <is>
          <t>BORGHOLM</t>
        </is>
      </c>
      <c r="F96" t="inlineStr">
        <is>
          <t>Sveaskog</t>
        </is>
      </c>
      <c r="G96" t="n">
        <v>1.6</v>
      </c>
      <c r="H96" t="n">
        <v>0</v>
      </c>
      <c r="I96" t="n">
        <v>0</v>
      </c>
      <c r="J96" t="n">
        <v>0</v>
      </c>
      <c r="K96" t="n">
        <v>0</v>
      </c>
      <c r="L96" t="n">
        <v>0</v>
      </c>
      <c r="M96" t="n">
        <v>0</v>
      </c>
      <c r="N96" t="n">
        <v>0</v>
      </c>
      <c r="O96" t="n">
        <v>0</v>
      </c>
      <c r="P96" t="n">
        <v>0</v>
      </c>
      <c r="Q96" t="n">
        <v>0</v>
      </c>
      <c r="R96" s="2" t="inlineStr"/>
    </row>
    <row r="97" ht="15" customHeight="1">
      <c r="A97" t="inlineStr">
        <is>
          <t>A 63276-2023</t>
        </is>
      </c>
      <c r="B97" s="1" t="n">
        <v>45273.82195601852</v>
      </c>
      <c r="C97" s="1" t="n">
        <v>46048</v>
      </c>
      <c r="D97" t="inlineStr">
        <is>
          <t>KALMAR LÄN</t>
        </is>
      </c>
      <c r="E97" t="inlineStr">
        <is>
          <t>BORGHOLM</t>
        </is>
      </c>
      <c r="G97" t="n">
        <v>5</v>
      </c>
      <c r="H97" t="n">
        <v>0</v>
      </c>
      <c r="I97" t="n">
        <v>0</v>
      </c>
      <c r="J97" t="n">
        <v>0</v>
      </c>
      <c r="K97" t="n">
        <v>0</v>
      </c>
      <c r="L97" t="n">
        <v>0</v>
      </c>
      <c r="M97" t="n">
        <v>0</v>
      </c>
      <c r="N97" t="n">
        <v>0</v>
      </c>
      <c r="O97" t="n">
        <v>0</v>
      </c>
      <c r="P97" t="n">
        <v>0</v>
      </c>
      <c r="Q97" t="n">
        <v>0</v>
      </c>
      <c r="R97" s="2" t="inlineStr"/>
    </row>
    <row r="98" ht="15" customHeight="1">
      <c r="A98" t="inlineStr">
        <is>
          <t>A 1614-2025</t>
        </is>
      </c>
      <c r="B98" s="1" t="n">
        <v>45670.60094907408</v>
      </c>
      <c r="C98" s="1" t="n">
        <v>46048</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46048</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36269-2025</t>
        </is>
      </c>
      <c r="B100" s="1" t="n">
        <v>45867.61736111111</v>
      </c>
      <c r="C100" s="1" t="n">
        <v>46048</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46048</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46048</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46048</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46048</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13043-2024</t>
        </is>
      </c>
      <c r="B105" s="1" t="n">
        <v>45385.60111111111</v>
      </c>
      <c r="C105" s="1" t="n">
        <v>46048</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46048</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41831-2025</t>
        </is>
      </c>
      <c r="B107" s="1" t="n">
        <v>45902.67887731481</v>
      </c>
      <c r="C107" s="1" t="n">
        <v>46048</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9044-2025</t>
        </is>
      </c>
      <c r="B108" s="1" t="n">
        <v>45713.6275</v>
      </c>
      <c r="C108" s="1" t="n">
        <v>46048</v>
      </c>
      <c r="D108" t="inlineStr">
        <is>
          <t>KALMAR LÄN</t>
        </is>
      </c>
      <c r="E108" t="inlineStr">
        <is>
          <t>BORGHOLM</t>
        </is>
      </c>
      <c r="F108" t="inlineStr">
        <is>
          <t>Sveaskog</t>
        </is>
      </c>
      <c r="G108" t="n">
        <v>4</v>
      </c>
      <c r="H108" t="n">
        <v>0</v>
      </c>
      <c r="I108" t="n">
        <v>0</v>
      </c>
      <c r="J108" t="n">
        <v>0</v>
      </c>
      <c r="K108" t="n">
        <v>0</v>
      </c>
      <c r="L108" t="n">
        <v>0</v>
      </c>
      <c r="M108" t="n">
        <v>0</v>
      </c>
      <c r="N108" t="n">
        <v>0</v>
      </c>
      <c r="O108" t="n">
        <v>0</v>
      </c>
      <c r="P108" t="n">
        <v>0</v>
      </c>
      <c r="Q108" t="n">
        <v>0</v>
      </c>
      <c r="R108" s="2" t="inlineStr"/>
    </row>
    <row r="109" ht="15" customHeight="1">
      <c r="A109" t="inlineStr">
        <is>
          <t>A 41950-2025</t>
        </is>
      </c>
      <c r="B109" s="1" t="n">
        <v>45903.45767361111</v>
      </c>
      <c r="C109" s="1" t="n">
        <v>46048</v>
      </c>
      <c r="D109" t="inlineStr">
        <is>
          <t>KALMAR LÄN</t>
        </is>
      </c>
      <c r="E109" t="inlineStr">
        <is>
          <t>BORGHOLM</t>
        </is>
      </c>
      <c r="G109" t="n">
        <v>1.8</v>
      </c>
      <c r="H109" t="n">
        <v>0</v>
      </c>
      <c r="I109" t="n">
        <v>0</v>
      </c>
      <c r="J109" t="n">
        <v>0</v>
      </c>
      <c r="K109" t="n">
        <v>0</v>
      </c>
      <c r="L109" t="n">
        <v>0</v>
      </c>
      <c r="M109" t="n">
        <v>0</v>
      </c>
      <c r="N109" t="n">
        <v>0</v>
      </c>
      <c r="O109" t="n">
        <v>0</v>
      </c>
      <c r="P109" t="n">
        <v>0</v>
      </c>
      <c r="Q109" t="n">
        <v>0</v>
      </c>
      <c r="R109" s="2" t="inlineStr"/>
    </row>
    <row r="110" ht="15" customHeight="1">
      <c r="A110" t="inlineStr">
        <is>
          <t>A 42232-2025</t>
        </is>
      </c>
      <c r="B110" s="1" t="n">
        <v>45904.55591435185</v>
      </c>
      <c r="C110" s="1" t="n">
        <v>46048</v>
      </c>
      <c r="D110" t="inlineStr">
        <is>
          <t>KALMAR LÄN</t>
        </is>
      </c>
      <c r="E110" t="inlineStr">
        <is>
          <t>BORGHOLM</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20878-2024</t>
        </is>
      </c>
      <c r="B111" s="1" t="n">
        <v>45439.44748842593</v>
      </c>
      <c r="C111" s="1" t="n">
        <v>46048</v>
      </c>
      <c r="D111" t="inlineStr">
        <is>
          <t>KALMAR LÄN</t>
        </is>
      </c>
      <c r="E111" t="inlineStr">
        <is>
          <t>BORGHOLM</t>
        </is>
      </c>
      <c r="G111" t="n">
        <v>1.9</v>
      </c>
      <c r="H111" t="n">
        <v>0</v>
      </c>
      <c r="I111" t="n">
        <v>0</v>
      </c>
      <c r="J111" t="n">
        <v>0</v>
      </c>
      <c r="K111" t="n">
        <v>0</v>
      </c>
      <c r="L111" t="n">
        <v>0</v>
      </c>
      <c r="M111" t="n">
        <v>0</v>
      </c>
      <c r="N111" t="n">
        <v>0</v>
      </c>
      <c r="O111" t="n">
        <v>0</v>
      </c>
      <c r="P111" t="n">
        <v>0</v>
      </c>
      <c r="Q111" t="n">
        <v>0</v>
      </c>
      <c r="R111" s="2" t="inlineStr"/>
    </row>
    <row r="112" ht="15" customHeight="1">
      <c r="A112" t="inlineStr">
        <is>
          <t>A 43542-2025</t>
        </is>
      </c>
      <c r="B112" s="1" t="n">
        <v>45911.61123842592</v>
      </c>
      <c r="C112" s="1" t="n">
        <v>46048</v>
      </c>
      <c r="D112" t="inlineStr">
        <is>
          <t>KALMAR LÄN</t>
        </is>
      </c>
      <c r="E112" t="inlineStr">
        <is>
          <t>BORGHOLM</t>
        </is>
      </c>
      <c r="G112" t="n">
        <v>2.4</v>
      </c>
      <c r="H112" t="n">
        <v>0</v>
      </c>
      <c r="I112" t="n">
        <v>0</v>
      </c>
      <c r="J112" t="n">
        <v>0</v>
      </c>
      <c r="K112" t="n">
        <v>0</v>
      </c>
      <c r="L112" t="n">
        <v>0</v>
      </c>
      <c r="M112" t="n">
        <v>0</v>
      </c>
      <c r="N112" t="n">
        <v>0</v>
      </c>
      <c r="O112" t="n">
        <v>0</v>
      </c>
      <c r="P112" t="n">
        <v>0</v>
      </c>
      <c r="Q112" t="n">
        <v>0</v>
      </c>
      <c r="R112" s="2" t="inlineStr"/>
    </row>
    <row r="113" ht="15" customHeight="1">
      <c r="A113" t="inlineStr">
        <is>
          <t>A 17699-2025</t>
        </is>
      </c>
      <c r="B113" s="1" t="n">
        <v>45758.41846064815</v>
      </c>
      <c r="C113" s="1" t="n">
        <v>46048</v>
      </c>
      <c r="D113" t="inlineStr">
        <is>
          <t>KALMAR LÄN</t>
        </is>
      </c>
      <c r="E113" t="inlineStr">
        <is>
          <t>BORGHOLM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20287-2025</t>
        </is>
      </c>
      <c r="B114" s="1" t="n">
        <v>45774.60741898148</v>
      </c>
      <c r="C114" s="1" t="n">
        <v>46048</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26160-2024</t>
        </is>
      </c>
      <c r="B115" s="1" t="n">
        <v>45468</v>
      </c>
      <c r="C115" s="1" t="n">
        <v>46048</v>
      </c>
      <c r="D115" t="inlineStr">
        <is>
          <t>KALMAR LÄN</t>
        </is>
      </c>
      <c r="E115" t="inlineStr">
        <is>
          <t>BORGHOLM</t>
        </is>
      </c>
      <c r="G115" t="n">
        <v>0.4</v>
      </c>
      <c r="H115" t="n">
        <v>0</v>
      </c>
      <c r="I115" t="n">
        <v>0</v>
      </c>
      <c r="J115" t="n">
        <v>0</v>
      </c>
      <c r="K115" t="n">
        <v>0</v>
      </c>
      <c r="L115" t="n">
        <v>0</v>
      </c>
      <c r="M115" t="n">
        <v>0</v>
      </c>
      <c r="N115" t="n">
        <v>0</v>
      </c>
      <c r="O115" t="n">
        <v>0</v>
      </c>
      <c r="P115" t="n">
        <v>0</v>
      </c>
      <c r="Q115" t="n">
        <v>0</v>
      </c>
      <c r="R115" s="2" t="inlineStr"/>
      <c r="T115">
        <f>HYPERLINK("https://klasma.github.io/Logging_0885/kartor/A 26160-2024 karta.png", "A 26160-2024")</f>
        <v/>
      </c>
      <c r="V115">
        <f>HYPERLINK("https://klasma.github.io/Logging_0885/klagomål/A 26160-2024 FSC-klagomål.docx", "A 26160-2024")</f>
        <v/>
      </c>
      <c r="W115">
        <f>HYPERLINK("https://klasma.github.io/Logging_0885/klagomålsmail/A 26160-2024 FSC-klagomål mail.docx", "A 26160-2024")</f>
        <v/>
      </c>
      <c r="X115">
        <f>HYPERLINK("https://klasma.github.io/Logging_0885/tillsyn/A 26160-2024 tillsynsbegäran.docx", "A 26160-2024")</f>
        <v/>
      </c>
      <c r="Y115">
        <f>HYPERLINK("https://klasma.github.io/Logging_0885/tillsynsmail/A 26160-2024 tillsynsbegäran mail.docx", "A 26160-2024")</f>
        <v/>
      </c>
    </row>
    <row r="116" ht="15" customHeight="1">
      <c r="A116" t="inlineStr">
        <is>
          <t>A 45734-2025</t>
        </is>
      </c>
      <c r="B116" s="1" t="n">
        <v>45923.46512731481</v>
      </c>
      <c r="C116" s="1" t="n">
        <v>46048</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45869-2025</t>
        </is>
      </c>
      <c r="B117" s="1" t="n">
        <v>45923.65313657407</v>
      </c>
      <c r="C117" s="1" t="n">
        <v>46048</v>
      </c>
      <c r="D117" t="inlineStr">
        <is>
          <t>KALMAR LÄN</t>
        </is>
      </c>
      <c r="E117" t="inlineStr">
        <is>
          <t>BORGHOLM</t>
        </is>
      </c>
      <c r="G117" t="n">
        <v>4.5</v>
      </c>
      <c r="H117" t="n">
        <v>0</v>
      </c>
      <c r="I117" t="n">
        <v>0</v>
      </c>
      <c r="J117" t="n">
        <v>0</v>
      </c>
      <c r="K117" t="n">
        <v>0</v>
      </c>
      <c r="L117" t="n">
        <v>0</v>
      </c>
      <c r="M117" t="n">
        <v>0</v>
      </c>
      <c r="N117" t="n">
        <v>0</v>
      </c>
      <c r="O117" t="n">
        <v>0</v>
      </c>
      <c r="P117" t="n">
        <v>0</v>
      </c>
      <c r="Q117" t="n">
        <v>0</v>
      </c>
      <c r="R117" s="2" t="inlineStr"/>
    </row>
    <row r="118" ht="15" customHeight="1">
      <c r="A118" t="inlineStr">
        <is>
          <t>A 46845-2025</t>
        </is>
      </c>
      <c r="B118" s="1" t="n">
        <v>45928</v>
      </c>
      <c r="C118" s="1" t="n">
        <v>46048</v>
      </c>
      <c r="D118" t="inlineStr">
        <is>
          <t>KALMAR LÄN</t>
        </is>
      </c>
      <c r="E118" t="inlineStr">
        <is>
          <t>BORGHOLM</t>
        </is>
      </c>
      <c r="G118" t="n">
        <v>2.7</v>
      </c>
      <c r="H118" t="n">
        <v>0</v>
      </c>
      <c r="I118" t="n">
        <v>0</v>
      </c>
      <c r="J118" t="n">
        <v>0</v>
      </c>
      <c r="K118" t="n">
        <v>0</v>
      </c>
      <c r="L118" t="n">
        <v>0</v>
      </c>
      <c r="M118" t="n">
        <v>0</v>
      </c>
      <c r="N118" t="n">
        <v>0</v>
      </c>
      <c r="O118" t="n">
        <v>0</v>
      </c>
      <c r="P118" t="n">
        <v>0</v>
      </c>
      <c r="Q118" t="n">
        <v>0</v>
      </c>
      <c r="R118" s="2" t="inlineStr"/>
    </row>
    <row r="119" ht="15" customHeight="1">
      <c r="A119" t="inlineStr">
        <is>
          <t>A 63075-2023</t>
        </is>
      </c>
      <c r="B119" s="1" t="n">
        <v>45273</v>
      </c>
      <c r="C119" s="1" t="n">
        <v>46048</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60141-2025</t>
        </is>
      </c>
      <c r="B120" s="1" t="n">
        <v>45994.36873842592</v>
      </c>
      <c r="C120" s="1" t="n">
        <v>46048</v>
      </c>
      <c r="D120" t="inlineStr">
        <is>
          <t>KALMAR LÄN</t>
        </is>
      </c>
      <c r="E120" t="inlineStr">
        <is>
          <t>BORGHOLM</t>
        </is>
      </c>
      <c r="G120" t="n">
        <v>0.7</v>
      </c>
      <c r="H120" t="n">
        <v>0</v>
      </c>
      <c r="I120" t="n">
        <v>0</v>
      </c>
      <c r="J120" t="n">
        <v>0</v>
      </c>
      <c r="K120" t="n">
        <v>0</v>
      </c>
      <c r="L120" t="n">
        <v>0</v>
      </c>
      <c r="M120" t="n">
        <v>0</v>
      </c>
      <c r="N120" t="n">
        <v>0</v>
      </c>
      <c r="O120" t="n">
        <v>0</v>
      </c>
      <c r="P120" t="n">
        <v>0</v>
      </c>
      <c r="Q120" t="n">
        <v>0</v>
      </c>
      <c r="R120" s="2" t="inlineStr"/>
    </row>
    <row r="121">
      <c r="A121" t="inlineStr">
        <is>
          <t>A 61723-2025</t>
        </is>
      </c>
      <c r="B121" s="1" t="n">
        <v>46002.58388888889</v>
      </c>
      <c r="C121" s="1" t="n">
        <v>46048</v>
      </c>
      <c r="D121" t="inlineStr">
        <is>
          <t>KALMAR LÄN</t>
        </is>
      </c>
      <c r="E121" t="inlineStr">
        <is>
          <t>BORGHOLM</t>
        </is>
      </c>
      <c r="G121" t="n">
        <v>1.1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2026-01-26T11:04:29Z</dcterms:created>
  <dcterms:modified xmlns:dcterms="http://purl.org/dc/terms/" xmlns:xsi="http://www.w3.org/2001/XMLSchema-instance" xsi:type="dcterms:W3CDTF">2026-01-26T11:04:29Z</dcterms:modified>
</cp:coreProperties>
</file>