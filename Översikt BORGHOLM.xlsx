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45901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45901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45901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45901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45901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45901</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45901</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45901</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45901</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45901</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45901</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45901</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45901</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45901</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45901</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45901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45901</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45901</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38860-2025</t>
        </is>
      </c>
      <c r="B20" s="1" t="n">
        <v>45887.5609375</v>
      </c>
      <c r="C20" s="1" t="n">
        <v>45901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45901</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4164-2023</t>
        </is>
      </c>
      <c r="B22" s="1" t="n">
        <v>44953</v>
      </c>
      <c r="C22" s="1" t="n">
        <v>45901</v>
      </c>
      <c r="D22" t="inlineStr">
        <is>
          <t>KALMAR LÄN</t>
        </is>
      </c>
      <c r="E22" t="inlineStr">
        <is>
          <t>BORGHOLM</t>
        </is>
      </c>
      <c r="G22" t="n">
        <v>3.3</v>
      </c>
      <c r="H22" t="n">
        <v>1</v>
      </c>
      <c r="I22" t="n">
        <v>1</v>
      </c>
      <c r="J22" t="n">
        <v>0</v>
      </c>
      <c r="K22" t="n">
        <v>0</v>
      </c>
      <c r="L22" t="n">
        <v>0</v>
      </c>
      <c r="M22" t="n">
        <v>0</v>
      </c>
      <c r="N22" t="n">
        <v>0</v>
      </c>
      <c r="O22" t="n">
        <v>0</v>
      </c>
      <c r="P22" t="n">
        <v>0</v>
      </c>
      <c r="Q22" t="n">
        <v>2</v>
      </c>
      <c r="R22" s="2" t="inlineStr">
        <is>
          <t>Murgröna
Blåsippa</t>
        </is>
      </c>
      <c r="S22">
        <f>HYPERLINK("https://klasma.github.io/Logging_0885/artfynd/A 4164-2023 artfynd.xlsx", "A 4164-2023")</f>
        <v/>
      </c>
      <c r="T22">
        <f>HYPERLINK("https://klasma.github.io/Logging_0885/kartor/A 4164-2023 karta.png", "A 4164-2023")</f>
        <v/>
      </c>
      <c r="V22">
        <f>HYPERLINK("https://klasma.github.io/Logging_0885/klagomål/A 4164-2023 FSC-klagomål.docx", "A 4164-2023")</f>
        <v/>
      </c>
      <c r="W22">
        <f>HYPERLINK("https://klasma.github.io/Logging_0885/klagomålsmail/A 4164-2023 FSC-klagomål mail.docx", "A 4164-2023")</f>
        <v/>
      </c>
      <c r="X22">
        <f>HYPERLINK("https://klasma.github.io/Logging_0885/tillsyn/A 4164-2023 tillsynsbegäran.docx", "A 4164-2023")</f>
        <v/>
      </c>
      <c r="Y22">
        <f>HYPERLINK("https://klasma.github.io/Logging_0885/tillsynsmail/A 4164-2023 tillsynsbegäran mail.docx", "A 4164-2023")</f>
        <v/>
      </c>
    </row>
    <row r="23" ht="15" customHeight="1">
      <c r="A23" t="inlineStr">
        <is>
          <t>A 43756-2022</t>
        </is>
      </c>
      <c r="B23" s="1" t="n">
        <v>44837</v>
      </c>
      <c r="C23" s="1" t="n">
        <v>45901</v>
      </c>
      <c r="D23" t="inlineStr">
        <is>
          <t>KALMAR LÄN</t>
        </is>
      </c>
      <c r="E23" t="inlineStr">
        <is>
          <t>BORGHOLM</t>
        </is>
      </c>
      <c r="G23" t="n">
        <v>2.2</v>
      </c>
      <c r="H23" t="n">
        <v>1</v>
      </c>
      <c r="I23" t="n">
        <v>1</v>
      </c>
      <c r="J23" t="n">
        <v>0</v>
      </c>
      <c r="K23" t="n">
        <v>0</v>
      </c>
      <c r="L23" t="n">
        <v>0</v>
      </c>
      <c r="M23" t="n">
        <v>0</v>
      </c>
      <c r="N23" t="n">
        <v>0</v>
      </c>
      <c r="O23" t="n">
        <v>0</v>
      </c>
      <c r="P23" t="n">
        <v>0</v>
      </c>
      <c r="Q23" t="n">
        <v>2</v>
      </c>
      <c r="R23" s="2" t="inlineStr">
        <is>
          <t>Murgröna
Blåsippa</t>
        </is>
      </c>
      <c r="S23">
        <f>HYPERLINK("https://klasma.github.io/Logging_0885/artfynd/A 43756-2022 artfynd.xlsx", "A 43756-2022")</f>
        <v/>
      </c>
      <c r="T23">
        <f>HYPERLINK("https://klasma.github.io/Logging_0885/kartor/A 43756-2022 karta.png", "A 43756-2022")</f>
        <v/>
      </c>
      <c r="V23">
        <f>HYPERLINK("https://klasma.github.io/Logging_0885/klagomål/A 43756-2022 FSC-klagomål.docx", "A 43756-2022")</f>
        <v/>
      </c>
      <c r="W23">
        <f>HYPERLINK("https://klasma.github.io/Logging_0885/klagomålsmail/A 43756-2022 FSC-klagomål mail.docx", "A 43756-2022")</f>
        <v/>
      </c>
      <c r="X23">
        <f>HYPERLINK("https://klasma.github.io/Logging_0885/tillsyn/A 43756-2022 tillsynsbegäran.docx", "A 43756-2022")</f>
        <v/>
      </c>
      <c r="Y23">
        <f>HYPERLINK("https://klasma.github.io/Logging_0885/tillsynsmail/A 43756-2022 tillsynsbegäran mail.docx", "A 43756-2022")</f>
        <v/>
      </c>
    </row>
    <row r="24" ht="15" customHeight="1">
      <c r="A24" t="inlineStr">
        <is>
          <t>A 13556-2025</t>
        </is>
      </c>
      <c r="B24" s="1" t="n">
        <v>45736.54759259259</v>
      </c>
      <c r="C24" s="1" t="n">
        <v>45901</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45901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45901</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45901</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45901</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43603-2024</t>
        </is>
      </c>
      <c r="B29" s="1" t="n">
        <v>45569.44700231482</v>
      </c>
      <c r="C29" s="1" t="n">
        <v>45901</v>
      </c>
      <c r="D29" t="inlineStr">
        <is>
          <t>KALMAR LÄN</t>
        </is>
      </c>
      <c r="E29" t="inlineStr">
        <is>
          <t>BORGHOLM</t>
        </is>
      </c>
      <c r="G29" t="n">
        <v>3.8</v>
      </c>
      <c r="H29" t="n">
        <v>1</v>
      </c>
      <c r="I29" t="n">
        <v>0</v>
      </c>
      <c r="J29" t="n">
        <v>0</v>
      </c>
      <c r="K29" t="n">
        <v>1</v>
      </c>
      <c r="L29" t="n">
        <v>0</v>
      </c>
      <c r="M29" t="n">
        <v>0</v>
      </c>
      <c r="N29" t="n">
        <v>0</v>
      </c>
      <c r="O29" t="n">
        <v>1</v>
      </c>
      <c r="P29" t="n">
        <v>1</v>
      </c>
      <c r="Q29" t="n">
        <v>1</v>
      </c>
      <c r="R29" s="2" t="inlineStr">
        <is>
          <t>Väddnätfjäril</t>
        </is>
      </c>
      <c r="S29">
        <f>HYPERLINK("https://klasma.github.io/Logging_0885/artfynd/A 43603-2024 artfynd.xlsx", "A 43603-2024")</f>
        <v/>
      </c>
      <c r="T29">
        <f>HYPERLINK("https://klasma.github.io/Logging_0885/kartor/A 43603-2024 karta.png", "A 43603-2024")</f>
        <v/>
      </c>
      <c r="V29">
        <f>HYPERLINK("https://klasma.github.io/Logging_0885/klagomål/A 43603-2024 FSC-klagomål.docx", "A 43603-2024")</f>
        <v/>
      </c>
      <c r="W29">
        <f>HYPERLINK("https://klasma.github.io/Logging_0885/klagomålsmail/A 43603-2024 FSC-klagomål mail.docx", "A 43603-2024")</f>
        <v/>
      </c>
      <c r="X29">
        <f>HYPERLINK("https://klasma.github.io/Logging_0885/tillsyn/A 43603-2024 tillsynsbegäran.docx", "A 43603-2024")</f>
        <v/>
      </c>
      <c r="Y29">
        <f>HYPERLINK("https://klasma.github.io/Logging_0885/tillsynsmail/A 43603-2024 tillsynsbegäran mail.docx", "A 43603-2024")</f>
        <v/>
      </c>
    </row>
    <row r="30" ht="15" customHeight="1">
      <c r="A30" t="inlineStr">
        <is>
          <t>A 14789-2021</t>
        </is>
      </c>
      <c r="B30" s="1" t="n">
        <v>44280</v>
      </c>
      <c r="C30" s="1" t="n">
        <v>45901</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24704-2023</t>
        </is>
      </c>
      <c r="B31" s="1" t="n">
        <v>45084</v>
      </c>
      <c r="C31" s="1" t="n">
        <v>45901</v>
      </c>
      <c r="D31" t="inlineStr">
        <is>
          <t>KALMAR LÄN</t>
        </is>
      </c>
      <c r="E31" t="inlineStr">
        <is>
          <t>BORGHOLM</t>
        </is>
      </c>
      <c r="G31" t="n">
        <v>3.5</v>
      </c>
      <c r="H31" t="n">
        <v>0</v>
      </c>
      <c r="I31" t="n">
        <v>0</v>
      </c>
      <c r="J31" t="n">
        <v>0</v>
      </c>
      <c r="K31" t="n">
        <v>0</v>
      </c>
      <c r="L31" t="n">
        <v>1</v>
      </c>
      <c r="M31" t="n">
        <v>0</v>
      </c>
      <c r="N31" t="n">
        <v>0</v>
      </c>
      <c r="O31" t="n">
        <v>1</v>
      </c>
      <c r="P31" t="n">
        <v>1</v>
      </c>
      <c r="Q31" t="n">
        <v>1</v>
      </c>
      <c r="R31" s="2" t="inlineStr">
        <is>
          <t>Ask</t>
        </is>
      </c>
      <c r="S31">
        <f>HYPERLINK("https://klasma.github.io/Logging_0885/artfynd/A 24704-2023 artfynd.xlsx", "A 24704-2023")</f>
        <v/>
      </c>
      <c r="T31">
        <f>HYPERLINK("https://klasma.github.io/Logging_0885/kartor/A 24704-2023 karta.png", "A 24704-2023")</f>
        <v/>
      </c>
      <c r="V31">
        <f>HYPERLINK("https://klasma.github.io/Logging_0885/klagomål/A 24704-2023 FSC-klagomål.docx", "A 24704-2023")</f>
        <v/>
      </c>
      <c r="W31">
        <f>HYPERLINK("https://klasma.github.io/Logging_0885/klagomålsmail/A 24704-2023 FSC-klagomål mail.docx", "A 24704-2023")</f>
        <v/>
      </c>
      <c r="X31">
        <f>HYPERLINK("https://klasma.github.io/Logging_0885/tillsyn/A 24704-2023 tillsynsbegäran.docx", "A 24704-2023")</f>
        <v/>
      </c>
      <c r="Y31">
        <f>HYPERLINK("https://klasma.github.io/Logging_0885/tillsynsmail/A 24704-2023 tillsynsbegäran mail.docx", "A 24704-2023")</f>
        <v/>
      </c>
    </row>
    <row r="32" ht="15" customHeight="1">
      <c r="A32" t="inlineStr">
        <is>
          <t>A 24048-2025</t>
        </is>
      </c>
      <c r="B32" s="1" t="n">
        <v>45796.4959375</v>
      </c>
      <c r="C32" s="1" t="n">
        <v>45901</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9745-2023</t>
        </is>
      </c>
      <c r="B33" s="1" t="n">
        <v>44984</v>
      </c>
      <c r="C33" s="1" t="n">
        <v>45901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41640-2023</t>
        </is>
      </c>
      <c r="B34" s="1" t="n">
        <v>45175</v>
      </c>
      <c r="C34" s="1" t="n">
        <v>45901</v>
      </c>
      <c r="D34" t="inlineStr">
        <is>
          <t>KALMAR LÄN</t>
        </is>
      </c>
      <c r="E34" t="inlineStr">
        <is>
          <t>BORGHOLM</t>
        </is>
      </c>
      <c r="G34" t="n">
        <v>5</v>
      </c>
      <c r="H34" t="n">
        <v>1</v>
      </c>
      <c r="I34" t="n">
        <v>0</v>
      </c>
      <c r="J34" t="n">
        <v>0</v>
      </c>
      <c r="K34" t="n">
        <v>0</v>
      </c>
      <c r="L34" t="n">
        <v>0</v>
      </c>
      <c r="M34" t="n">
        <v>0</v>
      </c>
      <c r="N34" t="n">
        <v>0</v>
      </c>
      <c r="O34" t="n">
        <v>0</v>
      </c>
      <c r="P34" t="n">
        <v>0</v>
      </c>
      <c r="Q34" t="n">
        <v>1</v>
      </c>
      <c r="R34" s="2" t="inlineStr">
        <is>
          <t>Johannesnycklar</t>
        </is>
      </c>
      <c r="S34">
        <f>HYPERLINK("https://klasma.github.io/Logging_0885/artfynd/A 41640-2023 artfynd.xlsx", "A 41640-2023")</f>
        <v/>
      </c>
      <c r="T34">
        <f>HYPERLINK("https://klasma.github.io/Logging_0885/kartor/A 41640-2023 karta.png", "A 41640-2023")</f>
        <v/>
      </c>
      <c r="V34">
        <f>HYPERLINK("https://klasma.github.io/Logging_0885/klagomål/A 41640-2023 FSC-klagomål.docx", "A 41640-2023")</f>
        <v/>
      </c>
      <c r="W34">
        <f>HYPERLINK("https://klasma.github.io/Logging_0885/klagomålsmail/A 41640-2023 FSC-klagomål mail.docx", "A 41640-2023")</f>
        <v/>
      </c>
      <c r="X34">
        <f>HYPERLINK("https://klasma.github.io/Logging_0885/tillsyn/A 41640-2023 tillsynsbegäran.docx", "A 41640-2023")</f>
        <v/>
      </c>
      <c r="Y34">
        <f>HYPERLINK("https://klasma.github.io/Logging_0885/tillsynsmail/A 41640-2023 tillsynsbegäran mail.docx", "A 41640-2023")</f>
        <v/>
      </c>
    </row>
    <row r="35" ht="15" customHeight="1">
      <c r="A35" t="inlineStr">
        <is>
          <t>A 28785-2025</t>
        </is>
      </c>
      <c r="B35" s="1" t="n">
        <v>45820.46159722222</v>
      </c>
      <c r="C35" s="1" t="n">
        <v>45901</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45901</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12785-2021</t>
        </is>
      </c>
      <c r="B37" s="1" t="n">
        <v>44270</v>
      </c>
      <c r="C37" s="1" t="n">
        <v>45901</v>
      </c>
      <c r="D37" t="inlineStr">
        <is>
          <t>KALMAR LÄN</t>
        </is>
      </c>
      <c r="E37" t="inlineStr">
        <is>
          <t>BORGHOLM</t>
        </is>
      </c>
      <c r="G37" t="n">
        <v>1.2</v>
      </c>
      <c r="H37" t="n">
        <v>0</v>
      </c>
      <c r="I37" t="n">
        <v>0</v>
      </c>
      <c r="J37" t="n">
        <v>0</v>
      </c>
      <c r="K37" t="n">
        <v>0</v>
      </c>
      <c r="L37" t="n">
        <v>1</v>
      </c>
      <c r="M37" t="n">
        <v>0</v>
      </c>
      <c r="N37" t="n">
        <v>0</v>
      </c>
      <c r="O37" t="n">
        <v>1</v>
      </c>
      <c r="P37" t="n">
        <v>1</v>
      </c>
      <c r="Q37" t="n">
        <v>1</v>
      </c>
      <c r="R37" s="2" t="inlineStr">
        <is>
          <t>Ask</t>
        </is>
      </c>
      <c r="S37">
        <f>HYPERLINK("https://klasma.github.io/Logging_0885/artfynd/A 12785-2021 artfynd.xlsx", "A 12785-2021")</f>
        <v/>
      </c>
      <c r="T37">
        <f>HYPERLINK("https://klasma.github.io/Logging_0885/kartor/A 12785-2021 karta.png", "A 12785-2021")</f>
        <v/>
      </c>
      <c r="V37">
        <f>HYPERLINK("https://klasma.github.io/Logging_0885/klagomål/A 12785-2021 FSC-klagomål.docx", "A 12785-2021")</f>
        <v/>
      </c>
      <c r="W37">
        <f>HYPERLINK("https://klasma.github.io/Logging_0885/klagomålsmail/A 12785-2021 FSC-klagomål mail.docx", "A 12785-2021")</f>
        <v/>
      </c>
      <c r="X37">
        <f>HYPERLINK("https://klasma.github.io/Logging_0885/tillsyn/A 12785-2021 tillsynsbegäran.docx", "A 12785-2021")</f>
        <v/>
      </c>
      <c r="Y37">
        <f>HYPERLINK("https://klasma.github.io/Logging_0885/tillsynsmail/A 12785-2021 tillsynsbegäran mail.docx", "A 12785-2021")</f>
        <v/>
      </c>
    </row>
    <row r="38" ht="15" customHeight="1">
      <c r="A38" t="inlineStr">
        <is>
          <t>A 34885-2025</t>
        </is>
      </c>
      <c r="B38" s="1" t="n">
        <v>45849.47128472223</v>
      </c>
      <c r="C38" s="1" t="n">
        <v>45901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13558-2025</t>
        </is>
      </c>
      <c r="B39" s="1" t="n">
        <v>45736.54974537037</v>
      </c>
      <c r="C39" s="1" t="n">
        <v>45901</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24701-2023</t>
        </is>
      </c>
      <c r="B40" s="1" t="n">
        <v>45084</v>
      </c>
      <c r="C40" s="1" t="n">
        <v>45901</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56499-2020</t>
        </is>
      </c>
      <c r="B41" s="1" t="n">
        <v>44137</v>
      </c>
      <c r="C41" s="1" t="n">
        <v>45901</v>
      </c>
      <c r="D41" t="inlineStr">
        <is>
          <t>KALMAR LÄN</t>
        </is>
      </c>
      <c r="E41" t="inlineStr">
        <is>
          <t>BORGHOLM</t>
        </is>
      </c>
      <c r="F41" t="inlineStr">
        <is>
          <t>Sveaskog</t>
        </is>
      </c>
      <c r="G41" t="n">
        <v>0.5</v>
      </c>
      <c r="H41" t="n">
        <v>0</v>
      </c>
      <c r="I41" t="n">
        <v>0</v>
      </c>
      <c r="J41" t="n">
        <v>0</v>
      </c>
      <c r="K41" t="n">
        <v>0</v>
      </c>
      <c r="L41" t="n">
        <v>0</v>
      </c>
      <c r="M41" t="n">
        <v>0</v>
      </c>
      <c r="N41" t="n">
        <v>0</v>
      </c>
      <c r="O41" t="n">
        <v>0</v>
      </c>
      <c r="P41" t="n">
        <v>0</v>
      </c>
      <c r="Q41" t="n">
        <v>0</v>
      </c>
      <c r="R41" s="2" t="inlineStr"/>
    </row>
    <row r="42" ht="15" customHeight="1">
      <c r="A42" t="inlineStr">
        <is>
          <t>A 56434-2020</t>
        </is>
      </c>
      <c r="B42" s="1" t="n">
        <v>44137</v>
      </c>
      <c r="C42" s="1" t="n">
        <v>45901</v>
      </c>
      <c r="D42" t="inlineStr">
        <is>
          <t>KALMAR LÄN</t>
        </is>
      </c>
      <c r="E42" t="inlineStr">
        <is>
          <t>BORGHOLM</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58113-2020</t>
        </is>
      </c>
      <c r="B43" s="1" t="n">
        <v>44144</v>
      </c>
      <c r="C43" s="1" t="n">
        <v>45901</v>
      </c>
      <c r="D43" t="inlineStr">
        <is>
          <t>KALMAR LÄN</t>
        </is>
      </c>
      <c r="E43" t="inlineStr">
        <is>
          <t>BORGHOLM</t>
        </is>
      </c>
      <c r="F43" t="inlineStr">
        <is>
          <t>Sveaskog</t>
        </is>
      </c>
      <c r="G43" t="n">
        <v>3</v>
      </c>
      <c r="H43" t="n">
        <v>0</v>
      </c>
      <c r="I43" t="n">
        <v>0</v>
      </c>
      <c r="J43" t="n">
        <v>0</v>
      </c>
      <c r="K43" t="n">
        <v>0</v>
      </c>
      <c r="L43" t="n">
        <v>0</v>
      </c>
      <c r="M43" t="n">
        <v>0</v>
      </c>
      <c r="N43" t="n">
        <v>0</v>
      </c>
      <c r="O43" t="n">
        <v>0</v>
      </c>
      <c r="P43" t="n">
        <v>0</v>
      </c>
      <c r="Q43" t="n">
        <v>0</v>
      </c>
      <c r="R43" s="2" t="inlineStr"/>
    </row>
    <row r="44" ht="15" customHeight="1">
      <c r="A44" t="inlineStr">
        <is>
          <t>A 12711-2021</t>
        </is>
      </c>
      <c r="B44" s="1" t="n">
        <v>44270</v>
      </c>
      <c r="C44" s="1" t="n">
        <v>45901</v>
      </c>
      <c r="D44" t="inlineStr">
        <is>
          <t>KALMAR LÄN</t>
        </is>
      </c>
      <c r="E44" t="inlineStr">
        <is>
          <t>BORGHOLM</t>
        </is>
      </c>
      <c r="G44" t="n">
        <v>1.3</v>
      </c>
      <c r="H44" t="n">
        <v>0</v>
      </c>
      <c r="I44" t="n">
        <v>0</v>
      </c>
      <c r="J44" t="n">
        <v>0</v>
      </c>
      <c r="K44" t="n">
        <v>0</v>
      </c>
      <c r="L44" t="n">
        <v>0</v>
      </c>
      <c r="M44" t="n">
        <v>0</v>
      </c>
      <c r="N44" t="n">
        <v>0</v>
      </c>
      <c r="O44" t="n">
        <v>0</v>
      </c>
      <c r="P44" t="n">
        <v>0</v>
      </c>
      <c r="Q44" t="n">
        <v>0</v>
      </c>
      <c r="R44" s="2" t="inlineStr"/>
    </row>
    <row r="45" ht="15" customHeight="1">
      <c r="A45" t="inlineStr">
        <is>
          <t>A 56475-2020</t>
        </is>
      </c>
      <c r="B45" s="1" t="n">
        <v>44137</v>
      </c>
      <c r="C45" s="1" t="n">
        <v>45901</v>
      </c>
      <c r="D45" t="inlineStr">
        <is>
          <t>KALMAR LÄN</t>
        </is>
      </c>
      <c r="E45" t="inlineStr">
        <is>
          <t>BORGHOLM</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45901</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45901</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45901</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45901</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45901</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45901</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45901</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45901</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45901</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45901</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45901</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45901</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45901</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45901</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45901</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45901</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45901</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58253-2020</t>
        </is>
      </c>
      <c r="B63" s="1" t="n">
        <v>44144</v>
      </c>
      <c r="C63" s="1" t="n">
        <v>45901</v>
      </c>
      <c r="D63" t="inlineStr">
        <is>
          <t>KALMAR LÄN</t>
        </is>
      </c>
      <c r="E63" t="inlineStr">
        <is>
          <t>BORGHOLM</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56492-2020</t>
        </is>
      </c>
      <c r="B64" s="1" t="n">
        <v>44137</v>
      </c>
      <c r="C64" s="1" t="n">
        <v>45901</v>
      </c>
      <c r="D64" t="inlineStr">
        <is>
          <t>KALMAR LÄN</t>
        </is>
      </c>
      <c r="E64" t="inlineStr">
        <is>
          <t>BORGHOLM</t>
        </is>
      </c>
      <c r="F64" t="inlineStr">
        <is>
          <t>Sveaskog</t>
        </is>
      </c>
      <c r="G64" t="n">
        <v>10.9</v>
      </c>
      <c r="H64" t="n">
        <v>0</v>
      </c>
      <c r="I64" t="n">
        <v>0</v>
      </c>
      <c r="J64" t="n">
        <v>0</v>
      </c>
      <c r="K64" t="n">
        <v>0</v>
      </c>
      <c r="L64" t="n">
        <v>0</v>
      </c>
      <c r="M64" t="n">
        <v>0</v>
      </c>
      <c r="N64" t="n">
        <v>0</v>
      </c>
      <c r="O64" t="n">
        <v>0</v>
      </c>
      <c r="P64" t="n">
        <v>0</v>
      </c>
      <c r="Q64" t="n">
        <v>0</v>
      </c>
      <c r="R64" s="2" t="inlineStr"/>
    </row>
    <row r="65" ht="15" customHeight="1">
      <c r="A65" t="inlineStr">
        <is>
          <t>A 42785-2021</t>
        </is>
      </c>
      <c r="B65" s="1" t="n">
        <v>44428</v>
      </c>
      <c r="C65" s="1" t="n">
        <v>45901</v>
      </c>
      <c r="D65" t="inlineStr">
        <is>
          <t>KALMAR LÄN</t>
        </is>
      </c>
      <c r="E65" t="inlineStr">
        <is>
          <t>BORGHOLM</t>
        </is>
      </c>
      <c r="G65" t="n">
        <v>2.8</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45901</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45901</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45901</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45901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45901</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45901</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63075-2023</t>
        </is>
      </c>
      <c r="B72" s="1" t="n">
        <v>45273</v>
      </c>
      <c r="C72" s="1" t="n">
        <v>45901</v>
      </c>
      <c r="D72" t="inlineStr">
        <is>
          <t>KALMAR LÄN</t>
        </is>
      </c>
      <c r="E72" t="inlineStr">
        <is>
          <t>BORGHOLM</t>
        </is>
      </c>
      <c r="G72" t="n">
        <v>1.1</v>
      </c>
      <c r="H72" t="n">
        <v>0</v>
      </c>
      <c r="I72" t="n">
        <v>0</v>
      </c>
      <c r="J72" t="n">
        <v>0</v>
      </c>
      <c r="K72" t="n">
        <v>0</v>
      </c>
      <c r="L72" t="n">
        <v>0</v>
      </c>
      <c r="M72" t="n">
        <v>0</v>
      </c>
      <c r="N72" t="n">
        <v>0</v>
      </c>
      <c r="O72" t="n">
        <v>0</v>
      </c>
      <c r="P72" t="n">
        <v>0</v>
      </c>
      <c r="Q72" t="n">
        <v>0</v>
      </c>
      <c r="R72" s="2" t="inlineStr"/>
    </row>
    <row r="73" ht="15" customHeight="1">
      <c r="A73" t="inlineStr">
        <is>
          <t>A 50129-2021</t>
        </is>
      </c>
      <c r="B73" s="1" t="n">
        <v>44456</v>
      </c>
      <c r="C73" s="1" t="n">
        <v>45901</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12481-2025</t>
        </is>
      </c>
      <c r="B74" s="1" t="n">
        <v>45730.57878472222</v>
      </c>
      <c r="C74" s="1" t="n">
        <v>45901</v>
      </c>
      <c r="D74" t="inlineStr">
        <is>
          <t>KALMAR LÄN</t>
        </is>
      </c>
      <c r="E74" t="inlineStr">
        <is>
          <t>BORGHOLM</t>
        </is>
      </c>
      <c r="G74" t="n">
        <v>7.2</v>
      </c>
      <c r="H74" t="n">
        <v>0</v>
      </c>
      <c r="I74" t="n">
        <v>0</v>
      </c>
      <c r="J74" t="n">
        <v>0</v>
      </c>
      <c r="K74" t="n">
        <v>0</v>
      </c>
      <c r="L74" t="n">
        <v>0</v>
      </c>
      <c r="M74" t="n">
        <v>0</v>
      </c>
      <c r="N74" t="n">
        <v>0</v>
      </c>
      <c r="O74" t="n">
        <v>0</v>
      </c>
      <c r="P74" t="n">
        <v>0</v>
      </c>
      <c r="Q74" t="n">
        <v>0</v>
      </c>
      <c r="R74" s="2" t="inlineStr"/>
    </row>
    <row r="75" ht="15" customHeight="1">
      <c r="A75" t="inlineStr">
        <is>
          <t>A 13043-2024</t>
        </is>
      </c>
      <c r="B75" s="1" t="n">
        <v>45385.60111111111</v>
      </c>
      <c r="C75" s="1" t="n">
        <v>45901</v>
      </c>
      <c r="D75" t="inlineStr">
        <is>
          <t>KALMAR LÄN</t>
        </is>
      </c>
      <c r="E75" t="inlineStr">
        <is>
          <t>BORGHOLM</t>
        </is>
      </c>
      <c r="G75" t="n">
        <v>0.4</v>
      </c>
      <c r="H75" t="n">
        <v>0</v>
      </c>
      <c r="I75" t="n">
        <v>0</v>
      </c>
      <c r="J75" t="n">
        <v>0</v>
      </c>
      <c r="K75" t="n">
        <v>0</v>
      </c>
      <c r="L75" t="n">
        <v>0</v>
      </c>
      <c r="M75" t="n">
        <v>0</v>
      </c>
      <c r="N75" t="n">
        <v>0</v>
      </c>
      <c r="O75" t="n">
        <v>0</v>
      </c>
      <c r="P75" t="n">
        <v>0</v>
      </c>
      <c r="Q75" t="n">
        <v>0</v>
      </c>
      <c r="R75" s="2" t="inlineStr"/>
    </row>
    <row r="76" ht="15" customHeight="1">
      <c r="A76" t="inlineStr">
        <is>
          <t>A 17978-2021</t>
        </is>
      </c>
      <c r="B76" s="1" t="n">
        <v>44301</v>
      </c>
      <c r="C76" s="1" t="n">
        <v>45901</v>
      </c>
      <c r="D76" t="inlineStr">
        <is>
          <t>KALMAR LÄN</t>
        </is>
      </c>
      <c r="E76" t="inlineStr">
        <is>
          <t>BORGHOLM</t>
        </is>
      </c>
      <c r="G76" t="n">
        <v>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45901</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22785-2025</t>
        </is>
      </c>
      <c r="B78" s="1" t="n">
        <v>45789.64186342592</v>
      </c>
      <c r="C78" s="1" t="n">
        <v>45901</v>
      </c>
      <c r="D78" t="inlineStr">
        <is>
          <t>KALMAR LÄN</t>
        </is>
      </c>
      <c r="E78" t="inlineStr">
        <is>
          <t>BORGHOLM</t>
        </is>
      </c>
      <c r="G78" t="n">
        <v>0.6</v>
      </c>
      <c r="H78" t="n">
        <v>0</v>
      </c>
      <c r="I78" t="n">
        <v>0</v>
      </c>
      <c r="J78" t="n">
        <v>0</v>
      </c>
      <c r="K78" t="n">
        <v>0</v>
      </c>
      <c r="L78" t="n">
        <v>0</v>
      </c>
      <c r="M78" t="n">
        <v>0</v>
      </c>
      <c r="N78" t="n">
        <v>0</v>
      </c>
      <c r="O78" t="n">
        <v>0</v>
      </c>
      <c r="P78" t="n">
        <v>0</v>
      </c>
      <c r="Q78" t="n">
        <v>0</v>
      </c>
      <c r="R78" s="2" t="inlineStr"/>
    </row>
    <row r="79" ht="15" customHeight="1">
      <c r="A79" t="inlineStr">
        <is>
          <t>A 1757-2025</t>
        </is>
      </c>
      <c r="B79" s="1" t="n">
        <v>45671.42195601852</v>
      </c>
      <c r="C79" s="1" t="n">
        <v>45901</v>
      </c>
      <c r="D79" t="inlineStr">
        <is>
          <t>KALMAR LÄN</t>
        </is>
      </c>
      <c r="E79" t="inlineStr">
        <is>
          <t>BORGHOLM</t>
        </is>
      </c>
      <c r="G79" t="n">
        <v>1.4</v>
      </c>
      <c r="H79" t="n">
        <v>0</v>
      </c>
      <c r="I79" t="n">
        <v>0</v>
      </c>
      <c r="J79" t="n">
        <v>0</v>
      </c>
      <c r="K79" t="n">
        <v>0</v>
      </c>
      <c r="L79" t="n">
        <v>0</v>
      </c>
      <c r="M79" t="n">
        <v>0</v>
      </c>
      <c r="N79" t="n">
        <v>0</v>
      </c>
      <c r="O79" t="n">
        <v>0</v>
      </c>
      <c r="P79" t="n">
        <v>0</v>
      </c>
      <c r="Q79" t="n">
        <v>0</v>
      </c>
      <c r="R79" s="2" t="inlineStr"/>
    </row>
    <row r="80" ht="15" customHeight="1">
      <c r="A80" t="inlineStr">
        <is>
          <t>A 12534-2022</t>
        </is>
      </c>
      <c r="B80" s="1" t="n">
        <v>44638</v>
      </c>
      <c r="C80" s="1" t="n">
        <v>45901</v>
      </c>
      <c r="D80" t="inlineStr">
        <is>
          <t>KALMAR LÄN</t>
        </is>
      </c>
      <c r="E80" t="inlineStr">
        <is>
          <t>BORGHOLM</t>
        </is>
      </c>
      <c r="G80" t="n">
        <v>8.6</v>
      </c>
      <c r="H80" t="n">
        <v>0</v>
      </c>
      <c r="I80" t="n">
        <v>0</v>
      </c>
      <c r="J80" t="n">
        <v>0</v>
      </c>
      <c r="K80" t="n">
        <v>0</v>
      </c>
      <c r="L80" t="n">
        <v>0</v>
      </c>
      <c r="M80" t="n">
        <v>0</v>
      </c>
      <c r="N80" t="n">
        <v>0</v>
      </c>
      <c r="O80" t="n">
        <v>0</v>
      </c>
      <c r="P80" t="n">
        <v>0</v>
      </c>
      <c r="Q80" t="n">
        <v>0</v>
      </c>
      <c r="R80" s="2" t="inlineStr"/>
    </row>
    <row r="81" ht="15" customHeight="1">
      <c r="A81" t="inlineStr">
        <is>
          <t>A 17699-2025</t>
        </is>
      </c>
      <c r="B81" s="1" t="n">
        <v>45758.41846064815</v>
      </c>
      <c r="C81" s="1" t="n">
        <v>45901</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45901</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34780-2022</t>
        </is>
      </c>
      <c r="B83" s="1" t="n">
        <v>44795</v>
      </c>
      <c r="C83" s="1" t="n">
        <v>45901</v>
      </c>
      <c r="D83" t="inlineStr">
        <is>
          <t>KALMAR LÄN</t>
        </is>
      </c>
      <c r="E83" t="inlineStr">
        <is>
          <t>BORGHOLM</t>
        </is>
      </c>
      <c r="F83" t="inlineStr">
        <is>
          <t>Sveaskog</t>
        </is>
      </c>
      <c r="G83" t="n">
        <v>6.7</v>
      </c>
      <c r="H83" t="n">
        <v>0</v>
      </c>
      <c r="I83" t="n">
        <v>0</v>
      </c>
      <c r="J83" t="n">
        <v>0</v>
      </c>
      <c r="K83" t="n">
        <v>0</v>
      </c>
      <c r="L83" t="n">
        <v>0</v>
      </c>
      <c r="M83" t="n">
        <v>0</v>
      </c>
      <c r="N83" t="n">
        <v>0</v>
      </c>
      <c r="O83" t="n">
        <v>0</v>
      </c>
      <c r="P83" t="n">
        <v>0</v>
      </c>
      <c r="Q83" t="n">
        <v>0</v>
      </c>
      <c r="R83" s="2" t="inlineStr"/>
    </row>
    <row r="84" ht="15" customHeight="1">
      <c r="A84" t="inlineStr">
        <is>
          <t>A 55367-2024</t>
        </is>
      </c>
      <c r="B84" s="1" t="n">
        <v>45621.87075231481</v>
      </c>
      <c r="C84" s="1" t="n">
        <v>45901</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20878-2024</t>
        </is>
      </c>
      <c r="B85" s="1" t="n">
        <v>45439.44748842593</v>
      </c>
      <c r="C85" s="1" t="n">
        <v>45901</v>
      </c>
      <c r="D85" t="inlineStr">
        <is>
          <t>KALMAR LÄN</t>
        </is>
      </c>
      <c r="E85" t="inlineStr">
        <is>
          <t>BORGHOLM</t>
        </is>
      </c>
      <c r="G85" t="n">
        <v>1.9</v>
      </c>
      <c r="H85" t="n">
        <v>0</v>
      </c>
      <c r="I85" t="n">
        <v>0</v>
      </c>
      <c r="J85" t="n">
        <v>0</v>
      </c>
      <c r="K85" t="n">
        <v>0</v>
      </c>
      <c r="L85" t="n">
        <v>0</v>
      </c>
      <c r="M85" t="n">
        <v>0</v>
      </c>
      <c r="N85" t="n">
        <v>0</v>
      </c>
      <c r="O85" t="n">
        <v>0</v>
      </c>
      <c r="P85" t="n">
        <v>0</v>
      </c>
      <c r="Q85" t="n">
        <v>0</v>
      </c>
      <c r="R85" s="2" t="inlineStr"/>
    </row>
    <row r="86" ht="15" customHeight="1">
      <c r="A86" t="inlineStr">
        <is>
          <t>A 40339-2023</t>
        </is>
      </c>
      <c r="B86" s="1" t="n">
        <v>45169.62733796296</v>
      </c>
      <c r="C86" s="1" t="n">
        <v>45901</v>
      </c>
      <c r="D86" t="inlineStr">
        <is>
          <t>KALMAR LÄN</t>
        </is>
      </c>
      <c r="E86" t="inlineStr">
        <is>
          <t>BORGHOLM</t>
        </is>
      </c>
      <c r="G86" t="n">
        <v>3.8</v>
      </c>
      <c r="H86" t="n">
        <v>0</v>
      </c>
      <c r="I86" t="n">
        <v>0</v>
      </c>
      <c r="J86" t="n">
        <v>0</v>
      </c>
      <c r="K86" t="n">
        <v>0</v>
      </c>
      <c r="L86" t="n">
        <v>0</v>
      </c>
      <c r="M86" t="n">
        <v>0</v>
      </c>
      <c r="N86" t="n">
        <v>0</v>
      </c>
      <c r="O86" t="n">
        <v>0</v>
      </c>
      <c r="P86" t="n">
        <v>0</v>
      </c>
      <c r="Q86" t="n">
        <v>0</v>
      </c>
      <c r="R86" s="2" t="inlineStr"/>
    </row>
    <row r="87" ht="15" customHeight="1">
      <c r="A87" t="inlineStr">
        <is>
          <t>A 20287-2025</t>
        </is>
      </c>
      <c r="B87" s="1" t="n">
        <v>45774.60741898148</v>
      </c>
      <c r="C87" s="1" t="n">
        <v>45901</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24166-2022</t>
        </is>
      </c>
      <c r="B88" s="1" t="n">
        <v>44725</v>
      </c>
      <c r="C88" s="1" t="n">
        <v>45901</v>
      </c>
      <c r="D88" t="inlineStr">
        <is>
          <t>KALMAR LÄN</t>
        </is>
      </c>
      <c r="E88" t="inlineStr">
        <is>
          <t>BORGHOLM</t>
        </is>
      </c>
      <c r="G88" t="n">
        <v>10.7</v>
      </c>
      <c r="H88" t="n">
        <v>0</v>
      </c>
      <c r="I88" t="n">
        <v>0</v>
      </c>
      <c r="J88" t="n">
        <v>0</v>
      </c>
      <c r="K88" t="n">
        <v>0</v>
      </c>
      <c r="L88" t="n">
        <v>0</v>
      </c>
      <c r="M88" t="n">
        <v>0</v>
      </c>
      <c r="N88" t="n">
        <v>0</v>
      </c>
      <c r="O88" t="n">
        <v>0</v>
      </c>
      <c r="P88" t="n">
        <v>0</v>
      </c>
      <c r="Q88" t="n">
        <v>0</v>
      </c>
      <c r="R88" s="2" t="inlineStr"/>
    </row>
    <row r="89" ht="15" customHeight="1">
      <c r="A89" t="inlineStr">
        <is>
          <t>A 26160-2025</t>
        </is>
      </c>
      <c r="B89" s="1" t="n">
        <v>45805.4490162037</v>
      </c>
      <c r="C89" s="1" t="n">
        <v>45901</v>
      </c>
      <c r="D89" t="inlineStr">
        <is>
          <t>KALMAR LÄN</t>
        </is>
      </c>
      <c r="E89" t="inlineStr">
        <is>
          <t>BORGHOLM</t>
        </is>
      </c>
      <c r="G89" t="n">
        <v>3.7</v>
      </c>
      <c r="H89" t="n">
        <v>0</v>
      </c>
      <c r="I89" t="n">
        <v>0</v>
      </c>
      <c r="J89" t="n">
        <v>0</v>
      </c>
      <c r="K89" t="n">
        <v>0</v>
      </c>
      <c r="L89" t="n">
        <v>0</v>
      </c>
      <c r="M89" t="n">
        <v>0</v>
      </c>
      <c r="N89" t="n">
        <v>0</v>
      </c>
      <c r="O89" t="n">
        <v>0</v>
      </c>
      <c r="P89" t="n">
        <v>0</v>
      </c>
      <c r="Q89" t="n">
        <v>0</v>
      </c>
      <c r="R89" s="2" t="inlineStr"/>
    </row>
    <row r="90" ht="15" customHeight="1">
      <c r="A90" t="inlineStr">
        <is>
          <t>A 26190-2025</t>
        </is>
      </c>
      <c r="B90" s="1" t="n">
        <v>45805.48349537037</v>
      </c>
      <c r="C90" s="1" t="n">
        <v>45901</v>
      </c>
      <c r="D90" t="inlineStr">
        <is>
          <t>KALMAR LÄN</t>
        </is>
      </c>
      <c r="E90" t="inlineStr">
        <is>
          <t>BORGHOLM</t>
        </is>
      </c>
      <c r="G90" t="n">
        <v>3.2</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45901</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27357-2025</t>
        </is>
      </c>
      <c r="B92" s="1" t="n">
        <v>45812.63650462963</v>
      </c>
      <c r="C92" s="1" t="n">
        <v>45901</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27366-2025</t>
        </is>
      </c>
      <c r="B93" s="1" t="n">
        <v>45812.64475694444</v>
      </c>
      <c r="C93" s="1" t="n">
        <v>45901</v>
      </c>
      <c r="D93" t="inlineStr">
        <is>
          <t>KALMAR LÄN</t>
        </is>
      </c>
      <c r="E93" t="inlineStr">
        <is>
          <t>BORGHOLM</t>
        </is>
      </c>
      <c r="F93" t="inlineStr">
        <is>
          <t>Sveaskog</t>
        </is>
      </c>
      <c r="G93" t="n">
        <v>2.5</v>
      </c>
      <c r="H93" t="n">
        <v>0</v>
      </c>
      <c r="I93" t="n">
        <v>0</v>
      </c>
      <c r="J93" t="n">
        <v>0</v>
      </c>
      <c r="K93" t="n">
        <v>0</v>
      </c>
      <c r="L93" t="n">
        <v>0</v>
      </c>
      <c r="M93" t="n">
        <v>0</v>
      </c>
      <c r="N93" t="n">
        <v>0</v>
      </c>
      <c r="O93" t="n">
        <v>0</v>
      </c>
      <c r="P93" t="n">
        <v>0</v>
      </c>
      <c r="Q93" t="n">
        <v>0</v>
      </c>
      <c r="R93" s="2" t="inlineStr"/>
    </row>
    <row r="94" ht="15" customHeight="1">
      <c r="A94" t="inlineStr">
        <is>
          <t>A 4159-2024</t>
        </is>
      </c>
      <c r="B94" s="1" t="n">
        <v>45323</v>
      </c>
      <c r="C94" s="1" t="n">
        <v>45901</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28782-2025</t>
        </is>
      </c>
      <c r="B95" s="1" t="n">
        <v>45820.45572916666</v>
      </c>
      <c r="C95" s="1" t="n">
        <v>45901</v>
      </c>
      <c r="D95" t="inlineStr">
        <is>
          <t>KALMAR LÄN</t>
        </is>
      </c>
      <c r="E95" t="inlineStr">
        <is>
          <t>BORGHOLM</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45901</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65144-2020</t>
        </is>
      </c>
      <c r="B97" s="1" t="n">
        <v>44172</v>
      </c>
      <c r="C97" s="1" t="n">
        <v>45901</v>
      </c>
      <c r="D97" t="inlineStr">
        <is>
          <t>KALMAR LÄN</t>
        </is>
      </c>
      <c r="E97" t="inlineStr">
        <is>
          <t>BORGHOLM</t>
        </is>
      </c>
      <c r="G97" t="n">
        <v>1.7</v>
      </c>
      <c r="H97" t="n">
        <v>0</v>
      </c>
      <c r="I97" t="n">
        <v>0</v>
      </c>
      <c r="J97" t="n">
        <v>0</v>
      </c>
      <c r="K97" t="n">
        <v>0</v>
      </c>
      <c r="L97" t="n">
        <v>0</v>
      </c>
      <c r="M97" t="n">
        <v>0</v>
      </c>
      <c r="N97" t="n">
        <v>0</v>
      </c>
      <c r="O97" t="n">
        <v>0</v>
      </c>
      <c r="P97" t="n">
        <v>0</v>
      </c>
      <c r="Q97" t="n">
        <v>0</v>
      </c>
      <c r="R97" s="2" t="inlineStr"/>
    </row>
    <row r="98" ht="15" customHeight="1">
      <c r="A98" t="inlineStr">
        <is>
          <t>A 36269-2025</t>
        </is>
      </c>
      <c r="B98" s="1" t="n">
        <v>45867.61736111111</v>
      </c>
      <c r="C98" s="1" t="n">
        <v>45901</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53050-2021</t>
        </is>
      </c>
      <c r="B99" s="1" t="n">
        <v>44467</v>
      </c>
      <c r="C99" s="1" t="n">
        <v>45901</v>
      </c>
      <c r="D99" t="inlineStr">
        <is>
          <t>KALMAR LÄN</t>
        </is>
      </c>
      <c r="E99" t="inlineStr">
        <is>
          <t>BORGHOLM</t>
        </is>
      </c>
      <c r="G99" t="n">
        <v>3.6</v>
      </c>
      <c r="H99" t="n">
        <v>0</v>
      </c>
      <c r="I99" t="n">
        <v>0</v>
      </c>
      <c r="J99" t="n">
        <v>0</v>
      </c>
      <c r="K99" t="n">
        <v>0</v>
      </c>
      <c r="L99" t="n">
        <v>0</v>
      </c>
      <c r="M99" t="n">
        <v>0</v>
      </c>
      <c r="N99" t="n">
        <v>0</v>
      </c>
      <c r="O99" t="n">
        <v>0</v>
      </c>
      <c r="P99" t="n">
        <v>0</v>
      </c>
      <c r="Q99" t="n">
        <v>0</v>
      </c>
      <c r="R99" s="2" t="inlineStr"/>
    </row>
    <row r="100" ht="15" customHeight="1">
      <c r="A100" t="inlineStr">
        <is>
          <t>A 27326-2025</t>
        </is>
      </c>
      <c r="B100" s="1" t="n">
        <v>45812</v>
      </c>
      <c r="C100" s="1" t="n">
        <v>45901</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31720-2022</t>
        </is>
      </c>
      <c r="B101" s="1" t="n">
        <v>44776</v>
      </c>
      <c r="C101" s="1" t="n">
        <v>45901</v>
      </c>
      <c r="D101" t="inlineStr">
        <is>
          <t>KALMAR LÄN</t>
        </is>
      </c>
      <c r="E101" t="inlineStr">
        <is>
          <t>BORGHOLM</t>
        </is>
      </c>
      <c r="F101" t="inlineStr">
        <is>
          <t>Sveaskog</t>
        </is>
      </c>
      <c r="G101" t="n">
        <v>4.5</v>
      </c>
      <c r="H101" t="n">
        <v>0</v>
      </c>
      <c r="I101" t="n">
        <v>0</v>
      </c>
      <c r="J101" t="n">
        <v>0</v>
      </c>
      <c r="K101" t="n">
        <v>0</v>
      </c>
      <c r="L101" t="n">
        <v>0</v>
      </c>
      <c r="M101" t="n">
        <v>0</v>
      </c>
      <c r="N101" t="n">
        <v>0</v>
      </c>
      <c r="O101" t="n">
        <v>0</v>
      </c>
      <c r="P101" t="n">
        <v>0</v>
      </c>
      <c r="Q101" t="n">
        <v>0</v>
      </c>
      <c r="R101" s="2" t="inlineStr"/>
    </row>
    <row r="102" ht="15" customHeight="1">
      <c r="A102" t="inlineStr">
        <is>
          <t>A 29656-2023</t>
        </is>
      </c>
      <c r="B102" s="1" t="n">
        <v>45107</v>
      </c>
      <c r="C102" s="1" t="n">
        <v>45901</v>
      </c>
      <c r="D102" t="inlineStr">
        <is>
          <t>KALMAR LÄN</t>
        </is>
      </c>
      <c r="E102" t="inlineStr">
        <is>
          <t>BORGHOLM</t>
        </is>
      </c>
      <c r="G102" t="n">
        <v>4.1</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45901</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4878-2021</t>
        </is>
      </c>
      <c r="B104" s="1" t="n">
        <v>44225</v>
      </c>
      <c r="C104" s="1" t="n">
        <v>45901</v>
      </c>
      <c r="D104" t="inlineStr">
        <is>
          <t>KALMAR LÄN</t>
        </is>
      </c>
      <c r="E104" t="inlineStr">
        <is>
          <t>BORGHOLM</t>
        </is>
      </c>
      <c r="G104" t="n">
        <v>3</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45901</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9034-2025</t>
        </is>
      </c>
      <c r="B106" s="1" t="n">
        <v>45713</v>
      </c>
      <c r="C106" s="1" t="n">
        <v>45901</v>
      </c>
      <c r="D106" t="inlineStr">
        <is>
          <t>KALMAR LÄN</t>
        </is>
      </c>
      <c r="E106" t="inlineStr">
        <is>
          <t>BORGHOLM</t>
        </is>
      </c>
      <c r="F106" t="inlineStr">
        <is>
          <t>Sveaskog</t>
        </is>
      </c>
      <c r="G106" t="n">
        <v>6.8</v>
      </c>
      <c r="H106" t="n">
        <v>0</v>
      </c>
      <c r="I106" t="n">
        <v>0</v>
      </c>
      <c r="J106" t="n">
        <v>0</v>
      </c>
      <c r="K106" t="n">
        <v>0</v>
      </c>
      <c r="L106" t="n">
        <v>0</v>
      </c>
      <c r="M106" t="n">
        <v>0</v>
      </c>
      <c r="N106" t="n">
        <v>0</v>
      </c>
      <c r="O106" t="n">
        <v>0</v>
      </c>
      <c r="P106" t="n">
        <v>0</v>
      </c>
      <c r="Q106" t="n">
        <v>0</v>
      </c>
      <c r="R106" s="2" t="inlineStr"/>
    </row>
    <row r="107" ht="15" customHeight="1">
      <c r="A107" t="inlineStr">
        <is>
          <t>A 5175-2024</t>
        </is>
      </c>
      <c r="B107" s="1" t="n">
        <v>45330</v>
      </c>
      <c r="C107" s="1" t="n">
        <v>45901</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4165-2023</t>
        </is>
      </c>
      <c r="B108" s="1" t="n">
        <v>44953</v>
      </c>
      <c r="C108" s="1" t="n">
        <v>45901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13548-2025</t>
        </is>
      </c>
      <c r="B109" s="1" t="n">
        <v>45736.53827546296</v>
      </c>
      <c r="C109" s="1" t="n">
        <v>45901</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32921-2023</t>
        </is>
      </c>
      <c r="B110" s="1" t="n">
        <v>45125</v>
      </c>
      <c r="C110" s="1" t="n">
        <v>45901</v>
      </c>
      <c r="D110" t="inlineStr">
        <is>
          <t>KALMAR LÄN</t>
        </is>
      </c>
      <c r="E110" t="inlineStr">
        <is>
          <t>BORGHOLM</t>
        </is>
      </c>
      <c r="G110" t="n">
        <v>2.9</v>
      </c>
      <c r="H110" t="n">
        <v>0</v>
      </c>
      <c r="I110" t="n">
        <v>0</v>
      </c>
      <c r="J110" t="n">
        <v>0</v>
      </c>
      <c r="K110" t="n">
        <v>0</v>
      </c>
      <c r="L110" t="n">
        <v>0</v>
      </c>
      <c r="M110" t="n">
        <v>0</v>
      </c>
      <c r="N110" t="n">
        <v>0</v>
      </c>
      <c r="O110" t="n">
        <v>0</v>
      </c>
      <c r="P110" t="n">
        <v>0</v>
      </c>
      <c r="Q110" t="n">
        <v>0</v>
      </c>
      <c r="R110" s="2" t="inlineStr"/>
    </row>
    <row r="111" ht="15" customHeight="1">
      <c r="A111" t="inlineStr">
        <is>
          <t>A 3878-2023</t>
        </is>
      </c>
      <c r="B111" s="1" t="n">
        <v>44951</v>
      </c>
      <c r="C111" s="1" t="n">
        <v>45901</v>
      </c>
      <c r="D111" t="inlineStr">
        <is>
          <t>KALMAR LÄN</t>
        </is>
      </c>
      <c r="E111" t="inlineStr">
        <is>
          <t>BORGHOLM</t>
        </is>
      </c>
      <c r="G111" t="n">
        <v>1.7</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45901</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44678-2022</t>
        </is>
      </c>
      <c r="B113" s="1" t="n">
        <v>44840.65100694444</v>
      </c>
      <c r="C113" s="1" t="n">
        <v>45901</v>
      </c>
      <c r="D113" t="inlineStr">
        <is>
          <t>KALMAR LÄN</t>
        </is>
      </c>
      <c r="E113" t="inlineStr">
        <is>
          <t>BORGHOLM</t>
        </is>
      </c>
      <c r="G113" t="n">
        <v>2.4</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45901</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45901</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64303-2023</t>
        </is>
      </c>
      <c r="B116" s="1" t="n">
        <v>45280</v>
      </c>
      <c r="C116" s="1" t="n">
        <v>45901</v>
      </c>
      <c r="D116" t="inlineStr">
        <is>
          <t>KALMAR LÄN</t>
        </is>
      </c>
      <c r="E116" t="inlineStr">
        <is>
          <t>BORGHOLM</t>
        </is>
      </c>
      <c r="G116" t="n">
        <v>1.2</v>
      </c>
      <c r="H116" t="n">
        <v>0</v>
      </c>
      <c r="I116" t="n">
        <v>0</v>
      </c>
      <c r="J116" t="n">
        <v>0</v>
      </c>
      <c r="K116" t="n">
        <v>0</v>
      </c>
      <c r="L116" t="n">
        <v>0</v>
      </c>
      <c r="M116" t="n">
        <v>0</v>
      </c>
      <c r="N116" t="n">
        <v>0</v>
      </c>
      <c r="O116" t="n">
        <v>0</v>
      </c>
      <c r="P116" t="n">
        <v>0</v>
      </c>
      <c r="Q116" t="n">
        <v>0</v>
      </c>
      <c r="R116" s="2" t="inlineStr"/>
    </row>
    <row r="117" ht="15" customHeight="1">
      <c r="A117" t="inlineStr">
        <is>
          <t>A 44547-2021</t>
        </is>
      </c>
      <c r="B117" s="1" t="n">
        <v>44435</v>
      </c>
      <c r="C117" s="1" t="n">
        <v>45901</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45901</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45901</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61438-2023</t>
        </is>
      </c>
      <c r="B120" s="1" t="n">
        <v>45264</v>
      </c>
      <c r="C120" s="1" t="n">
        <v>45901</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13041-2024</t>
        </is>
      </c>
      <c r="B121" s="1" t="n">
        <v>45385.60065972222</v>
      </c>
      <c r="C121" s="1" t="n">
        <v>45901</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1614-2025</t>
        </is>
      </c>
      <c r="B122" s="1" t="n">
        <v>45670.60094907408</v>
      </c>
      <c r="C122" s="1" t="n">
        <v>45901</v>
      </c>
      <c r="D122" t="inlineStr">
        <is>
          <t>KALMAR LÄN</t>
        </is>
      </c>
      <c r="E122" t="inlineStr">
        <is>
          <t>BORGHOLM</t>
        </is>
      </c>
      <c r="G122" t="n">
        <v>1.4</v>
      </c>
      <c r="H122" t="n">
        <v>0</v>
      </c>
      <c r="I122" t="n">
        <v>0</v>
      </c>
      <c r="J122" t="n">
        <v>0</v>
      </c>
      <c r="K122" t="n">
        <v>0</v>
      </c>
      <c r="L122" t="n">
        <v>0</v>
      </c>
      <c r="M122" t="n">
        <v>0</v>
      </c>
      <c r="N122" t="n">
        <v>0</v>
      </c>
      <c r="O122" t="n">
        <v>0</v>
      </c>
      <c r="P122" t="n">
        <v>0</v>
      </c>
      <c r="Q122" t="n">
        <v>0</v>
      </c>
      <c r="R122" s="2" t="inlineStr"/>
    </row>
    <row r="123" ht="15" customHeight="1">
      <c r="A123" t="inlineStr">
        <is>
          <t>A 63276-2023</t>
        </is>
      </c>
      <c r="B123" s="1" t="n">
        <v>45273.82195601852</v>
      </c>
      <c r="C123" s="1" t="n">
        <v>45901</v>
      </c>
      <c r="D123" t="inlineStr">
        <is>
          <t>KALMAR LÄN</t>
        </is>
      </c>
      <c r="E123" t="inlineStr">
        <is>
          <t>BORGHOLM</t>
        </is>
      </c>
      <c r="G123" t="n">
        <v>5</v>
      </c>
      <c r="H123" t="n">
        <v>0</v>
      </c>
      <c r="I123" t="n">
        <v>0</v>
      </c>
      <c r="J123" t="n">
        <v>0</v>
      </c>
      <c r="K123" t="n">
        <v>0</v>
      </c>
      <c r="L123" t="n">
        <v>0</v>
      </c>
      <c r="M123" t="n">
        <v>0</v>
      </c>
      <c r="N123" t="n">
        <v>0</v>
      </c>
      <c r="O123" t="n">
        <v>0</v>
      </c>
      <c r="P123" t="n">
        <v>0</v>
      </c>
      <c r="Q123" t="n">
        <v>0</v>
      </c>
      <c r="R123" s="2" t="inlineStr"/>
    </row>
    <row r="124" ht="15" customHeight="1">
      <c r="A124" t="inlineStr">
        <is>
          <t>A 9028-2025</t>
        </is>
      </c>
      <c r="B124" s="1" t="n">
        <v>45713</v>
      </c>
      <c r="C124" s="1" t="n">
        <v>45901</v>
      </c>
      <c r="D124" t="inlineStr">
        <is>
          <t>KALMAR LÄN</t>
        </is>
      </c>
      <c r="E124" t="inlineStr">
        <is>
          <t>BORGHOLM</t>
        </is>
      </c>
      <c r="F124" t="inlineStr">
        <is>
          <t>Sveaskog</t>
        </is>
      </c>
      <c r="G124" t="n">
        <v>3</v>
      </c>
      <c r="H124" t="n">
        <v>0</v>
      </c>
      <c r="I124" t="n">
        <v>0</v>
      </c>
      <c r="J124" t="n">
        <v>0</v>
      </c>
      <c r="K124" t="n">
        <v>0</v>
      </c>
      <c r="L124" t="n">
        <v>0</v>
      </c>
      <c r="M124" t="n">
        <v>0</v>
      </c>
      <c r="N124" t="n">
        <v>0</v>
      </c>
      <c r="O124" t="n">
        <v>0</v>
      </c>
      <c r="P124" t="n">
        <v>0</v>
      </c>
      <c r="Q124" t="n">
        <v>0</v>
      </c>
      <c r="R124" s="2" t="inlineStr"/>
    </row>
    <row r="125">
      <c r="A125" t="inlineStr">
        <is>
          <t>A 9050-2025</t>
        </is>
      </c>
      <c r="B125" s="1" t="n">
        <v>45713.63512731482</v>
      </c>
      <c r="C125" s="1" t="n">
        <v>45901</v>
      </c>
      <c r="D125" t="inlineStr">
        <is>
          <t>KALMAR LÄN</t>
        </is>
      </c>
      <c r="E125" t="inlineStr">
        <is>
          <t>BORGHOLM</t>
        </is>
      </c>
      <c r="F125" t="inlineStr">
        <is>
          <t>Sveaskog</t>
        </is>
      </c>
      <c r="G125" t="n">
        <v>2.5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2025-09-01T08:35:16Z</dcterms:created>
  <dcterms:modified xmlns:dcterms="http://purl.org/dc/terms/" xmlns:xsi="http://www.w3.org/2001/XMLSchema-instance" xsi:type="dcterms:W3CDTF">2025-09-01T08:35:16Z</dcterms:modified>
</cp:coreProperties>
</file>