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46032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46032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46032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46032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46032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46032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46032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46032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46032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46032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46032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46032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46032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46032</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46032</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46032</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46032</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46032</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46032</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46032</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46032</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60140-2025</t>
        </is>
      </c>
      <c r="B23" s="1" t="n">
        <v>45994.36274305556</v>
      </c>
      <c r="C23" s="1" t="n">
        <v>46032</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44008-2022</t>
        </is>
      </c>
      <c r="B24" s="1" t="n">
        <v>44838</v>
      </c>
      <c r="C24" s="1" t="n">
        <v>46032</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34944-2022</t>
        </is>
      </c>
      <c r="B25" s="1" t="n">
        <v>44796</v>
      </c>
      <c r="C25" s="1" t="n">
        <v>46032</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46032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46032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46032</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3871-2021</t>
        </is>
      </c>
      <c r="B29" s="1" t="n">
        <v>44222</v>
      </c>
      <c r="C29" s="1" t="n">
        <v>46032</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46032</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46032</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46032</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46032</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46032</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46032</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46032</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46032</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45693-2025</t>
        </is>
      </c>
      <c r="B38" s="1" t="n">
        <v>45923</v>
      </c>
      <c r="C38" s="1" t="n">
        <v>46032</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34885-2025</t>
        </is>
      </c>
      <c r="B39" s="1" t="n">
        <v>45849.47128472223</v>
      </c>
      <c r="C39" s="1" t="n">
        <v>46032</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24704-2023</t>
        </is>
      </c>
      <c r="B40" s="1" t="n">
        <v>45084</v>
      </c>
      <c r="C40" s="1" t="n">
        <v>46032</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9745-2023</t>
        </is>
      </c>
      <c r="B41" s="1" t="n">
        <v>44984</v>
      </c>
      <c r="C41" s="1" t="n">
        <v>46032</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46032</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46032</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46032</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46032</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46032</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46032</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46032</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46032</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46032</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46032</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46032</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46032</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46032</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46032</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46032</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46032</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46032</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46032</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46032</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46032</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46032</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46032</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17978-2021</t>
        </is>
      </c>
      <c r="B64" s="1" t="n">
        <v>44301</v>
      </c>
      <c r="C64" s="1" t="n">
        <v>46032</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22785-2025</t>
        </is>
      </c>
      <c r="B65" s="1" t="n">
        <v>45789.64186342592</v>
      </c>
      <c r="C65" s="1" t="n">
        <v>46032</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12534-2022</t>
        </is>
      </c>
      <c r="B66" s="1" t="n">
        <v>44638</v>
      </c>
      <c r="C66" s="1" t="n">
        <v>46032</v>
      </c>
      <c r="D66" t="inlineStr">
        <is>
          <t>KALMAR LÄN</t>
        </is>
      </c>
      <c r="E66" t="inlineStr">
        <is>
          <t>BORGHOLM</t>
        </is>
      </c>
      <c r="G66" t="n">
        <v>8.6</v>
      </c>
      <c r="H66" t="n">
        <v>0</v>
      </c>
      <c r="I66" t="n">
        <v>0</v>
      </c>
      <c r="J66" t="n">
        <v>0</v>
      </c>
      <c r="K66" t="n">
        <v>0</v>
      </c>
      <c r="L66" t="n">
        <v>0</v>
      </c>
      <c r="M66" t="n">
        <v>0</v>
      </c>
      <c r="N66" t="n">
        <v>0</v>
      </c>
      <c r="O66" t="n">
        <v>0</v>
      </c>
      <c r="P66" t="n">
        <v>0</v>
      </c>
      <c r="Q66" t="n">
        <v>0</v>
      </c>
      <c r="R66" s="2" t="inlineStr"/>
    </row>
    <row r="67" ht="15" customHeight="1">
      <c r="A67" t="inlineStr">
        <is>
          <t>A 40339-2023</t>
        </is>
      </c>
      <c r="B67" s="1" t="n">
        <v>45169.62733796296</v>
      </c>
      <c r="C67" s="1" t="n">
        <v>46032</v>
      </c>
      <c r="D67" t="inlineStr">
        <is>
          <t>KALMAR LÄN</t>
        </is>
      </c>
      <c r="E67" t="inlineStr">
        <is>
          <t>BORGHOLM</t>
        </is>
      </c>
      <c r="G67" t="n">
        <v>3.8</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46032</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46032</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26190-2025</t>
        </is>
      </c>
      <c r="B70" s="1" t="n">
        <v>45805.48349537037</v>
      </c>
      <c r="C70" s="1" t="n">
        <v>46032</v>
      </c>
      <c r="D70" t="inlineStr">
        <is>
          <t>KALMAR LÄN</t>
        </is>
      </c>
      <c r="E70" t="inlineStr">
        <is>
          <t>BORGHOLM</t>
        </is>
      </c>
      <c r="G70" t="n">
        <v>3.2</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46032</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26160-2025</t>
        </is>
      </c>
      <c r="B72" s="1" t="n">
        <v>45805.4490162037</v>
      </c>
      <c r="C72" s="1" t="n">
        <v>46032</v>
      </c>
      <c r="D72" t="inlineStr">
        <is>
          <t>KALMAR LÄN</t>
        </is>
      </c>
      <c r="E72" t="inlineStr">
        <is>
          <t>BORGHOLM</t>
        </is>
      </c>
      <c r="G72" t="n">
        <v>3.7</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46032</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27357-2025</t>
        </is>
      </c>
      <c r="B74" s="1" t="n">
        <v>45812.63650462963</v>
      </c>
      <c r="C74" s="1" t="n">
        <v>46032</v>
      </c>
      <c r="D74" t="inlineStr">
        <is>
          <t>KALMAR LÄN</t>
        </is>
      </c>
      <c r="E74" t="inlineStr">
        <is>
          <t>BORGHOLM</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64303-2023</t>
        </is>
      </c>
      <c r="B75" s="1" t="n">
        <v>45280</v>
      </c>
      <c r="C75" s="1" t="n">
        <v>46032</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27366-2025</t>
        </is>
      </c>
      <c r="B76" s="1" t="n">
        <v>45812.64475694444</v>
      </c>
      <c r="C76" s="1" t="n">
        <v>46032</v>
      </c>
      <c r="D76" t="inlineStr">
        <is>
          <t>KALMAR LÄN</t>
        </is>
      </c>
      <c r="E76" t="inlineStr">
        <is>
          <t>BORGHOLM</t>
        </is>
      </c>
      <c r="F76" t="inlineStr">
        <is>
          <t>Sveaskog</t>
        </is>
      </c>
      <c r="G76" t="n">
        <v>2.5</v>
      </c>
      <c r="H76" t="n">
        <v>0</v>
      </c>
      <c r="I76" t="n">
        <v>0</v>
      </c>
      <c r="J76" t="n">
        <v>0</v>
      </c>
      <c r="K76" t="n">
        <v>0</v>
      </c>
      <c r="L76" t="n">
        <v>0</v>
      </c>
      <c r="M76" t="n">
        <v>0</v>
      </c>
      <c r="N76" t="n">
        <v>0</v>
      </c>
      <c r="O76" t="n">
        <v>0</v>
      </c>
      <c r="P76" t="n">
        <v>0</v>
      </c>
      <c r="Q76" t="n">
        <v>0</v>
      </c>
      <c r="R76" s="2" t="inlineStr"/>
    </row>
    <row r="77" ht="15" customHeight="1">
      <c r="A77" t="inlineStr">
        <is>
          <t>A 43542-2025</t>
        </is>
      </c>
      <c r="B77" s="1" t="n">
        <v>45911.61123842592</v>
      </c>
      <c r="C77" s="1" t="n">
        <v>46032</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60141-2025</t>
        </is>
      </c>
      <c r="B78" s="1" t="n">
        <v>45994.36873842592</v>
      </c>
      <c r="C78" s="1" t="n">
        <v>46032</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44224-2025</t>
        </is>
      </c>
      <c r="B79" s="1" t="n">
        <v>45915</v>
      </c>
      <c r="C79" s="1" t="n">
        <v>46032</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28782-2025</t>
        </is>
      </c>
      <c r="B80" s="1" t="n">
        <v>45820.45572916666</v>
      </c>
      <c r="C80" s="1" t="n">
        <v>46032</v>
      </c>
      <c r="D80" t="inlineStr">
        <is>
          <t>KALMAR LÄN</t>
        </is>
      </c>
      <c r="E80" t="inlineStr">
        <is>
          <t>BORGHOLM</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46032</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21908-2022</t>
        </is>
      </c>
      <c r="B82" s="1" t="n">
        <v>44711</v>
      </c>
      <c r="C82" s="1" t="n">
        <v>46032</v>
      </c>
      <c r="D82" t="inlineStr">
        <is>
          <t>KALMAR LÄN</t>
        </is>
      </c>
      <c r="E82" t="inlineStr">
        <is>
          <t>BORGHOLM</t>
        </is>
      </c>
      <c r="G82" t="n">
        <v>4.7</v>
      </c>
      <c r="H82" t="n">
        <v>0</v>
      </c>
      <c r="I82" t="n">
        <v>0</v>
      </c>
      <c r="J82" t="n">
        <v>0</v>
      </c>
      <c r="K82" t="n">
        <v>0</v>
      </c>
      <c r="L82" t="n">
        <v>0</v>
      </c>
      <c r="M82" t="n">
        <v>0</v>
      </c>
      <c r="N82" t="n">
        <v>0</v>
      </c>
      <c r="O82" t="n">
        <v>0</v>
      </c>
      <c r="P82" t="n">
        <v>0</v>
      </c>
      <c r="Q82" t="n">
        <v>0</v>
      </c>
      <c r="R82" s="2" t="inlineStr"/>
    </row>
    <row r="83" ht="15" customHeight="1">
      <c r="A83" t="inlineStr">
        <is>
          <t>A 45869-2025</t>
        </is>
      </c>
      <c r="B83" s="1" t="n">
        <v>45923.65313657407</v>
      </c>
      <c r="C83" s="1" t="n">
        <v>46032</v>
      </c>
      <c r="D83" t="inlineStr">
        <is>
          <t>KALMAR LÄN</t>
        </is>
      </c>
      <c r="E83" t="inlineStr">
        <is>
          <t>BORGHOLM</t>
        </is>
      </c>
      <c r="G83" t="n">
        <v>4.5</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46032</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46845-2025</t>
        </is>
      </c>
      <c r="B85" s="1" t="n">
        <v>45928</v>
      </c>
      <c r="C85" s="1" t="n">
        <v>46032</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46032</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4159-2024</t>
        </is>
      </c>
      <c r="B87" s="1" t="n">
        <v>45323</v>
      </c>
      <c r="C87" s="1" t="n">
        <v>46032</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32921-2023</t>
        </is>
      </c>
      <c r="B88" s="1" t="n">
        <v>45125</v>
      </c>
      <c r="C88" s="1" t="n">
        <v>46032</v>
      </c>
      <c r="D88" t="inlineStr">
        <is>
          <t>KALMAR LÄN</t>
        </is>
      </c>
      <c r="E88" t="inlineStr">
        <is>
          <t>BORGHOLM</t>
        </is>
      </c>
      <c r="G88" t="n">
        <v>2.9</v>
      </c>
      <c r="H88" t="n">
        <v>0</v>
      </c>
      <c r="I88" t="n">
        <v>0</v>
      </c>
      <c r="J88" t="n">
        <v>0</v>
      </c>
      <c r="K88" t="n">
        <v>0</v>
      </c>
      <c r="L88" t="n">
        <v>0</v>
      </c>
      <c r="M88" t="n">
        <v>0</v>
      </c>
      <c r="N88" t="n">
        <v>0</v>
      </c>
      <c r="O88" t="n">
        <v>0</v>
      </c>
      <c r="P88" t="n">
        <v>0</v>
      </c>
      <c r="Q88" t="n">
        <v>0</v>
      </c>
      <c r="R88" s="2" t="inlineStr"/>
    </row>
    <row r="89" ht="15" customHeight="1">
      <c r="A89" t="inlineStr">
        <is>
          <t>A 31699-2022</t>
        </is>
      </c>
      <c r="B89" s="1" t="n">
        <v>44776</v>
      </c>
      <c r="C89" s="1" t="n">
        <v>46032</v>
      </c>
      <c r="D89" t="inlineStr">
        <is>
          <t>KALMAR LÄN</t>
        </is>
      </c>
      <c r="E89" t="inlineStr">
        <is>
          <t>BORGHOLM</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63276-2023</t>
        </is>
      </c>
      <c r="B90" s="1" t="n">
        <v>45273.82195601852</v>
      </c>
      <c r="C90" s="1" t="n">
        <v>46032</v>
      </c>
      <c r="D90" t="inlineStr">
        <is>
          <t>KALMAR LÄN</t>
        </is>
      </c>
      <c r="E90" t="inlineStr">
        <is>
          <t>BORGHOLM</t>
        </is>
      </c>
      <c r="G90" t="n">
        <v>5</v>
      </c>
      <c r="H90" t="n">
        <v>0</v>
      </c>
      <c r="I90" t="n">
        <v>0</v>
      </c>
      <c r="J90" t="n">
        <v>0</v>
      </c>
      <c r="K90" t="n">
        <v>0</v>
      </c>
      <c r="L90" t="n">
        <v>0</v>
      </c>
      <c r="M90" t="n">
        <v>0</v>
      </c>
      <c r="N90" t="n">
        <v>0</v>
      </c>
      <c r="O90" t="n">
        <v>0</v>
      </c>
      <c r="P90" t="n">
        <v>0</v>
      </c>
      <c r="Q90" t="n">
        <v>0</v>
      </c>
      <c r="R90" s="2" t="inlineStr"/>
    </row>
    <row r="91" ht="15" customHeight="1">
      <c r="A91" t="inlineStr">
        <is>
          <t>A 36269-2025</t>
        </is>
      </c>
      <c r="B91" s="1" t="n">
        <v>45867.61736111111</v>
      </c>
      <c r="C91" s="1" t="n">
        <v>46032</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61723-2025</t>
        </is>
      </c>
      <c r="B92" s="1" t="n">
        <v>46002.58388888889</v>
      </c>
      <c r="C92" s="1" t="n">
        <v>46032</v>
      </c>
      <c r="D92" t="inlineStr">
        <is>
          <t>KALMAR LÄN</t>
        </is>
      </c>
      <c r="E92" t="inlineStr">
        <is>
          <t>BORGHOLM</t>
        </is>
      </c>
      <c r="G92" t="n">
        <v>1.1</v>
      </c>
      <c r="H92" t="n">
        <v>0</v>
      </c>
      <c r="I92" t="n">
        <v>0</v>
      </c>
      <c r="J92" t="n">
        <v>0</v>
      </c>
      <c r="K92" t="n">
        <v>0</v>
      </c>
      <c r="L92" t="n">
        <v>0</v>
      </c>
      <c r="M92" t="n">
        <v>0</v>
      </c>
      <c r="N92" t="n">
        <v>0</v>
      </c>
      <c r="O92" t="n">
        <v>0</v>
      </c>
      <c r="P92" t="n">
        <v>0</v>
      </c>
      <c r="Q92" t="n">
        <v>0</v>
      </c>
      <c r="R92" s="2" t="inlineStr"/>
    </row>
    <row r="93" ht="15" customHeight="1">
      <c r="A93" t="inlineStr">
        <is>
          <t>A 1614-2025</t>
        </is>
      </c>
      <c r="B93" s="1" t="n">
        <v>45670.60094907408</v>
      </c>
      <c r="C93" s="1" t="n">
        <v>46032</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9076-2025</t>
        </is>
      </c>
      <c r="B94" s="1" t="n">
        <v>45713.6596875</v>
      </c>
      <c r="C94" s="1" t="n">
        <v>46032</v>
      </c>
      <c r="D94" t="inlineStr">
        <is>
          <t>KALMAR LÄN</t>
        </is>
      </c>
      <c r="E94" t="inlineStr">
        <is>
          <t>BORGHOLM</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1757-2025</t>
        </is>
      </c>
      <c r="B95" s="1" t="n">
        <v>45671.42195601852</v>
      </c>
      <c r="C95" s="1" t="n">
        <v>46032</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7960-2023</t>
        </is>
      </c>
      <c r="B96" s="1" t="n">
        <v>44973</v>
      </c>
      <c r="C96" s="1" t="n">
        <v>46032</v>
      </c>
      <c r="D96" t="inlineStr">
        <is>
          <t>KALMAR LÄN</t>
        </is>
      </c>
      <c r="E96" t="inlineStr">
        <is>
          <t>BORGHOLM</t>
        </is>
      </c>
      <c r="G96" t="n">
        <v>2.1</v>
      </c>
      <c r="H96" t="n">
        <v>0</v>
      </c>
      <c r="I96" t="n">
        <v>0</v>
      </c>
      <c r="J96" t="n">
        <v>0</v>
      </c>
      <c r="K96" t="n">
        <v>0</v>
      </c>
      <c r="L96" t="n">
        <v>0</v>
      </c>
      <c r="M96" t="n">
        <v>0</v>
      </c>
      <c r="N96" t="n">
        <v>0</v>
      </c>
      <c r="O96" t="n">
        <v>0</v>
      </c>
      <c r="P96" t="n">
        <v>0</v>
      </c>
      <c r="Q96" t="n">
        <v>0</v>
      </c>
      <c r="R96" s="2" t="inlineStr"/>
    </row>
    <row r="97" ht="15" customHeight="1">
      <c r="A97" t="inlineStr">
        <is>
          <t>A 29656-2023</t>
        </is>
      </c>
      <c r="B97" s="1" t="n">
        <v>45107</v>
      </c>
      <c r="C97" s="1" t="n">
        <v>46032</v>
      </c>
      <c r="D97" t="inlineStr">
        <is>
          <t>KALMAR LÄN</t>
        </is>
      </c>
      <c r="E97" t="inlineStr">
        <is>
          <t>BORGHOLM</t>
        </is>
      </c>
      <c r="G97" t="n">
        <v>4.1</v>
      </c>
      <c r="H97" t="n">
        <v>0</v>
      </c>
      <c r="I97" t="n">
        <v>0</v>
      </c>
      <c r="J97" t="n">
        <v>0</v>
      </c>
      <c r="K97" t="n">
        <v>0</v>
      </c>
      <c r="L97" t="n">
        <v>0</v>
      </c>
      <c r="M97" t="n">
        <v>0</v>
      </c>
      <c r="N97" t="n">
        <v>0</v>
      </c>
      <c r="O97" t="n">
        <v>0</v>
      </c>
      <c r="P97" t="n">
        <v>0</v>
      </c>
      <c r="Q97" t="n">
        <v>0</v>
      </c>
      <c r="R97" s="2" t="inlineStr"/>
    </row>
    <row r="98" ht="15" customHeight="1">
      <c r="A98" t="inlineStr">
        <is>
          <t>A 9050-2025</t>
        </is>
      </c>
      <c r="B98" s="1" t="n">
        <v>45713.63512731482</v>
      </c>
      <c r="C98" s="1" t="n">
        <v>46032</v>
      </c>
      <c r="D98" t="inlineStr">
        <is>
          <t>KALMAR LÄN</t>
        </is>
      </c>
      <c r="E98" t="inlineStr">
        <is>
          <t>BORGHOLM</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46032</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46032</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32919-2023</t>
        </is>
      </c>
      <c r="B101" s="1" t="n">
        <v>45125</v>
      </c>
      <c r="C101" s="1" t="n">
        <v>46032</v>
      </c>
      <c r="D101" t="inlineStr">
        <is>
          <t>KALMAR LÄN</t>
        </is>
      </c>
      <c r="E101" t="inlineStr">
        <is>
          <t>BORGHOLM</t>
        </is>
      </c>
      <c r="G101" t="n">
        <v>2.7</v>
      </c>
      <c r="H101" t="n">
        <v>0</v>
      </c>
      <c r="I101" t="n">
        <v>0</v>
      </c>
      <c r="J101" t="n">
        <v>0</v>
      </c>
      <c r="K101" t="n">
        <v>0</v>
      </c>
      <c r="L101" t="n">
        <v>0</v>
      </c>
      <c r="M101" t="n">
        <v>0</v>
      </c>
      <c r="N101" t="n">
        <v>0</v>
      </c>
      <c r="O101" t="n">
        <v>0</v>
      </c>
      <c r="P101" t="n">
        <v>0</v>
      </c>
      <c r="Q101" t="n">
        <v>0</v>
      </c>
      <c r="R101" s="2" t="inlineStr"/>
    </row>
    <row r="102" ht="15" customHeight="1">
      <c r="A102" t="inlineStr">
        <is>
          <t>A 44678-2022</t>
        </is>
      </c>
      <c r="B102" s="1" t="n">
        <v>44840.65100694444</v>
      </c>
      <c r="C102" s="1" t="n">
        <v>46032</v>
      </c>
      <c r="D102" t="inlineStr">
        <is>
          <t>KALMAR LÄN</t>
        </is>
      </c>
      <c r="E102" t="inlineStr">
        <is>
          <t>BORGHOLM</t>
        </is>
      </c>
      <c r="G102" t="n">
        <v>2.4</v>
      </c>
      <c r="H102" t="n">
        <v>0</v>
      </c>
      <c r="I102" t="n">
        <v>0</v>
      </c>
      <c r="J102" t="n">
        <v>0</v>
      </c>
      <c r="K102" t="n">
        <v>0</v>
      </c>
      <c r="L102" t="n">
        <v>0</v>
      </c>
      <c r="M102" t="n">
        <v>0</v>
      </c>
      <c r="N102" t="n">
        <v>0</v>
      </c>
      <c r="O102" t="n">
        <v>0</v>
      </c>
      <c r="P102" t="n">
        <v>0</v>
      </c>
      <c r="Q102" t="n">
        <v>0</v>
      </c>
      <c r="R102" s="2" t="inlineStr"/>
    </row>
    <row r="103" ht="15" customHeight="1">
      <c r="A103" t="inlineStr">
        <is>
          <t>A 31720-2022</t>
        </is>
      </c>
      <c r="B103" s="1" t="n">
        <v>44776</v>
      </c>
      <c r="C103" s="1" t="n">
        <v>46032</v>
      </c>
      <c r="D103" t="inlineStr">
        <is>
          <t>KALMAR LÄN</t>
        </is>
      </c>
      <c r="E103" t="inlineStr">
        <is>
          <t>BORGHOLM</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46032</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5175-2024</t>
        </is>
      </c>
      <c r="B105" s="1" t="n">
        <v>45330</v>
      </c>
      <c r="C105" s="1" t="n">
        <v>46032</v>
      </c>
      <c r="D105" t="inlineStr">
        <is>
          <t>KALMAR LÄN</t>
        </is>
      </c>
      <c r="E105" t="inlineStr">
        <is>
          <t>BORGHOLM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34951-2022</t>
        </is>
      </c>
      <c r="B106" s="1" t="n">
        <v>44796</v>
      </c>
      <c r="C106" s="1" t="n">
        <v>46032</v>
      </c>
      <c r="D106" t="inlineStr">
        <is>
          <t>KALMAR LÄN</t>
        </is>
      </c>
      <c r="E106" t="inlineStr">
        <is>
          <t>BORGHOLM</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19867-2024</t>
        </is>
      </c>
      <c r="B107" s="1" t="n">
        <v>45433</v>
      </c>
      <c r="C107" s="1" t="n">
        <v>46032</v>
      </c>
      <c r="D107" t="inlineStr">
        <is>
          <t>KALMAR LÄN</t>
        </is>
      </c>
      <c r="E107" t="inlineStr">
        <is>
          <t>BORGHOLM</t>
        </is>
      </c>
      <c r="G107" t="n">
        <v>3.9</v>
      </c>
      <c r="H107" t="n">
        <v>0</v>
      </c>
      <c r="I107" t="n">
        <v>0</v>
      </c>
      <c r="J107" t="n">
        <v>0</v>
      </c>
      <c r="K107" t="n">
        <v>0</v>
      </c>
      <c r="L107" t="n">
        <v>0</v>
      </c>
      <c r="M107" t="n">
        <v>0</v>
      </c>
      <c r="N107" t="n">
        <v>0</v>
      </c>
      <c r="O107" t="n">
        <v>0</v>
      </c>
      <c r="P107" t="n">
        <v>0</v>
      </c>
      <c r="Q107" t="n">
        <v>0</v>
      </c>
      <c r="R107" s="2" t="inlineStr"/>
    </row>
    <row r="108" ht="15" customHeight="1">
      <c r="A108" t="inlineStr">
        <is>
          <t>A 13383-2023</t>
        </is>
      </c>
      <c r="B108" s="1" t="n">
        <v>45005</v>
      </c>
      <c r="C108" s="1" t="n">
        <v>46032</v>
      </c>
      <c r="D108" t="inlineStr">
        <is>
          <t>KALMAR LÄN</t>
        </is>
      </c>
      <c r="E108" t="inlineStr">
        <is>
          <t>BORGHOLM</t>
        </is>
      </c>
      <c r="G108" t="n">
        <v>0.8</v>
      </c>
      <c r="H108" t="n">
        <v>0</v>
      </c>
      <c r="I108" t="n">
        <v>0</v>
      </c>
      <c r="J108" t="n">
        <v>0</v>
      </c>
      <c r="K108" t="n">
        <v>0</v>
      </c>
      <c r="L108" t="n">
        <v>0</v>
      </c>
      <c r="M108" t="n">
        <v>0</v>
      </c>
      <c r="N108" t="n">
        <v>0</v>
      </c>
      <c r="O108" t="n">
        <v>0</v>
      </c>
      <c r="P108" t="n">
        <v>0</v>
      </c>
      <c r="Q108" t="n">
        <v>0</v>
      </c>
      <c r="R108" s="2" t="inlineStr"/>
    </row>
    <row r="109" ht="15" customHeight="1">
      <c r="A109" t="inlineStr">
        <is>
          <t>A 61438-2023</t>
        </is>
      </c>
      <c r="B109" s="1" t="n">
        <v>45264</v>
      </c>
      <c r="C109" s="1" t="n">
        <v>46032</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13041-2024</t>
        </is>
      </c>
      <c r="B110" s="1" t="n">
        <v>45385.60065972222</v>
      </c>
      <c r="C110" s="1" t="n">
        <v>46032</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46032</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4165-2023</t>
        </is>
      </c>
      <c r="B112" s="1" t="n">
        <v>44953</v>
      </c>
      <c r="C112" s="1" t="n">
        <v>46032</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50129-2021</t>
        </is>
      </c>
      <c r="B113" s="1" t="n">
        <v>44456</v>
      </c>
      <c r="C113" s="1" t="n">
        <v>46032</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46032</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46032</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9044-2025</t>
        </is>
      </c>
      <c r="B116" s="1" t="n">
        <v>45713.6275</v>
      </c>
      <c r="C116" s="1" t="n">
        <v>46032</v>
      </c>
      <c r="D116" t="inlineStr">
        <is>
          <t>KALMAR LÄN</t>
        </is>
      </c>
      <c r="E116" t="inlineStr">
        <is>
          <t>BORGHOLM</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20878-2024</t>
        </is>
      </c>
      <c r="B117" s="1" t="n">
        <v>45439.44748842593</v>
      </c>
      <c r="C117" s="1" t="n">
        <v>46032</v>
      </c>
      <c r="D117" t="inlineStr">
        <is>
          <t>KALMAR LÄN</t>
        </is>
      </c>
      <c r="E117" t="inlineStr">
        <is>
          <t>BORGHOLM</t>
        </is>
      </c>
      <c r="G117" t="n">
        <v>1.9</v>
      </c>
      <c r="H117" t="n">
        <v>0</v>
      </c>
      <c r="I117" t="n">
        <v>0</v>
      </c>
      <c r="J117" t="n">
        <v>0</v>
      </c>
      <c r="K117" t="n">
        <v>0</v>
      </c>
      <c r="L117" t="n">
        <v>0</v>
      </c>
      <c r="M117" t="n">
        <v>0</v>
      </c>
      <c r="N117" t="n">
        <v>0</v>
      </c>
      <c r="O117" t="n">
        <v>0</v>
      </c>
      <c r="P117" t="n">
        <v>0</v>
      </c>
      <c r="Q117" t="n">
        <v>0</v>
      </c>
      <c r="R117" s="2" t="inlineStr"/>
    </row>
    <row r="118" ht="15" customHeight="1">
      <c r="A118" t="inlineStr">
        <is>
          <t>A 17699-2025</t>
        </is>
      </c>
      <c r="B118" s="1" t="n">
        <v>45758.41846064815</v>
      </c>
      <c r="C118" s="1" t="n">
        <v>46032</v>
      </c>
      <c r="D118" t="inlineStr">
        <is>
          <t>KALMAR LÄN</t>
        </is>
      </c>
      <c r="E118" t="inlineStr">
        <is>
          <t>BORGHOLM</t>
        </is>
      </c>
      <c r="G118" t="n">
        <v>0.7</v>
      </c>
      <c r="H118" t="n">
        <v>0</v>
      </c>
      <c r="I118" t="n">
        <v>0</v>
      </c>
      <c r="J118" t="n">
        <v>0</v>
      </c>
      <c r="K118" t="n">
        <v>0</v>
      </c>
      <c r="L118" t="n">
        <v>0</v>
      </c>
      <c r="M118" t="n">
        <v>0</v>
      </c>
      <c r="N118" t="n">
        <v>0</v>
      </c>
      <c r="O118" t="n">
        <v>0</v>
      </c>
      <c r="P118" t="n">
        <v>0</v>
      </c>
      <c r="Q118" t="n">
        <v>0</v>
      </c>
      <c r="R118" s="2" t="inlineStr"/>
    </row>
    <row r="119" ht="15" customHeight="1">
      <c r="A119" t="inlineStr">
        <is>
          <t>A 20287-2025</t>
        </is>
      </c>
      <c r="B119" s="1" t="n">
        <v>45774.60741898148</v>
      </c>
      <c r="C119" s="1" t="n">
        <v>46032</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26160-2024</t>
        </is>
      </c>
      <c r="B120" s="1" t="n">
        <v>45468</v>
      </c>
      <c r="C120" s="1" t="n">
        <v>46032</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c r="T120">
        <f>HYPERLINK("https://klasma.github.io/Logging_0885/kartor/A 26160-2024 karta.png", "A 26160-2024")</f>
        <v/>
      </c>
      <c r="V120">
        <f>HYPERLINK("https://klasma.github.io/Logging_0885/klagomål/A 26160-2024 FSC-klagomål.docx", "A 26160-2024")</f>
        <v/>
      </c>
      <c r="W120">
        <f>HYPERLINK("https://klasma.github.io/Logging_0885/klagomålsmail/A 26160-2024 FSC-klagomål mail.docx", "A 26160-2024")</f>
        <v/>
      </c>
      <c r="X120">
        <f>HYPERLINK("https://klasma.github.io/Logging_0885/tillsyn/A 26160-2024 tillsynsbegäran.docx", "A 26160-2024")</f>
        <v/>
      </c>
      <c r="Y120">
        <f>HYPERLINK("https://klasma.github.io/Logging_0885/tillsynsmail/A 26160-2024 tillsynsbegäran mail.docx", "A 26160-2024")</f>
        <v/>
      </c>
    </row>
    <row r="121">
      <c r="A121" t="inlineStr">
        <is>
          <t>A 63075-2023</t>
        </is>
      </c>
      <c r="B121" s="1" t="n">
        <v>45273</v>
      </c>
      <c r="C121" s="1" t="n">
        <v>46032</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2026-01-10T10:52:06Z</dcterms:created>
  <dcterms:modified xmlns:dcterms="http://purl.org/dc/terms/" xmlns:xsi="http://www.w3.org/2001/XMLSchema-instance" xsi:type="dcterms:W3CDTF">2026-01-10T10:52:06Z</dcterms:modified>
</cp:coreProperties>
</file>