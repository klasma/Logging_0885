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46098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46098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46098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46098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46098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46098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45006-2025</t>
        </is>
      </c>
      <c r="B8" s="1" t="n">
        <v>45918</v>
      </c>
      <c r="C8" s="1" t="n">
        <v>46098</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46098</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46098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46098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46098</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46098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46098</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46098</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46098</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46098</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46098</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46098</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46098</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60140-2025</t>
        </is>
      </c>
      <c r="B21" s="1" t="n">
        <v>45994.36274305556</v>
      </c>
      <c r="C21" s="1" t="n">
        <v>46098</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13556-2025</t>
        </is>
      </c>
      <c r="B22" s="1" t="n">
        <v>45736.54759259259</v>
      </c>
      <c r="C22" s="1" t="n">
        <v>46098</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9253-2026</t>
        </is>
      </c>
      <c r="B23" s="1" t="n">
        <v>46070.51003472223</v>
      </c>
      <c r="C23" s="1" t="n">
        <v>46098</v>
      </c>
      <c r="D23" t="inlineStr">
        <is>
          <t>KALMAR LÄN</t>
        </is>
      </c>
      <c r="E23" t="inlineStr">
        <is>
          <t>BORGHOLM</t>
        </is>
      </c>
      <c r="G23" t="n">
        <v>1.1</v>
      </c>
      <c r="H23" t="n">
        <v>1</v>
      </c>
      <c r="I23" t="n">
        <v>1</v>
      </c>
      <c r="J23" t="n">
        <v>0</v>
      </c>
      <c r="K23" t="n">
        <v>0</v>
      </c>
      <c r="L23" t="n">
        <v>0</v>
      </c>
      <c r="M23" t="n">
        <v>0</v>
      </c>
      <c r="N23" t="n">
        <v>0</v>
      </c>
      <c r="O23" t="n">
        <v>0</v>
      </c>
      <c r="P23" t="n">
        <v>0</v>
      </c>
      <c r="Q23" t="n">
        <v>2</v>
      </c>
      <c r="R23" s="2" t="inlineStr">
        <is>
          <t>Murgröna
Gullviva</t>
        </is>
      </c>
      <c r="S23">
        <f>HYPERLINK("https://klasma.github.io/Logging_0885/artfynd/A 9253-2026 artfynd.xlsx", "A 9253-2026")</f>
        <v/>
      </c>
      <c r="T23">
        <f>HYPERLINK("https://klasma.github.io/Logging_0885/kartor/A 9253-2026 karta.png", "A 9253-2026")</f>
        <v/>
      </c>
      <c r="V23">
        <f>HYPERLINK("https://klasma.github.io/Logging_0885/klagomål/A 9253-2026 FSC-klagomål.docx", "A 9253-2026")</f>
        <v/>
      </c>
      <c r="W23">
        <f>HYPERLINK("https://klasma.github.io/Logging_0885/klagomålsmail/A 9253-2026 FSC-klagomål mail.docx", "A 9253-2026")</f>
        <v/>
      </c>
      <c r="X23">
        <f>HYPERLINK("https://klasma.github.io/Logging_0885/tillsyn/A 9253-2026 tillsynsbegäran.docx", "A 9253-2026")</f>
        <v/>
      </c>
      <c r="Y23">
        <f>HYPERLINK("https://klasma.github.io/Logging_0885/tillsynsmail/A 9253-2026 tillsynsbegäran mail.docx", "A 9253-2026")</f>
        <v/>
      </c>
    </row>
    <row r="24" ht="15" customHeight="1">
      <c r="A24" t="inlineStr">
        <is>
          <t>A 44008-2022</t>
        </is>
      </c>
      <c r="B24" s="1" t="n">
        <v>44838</v>
      </c>
      <c r="C24" s="1" t="n">
        <v>46098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46098</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46098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46098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46098</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46098</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46098</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46098</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45693-2025</t>
        </is>
      </c>
      <c r="B32" s="1" t="n">
        <v>45923</v>
      </c>
      <c r="C32" s="1" t="n">
        <v>46098</v>
      </c>
      <c r="D32" t="inlineStr">
        <is>
          <t>KALMAR LÄN</t>
        </is>
      </c>
      <c r="E32" t="inlineStr">
        <is>
          <t>BORGHOLM</t>
        </is>
      </c>
      <c r="G32" t="n">
        <v>4.8</v>
      </c>
      <c r="H32" t="n">
        <v>0</v>
      </c>
      <c r="I32" t="n">
        <v>0</v>
      </c>
      <c r="J32" t="n">
        <v>1</v>
      </c>
      <c r="K32" t="n">
        <v>0</v>
      </c>
      <c r="L32" t="n">
        <v>0</v>
      </c>
      <c r="M32" t="n">
        <v>0</v>
      </c>
      <c r="N32" t="n">
        <v>0</v>
      </c>
      <c r="O32" t="n">
        <v>1</v>
      </c>
      <c r="P32" t="n">
        <v>0</v>
      </c>
      <c r="Q32" t="n">
        <v>1</v>
      </c>
      <c r="R32" s="2" t="inlineStr">
        <is>
          <t>Stjälkröksvamp</t>
        </is>
      </c>
      <c r="S32">
        <f>HYPERLINK("https://klasma.github.io/Logging_0885/artfynd/A 45693-2025 artfynd.xlsx", "A 45693-2025")</f>
        <v/>
      </c>
      <c r="T32">
        <f>HYPERLINK("https://klasma.github.io/Logging_0885/kartor/A 45693-2025 karta.png", "A 45693-2025")</f>
        <v/>
      </c>
      <c r="V32">
        <f>HYPERLINK("https://klasma.github.io/Logging_0885/klagomål/A 45693-2025 FSC-klagomål.docx", "A 45693-2025")</f>
        <v/>
      </c>
      <c r="W32">
        <f>HYPERLINK("https://klasma.github.io/Logging_0885/klagomålsmail/A 45693-2025 FSC-klagomål mail.docx", "A 45693-2025")</f>
        <v/>
      </c>
      <c r="X32">
        <f>HYPERLINK("https://klasma.github.io/Logging_0885/tillsyn/A 45693-2025 tillsynsbegäran.docx", "A 45693-2025")</f>
        <v/>
      </c>
      <c r="Y32">
        <f>HYPERLINK("https://klasma.github.io/Logging_0885/tillsynsmail/A 45693-2025 tillsynsbegäran mail.docx", "A 45693-2025")</f>
        <v/>
      </c>
    </row>
    <row r="33" ht="15" customHeight="1">
      <c r="A33" t="inlineStr">
        <is>
          <t>A 13558-2025</t>
        </is>
      </c>
      <c r="B33" s="1" t="n">
        <v>45736.54974537037</v>
      </c>
      <c r="C33" s="1" t="n">
        <v>46098</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46098</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46098</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46098</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46098</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46098</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3302-2026</t>
        </is>
      </c>
      <c r="B39" s="1" t="n">
        <v>46041</v>
      </c>
      <c r="C39" s="1" t="n">
        <v>46098</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24704-2023</t>
        </is>
      </c>
      <c r="B40" s="1" t="n">
        <v>45084</v>
      </c>
      <c r="C40" s="1" t="n">
        <v>46098</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46098</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46098</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46098</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42761-2021</t>
        </is>
      </c>
      <c r="B44" s="1" t="n">
        <v>44428</v>
      </c>
      <c r="C44" s="1" t="n">
        <v>46098</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13325-2021</t>
        </is>
      </c>
      <c r="B45" s="1" t="n">
        <v>44273</v>
      </c>
      <c r="C45" s="1" t="n">
        <v>46098</v>
      </c>
      <c r="D45" t="inlineStr">
        <is>
          <t>KALMAR LÄN</t>
        </is>
      </c>
      <c r="E45" t="inlineStr">
        <is>
          <t>BORGHOLM</t>
        </is>
      </c>
      <c r="G45" t="n">
        <v>0.7</v>
      </c>
      <c r="H45" t="n">
        <v>0</v>
      </c>
      <c r="I45" t="n">
        <v>0</v>
      </c>
      <c r="J45" t="n">
        <v>0</v>
      </c>
      <c r="K45" t="n">
        <v>0</v>
      </c>
      <c r="L45" t="n">
        <v>0</v>
      </c>
      <c r="M45" t="n">
        <v>0</v>
      </c>
      <c r="N45" t="n">
        <v>0</v>
      </c>
      <c r="O45" t="n">
        <v>0</v>
      </c>
      <c r="P45" t="n">
        <v>0</v>
      </c>
      <c r="Q45" t="n">
        <v>0</v>
      </c>
      <c r="R45" s="2" t="inlineStr"/>
    </row>
    <row r="46" ht="15" customHeight="1">
      <c r="A46" t="inlineStr">
        <is>
          <t>A 32665-2022</t>
        </is>
      </c>
      <c r="B46" s="1" t="n">
        <v>44783</v>
      </c>
      <c r="C46" s="1" t="n">
        <v>46098</v>
      </c>
      <c r="D46" t="inlineStr">
        <is>
          <t>KALMAR LÄN</t>
        </is>
      </c>
      <c r="E46" t="inlineStr">
        <is>
          <t>BORGHOLM</t>
        </is>
      </c>
      <c r="F46" t="inlineStr">
        <is>
          <t>Sveaskog</t>
        </is>
      </c>
      <c r="G46" t="n">
        <v>4.2</v>
      </c>
      <c r="H46" t="n">
        <v>0</v>
      </c>
      <c r="I46" t="n">
        <v>0</v>
      </c>
      <c r="J46" t="n">
        <v>0</v>
      </c>
      <c r="K46" t="n">
        <v>0</v>
      </c>
      <c r="L46" t="n">
        <v>0</v>
      </c>
      <c r="M46" t="n">
        <v>0</v>
      </c>
      <c r="N46" t="n">
        <v>0</v>
      </c>
      <c r="O46" t="n">
        <v>0</v>
      </c>
      <c r="P46" t="n">
        <v>0</v>
      </c>
      <c r="Q46" t="n">
        <v>0</v>
      </c>
      <c r="R46" s="2" t="inlineStr"/>
    </row>
    <row r="47" ht="15" customHeight="1">
      <c r="A47" t="inlineStr">
        <is>
          <t>A 10348-2022</t>
        </is>
      </c>
      <c r="B47" s="1" t="n">
        <v>44623</v>
      </c>
      <c r="C47" s="1" t="n">
        <v>46098</v>
      </c>
      <c r="D47" t="inlineStr">
        <is>
          <t>KALMAR LÄN</t>
        </is>
      </c>
      <c r="E47" t="inlineStr">
        <is>
          <t>BORGHOLM</t>
        </is>
      </c>
      <c r="G47" t="n">
        <v>0.4</v>
      </c>
      <c r="H47" t="n">
        <v>0</v>
      </c>
      <c r="I47" t="n">
        <v>0</v>
      </c>
      <c r="J47" t="n">
        <v>0</v>
      </c>
      <c r="K47" t="n">
        <v>0</v>
      </c>
      <c r="L47" t="n">
        <v>0</v>
      </c>
      <c r="M47" t="n">
        <v>0</v>
      </c>
      <c r="N47" t="n">
        <v>0</v>
      </c>
      <c r="O47" t="n">
        <v>0</v>
      </c>
      <c r="P47" t="n">
        <v>0</v>
      </c>
      <c r="Q47" t="n">
        <v>0</v>
      </c>
      <c r="R47" s="2" t="inlineStr"/>
    </row>
    <row r="48" ht="15" customHeight="1">
      <c r="A48" t="inlineStr">
        <is>
          <t>A 28345-2022</t>
        </is>
      </c>
      <c r="B48" s="1" t="n">
        <v>44747</v>
      </c>
      <c r="C48" s="1" t="n">
        <v>46098</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44681-2022</t>
        </is>
      </c>
      <c r="B49" s="1" t="n">
        <v>44840</v>
      </c>
      <c r="C49" s="1" t="n">
        <v>46098</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32608-2022</t>
        </is>
      </c>
      <c r="B50" s="1" t="n">
        <v>44783</v>
      </c>
      <c r="C50" s="1" t="n">
        <v>46098</v>
      </c>
      <c r="D50" t="inlineStr">
        <is>
          <t>KALMAR LÄN</t>
        </is>
      </c>
      <c r="E50" t="inlineStr">
        <is>
          <t>BORGHOLM</t>
        </is>
      </c>
      <c r="F50" t="inlineStr">
        <is>
          <t>Sveaskog</t>
        </is>
      </c>
      <c r="G50" t="n">
        <v>1.6</v>
      </c>
      <c r="H50" t="n">
        <v>0</v>
      </c>
      <c r="I50" t="n">
        <v>0</v>
      </c>
      <c r="J50" t="n">
        <v>0</v>
      </c>
      <c r="K50" t="n">
        <v>0</v>
      </c>
      <c r="L50" t="n">
        <v>0</v>
      </c>
      <c r="M50" t="n">
        <v>0</v>
      </c>
      <c r="N50" t="n">
        <v>0</v>
      </c>
      <c r="O50" t="n">
        <v>0</v>
      </c>
      <c r="P50" t="n">
        <v>0</v>
      </c>
      <c r="Q50" t="n">
        <v>0</v>
      </c>
      <c r="R50" s="2" t="inlineStr"/>
    </row>
    <row r="51" ht="15" customHeight="1">
      <c r="A51" t="inlineStr">
        <is>
          <t>A 61828-2021</t>
        </is>
      </c>
      <c r="B51" s="1" t="n">
        <v>44501</v>
      </c>
      <c r="C51" s="1" t="n">
        <v>46098</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56188-2021</t>
        </is>
      </c>
      <c r="B52" s="1" t="n">
        <v>44477.83525462963</v>
      </c>
      <c r="C52" s="1" t="n">
        <v>46098</v>
      </c>
      <c r="D52" t="inlineStr">
        <is>
          <t>KALMAR LÄN</t>
        </is>
      </c>
      <c r="E52" t="inlineStr">
        <is>
          <t>BORGHOLM</t>
        </is>
      </c>
      <c r="G52" t="n">
        <v>1.8</v>
      </c>
      <c r="H52" t="n">
        <v>0</v>
      </c>
      <c r="I52" t="n">
        <v>0</v>
      </c>
      <c r="J52" t="n">
        <v>0</v>
      </c>
      <c r="K52" t="n">
        <v>0</v>
      </c>
      <c r="L52" t="n">
        <v>0</v>
      </c>
      <c r="M52" t="n">
        <v>0</v>
      </c>
      <c r="N52" t="n">
        <v>0</v>
      </c>
      <c r="O52" t="n">
        <v>0</v>
      </c>
      <c r="P52" t="n">
        <v>0</v>
      </c>
      <c r="Q52" t="n">
        <v>0</v>
      </c>
      <c r="R52" s="2" t="inlineStr"/>
    </row>
    <row r="53" ht="15" customHeight="1">
      <c r="A53" t="inlineStr">
        <is>
          <t>A 56983-2021</t>
        </is>
      </c>
      <c r="B53" s="1" t="n">
        <v>44482</v>
      </c>
      <c r="C53" s="1" t="n">
        <v>46098</v>
      </c>
      <c r="D53" t="inlineStr">
        <is>
          <t>KALMAR LÄN</t>
        </is>
      </c>
      <c r="E53" t="inlineStr">
        <is>
          <t>BORGHOLM</t>
        </is>
      </c>
      <c r="G53" t="n">
        <v>1.2</v>
      </c>
      <c r="H53" t="n">
        <v>0</v>
      </c>
      <c r="I53" t="n">
        <v>0</v>
      </c>
      <c r="J53" t="n">
        <v>0</v>
      </c>
      <c r="K53" t="n">
        <v>0</v>
      </c>
      <c r="L53" t="n">
        <v>0</v>
      </c>
      <c r="M53" t="n">
        <v>0</v>
      </c>
      <c r="N53" t="n">
        <v>0</v>
      </c>
      <c r="O53" t="n">
        <v>0</v>
      </c>
      <c r="P53" t="n">
        <v>0</v>
      </c>
      <c r="Q53" t="n">
        <v>0</v>
      </c>
      <c r="R53" s="2" t="inlineStr"/>
    </row>
    <row r="54" ht="15" customHeight="1">
      <c r="A54" t="inlineStr">
        <is>
          <t>A 27437-2022</t>
        </is>
      </c>
      <c r="B54" s="1" t="n">
        <v>44742.55567129629</v>
      </c>
      <c r="C54" s="1" t="n">
        <v>46098</v>
      </c>
      <c r="D54" t="inlineStr">
        <is>
          <t>KALMAR LÄN</t>
        </is>
      </c>
      <c r="E54" t="inlineStr">
        <is>
          <t>BORGHOLM</t>
        </is>
      </c>
      <c r="G54" t="n">
        <v>0.6</v>
      </c>
      <c r="H54" t="n">
        <v>0</v>
      </c>
      <c r="I54" t="n">
        <v>0</v>
      </c>
      <c r="J54" t="n">
        <v>0</v>
      </c>
      <c r="K54" t="n">
        <v>0</v>
      </c>
      <c r="L54" t="n">
        <v>0</v>
      </c>
      <c r="M54" t="n">
        <v>0</v>
      </c>
      <c r="N54" t="n">
        <v>0</v>
      </c>
      <c r="O54" t="n">
        <v>0</v>
      </c>
      <c r="P54" t="n">
        <v>0</v>
      </c>
      <c r="Q54" t="n">
        <v>0</v>
      </c>
      <c r="R54" s="2" t="inlineStr"/>
    </row>
    <row r="55" ht="15" customHeight="1">
      <c r="A55" t="inlineStr">
        <is>
          <t>A 62631-2021</t>
        </is>
      </c>
      <c r="B55" s="1" t="n">
        <v>44503</v>
      </c>
      <c r="C55" s="1" t="n">
        <v>46098</v>
      </c>
      <c r="D55" t="inlineStr">
        <is>
          <t>KALMAR LÄN</t>
        </is>
      </c>
      <c r="E55" t="inlineStr">
        <is>
          <t>BORGHOLM</t>
        </is>
      </c>
      <c r="G55" t="n">
        <v>1</v>
      </c>
      <c r="H55" t="n">
        <v>0</v>
      </c>
      <c r="I55" t="n">
        <v>0</v>
      </c>
      <c r="J55" t="n">
        <v>0</v>
      </c>
      <c r="K55" t="n">
        <v>0</v>
      </c>
      <c r="L55" t="n">
        <v>0</v>
      </c>
      <c r="M55" t="n">
        <v>0</v>
      </c>
      <c r="N55" t="n">
        <v>0</v>
      </c>
      <c r="O55" t="n">
        <v>0</v>
      </c>
      <c r="P55" t="n">
        <v>0</v>
      </c>
      <c r="Q55" t="n">
        <v>0</v>
      </c>
      <c r="R55" s="2" t="inlineStr"/>
    </row>
    <row r="56" ht="15" customHeight="1">
      <c r="A56" t="inlineStr">
        <is>
          <t>A 32180-2022</t>
        </is>
      </c>
      <c r="B56" s="1" t="n">
        <v>44781</v>
      </c>
      <c r="C56" s="1" t="n">
        <v>46098</v>
      </c>
      <c r="D56" t="inlineStr">
        <is>
          <t>KALMAR LÄN</t>
        </is>
      </c>
      <c r="E56" t="inlineStr">
        <is>
          <t>BORGHOLM</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42785-2021</t>
        </is>
      </c>
      <c r="B57" s="1" t="n">
        <v>44428</v>
      </c>
      <c r="C57" s="1" t="n">
        <v>46098</v>
      </c>
      <c r="D57" t="inlineStr">
        <is>
          <t>KALMAR LÄN</t>
        </is>
      </c>
      <c r="E57" t="inlineStr">
        <is>
          <t>BORGHOLM</t>
        </is>
      </c>
      <c r="G57" t="n">
        <v>2.8</v>
      </c>
      <c r="H57" t="n">
        <v>0</v>
      </c>
      <c r="I57" t="n">
        <v>0</v>
      </c>
      <c r="J57" t="n">
        <v>0</v>
      </c>
      <c r="K57" t="n">
        <v>0</v>
      </c>
      <c r="L57" t="n">
        <v>0</v>
      </c>
      <c r="M57" t="n">
        <v>0</v>
      </c>
      <c r="N57" t="n">
        <v>0</v>
      </c>
      <c r="O57" t="n">
        <v>0</v>
      </c>
      <c r="P57" t="n">
        <v>0</v>
      </c>
      <c r="Q57" t="n">
        <v>0</v>
      </c>
      <c r="R57" s="2" t="inlineStr"/>
    </row>
    <row r="58" ht="15" customHeight="1">
      <c r="A58" t="inlineStr">
        <is>
          <t>A 3878-2023</t>
        </is>
      </c>
      <c r="B58" s="1" t="n">
        <v>44951</v>
      </c>
      <c r="C58" s="1" t="n">
        <v>46098</v>
      </c>
      <c r="D58" t="inlineStr">
        <is>
          <t>KALMAR LÄN</t>
        </is>
      </c>
      <c r="E58" t="inlineStr">
        <is>
          <t>BORGHOLM</t>
        </is>
      </c>
      <c r="G58" t="n">
        <v>1.7</v>
      </c>
      <c r="H58" t="n">
        <v>0</v>
      </c>
      <c r="I58" t="n">
        <v>0</v>
      </c>
      <c r="J58" t="n">
        <v>0</v>
      </c>
      <c r="K58" t="n">
        <v>0</v>
      </c>
      <c r="L58" t="n">
        <v>0</v>
      </c>
      <c r="M58" t="n">
        <v>0</v>
      </c>
      <c r="N58" t="n">
        <v>0</v>
      </c>
      <c r="O58" t="n">
        <v>0</v>
      </c>
      <c r="P58" t="n">
        <v>0</v>
      </c>
      <c r="Q58" t="n">
        <v>0</v>
      </c>
      <c r="R58" s="2" t="inlineStr"/>
    </row>
    <row r="59" ht="15" customHeight="1">
      <c r="A59" t="inlineStr">
        <is>
          <t>A 12937-2022</t>
        </is>
      </c>
      <c r="B59" s="1" t="n">
        <v>44642</v>
      </c>
      <c r="C59" s="1" t="n">
        <v>46098</v>
      </c>
      <c r="D59" t="inlineStr">
        <is>
          <t>KALMAR LÄN</t>
        </is>
      </c>
      <c r="E59" t="inlineStr">
        <is>
          <t>BORGHOLM</t>
        </is>
      </c>
      <c r="F59" t="inlineStr">
        <is>
          <t>Sveaskog</t>
        </is>
      </c>
      <c r="G59" t="n">
        <v>1.8</v>
      </c>
      <c r="H59" t="n">
        <v>0</v>
      </c>
      <c r="I59" t="n">
        <v>0</v>
      </c>
      <c r="J59" t="n">
        <v>0</v>
      </c>
      <c r="K59" t="n">
        <v>0</v>
      </c>
      <c r="L59" t="n">
        <v>0</v>
      </c>
      <c r="M59" t="n">
        <v>0</v>
      </c>
      <c r="N59" t="n">
        <v>0</v>
      </c>
      <c r="O59" t="n">
        <v>0</v>
      </c>
      <c r="P59" t="n">
        <v>0</v>
      </c>
      <c r="Q59" t="n">
        <v>0</v>
      </c>
      <c r="R59" s="2" t="inlineStr"/>
    </row>
    <row r="60" ht="15" customHeight="1">
      <c r="A60" t="inlineStr">
        <is>
          <t>A 9034-2025</t>
        </is>
      </c>
      <c r="B60" s="1" t="n">
        <v>45713</v>
      </c>
      <c r="C60" s="1" t="n">
        <v>46098</v>
      </c>
      <c r="D60" t="inlineStr">
        <is>
          <t>KALMAR LÄN</t>
        </is>
      </c>
      <c r="E60" t="inlineStr">
        <is>
          <t>BORGHOLM</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17978-2021</t>
        </is>
      </c>
      <c r="B61" s="1" t="n">
        <v>44301</v>
      </c>
      <c r="C61" s="1" t="n">
        <v>46098</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22785-2025</t>
        </is>
      </c>
      <c r="B62" s="1" t="n">
        <v>45789.64186342592</v>
      </c>
      <c r="C62" s="1" t="n">
        <v>46098</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46098</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12534-2022</t>
        </is>
      </c>
      <c r="B64" s="1" t="n">
        <v>44638</v>
      </c>
      <c r="C64" s="1" t="n">
        <v>46098</v>
      </c>
      <c r="D64" t="inlineStr">
        <is>
          <t>KALMAR LÄN</t>
        </is>
      </c>
      <c r="E64" t="inlineStr">
        <is>
          <t>BORGHOLM</t>
        </is>
      </c>
      <c r="G64" t="n">
        <v>8.6</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46098</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46098</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46098</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46098</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46098</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26160-2025</t>
        </is>
      </c>
      <c r="B70" s="1" t="n">
        <v>45805.4490162037</v>
      </c>
      <c r="C70" s="1" t="n">
        <v>46098</v>
      </c>
      <c r="D70" t="inlineStr">
        <is>
          <t>KALMAR LÄN</t>
        </is>
      </c>
      <c r="E70" t="inlineStr">
        <is>
          <t>BORGHOLM</t>
        </is>
      </c>
      <c r="G70" t="n">
        <v>3.7</v>
      </c>
      <c r="H70" t="n">
        <v>0</v>
      </c>
      <c r="I70" t="n">
        <v>0</v>
      </c>
      <c r="J70" t="n">
        <v>0</v>
      </c>
      <c r="K70" t="n">
        <v>0</v>
      </c>
      <c r="L70" t="n">
        <v>0</v>
      </c>
      <c r="M70" t="n">
        <v>0</v>
      </c>
      <c r="N70" t="n">
        <v>0</v>
      </c>
      <c r="O70" t="n">
        <v>0</v>
      </c>
      <c r="P70" t="n">
        <v>0</v>
      </c>
      <c r="Q70" t="n">
        <v>0</v>
      </c>
      <c r="R70" s="2" t="inlineStr"/>
    </row>
    <row r="71" ht="15" customHeight="1">
      <c r="A71" t="inlineStr">
        <is>
          <t>A 42232-2025</t>
        </is>
      </c>
      <c r="B71" s="1" t="n">
        <v>45904.55591435185</v>
      </c>
      <c r="C71" s="1" t="n">
        <v>46098</v>
      </c>
      <c r="D71" t="inlineStr">
        <is>
          <t>KALMAR LÄN</t>
        </is>
      </c>
      <c r="E71" t="inlineStr">
        <is>
          <t>BORGHOLM</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27357-2025</t>
        </is>
      </c>
      <c r="B72" s="1" t="n">
        <v>45812.63650462963</v>
      </c>
      <c r="C72" s="1" t="n">
        <v>46098</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27366-2025</t>
        </is>
      </c>
      <c r="B73" s="1" t="n">
        <v>45812.64475694444</v>
      </c>
      <c r="C73" s="1" t="n">
        <v>46098</v>
      </c>
      <c r="D73" t="inlineStr">
        <is>
          <t>KALMAR LÄN</t>
        </is>
      </c>
      <c r="E73" t="inlineStr">
        <is>
          <t>BORGHOLM</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46098</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28782-2025</t>
        </is>
      </c>
      <c r="B75" s="1" t="n">
        <v>45820.45572916666</v>
      </c>
      <c r="C75" s="1" t="n">
        <v>46098</v>
      </c>
      <c r="D75" t="inlineStr">
        <is>
          <t>KALMAR LÄN</t>
        </is>
      </c>
      <c r="E75" t="inlineStr">
        <is>
          <t>BORGHOLM</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46098</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46098</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60141-2025</t>
        </is>
      </c>
      <c r="B78" s="1" t="n">
        <v>45994.36873842592</v>
      </c>
      <c r="C78" s="1" t="n">
        <v>46098</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46098</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61723-2025</t>
        </is>
      </c>
      <c r="B80" s="1" t="n">
        <v>46002.58388888889</v>
      </c>
      <c r="C80" s="1" t="n">
        <v>46098</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64303-2023</t>
        </is>
      </c>
      <c r="B81" s="1" t="n">
        <v>45280</v>
      </c>
      <c r="C81" s="1" t="n">
        <v>46098</v>
      </c>
      <c r="D81" t="inlineStr">
        <is>
          <t>KALMAR LÄN</t>
        </is>
      </c>
      <c r="E81" t="inlineStr">
        <is>
          <t>BORGHOLM</t>
        </is>
      </c>
      <c r="G81" t="n">
        <v>1.2</v>
      </c>
      <c r="H81" t="n">
        <v>0</v>
      </c>
      <c r="I81" t="n">
        <v>0</v>
      </c>
      <c r="J81" t="n">
        <v>0</v>
      </c>
      <c r="K81" t="n">
        <v>0</v>
      </c>
      <c r="L81" t="n">
        <v>0</v>
      </c>
      <c r="M81" t="n">
        <v>0</v>
      </c>
      <c r="N81" t="n">
        <v>0</v>
      </c>
      <c r="O81" t="n">
        <v>0</v>
      </c>
      <c r="P81" t="n">
        <v>0</v>
      </c>
      <c r="Q81" t="n">
        <v>0</v>
      </c>
      <c r="R81" s="2" t="inlineStr"/>
    </row>
    <row r="82" ht="15" customHeight="1">
      <c r="A82" t="inlineStr">
        <is>
          <t>A 36269-2025</t>
        </is>
      </c>
      <c r="B82" s="1" t="n">
        <v>45867.61736111111</v>
      </c>
      <c r="C82" s="1" t="n">
        <v>46098</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7481-2026</t>
        </is>
      </c>
      <c r="B83" s="1" t="n">
        <v>46059.51359953704</v>
      </c>
      <c r="C83" s="1" t="n">
        <v>46098</v>
      </c>
      <c r="D83" t="inlineStr">
        <is>
          <t>KALMAR LÄN</t>
        </is>
      </c>
      <c r="E83" t="inlineStr">
        <is>
          <t>BORGHOLM</t>
        </is>
      </c>
      <c r="G83" t="n">
        <v>1.9</v>
      </c>
      <c r="H83" t="n">
        <v>0</v>
      </c>
      <c r="I83" t="n">
        <v>0</v>
      </c>
      <c r="J83" t="n">
        <v>0</v>
      </c>
      <c r="K83" t="n">
        <v>0</v>
      </c>
      <c r="L83" t="n">
        <v>0</v>
      </c>
      <c r="M83" t="n">
        <v>0</v>
      </c>
      <c r="N83" t="n">
        <v>0</v>
      </c>
      <c r="O83" t="n">
        <v>0</v>
      </c>
      <c r="P83" t="n">
        <v>0</v>
      </c>
      <c r="Q83" t="n">
        <v>0</v>
      </c>
      <c r="R83" s="2" t="inlineStr"/>
    </row>
    <row r="84" ht="15" customHeight="1">
      <c r="A84" t="inlineStr">
        <is>
          <t>A 21908-2022</t>
        </is>
      </c>
      <c r="B84" s="1" t="n">
        <v>44711</v>
      </c>
      <c r="C84" s="1" t="n">
        <v>46098</v>
      </c>
      <c r="D84" t="inlineStr">
        <is>
          <t>KALMAR LÄN</t>
        </is>
      </c>
      <c r="E84" t="inlineStr">
        <is>
          <t>BORGHOLM</t>
        </is>
      </c>
      <c r="G84" t="n">
        <v>4.7</v>
      </c>
      <c r="H84" t="n">
        <v>0</v>
      </c>
      <c r="I84" t="n">
        <v>0</v>
      </c>
      <c r="J84" t="n">
        <v>0</v>
      </c>
      <c r="K84" t="n">
        <v>0</v>
      </c>
      <c r="L84" t="n">
        <v>0</v>
      </c>
      <c r="M84" t="n">
        <v>0</v>
      </c>
      <c r="N84" t="n">
        <v>0</v>
      </c>
      <c r="O84" t="n">
        <v>0</v>
      </c>
      <c r="P84" t="n">
        <v>0</v>
      </c>
      <c r="Q84" t="n">
        <v>0</v>
      </c>
      <c r="R84" s="2" t="inlineStr"/>
    </row>
    <row r="85" ht="15" customHeight="1">
      <c r="A85" t="inlineStr">
        <is>
          <t>A 55367-2024</t>
        </is>
      </c>
      <c r="B85" s="1" t="n">
        <v>45621.87075231481</v>
      </c>
      <c r="C85" s="1" t="n">
        <v>46098</v>
      </c>
      <c r="D85" t="inlineStr">
        <is>
          <t>KALMAR LÄN</t>
        </is>
      </c>
      <c r="E85" t="inlineStr">
        <is>
          <t>BORGHOLM</t>
        </is>
      </c>
      <c r="G85" t="n">
        <v>0.7</v>
      </c>
      <c r="H85" t="n">
        <v>0</v>
      </c>
      <c r="I85" t="n">
        <v>0</v>
      </c>
      <c r="J85" t="n">
        <v>0</v>
      </c>
      <c r="K85" t="n">
        <v>0</v>
      </c>
      <c r="L85" t="n">
        <v>0</v>
      </c>
      <c r="M85" t="n">
        <v>0</v>
      </c>
      <c r="N85" t="n">
        <v>0</v>
      </c>
      <c r="O85" t="n">
        <v>0</v>
      </c>
      <c r="P85" t="n">
        <v>0</v>
      </c>
      <c r="Q85" t="n">
        <v>0</v>
      </c>
      <c r="R85" s="2" t="inlineStr"/>
    </row>
    <row r="86" ht="15" customHeight="1">
      <c r="A86" t="inlineStr">
        <is>
          <t>A 9104-2026</t>
        </is>
      </c>
      <c r="B86" s="1" t="n">
        <v>46069</v>
      </c>
      <c r="C86" s="1" t="n">
        <v>46098</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9259-2026</t>
        </is>
      </c>
      <c r="B87" s="1" t="n">
        <v>46070.51917824074</v>
      </c>
      <c r="C87" s="1" t="n">
        <v>46098</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9905-2026</t>
        </is>
      </c>
      <c r="B88" s="1" t="n">
        <v>46073.4108912037</v>
      </c>
      <c r="C88" s="1" t="n">
        <v>46098</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4159-2024</t>
        </is>
      </c>
      <c r="B89" s="1" t="n">
        <v>45323</v>
      </c>
      <c r="C89" s="1" t="n">
        <v>46098</v>
      </c>
      <c r="D89" t="inlineStr">
        <is>
          <t>KALMAR LÄN</t>
        </is>
      </c>
      <c r="E89" t="inlineStr">
        <is>
          <t>BORGHOLM</t>
        </is>
      </c>
      <c r="G89" t="n">
        <v>0.5</v>
      </c>
      <c r="H89" t="n">
        <v>0</v>
      </c>
      <c r="I89" t="n">
        <v>0</v>
      </c>
      <c r="J89" t="n">
        <v>0</v>
      </c>
      <c r="K89" t="n">
        <v>0</v>
      </c>
      <c r="L89" t="n">
        <v>0</v>
      </c>
      <c r="M89" t="n">
        <v>0</v>
      </c>
      <c r="N89" t="n">
        <v>0</v>
      </c>
      <c r="O89" t="n">
        <v>0</v>
      </c>
      <c r="P89" t="n">
        <v>0</v>
      </c>
      <c r="Q89" t="n">
        <v>0</v>
      </c>
      <c r="R89" s="2" t="inlineStr"/>
    </row>
    <row r="90" ht="15" customHeight="1">
      <c r="A90" t="inlineStr">
        <is>
          <t>A 32921-2023</t>
        </is>
      </c>
      <c r="B90" s="1" t="n">
        <v>45125</v>
      </c>
      <c r="C90" s="1" t="n">
        <v>46098</v>
      </c>
      <c r="D90" t="inlineStr">
        <is>
          <t>KALMAR LÄN</t>
        </is>
      </c>
      <c r="E90" t="inlineStr">
        <is>
          <t>BORGHOLM</t>
        </is>
      </c>
      <c r="G90" t="n">
        <v>2.9</v>
      </c>
      <c r="H90" t="n">
        <v>0</v>
      </c>
      <c r="I90" t="n">
        <v>0</v>
      </c>
      <c r="J90" t="n">
        <v>0</v>
      </c>
      <c r="K90" t="n">
        <v>0</v>
      </c>
      <c r="L90" t="n">
        <v>0</v>
      </c>
      <c r="M90" t="n">
        <v>0</v>
      </c>
      <c r="N90" t="n">
        <v>0</v>
      </c>
      <c r="O90" t="n">
        <v>0</v>
      </c>
      <c r="P90" t="n">
        <v>0</v>
      </c>
      <c r="Q90" t="n">
        <v>0</v>
      </c>
      <c r="R90" s="2" t="inlineStr"/>
    </row>
    <row r="91" ht="15" customHeight="1">
      <c r="A91" t="inlineStr">
        <is>
          <t>A 31699-2022</t>
        </is>
      </c>
      <c r="B91" s="1" t="n">
        <v>44776</v>
      </c>
      <c r="C91" s="1" t="n">
        <v>46098</v>
      </c>
      <c r="D91" t="inlineStr">
        <is>
          <t>KALMAR LÄN</t>
        </is>
      </c>
      <c r="E91" t="inlineStr">
        <is>
          <t>BORGHOLM</t>
        </is>
      </c>
      <c r="F91" t="inlineStr">
        <is>
          <t>Sveaskog</t>
        </is>
      </c>
      <c r="G91" t="n">
        <v>1.6</v>
      </c>
      <c r="H91" t="n">
        <v>0</v>
      </c>
      <c r="I91" t="n">
        <v>0</v>
      </c>
      <c r="J91" t="n">
        <v>0</v>
      </c>
      <c r="K91" t="n">
        <v>0</v>
      </c>
      <c r="L91" t="n">
        <v>0</v>
      </c>
      <c r="M91" t="n">
        <v>0</v>
      </c>
      <c r="N91" t="n">
        <v>0</v>
      </c>
      <c r="O91" t="n">
        <v>0</v>
      </c>
      <c r="P91" t="n">
        <v>0</v>
      </c>
      <c r="Q91" t="n">
        <v>0</v>
      </c>
      <c r="R91" s="2" t="inlineStr"/>
    </row>
    <row r="92" ht="15" customHeight="1">
      <c r="A92" t="inlineStr">
        <is>
          <t>A 63276-2023</t>
        </is>
      </c>
      <c r="B92" s="1" t="n">
        <v>45273.82195601852</v>
      </c>
      <c r="C92" s="1" t="n">
        <v>46098</v>
      </c>
      <c r="D92" t="inlineStr">
        <is>
          <t>KALMAR LÄN</t>
        </is>
      </c>
      <c r="E92" t="inlineStr">
        <is>
          <t>BORGHOLM</t>
        </is>
      </c>
      <c r="G92" t="n">
        <v>5</v>
      </c>
      <c r="H92" t="n">
        <v>0</v>
      </c>
      <c r="I92" t="n">
        <v>0</v>
      </c>
      <c r="J92" t="n">
        <v>0</v>
      </c>
      <c r="K92" t="n">
        <v>0</v>
      </c>
      <c r="L92" t="n">
        <v>0</v>
      </c>
      <c r="M92" t="n">
        <v>0</v>
      </c>
      <c r="N92" t="n">
        <v>0</v>
      </c>
      <c r="O92" t="n">
        <v>0</v>
      </c>
      <c r="P92" t="n">
        <v>0</v>
      </c>
      <c r="Q92" t="n">
        <v>0</v>
      </c>
      <c r="R92" s="2" t="inlineStr"/>
    </row>
    <row r="93" ht="15" customHeight="1">
      <c r="A93" t="inlineStr">
        <is>
          <t>A 1614-2025</t>
        </is>
      </c>
      <c r="B93" s="1" t="n">
        <v>45670.60094907408</v>
      </c>
      <c r="C93" s="1" t="n">
        <v>46098</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9076-2025</t>
        </is>
      </c>
      <c r="B94" s="1" t="n">
        <v>45713.6596875</v>
      </c>
      <c r="C94" s="1" t="n">
        <v>46098</v>
      </c>
      <c r="D94" t="inlineStr">
        <is>
          <t>KALMAR LÄN</t>
        </is>
      </c>
      <c r="E94" t="inlineStr">
        <is>
          <t>BORGHOLM</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46098</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7960-2023</t>
        </is>
      </c>
      <c r="B96" s="1" t="n">
        <v>44973</v>
      </c>
      <c r="C96" s="1" t="n">
        <v>46098</v>
      </c>
      <c r="D96" t="inlineStr">
        <is>
          <t>KALMAR LÄN</t>
        </is>
      </c>
      <c r="E96" t="inlineStr">
        <is>
          <t>BORGHOLM</t>
        </is>
      </c>
      <c r="G96" t="n">
        <v>2.1</v>
      </c>
      <c r="H96" t="n">
        <v>0</v>
      </c>
      <c r="I96" t="n">
        <v>0</v>
      </c>
      <c r="J96" t="n">
        <v>0</v>
      </c>
      <c r="K96" t="n">
        <v>0</v>
      </c>
      <c r="L96" t="n">
        <v>0</v>
      </c>
      <c r="M96" t="n">
        <v>0</v>
      </c>
      <c r="N96" t="n">
        <v>0</v>
      </c>
      <c r="O96" t="n">
        <v>0</v>
      </c>
      <c r="P96" t="n">
        <v>0</v>
      </c>
      <c r="Q96" t="n">
        <v>0</v>
      </c>
      <c r="R96" s="2" t="inlineStr"/>
    </row>
    <row r="97" ht="15" customHeight="1">
      <c r="A97" t="inlineStr">
        <is>
          <t>A 29656-2023</t>
        </is>
      </c>
      <c r="B97" s="1" t="n">
        <v>45107</v>
      </c>
      <c r="C97" s="1" t="n">
        <v>46098</v>
      </c>
      <c r="D97" t="inlineStr">
        <is>
          <t>KALMAR LÄN</t>
        </is>
      </c>
      <c r="E97" t="inlineStr">
        <is>
          <t>BORGHOLM</t>
        </is>
      </c>
      <c r="G97" t="n">
        <v>4.1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46098</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46098</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46098</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46098</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46098</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46098</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46098</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46098</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46098</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46098</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46098</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46098</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46098</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46098</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46098</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46098</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46098</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46098</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46098</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46098</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46098</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46098</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46098</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c r="A121" t="inlineStr">
        <is>
          <t>A 63075-2023</t>
        </is>
      </c>
      <c r="B121" s="1" t="n">
        <v>45273</v>
      </c>
      <c r="C121" s="1" t="n">
        <v>46098</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2026-03-17T11:26:33Z</dcterms:created>
  <dcterms:modified xmlns:dcterms="http://purl.org/dc/terms/" xmlns:xsi="http://www.w3.org/2001/XMLSchema-instance" xsi:type="dcterms:W3CDTF">2026-03-17T11:26:34Z</dcterms:modified>
</cp:coreProperties>
</file>