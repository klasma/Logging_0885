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46110</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60140-2025</t>
        </is>
      </c>
      <c r="B20" s="1" t="n">
        <v>45994.36274305556</v>
      </c>
      <c r="C20" s="1" t="n">
        <v>46110</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9253-2026</t>
        </is>
      </c>
      <c r="B21" s="1" t="n">
        <v>46070.51003472223</v>
      </c>
      <c r="C21" s="1" t="n">
        <v>46110</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28779-2025</t>
        </is>
      </c>
      <c r="B22" s="1" t="n">
        <v>45820.44920138889</v>
      </c>
      <c r="C22" s="1" t="n">
        <v>46110</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32174-2022</t>
        </is>
      </c>
      <c r="B23" s="1" t="n">
        <v>44781</v>
      </c>
      <c r="C23" s="1" t="n">
        <v>46110</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46110</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15285-2026</t>
        </is>
      </c>
      <c r="B25" s="1" t="n">
        <v>46105.6156712963</v>
      </c>
      <c r="C25" s="1" t="n">
        <v>46110</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34944-2022</t>
        </is>
      </c>
      <c r="B26" s="1" t="n">
        <v>44796</v>
      </c>
      <c r="C26" s="1" t="n">
        <v>46110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46110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46110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46110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46110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46110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46110</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46110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46110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46110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46110</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3302-2026</t>
        </is>
      </c>
      <c r="B38" s="1" t="n">
        <v>46041</v>
      </c>
      <c r="C38" s="1" t="n">
        <v>46110</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13558-2025</t>
        </is>
      </c>
      <c r="B39" s="1" t="n">
        <v>45736.54974537037</v>
      </c>
      <c r="C39" s="1" t="n">
        <v>46110</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34885-2025</t>
        </is>
      </c>
      <c r="B40" s="1" t="n">
        <v>45849.47128472223</v>
      </c>
      <c r="C40" s="1" t="n">
        <v>46110</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24701-2023</t>
        </is>
      </c>
      <c r="B41" s="1" t="n">
        <v>45084</v>
      </c>
      <c r="C41" s="1" t="n">
        <v>46110</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46110</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46110</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46110</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46110</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46110</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46110</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46110</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46110</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46110</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46110</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46110</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46110</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46110</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46110</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17978-2021</t>
        </is>
      </c>
      <c r="B59" s="1" t="n">
        <v>44301</v>
      </c>
      <c r="C59" s="1" t="n">
        <v>46110</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26160-2024</t>
        </is>
      </c>
      <c r="B60" s="1" t="n">
        <v>45468</v>
      </c>
      <c r="C60" s="1" t="n">
        <v>46110</v>
      </c>
      <c r="D60" t="inlineStr">
        <is>
          <t>KALMAR LÄN</t>
        </is>
      </c>
      <c r="E60" t="inlineStr">
        <is>
          <t>BORGHOLM</t>
        </is>
      </c>
      <c r="G60" t="n">
        <v>0.4</v>
      </c>
      <c r="H60" t="n">
        <v>0</v>
      </c>
      <c r="I60" t="n">
        <v>0</v>
      </c>
      <c r="J60" t="n">
        <v>0</v>
      </c>
      <c r="K60" t="n">
        <v>0</v>
      </c>
      <c r="L60" t="n">
        <v>0</v>
      </c>
      <c r="M60" t="n">
        <v>0</v>
      </c>
      <c r="N60" t="n">
        <v>0</v>
      </c>
      <c r="O60" t="n">
        <v>0</v>
      </c>
      <c r="P60" t="n">
        <v>0</v>
      </c>
      <c r="Q60" t="n">
        <v>0</v>
      </c>
      <c r="R60" s="2" t="inlineStr"/>
      <c r="T60">
        <f>HYPERLINK("https://klasma.github.io/Logging_0885/kartor/A 26160-2024 karta.png", "A 26160-2024")</f>
        <v/>
      </c>
      <c r="V60">
        <f>HYPERLINK("https://klasma.github.io/Logging_0885/klagomål/A 26160-2024 FSC-klagomål.docx", "A 26160-2024")</f>
        <v/>
      </c>
      <c r="W60">
        <f>HYPERLINK("https://klasma.github.io/Logging_0885/klagomålsmail/A 26160-2024 FSC-klagomål mail.docx", "A 26160-2024")</f>
        <v/>
      </c>
      <c r="X60">
        <f>HYPERLINK("https://klasma.github.io/Logging_0885/tillsyn/A 26160-2024 tillsynsbegäran.docx", "A 26160-2024")</f>
        <v/>
      </c>
      <c r="Y60">
        <f>HYPERLINK("https://klasma.github.io/Logging_0885/tillsynsmail/A 26160-2024 tillsynsbegäran mail.docx", "A 26160-2024")</f>
        <v/>
      </c>
    </row>
    <row r="61" ht="15" customHeight="1">
      <c r="A61" t="inlineStr">
        <is>
          <t>A 22785-2025</t>
        </is>
      </c>
      <c r="B61" s="1" t="n">
        <v>45789.64186342592</v>
      </c>
      <c r="C61" s="1" t="n">
        <v>46110</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60141-2025</t>
        </is>
      </c>
      <c r="B62" s="1" t="n">
        <v>45994.36873842592</v>
      </c>
      <c r="C62" s="1" t="n">
        <v>46110</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46110</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46110</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46110</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46110</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46110</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46110</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61723-2025</t>
        </is>
      </c>
      <c r="B69" s="1" t="n">
        <v>46002.58388888889</v>
      </c>
      <c r="C69" s="1" t="n">
        <v>46110</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46110</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46110</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4159-2024</t>
        </is>
      </c>
      <c r="B72" s="1" t="n">
        <v>45323</v>
      </c>
      <c r="C72" s="1" t="n">
        <v>46110</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46110</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46110</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9259-2026</t>
        </is>
      </c>
      <c r="B75" s="1" t="n">
        <v>46070.51917824074</v>
      </c>
      <c r="C75" s="1" t="n">
        <v>46110</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46110</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46110</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46110</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46110</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46110</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46110</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46110</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46110</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46110</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27366-2025</t>
        </is>
      </c>
      <c r="B85" s="1" t="n">
        <v>45812.64475694444</v>
      </c>
      <c r="C85" s="1" t="n">
        <v>46110</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28782-2025</t>
        </is>
      </c>
      <c r="B86" s="1" t="n">
        <v>45820.45572916666</v>
      </c>
      <c r="C86" s="1" t="n">
        <v>46110</v>
      </c>
      <c r="D86" t="inlineStr">
        <is>
          <t>KALMAR LÄN</t>
        </is>
      </c>
      <c r="E86" t="inlineStr">
        <is>
          <t>BORGHOLM</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4165-2023</t>
        </is>
      </c>
      <c r="B87" s="1" t="n">
        <v>44953</v>
      </c>
      <c r="C87" s="1" t="n">
        <v>46110</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46110</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46110</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46110</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46110</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7481-2026</t>
        </is>
      </c>
      <c r="B92" s="1" t="n">
        <v>46059.51359953704</v>
      </c>
      <c r="C92" s="1" t="n">
        <v>46110</v>
      </c>
      <c r="D92" t="inlineStr">
        <is>
          <t>KALMAR LÄN</t>
        </is>
      </c>
      <c r="E92" t="inlineStr">
        <is>
          <t>BORGHOLM</t>
        </is>
      </c>
      <c r="G92" t="n">
        <v>1.9</v>
      </c>
      <c r="H92" t="n">
        <v>0</v>
      </c>
      <c r="I92" t="n">
        <v>0</v>
      </c>
      <c r="J92" t="n">
        <v>0</v>
      </c>
      <c r="K92" t="n">
        <v>0</v>
      </c>
      <c r="L92" t="n">
        <v>0</v>
      </c>
      <c r="M92" t="n">
        <v>0</v>
      </c>
      <c r="N92" t="n">
        <v>0</v>
      </c>
      <c r="O92" t="n">
        <v>0</v>
      </c>
      <c r="P92" t="n">
        <v>0</v>
      </c>
      <c r="Q92" t="n">
        <v>0</v>
      </c>
      <c r="R92" s="2" t="inlineStr"/>
    </row>
    <row r="93" ht="15" customHeight="1">
      <c r="A93" t="inlineStr">
        <is>
          <t>A 36269-2025</t>
        </is>
      </c>
      <c r="B93" s="1" t="n">
        <v>45867.61736111111</v>
      </c>
      <c r="C93" s="1" t="n">
        <v>46110</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15264-2026</t>
        </is>
      </c>
      <c r="B94" s="1" t="n">
        <v>46105.59372685185</v>
      </c>
      <c r="C94" s="1" t="n">
        <v>46110</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15272-2026</t>
        </is>
      </c>
      <c r="B95" s="1" t="n">
        <v>46105.60017361111</v>
      </c>
      <c r="C95" s="1" t="n">
        <v>46110</v>
      </c>
      <c r="D95" t="inlineStr">
        <is>
          <t>KALMAR LÄN</t>
        </is>
      </c>
      <c r="E95" t="inlineStr">
        <is>
          <t>BORGHOLM</t>
        </is>
      </c>
      <c r="F95" t="inlineStr">
        <is>
          <t>Sveaskog</t>
        </is>
      </c>
      <c r="G95" t="n">
        <v>2.9</v>
      </c>
      <c r="H95" t="n">
        <v>0</v>
      </c>
      <c r="I95" t="n">
        <v>0</v>
      </c>
      <c r="J95" t="n">
        <v>0</v>
      </c>
      <c r="K95" t="n">
        <v>0</v>
      </c>
      <c r="L95" t="n">
        <v>0</v>
      </c>
      <c r="M95" t="n">
        <v>0</v>
      </c>
      <c r="N95" t="n">
        <v>0</v>
      </c>
      <c r="O95" t="n">
        <v>0</v>
      </c>
      <c r="P95" t="n">
        <v>0</v>
      </c>
      <c r="Q95" t="n">
        <v>0</v>
      </c>
      <c r="R95" s="2" t="inlineStr"/>
    </row>
    <row r="96" ht="15" customHeight="1">
      <c r="A96" t="inlineStr">
        <is>
          <t>A 15279-2026</t>
        </is>
      </c>
      <c r="B96" s="1" t="n">
        <v>46105.61030092592</v>
      </c>
      <c r="C96" s="1" t="n">
        <v>46110</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64303-2023</t>
        </is>
      </c>
      <c r="B97" s="1" t="n">
        <v>45280</v>
      </c>
      <c r="C97" s="1" t="n">
        <v>46110</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46110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63075-2023</t>
        </is>
      </c>
      <c r="B99" s="1" t="n">
        <v>45273</v>
      </c>
      <c r="C99" s="1" t="n">
        <v>46110</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46110</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45671.42195601852</v>
      </c>
      <c r="C101" s="1" t="n">
        <v>46110</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17699-2025</t>
        </is>
      </c>
      <c r="B102" s="1" t="n">
        <v>45758.41846064815</v>
      </c>
      <c r="C102" s="1" t="n">
        <v>46110</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45348.82498842593</v>
      </c>
      <c r="C103" s="1" t="n">
        <v>46110</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46110</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55367-2024</t>
        </is>
      </c>
      <c r="B105" s="1" t="n">
        <v>45621.87075231481</v>
      </c>
      <c r="C105" s="1" t="n">
        <v>46110</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20287-2025</t>
        </is>
      </c>
      <c r="B106" s="1" t="n">
        <v>45774.60741898148</v>
      </c>
      <c r="C106" s="1" t="n">
        <v>46110</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9076-2025</t>
        </is>
      </c>
      <c r="B107" s="1" t="n">
        <v>45713.6596875</v>
      </c>
      <c r="C107" s="1" t="n">
        <v>46110</v>
      </c>
      <c r="D107" t="inlineStr">
        <is>
          <t>KALMAR LÄN</t>
        </is>
      </c>
      <c r="E107" t="inlineStr">
        <is>
          <t>BORGHOLM</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46110</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46110</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46110</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9034-2025</t>
        </is>
      </c>
      <c r="B111" s="1" t="n">
        <v>45713</v>
      </c>
      <c r="C111" s="1" t="n">
        <v>46110</v>
      </c>
      <c r="D111" t="inlineStr">
        <is>
          <t>KALMAR LÄN</t>
        </is>
      </c>
      <c r="E111" t="inlineStr">
        <is>
          <t>BORGHOLM</t>
        </is>
      </c>
      <c r="F111" t="inlineStr">
        <is>
          <t>Sveaskog</t>
        </is>
      </c>
      <c r="G111" t="n">
        <v>6.8</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46110</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3878-2023</t>
        </is>
      </c>
      <c r="B113" s="1" t="n">
        <v>44951</v>
      </c>
      <c r="C113" s="1" t="n">
        <v>46110</v>
      </c>
      <c r="D113" t="inlineStr">
        <is>
          <t>KALMAR LÄN</t>
        </is>
      </c>
      <c r="E113" t="inlineStr">
        <is>
          <t>BORGHOLM</t>
        </is>
      </c>
      <c r="G113" t="n">
        <v>1.7</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46110</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46110</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46110</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46110</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61438-2023</t>
        </is>
      </c>
      <c r="B118" s="1" t="n">
        <v>45264</v>
      </c>
      <c r="C118" s="1" t="n">
        <v>46110</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ht="15" customHeight="1">
      <c r="A119" t="inlineStr">
        <is>
          <t>A 13041-2024</t>
        </is>
      </c>
      <c r="B119" s="1" t="n">
        <v>45385.60065972222</v>
      </c>
      <c r="C119" s="1" t="n">
        <v>46110</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46110</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46110</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9050-2025</t>
        </is>
      </c>
      <c r="B122" s="1" t="n">
        <v>45713.63512731482</v>
      </c>
      <c r="C122" s="1" t="n">
        <v>46110</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13043-2024</t>
        </is>
      </c>
      <c r="B123" s="1" t="n">
        <v>45385.60111111111</v>
      </c>
      <c r="C123" s="1" t="n">
        <v>46110</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2026-03-29T11:42:23Z</dcterms:created>
  <dcterms:modified xmlns:dcterms="http://purl.org/dc/terms/" xmlns:xsi="http://www.w3.org/2001/XMLSchema-instance" xsi:type="dcterms:W3CDTF">2026-03-29T11:42:24Z</dcterms:modified>
</cp:coreProperties>
</file>