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46318</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46318</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46318</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46318</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46318</v>
      </c>
      <c r="F13" t="inlineStr">
        <is>
          <t>KALMAR LÄN</t>
        </is>
      </c>
      <c r="G13" t="inlineStr">
        <is>
          <t>BORGHOLM</t>
        </is>
      </c>
      <c r="I13" t="n">
        <v>7.8</v>
      </c>
      <c r="J13" t="n">
        <v>6</v>
      </c>
      <c r="K13" t="n">
        <v>6</v>
      </c>
      <c r="L13" t="n">
        <v>5</v>
      </c>
      <c r="M13" t="n">
        <v>1</v>
      </c>
      <c r="N13" t="n">
        <v>0</v>
      </c>
      <c r="O13" t="n">
        <v>0</v>
      </c>
      <c r="P13" t="n">
        <v>0</v>
      </c>
      <c r="Q13" t="n">
        <v>6</v>
      </c>
      <c r="R13" t="n">
        <v>1</v>
      </c>
      <c r="S13" t="n">
        <v>15</v>
      </c>
      <c r="T13" t="n">
        <v>22</v>
      </c>
      <c r="U13" t="n">
        <v>21</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46318</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46318</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46318</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46318</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32178-2022</t>
        </is>
      </c>
      <c r="B18" t="inlineStr">
        <is>
          <t>avverkningsanmälan</t>
        </is>
      </c>
      <c r="C18" t="inlineStr">
        <is>
          <t>Avverkning för att bevara och utveckla /försöksver</t>
        </is>
      </c>
      <c r="D18" s="1" t="n">
        <v>44781</v>
      </c>
      <c r="E18" s="1" t="n">
        <v>46318</v>
      </c>
      <c r="F18" t="inlineStr">
        <is>
          <t>KALMAR LÄN</t>
        </is>
      </c>
      <c r="G18" t="inlineStr">
        <is>
          <t>BORGHOLM</t>
        </is>
      </c>
      <c r="H18" t="inlineStr">
        <is>
          <t>Sveaskog</t>
        </is>
      </c>
      <c r="I18" t="n">
        <v>3.8</v>
      </c>
      <c r="J18" t="n">
        <v>4</v>
      </c>
      <c r="K18" t="n">
        <v>4</v>
      </c>
      <c r="L18" t="n">
        <v>3</v>
      </c>
      <c r="M18" t="n">
        <v>0</v>
      </c>
      <c r="N18" t="n">
        <v>1</v>
      </c>
      <c r="O18" t="n">
        <v>1</v>
      </c>
      <c r="P18" t="n">
        <v>0</v>
      </c>
      <c r="Q18" t="n">
        <v>5</v>
      </c>
      <c r="R18" t="n">
        <v>2</v>
      </c>
      <c r="S18" t="n">
        <v>10</v>
      </c>
      <c r="T18" t="n">
        <v>22</v>
      </c>
      <c r="U18" t="n">
        <v>12</v>
      </c>
      <c r="V18" s="2" t="inlineStr">
        <is>
          <t>Järnek
Skogsalm
Fyrflikig jordstjärna
Grantaggsvamp
Grönsångare
Kalktallört
Kamjordstjärna
Skogsknipprot
Tvåblad
Kungsfågel</t>
        </is>
      </c>
      <c r="W18">
        <f>HYPERLINK("https://klasma.github.io/Logging_0885/artfynd/A 32178-2022 artfynd.xlsx", "A 32178-2022")</f>
        <v/>
      </c>
      <c r="X18">
        <f>HYPERLINK("https://klasma.github.io/Logging_0885/kartor/A 32178-2022 karta.png", "A 32178-2022")</f>
        <v/>
      </c>
      <c r="Y18">
        <f>HYPERLINK("https://klasma.github.io/Logging_0885/kartor_geotiff/A 32178-2022 georefererad karta.tif", "A 32178-2022")</f>
        <v/>
      </c>
      <c r="AA18">
        <f>HYPERLINK("https://klasma.github.io/Logging_0885/klagomål/A 32178-2022 FSC-klagomål.docx", "A 32178-2022")</f>
        <v/>
      </c>
      <c r="AB18">
        <f>HYPERLINK("https://klasma.github.io/Logging_0885/klagomålsmail/A 32178-2022 FSC-klagomål mail.docx", "A 32178-2022")</f>
        <v/>
      </c>
      <c r="AC18">
        <f>HYPERLINK("https://klasma.github.io/Logging_0885/tillsyn/A 32178-2022 tillsynsbegäran.docx", "A 32178-2022")</f>
        <v/>
      </c>
      <c r="AD18">
        <f>HYPERLINK("https://klasma.github.io/Logging_0885/tillsynsmail/A 32178-2022 tillsynsbegäran mail.docx", "A 32178-2022")</f>
        <v/>
      </c>
      <c r="AE18">
        <f>HYPERLINK("https://klasma.github.io/Logging_0885/fåglar/A 32178-2022 prioriterade fågelarter.docx", "A 32178-2022")</f>
        <v/>
      </c>
    </row>
    <row r="19" ht="15" customHeight="1">
      <c r="A19" t="inlineStr">
        <is>
          <t>A 29656-2023</t>
        </is>
      </c>
      <c r="B19" t="inlineStr">
        <is>
          <t>avverkningsanmälan</t>
        </is>
      </c>
      <c r="C19" t="inlineStr">
        <is>
          <t>Föryngringsavverkning</t>
        </is>
      </c>
      <c r="D19" s="1" t="n">
        <v>45107</v>
      </c>
      <c r="E19" s="1" t="n">
        <v>46318</v>
      </c>
      <c r="F19" t="inlineStr">
        <is>
          <t>KALMAR LÄN</t>
        </is>
      </c>
      <c r="G19" t="inlineStr">
        <is>
          <t>BORGHOLM</t>
        </is>
      </c>
      <c r="I19" t="n">
        <v>4.1</v>
      </c>
      <c r="J19" t="n">
        <v>0</v>
      </c>
      <c r="K19" t="n">
        <v>4</v>
      </c>
      <c r="L19" t="n">
        <v>3</v>
      </c>
      <c r="M19" t="n">
        <v>3</v>
      </c>
      <c r="N19" t="n">
        <v>0</v>
      </c>
      <c r="O19" t="n">
        <v>0</v>
      </c>
      <c r="P19" t="n">
        <v>0</v>
      </c>
      <c r="Q19" t="n">
        <v>6</v>
      </c>
      <c r="R19" t="n">
        <v>3</v>
      </c>
      <c r="S19" t="n">
        <v>10</v>
      </c>
      <c r="T19" t="n">
        <v>15</v>
      </c>
      <c r="U19" t="n">
        <v>1</v>
      </c>
      <c r="V19" s="2" t="inlineStr">
        <is>
          <t>Blå halmlav
Klosterlav
Mörk kraterlav
Gammelekslav
Gul dropplav
Oxtungssvamp
Grå skärelav
Gulpudrad spiklav
Lönnlav
Tvåfläckig praktbagge</t>
        </is>
      </c>
      <c r="W19">
        <f>HYPERLINK("https://klasma.github.io/Logging_0885/artfynd/A 29656-2023 artfynd.xlsx", "A 29656-2023")</f>
        <v/>
      </c>
      <c r="X19">
        <f>HYPERLINK("https://klasma.github.io/Logging_0885/kartor/A 29656-2023 karta.png", "A 29656-2023")</f>
        <v/>
      </c>
      <c r="Y19">
        <f>HYPERLINK("https://klasma.github.io/Logging_0885/kartor_geotiff/A 29656-2023 georefererad karta.tif", "A 29656-2023")</f>
        <v/>
      </c>
      <c r="AA19">
        <f>HYPERLINK("https://klasma.github.io/Logging_0885/klagomål/A 29656-2023 FSC-klagomål.docx", "A 29656-2023")</f>
        <v/>
      </c>
      <c r="AB19">
        <f>HYPERLINK("https://klasma.github.io/Logging_0885/klagomålsmail/A 29656-2023 FSC-klagomål mail.docx", "A 29656-2023")</f>
        <v/>
      </c>
      <c r="AC19">
        <f>HYPERLINK("https://klasma.github.io/Logging_0885/tillsyn/A 29656-2023 tillsynsbegäran.docx", "A 29656-2023")</f>
        <v/>
      </c>
      <c r="AD19">
        <f>HYPERLINK("https://klasma.github.io/Logging_0885/tillsynsmail/A 29656-2023 tillsynsbegäran mail.docx", "A 29656-2023")</f>
        <v/>
      </c>
    </row>
    <row r="20" ht="15" customHeight="1">
      <c r="A20" t="inlineStr">
        <is>
          <t>S 2786-2023</t>
        </is>
      </c>
      <c r="B20" t="inlineStr">
        <is>
          <t>samrådsanmälan</t>
        </is>
      </c>
      <c r="C20" t="inlineStr">
        <is>
          <t>Annan skogsbruksåtgärd</t>
        </is>
      </c>
      <c r="D20" s="1" t="n">
        <v>45161</v>
      </c>
      <c r="E20" s="1" t="n">
        <v>46318</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46318</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46318</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46318</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12534-2022</t>
        </is>
      </c>
      <c r="B25" t="inlineStr">
        <is>
          <t>avverkningsanmälan</t>
        </is>
      </c>
      <c r="C25" t="inlineStr">
        <is>
          <t>Föryngringsavverkning</t>
        </is>
      </c>
      <c r="D25" s="1" t="n">
        <v>44638</v>
      </c>
      <c r="E25" s="1" t="n">
        <v>46318</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t="n">
        <v>9</v>
      </c>
      <c r="V25" s="2" t="inlineStr">
        <is>
          <t>Backklöver
Backtimjan
Jordtistel
Sårläka
Vårstarr
Krutbrännare
Nattviol
Sankt pers nycklar</t>
        </is>
      </c>
      <c r="W25">
        <f>HYPERLINK("https://klasma.github.io/Logging_0885/artfynd/A 12534-2022 artfynd.xlsx", "A 12534-2022")</f>
        <v/>
      </c>
      <c r="X25">
        <f>HYPERLINK("https://klasma.github.io/Logging_0885/kartor/A 12534-2022 karta.png", "A 12534-2022")</f>
        <v/>
      </c>
      <c r="Y25">
        <f>HYPERLINK("https://klasma.github.io/Logging_0885/kartor_geotiff/A 12534-2022 georefererad karta.tif", "A 12534-2022")</f>
        <v/>
      </c>
      <c r="AA25">
        <f>HYPERLINK("https://klasma.github.io/Logging_0885/klagomål/A 12534-2022 FSC-klagomål.docx", "A 12534-2022")</f>
        <v/>
      </c>
      <c r="AB25">
        <f>HYPERLINK("https://klasma.github.io/Logging_0885/klagomålsmail/A 12534-2022 FSC-klagomål mail.docx", "A 12534-2022")</f>
        <v/>
      </c>
      <c r="AC25">
        <f>HYPERLINK("https://klasma.github.io/Logging_0885/tillsyn/A 12534-2022 tillsynsbegäran.docx", "A 12534-2022")</f>
        <v/>
      </c>
      <c r="AD25">
        <f>HYPERLINK("https://klasma.github.io/Logging_0885/tillsynsmail/A 12534-2022 tillsynsbegäran mail.docx", "A 12534-2022")</f>
        <v/>
      </c>
    </row>
    <row r="26" ht="15" customHeight="1">
      <c r="A26" t="inlineStr">
        <is>
          <t>A 31399-2026</t>
        </is>
      </c>
      <c r="B26" t="inlineStr">
        <is>
          <t>avverkningsanmälan</t>
        </is>
      </c>
      <c r="C26" t="inlineStr">
        <is>
          <t>Föryngringsavverkning</t>
        </is>
      </c>
      <c r="D26" s="1" t="n">
        <v>46220</v>
      </c>
      <c r="E26" s="1" t="n">
        <v>46318</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31515-2026</t>
        </is>
      </c>
      <c r="B27" t="inlineStr">
        <is>
          <t>avverkningsanmälan</t>
        </is>
      </c>
      <c r="C27" t="inlineStr">
        <is>
          <t>Avverkning för att bevara och utveckla /försöksver</t>
        </is>
      </c>
      <c r="D27" s="1" t="n">
        <v>46223</v>
      </c>
      <c r="E27" s="1" t="n">
        <v>46318</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31515-2026 artfynd.xlsx", "A 31515-2026")</f>
        <v/>
      </c>
      <c r="X27">
        <f>HYPERLINK("https://klasma.github.io/Logging_0885/kartor/A 31515-2026 karta.png", "A 31515-2026")</f>
        <v/>
      </c>
      <c r="Y27">
        <f>HYPERLINK("https://klasma.github.io/Logging_0885/kartor_geotiff/A 31515-2026 georefererad karta.tif", "A 31515-2026")</f>
        <v/>
      </c>
      <c r="AA27">
        <f>HYPERLINK("https://klasma.github.io/Logging_0885/klagomål/A 31515-2026 FSC-klagomål.docx", "A 31515-2026")</f>
        <v/>
      </c>
      <c r="AB27">
        <f>HYPERLINK("https://klasma.github.io/Logging_0885/klagomålsmail/A 31515-2026 FSC-klagomål mail.docx", "A 31515-2026")</f>
        <v/>
      </c>
      <c r="AC27">
        <f>HYPERLINK("https://klasma.github.io/Logging_0885/tillsyn/A 31515-2026 tillsynsbegäran.docx", "A 31515-2026")</f>
        <v/>
      </c>
      <c r="AD27">
        <f>HYPERLINK("https://klasma.github.io/Logging_0885/tillsynsmail/A 31515-2026 tillsynsbegäran mail.docx", "A 31515-2026")</f>
        <v/>
      </c>
    </row>
    <row r="28" ht="15" customHeight="1">
      <c r="A28" t="inlineStr">
        <is>
          <t>A 31516-2026</t>
        </is>
      </c>
      <c r="B28" t="inlineStr">
        <is>
          <t>avverkningsanmälan</t>
        </is>
      </c>
      <c r="C28" t="inlineStr">
        <is>
          <t>Avverkning för att bevara och utveckla /försöksver</t>
        </is>
      </c>
      <c r="D28" s="1" t="n">
        <v>46223</v>
      </c>
      <c r="E28" s="1" t="n">
        <v>46318</v>
      </c>
      <c r="F28" t="inlineStr">
        <is>
          <t>KALMAR LÄN</t>
        </is>
      </c>
      <c r="G28" t="inlineStr">
        <is>
          <t>BORGHOLM</t>
        </is>
      </c>
      <c r="H28" t="inlineStr">
        <is>
          <t>Sveaskog</t>
        </is>
      </c>
      <c r="I28" t="n">
        <v>0.8</v>
      </c>
      <c r="J28" t="n">
        <v>3</v>
      </c>
      <c r="K28" t="n">
        <v>3</v>
      </c>
      <c r="L28" t="n">
        <v>3</v>
      </c>
      <c r="M28" t="n">
        <v>0</v>
      </c>
      <c r="N28" t="n">
        <v>0</v>
      </c>
      <c r="O28" t="n">
        <v>0</v>
      </c>
      <c r="P28" t="n">
        <v>0</v>
      </c>
      <c r="Q28" t="n">
        <v>3</v>
      </c>
      <c r="R28" t="n">
        <v>0</v>
      </c>
      <c r="S28" t="n">
        <v>8</v>
      </c>
      <c r="T28" t="n">
        <v>11</v>
      </c>
      <c r="U28" t="n">
        <v>1</v>
      </c>
      <c r="V28" s="2" t="inlineStr">
        <is>
          <t>Blå slemspindling
Sårläka
Vårärt
Anisspindling
Skogsknipprot
Strävlosta
Blåsippa
Grönvit nattviol</t>
        </is>
      </c>
      <c r="W28">
        <f>HYPERLINK("https://klasma.github.io/Logging_0885/artfynd/A 31516-2026 artfynd.xlsx", "A 31516-2026")</f>
        <v/>
      </c>
      <c r="X28">
        <f>HYPERLINK("https://klasma.github.io/Logging_0885/kartor/A 31516-2026 karta.png", "A 31516-2026")</f>
        <v/>
      </c>
      <c r="Y28">
        <f>HYPERLINK("https://klasma.github.io/Logging_0885/kartor_geotiff/A 31516-2026 georefererad karta.tif", "A 31516-2026")</f>
        <v/>
      </c>
      <c r="AA28">
        <f>HYPERLINK("https://klasma.github.io/Logging_0885/klagomål/A 31516-2026 FSC-klagomål.docx", "A 31516-2026")</f>
        <v/>
      </c>
      <c r="AB28">
        <f>HYPERLINK("https://klasma.github.io/Logging_0885/klagomålsmail/A 31516-2026 FSC-klagomål mail.docx", "A 31516-2026")</f>
        <v/>
      </c>
      <c r="AC28">
        <f>HYPERLINK("https://klasma.github.io/Logging_0885/tillsyn/A 31516-2026 tillsynsbegäran.docx", "A 31516-2026")</f>
        <v/>
      </c>
      <c r="AD28">
        <f>HYPERLINK("https://klasma.github.io/Logging_0885/tillsynsmail/A 31516-2026 tillsynsbegäran mail.docx", "A 31516-2026")</f>
        <v/>
      </c>
    </row>
    <row r="29" ht="15" customHeight="1">
      <c r="A29" t="inlineStr">
        <is>
          <t>S 2741-2022</t>
        </is>
      </c>
      <c r="B29" t="inlineStr">
        <is>
          <t>samrådsanmälan</t>
        </is>
      </c>
      <c r="C29" t="inlineStr">
        <is>
          <t>Annan skogsbruksåtgärd</t>
        </is>
      </c>
      <c r="D29" s="1" t="n">
        <v>44704</v>
      </c>
      <c r="E29" s="1" t="n">
        <v>46318</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46318</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46318</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46318</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16171-2023</t>
        </is>
      </c>
      <c r="B34" t="inlineStr">
        <is>
          <t>avverkningsanmälan</t>
        </is>
      </c>
      <c r="C34" t="inlineStr">
        <is>
          <t>Föryngringsavverkning</t>
        </is>
      </c>
      <c r="D34" s="1" t="n">
        <v>45027</v>
      </c>
      <c r="E34" s="1" t="n">
        <v>46318</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27298-2026</t>
        </is>
      </c>
      <c r="B35" t="inlineStr">
        <is>
          <t>avverkningsanmälan</t>
        </is>
      </c>
      <c r="C35" t="inlineStr">
        <is>
          <t>Avverkning för att bevara och utveckla /försöksver</t>
        </is>
      </c>
      <c r="D35" s="1" t="n">
        <v>46188</v>
      </c>
      <c r="E35" s="1" t="n">
        <v>46318</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A 31558-2026</t>
        </is>
      </c>
      <c r="B36" t="inlineStr">
        <is>
          <t>avverkningsanmälan</t>
        </is>
      </c>
      <c r="C36" t="inlineStr">
        <is>
          <t>Avverkning för att bevara och utveckla /försöksver</t>
        </is>
      </c>
      <c r="D36" s="1" t="n">
        <v>46224</v>
      </c>
      <c r="E36" s="1" t="n">
        <v>46318</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46318</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46318</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46318</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46318</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46318</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46318</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46318</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46318</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4164-2023</t>
        </is>
      </c>
      <c r="B45" t="inlineStr">
        <is>
          <t>avverkningsanmälan</t>
        </is>
      </c>
      <c r="C45" t="inlineStr">
        <is>
          <t>Föryngringsavverkning</t>
        </is>
      </c>
      <c r="D45" s="1" t="n">
        <v>44953</v>
      </c>
      <c r="E45" s="1" t="n">
        <v>46318</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46318</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A 27290-2026</t>
        </is>
      </c>
      <c r="B47" t="inlineStr">
        <is>
          <t>avverkningsanmälan</t>
        </is>
      </c>
      <c r="C47" t="inlineStr">
        <is>
          <t>Avverkning för att bevara och utveckla /försöksver</t>
        </is>
      </c>
      <c r="D47" s="1" t="n">
        <v>46188</v>
      </c>
      <c r="E47" s="1" t="n">
        <v>46318</v>
      </c>
      <c r="F47" t="inlineStr">
        <is>
          <t>KALMAR LÄN</t>
        </is>
      </c>
      <c r="G47" t="inlineStr">
        <is>
          <t>BORGHOLM</t>
        </is>
      </c>
      <c r="H47" t="inlineStr">
        <is>
          <t>Sveaskog</t>
        </is>
      </c>
      <c r="I47" t="n">
        <v>4.1</v>
      </c>
      <c r="J47" t="n">
        <v>2</v>
      </c>
      <c r="K47" t="n">
        <v>1</v>
      </c>
      <c r="L47" t="n">
        <v>0</v>
      </c>
      <c r="M47" t="n">
        <v>1</v>
      </c>
      <c r="N47" t="n">
        <v>1</v>
      </c>
      <c r="O47" t="n">
        <v>0</v>
      </c>
      <c r="P47" t="n">
        <v>0</v>
      </c>
      <c r="Q47" t="n">
        <v>2</v>
      </c>
      <c r="R47" t="n">
        <v>2</v>
      </c>
      <c r="S47" t="n">
        <v>4</v>
      </c>
      <c r="T47" t="n">
        <v>4</v>
      </c>
      <c r="U47" t="n">
        <v>0</v>
      </c>
      <c r="V47" s="2" t="inlineStr">
        <is>
          <t>Ask
Gotlandsmåra
Skogsknipprot
Havsörn</t>
        </is>
      </c>
      <c r="W47">
        <f>HYPERLINK("https://klasma.github.io/Logging_0885/artfynd/A 27290-2026 artfynd.xlsx", "A 27290-2026")</f>
        <v/>
      </c>
      <c r="X47">
        <f>HYPERLINK("https://klasma.github.io/Logging_0885/kartor/A 27290-2026 karta.png", "A 27290-2026")</f>
        <v/>
      </c>
      <c r="Y47">
        <f>HYPERLINK("https://klasma.github.io/Logging_0885/kartor_geotiff/A 27290-2026 georefererad karta.tif", "A 27290-2026")</f>
        <v/>
      </c>
      <c r="AA47">
        <f>HYPERLINK("https://klasma.github.io/Logging_0885/klagomål/A 27290-2026 FSC-klagomål.docx", "A 27290-2026")</f>
        <v/>
      </c>
      <c r="AB47">
        <f>HYPERLINK("https://klasma.github.io/Logging_0885/klagomålsmail/A 27290-2026 FSC-klagomål mail.docx", "A 27290-2026")</f>
        <v/>
      </c>
      <c r="AC47">
        <f>HYPERLINK("https://klasma.github.io/Logging_0885/tillsyn/A 27290-2026 tillsynsbegäran.docx", "A 27290-2026")</f>
        <v/>
      </c>
      <c r="AD47">
        <f>HYPERLINK("https://klasma.github.io/Logging_0885/tillsynsmail/A 27290-2026 tillsynsbegäran mail.docx", "A 27290-2026")</f>
        <v/>
      </c>
      <c r="AE47">
        <f>HYPERLINK("https://klasma.github.io/Logging_0885/fåglar/A 27290-2026 prioriterade fågelarter.docx", "A 27290-2026")</f>
        <v/>
      </c>
    </row>
    <row r="48" ht="15" customHeight="1">
      <c r="A48" t="inlineStr">
        <is>
          <t>A 7960-2023</t>
        </is>
      </c>
      <c r="B48" t="inlineStr">
        <is>
          <t>avverkningsanmälan</t>
        </is>
      </c>
      <c r="C48" t="inlineStr">
        <is>
          <t>Föryngringsavverkning</t>
        </is>
      </c>
      <c r="D48" s="1" t="n">
        <v>44973</v>
      </c>
      <c r="E48" s="1" t="n">
        <v>46318</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46318</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46318</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46318</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46318</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46318</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27283-2026</t>
        </is>
      </c>
      <c r="B54" t="inlineStr">
        <is>
          <t>avverkningsanmälan</t>
        </is>
      </c>
      <c r="C54" t="inlineStr">
        <is>
          <t>Avverkning för att bevara och utveckla /försöksver</t>
        </is>
      </c>
      <c r="D54" s="1" t="n">
        <v>46188</v>
      </c>
      <c r="E54" s="1" t="n">
        <v>46318</v>
      </c>
      <c r="F54" t="inlineStr">
        <is>
          <t>KALMAR LÄN</t>
        </is>
      </c>
      <c r="G54" t="inlineStr">
        <is>
          <t>BORGHOLM</t>
        </is>
      </c>
      <c r="H54" t="inlineStr">
        <is>
          <t>Sveaskog</t>
        </is>
      </c>
      <c r="I54" t="n">
        <v>2</v>
      </c>
      <c r="J54" t="n">
        <v>1</v>
      </c>
      <c r="K54" t="n">
        <v>1</v>
      </c>
      <c r="L54" t="n">
        <v>1</v>
      </c>
      <c r="M54" t="n">
        <v>0</v>
      </c>
      <c r="N54" t="n">
        <v>1</v>
      </c>
      <c r="O54" t="n">
        <v>0</v>
      </c>
      <c r="P54" t="n">
        <v>0</v>
      </c>
      <c r="Q54" t="n">
        <v>2</v>
      </c>
      <c r="R54" t="n">
        <v>1</v>
      </c>
      <c r="S54" t="n">
        <v>3</v>
      </c>
      <c r="T54" t="n">
        <v>3</v>
      </c>
      <c r="U54" t="n">
        <v>0</v>
      </c>
      <c r="V54" s="2" t="inlineStr">
        <is>
          <t>Ask
Mindre poppelglasvinge
Skogsknipprot</t>
        </is>
      </c>
      <c r="W54">
        <f>HYPERLINK("https://klasma.github.io/Logging_0885/artfynd/A 27283-2026 artfynd.xlsx", "A 27283-2026")</f>
        <v/>
      </c>
      <c r="X54">
        <f>HYPERLINK("https://klasma.github.io/Logging_0885/kartor/A 27283-2026 karta.png", "A 27283-2026")</f>
        <v/>
      </c>
      <c r="Y54">
        <f>HYPERLINK("https://klasma.github.io/Logging_0885/kartor_geotiff/A 27283-2026 georefererad karta.tif", "A 27283-2026")</f>
        <v/>
      </c>
      <c r="AA54">
        <f>HYPERLINK("https://klasma.github.io/Logging_0885/klagomål/A 27283-2026 FSC-klagomål.docx", "A 27283-2026")</f>
        <v/>
      </c>
      <c r="AB54">
        <f>HYPERLINK("https://klasma.github.io/Logging_0885/klagomålsmail/A 27283-2026 FSC-klagomål mail.docx", "A 27283-2026")</f>
        <v/>
      </c>
      <c r="AC54">
        <f>HYPERLINK("https://klasma.github.io/Logging_0885/tillsyn/A 27283-2026 tillsynsbegäran.docx", "A 27283-2026")</f>
        <v/>
      </c>
      <c r="AD54">
        <f>HYPERLINK("https://klasma.github.io/Logging_0885/tillsynsmail/A 27283-2026 tillsynsbegäran mail.docx", "A 27283-2026")</f>
        <v/>
      </c>
    </row>
    <row r="55" ht="15" customHeight="1">
      <c r="A55" t="inlineStr">
        <is>
          <t>A 26849-2026</t>
        </is>
      </c>
      <c r="B55" t="inlineStr">
        <is>
          <t>avverkningsanmälan</t>
        </is>
      </c>
      <c r="C55" t="inlineStr">
        <is>
          <t>Föryngringsavverkning</t>
        </is>
      </c>
      <c r="D55" s="1" t="n">
        <v>46185</v>
      </c>
      <c r="E55" s="1" t="n">
        <v>46318</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24048-2025</t>
        </is>
      </c>
      <c r="B56" t="inlineStr">
        <is>
          <t>avverkningsanmälan</t>
        </is>
      </c>
      <c r="C56" t="inlineStr">
        <is>
          <t>Föryngringsavverkning</t>
        </is>
      </c>
      <c r="D56" s="1" t="n">
        <v>45796</v>
      </c>
      <c r="E56" s="1" t="n">
        <v>46318</v>
      </c>
      <c r="F56" t="inlineStr">
        <is>
          <t>KALMAR LÄN</t>
        </is>
      </c>
      <c r="G56" t="inlineStr">
        <is>
          <t>BORGHOLM</t>
        </is>
      </c>
      <c r="I56" t="n">
        <v>2</v>
      </c>
      <c r="J56" t="n">
        <v>1</v>
      </c>
      <c r="K56" t="n">
        <v>0</v>
      </c>
      <c r="L56" t="n">
        <v>2</v>
      </c>
      <c r="M56" t="n">
        <v>0</v>
      </c>
      <c r="N56" t="n">
        <v>0</v>
      </c>
      <c r="O56" t="n">
        <v>0</v>
      </c>
      <c r="P56" t="n">
        <v>0</v>
      </c>
      <c r="Q56" t="n">
        <v>2</v>
      </c>
      <c r="R56" t="n">
        <v>0</v>
      </c>
      <c r="S56" t="n">
        <v>3</v>
      </c>
      <c r="T56" t="n">
        <v>5</v>
      </c>
      <c r="U56" t="n">
        <v>0</v>
      </c>
      <c r="V56" s="2" t="inlineStr">
        <is>
          <t>Loppstarr
Ängsstarr
Kärrknipprot</t>
        </is>
      </c>
      <c r="W56">
        <f>HYPERLINK("https://klasma.github.io/Logging_0885/artfynd/A 24048-2025 artfynd.xlsx", "A 24048-2025")</f>
        <v/>
      </c>
      <c r="X56">
        <f>HYPERLINK("https://klasma.github.io/Logging_0885/kartor/A 24048-2025 karta.png", "A 24048-2025")</f>
        <v/>
      </c>
      <c r="Y56">
        <f>HYPERLINK("https://klasma.github.io/Logging_0885/kartor_geotiff/A 24048-2025 georefererad karta.tif", "A 24048-2025")</f>
        <v/>
      </c>
      <c r="AA56">
        <f>HYPERLINK("https://klasma.github.io/Logging_0885/klagomål/A 24048-2025 FSC-klagomål.docx", "A 24048-2025")</f>
        <v/>
      </c>
      <c r="AB56">
        <f>HYPERLINK("https://klasma.github.io/Logging_0885/klagomålsmail/A 24048-2025 FSC-klagomål mail.docx", "A 24048-2025")</f>
        <v/>
      </c>
      <c r="AC56">
        <f>HYPERLINK("https://klasma.github.io/Logging_0885/tillsyn/A 24048-2025 tillsynsbegäran.docx", "A 24048-2025")</f>
        <v/>
      </c>
      <c r="AD56">
        <f>HYPERLINK("https://klasma.github.io/Logging_0885/tillsynsmail/A 24048-2025 tillsynsbegäran mail.docx", "A 24048-2025")</f>
        <v/>
      </c>
    </row>
    <row r="57" ht="15" customHeight="1">
      <c r="A57" t="inlineStr">
        <is>
          <t>A 15285-2026</t>
        </is>
      </c>
      <c r="B57" t="inlineStr">
        <is>
          <t>avverkningsanmälan</t>
        </is>
      </c>
      <c r="C57" t="inlineStr">
        <is>
          <t>Avverkning för att bevara och utveckla /försöksver</t>
        </is>
      </c>
      <c r="D57" s="1" t="n">
        <v>46105</v>
      </c>
      <c r="E57" s="1" t="n">
        <v>46318</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31520-2026</t>
        </is>
      </c>
      <c r="B58" t="inlineStr">
        <is>
          <t>avverkningsanmälan</t>
        </is>
      </c>
      <c r="C58" t="inlineStr">
        <is>
          <t>Avverkning för att bevara och utveckla /försöksver</t>
        </is>
      </c>
      <c r="D58" s="1" t="n">
        <v>46223</v>
      </c>
      <c r="E58" s="1" t="n">
        <v>46318</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32174-2022</t>
        </is>
      </c>
      <c r="B59" t="inlineStr">
        <is>
          <t>avverkningsanmälan</t>
        </is>
      </c>
      <c r="C59" t="inlineStr">
        <is>
          <t>Avverkning för att bevara och utveckla /försöksver</t>
        </is>
      </c>
      <c r="D59" s="1" t="n">
        <v>44781</v>
      </c>
      <c r="E59" s="1" t="n">
        <v>46318</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46318</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46318</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46318</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46318</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46318</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46318</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44678-2022</t>
        </is>
      </c>
      <c r="B66" t="inlineStr">
        <is>
          <t>avverkningsanmälan</t>
        </is>
      </c>
      <c r="C66" t="inlineStr">
        <is>
          <t>Föryngringsavverkning</t>
        </is>
      </c>
      <c r="D66" s="1" t="n">
        <v>44840</v>
      </c>
      <c r="E66" s="1" t="n">
        <v>46318</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60141-2025</t>
        </is>
      </c>
      <c r="B67" t="inlineStr">
        <is>
          <t>avverkningsanmälan</t>
        </is>
      </c>
      <c r="C67" t="inlineStr">
        <is>
          <t>Föryngringsavverkning</t>
        </is>
      </c>
      <c r="D67" s="1" t="n">
        <v>45994</v>
      </c>
      <c r="E67" s="1" t="n">
        <v>46318</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46318</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17699-2025</t>
        </is>
      </c>
      <c r="B69" t="inlineStr">
        <is>
          <t>avverkningsanmälan</t>
        </is>
      </c>
      <c r="C69" t="inlineStr">
        <is>
          <t>Föryngringsavverkning</t>
        </is>
      </c>
      <c r="D69" s="1" t="n">
        <v>45758</v>
      </c>
      <c r="E69" s="1" t="n">
        <v>46318</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24322-2026</t>
        </is>
      </c>
      <c r="B70" t="inlineStr">
        <is>
          <t>avverkningsanmälan</t>
        </is>
      </c>
      <c r="C70" t="inlineStr">
        <is>
          <t>Föryngringsavverkning</t>
        </is>
      </c>
      <c r="D70" s="1" t="n">
        <v>46169</v>
      </c>
      <c r="E70" s="1" t="n">
        <v>46318</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21908-2022</t>
        </is>
      </c>
      <c r="B71" t="inlineStr">
        <is>
          <t>avverkningsanmälan</t>
        </is>
      </c>
      <c r="C71" t="inlineStr">
        <is>
          <t>Föryngringsavverkning</t>
        </is>
      </c>
      <c r="D71" s="1" t="n">
        <v>44711</v>
      </c>
      <c r="E71" s="1" t="n">
        <v>46318</v>
      </c>
      <c r="F71" t="inlineStr">
        <is>
          <t>KALMAR LÄN</t>
        </is>
      </c>
      <c r="G71" t="inlineStr">
        <is>
          <t>BORGHOLM</t>
        </is>
      </c>
      <c r="I71" t="n">
        <v>4.7</v>
      </c>
      <c r="J71" t="n">
        <v>1</v>
      </c>
      <c r="K71" t="n">
        <v>2</v>
      </c>
      <c r="L71" t="n">
        <v>0</v>
      </c>
      <c r="M71" t="n">
        <v>0</v>
      </c>
      <c r="N71" t="n">
        <v>0</v>
      </c>
      <c r="O71" t="n">
        <v>0</v>
      </c>
      <c r="P71" t="n">
        <v>0</v>
      </c>
      <c r="Q71" t="n">
        <v>0</v>
      </c>
      <c r="R71" t="n">
        <v>0</v>
      </c>
      <c r="S71" t="n">
        <v>2</v>
      </c>
      <c r="T71" t="n">
        <v>2</v>
      </c>
      <c r="U71" t="n">
        <v>2</v>
      </c>
      <c r="V71" s="2" t="inlineStr">
        <is>
          <t>Myskmadra
Skogsknipprot</t>
        </is>
      </c>
      <c r="W71">
        <f>HYPERLINK("https://klasma.github.io/Logging_0885/artfynd/A 21908-2022 artfynd.xlsx", "A 21908-2022")</f>
        <v/>
      </c>
      <c r="X71">
        <f>HYPERLINK("https://klasma.github.io/Logging_0885/kartor/A 21908-2022 karta.png", "A 21908-2022")</f>
        <v/>
      </c>
      <c r="Y71">
        <f>HYPERLINK("https://klasma.github.io/Logging_0885/kartor_geotiff/A 21908-2022 georefererad karta.tif", "A 21908-2022")</f>
        <v/>
      </c>
      <c r="AA71">
        <f>HYPERLINK("https://klasma.github.io/Logging_0885/klagomål/A 21908-2022 FSC-klagomål.docx", "A 21908-2022")</f>
        <v/>
      </c>
      <c r="AB71">
        <f>HYPERLINK("https://klasma.github.io/Logging_0885/klagomålsmail/A 21908-2022 FSC-klagomål mail.docx", "A 21908-2022")</f>
        <v/>
      </c>
      <c r="AC71">
        <f>HYPERLINK("https://klasma.github.io/Logging_0885/tillsyn/A 21908-2022 tillsynsbegäran.docx", "A 21908-2022")</f>
        <v/>
      </c>
      <c r="AD71">
        <f>HYPERLINK("https://klasma.github.io/Logging_0885/tillsynsmail/A 21908-2022 tillsynsbegäran mail.docx", "A 21908-2022")</f>
        <v/>
      </c>
    </row>
    <row r="72" ht="15" customHeight="1">
      <c r="A72" t="inlineStr">
        <is>
          <t>A 9253-2026</t>
        </is>
      </c>
      <c r="B72" t="inlineStr">
        <is>
          <t>avverkningsanmälan</t>
        </is>
      </c>
      <c r="C72" t="inlineStr">
        <is>
          <t>Föryngringsavverkning</t>
        </is>
      </c>
      <c r="D72" s="1" t="n">
        <v>46070</v>
      </c>
      <c r="E72" s="1" t="n">
        <v>46318</v>
      </c>
      <c r="F72" t="inlineStr">
        <is>
          <t>KALMAR LÄN</t>
        </is>
      </c>
      <c r="G72" t="inlineStr">
        <is>
          <t>BORGHOLM</t>
        </is>
      </c>
      <c r="I72" t="n">
        <v>1.1</v>
      </c>
      <c r="J72" t="n">
        <v>1</v>
      </c>
      <c r="K72" t="n">
        <v>1</v>
      </c>
      <c r="L72" t="n">
        <v>0</v>
      </c>
      <c r="M72" t="n">
        <v>0</v>
      </c>
      <c r="N72" t="n">
        <v>0</v>
      </c>
      <c r="O72" t="n">
        <v>0</v>
      </c>
      <c r="P72" t="n">
        <v>0</v>
      </c>
      <c r="Q72" t="n">
        <v>0</v>
      </c>
      <c r="R72" t="n">
        <v>0</v>
      </c>
      <c r="S72" t="n">
        <v>2</v>
      </c>
      <c r="T72" t="n">
        <v>2</v>
      </c>
      <c r="U72" t="n">
        <v>0</v>
      </c>
      <c r="V72" s="2" t="inlineStr">
        <is>
          <t>Murgröna
Gullviva</t>
        </is>
      </c>
      <c r="W72">
        <f>HYPERLINK("https://klasma.github.io/Logging_0885/artfynd/A 9253-2026 artfynd.xlsx", "A 9253-2026")</f>
        <v/>
      </c>
      <c r="X72">
        <f>HYPERLINK("https://klasma.github.io/Logging_0885/kartor/A 9253-2026 karta.png", "A 9253-2026")</f>
        <v/>
      </c>
      <c r="Y72">
        <f>HYPERLINK("https://klasma.github.io/Logging_0885/kartor_geotiff/A 9253-2026 georefererad karta.tif", "A 9253-2026")</f>
        <v/>
      </c>
      <c r="AA72">
        <f>HYPERLINK("https://klasma.github.io/Logging_0885/klagomål/A 9253-2026 FSC-klagomål.docx", "A 9253-2026")</f>
        <v/>
      </c>
      <c r="AB72">
        <f>HYPERLINK("https://klasma.github.io/Logging_0885/klagomålsmail/A 9253-2026 FSC-klagomål mail.docx", "A 9253-2026")</f>
        <v/>
      </c>
      <c r="AC72">
        <f>HYPERLINK("https://klasma.github.io/Logging_0885/tillsyn/A 9253-2026 tillsynsbegäran.docx", "A 9253-2026")</f>
        <v/>
      </c>
      <c r="AD72">
        <f>HYPERLINK("https://klasma.github.io/Logging_0885/tillsynsmail/A 9253-2026 tillsynsbegäran mail.docx", "A 9253-2026")</f>
        <v/>
      </c>
    </row>
    <row r="73" ht="15" customHeight="1">
      <c r="A73" t="inlineStr">
        <is>
          <t>A 29434-2026</t>
        </is>
      </c>
      <c r="B73" t="inlineStr">
        <is>
          <t>avverkningsanmälan</t>
        </is>
      </c>
      <c r="C73" t="inlineStr">
        <is>
          <t>Avverkning för att bevara och utveckla /försöksver</t>
        </is>
      </c>
      <c r="D73" s="1" t="n">
        <v>46203</v>
      </c>
      <c r="E73" s="1" t="n">
        <v>46318</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29411-2026</t>
        </is>
      </c>
      <c r="B74" t="inlineStr">
        <is>
          <t>avverkningsanmälan</t>
        </is>
      </c>
      <c r="C74" t="inlineStr">
        <is>
          <t>Avverkning för att bevara och utveckla /försöksver</t>
        </is>
      </c>
      <c r="D74" s="1" t="n">
        <v>46203</v>
      </c>
      <c r="E74" s="1" t="n">
        <v>46318</v>
      </c>
      <c r="F74" t="inlineStr">
        <is>
          <t>KALMAR LÄN</t>
        </is>
      </c>
      <c r="G74" t="inlineStr">
        <is>
          <t>BORGHOLM</t>
        </is>
      </c>
      <c r="H74" t="inlineStr">
        <is>
          <t>Sveaskog</t>
        </is>
      </c>
      <c r="I74" t="n">
        <v>0.6</v>
      </c>
      <c r="J74" t="n">
        <v>1</v>
      </c>
      <c r="K74" t="n">
        <v>1</v>
      </c>
      <c r="L74" t="n">
        <v>0</v>
      </c>
      <c r="M74" t="n">
        <v>1</v>
      </c>
      <c r="N74" t="n">
        <v>0</v>
      </c>
      <c r="O74" t="n">
        <v>0</v>
      </c>
      <c r="P74" t="n">
        <v>0</v>
      </c>
      <c r="Q74" t="n">
        <v>1</v>
      </c>
      <c r="R74" t="n">
        <v>1</v>
      </c>
      <c r="S74" t="n">
        <v>2</v>
      </c>
      <c r="T74" t="n">
        <v>2</v>
      </c>
      <c r="U74" t="n">
        <v>1</v>
      </c>
      <c r="V74" s="2" t="inlineStr">
        <is>
          <t>Bredbrämad bastardsvärmare
Ekoxe</t>
        </is>
      </c>
      <c r="W74">
        <f>HYPERLINK("https://klasma.github.io/Logging_0885/artfynd/A 29411-2026 artfynd.xlsx", "A 29411-2026")</f>
        <v/>
      </c>
      <c r="X74">
        <f>HYPERLINK("https://klasma.github.io/Logging_0885/kartor/A 29411-2026 karta.png", "A 29411-2026")</f>
        <v/>
      </c>
      <c r="Y74">
        <f>HYPERLINK("https://klasma.github.io/Logging_0885/kartor_geotiff/A 29411-2026 georefererad karta.tif", "A 29411-2026")</f>
        <v/>
      </c>
      <c r="AA74">
        <f>HYPERLINK("https://klasma.github.io/Logging_0885/klagomål/A 29411-2026 FSC-klagomål.docx", "A 29411-2026")</f>
        <v/>
      </c>
      <c r="AB74">
        <f>HYPERLINK("https://klasma.github.io/Logging_0885/klagomålsmail/A 29411-2026 FSC-klagomål mail.docx", "A 29411-2026")</f>
        <v/>
      </c>
      <c r="AC74">
        <f>HYPERLINK("https://klasma.github.io/Logging_0885/tillsyn/A 29411-2026 tillsynsbegäran.docx", "A 29411-2026")</f>
        <v/>
      </c>
      <c r="AD74">
        <f>HYPERLINK("https://klasma.github.io/Logging_0885/tillsynsmail/A 29411-2026 tillsynsbegäran mail.docx", "A 29411-2026")</f>
        <v/>
      </c>
    </row>
    <row r="75" ht="15" customHeight="1">
      <c r="A75" t="inlineStr">
        <is>
          <t>S 6144-2022</t>
        </is>
      </c>
      <c r="B75" t="inlineStr">
        <is>
          <t>samrådsanmälan</t>
        </is>
      </c>
      <c r="C75" t="inlineStr">
        <is>
          <t>Annan skogsbruksåtgärd</t>
        </is>
      </c>
      <c r="D75" s="1" t="n">
        <v>44865</v>
      </c>
      <c r="E75" s="1" t="n">
        <v>46318</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46318</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46318</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46318</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46318</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46318</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46318</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31720-2022</t>
        </is>
      </c>
      <c r="B82" t="inlineStr">
        <is>
          <t>avverkningsanmälan</t>
        </is>
      </c>
      <c r="C82" t="inlineStr">
        <is>
          <t>Föryngringsavverkning</t>
        </is>
      </c>
      <c r="D82" s="1" t="n">
        <v>44776</v>
      </c>
      <c r="E82" s="1" t="n">
        <v>46318</v>
      </c>
      <c r="F82" t="inlineStr">
        <is>
          <t>KALMAR LÄN</t>
        </is>
      </c>
      <c r="G82" t="inlineStr">
        <is>
          <t>BORGHOLM</t>
        </is>
      </c>
      <c r="H82" t="inlineStr">
        <is>
          <t>Sveaskog</t>
        </is>
      </c>
      <c r="I82" t="n">
        <v>4.5</v>
      </c>
      <c r="J82" t="n">
        <v>1</v>
      </c>
      <c r="K82" t="n">
        <v>1</v>
      </c>
      <c r="L82" t="n">
        <v>0</v>
      </c>
      <c r="M82" t="n">
        <v>0</v>
      </c>
      <c r="N82" t="n">
        <v>0</v>
      </c>
      <c r="O82" t="n">
        <v>0</v>
      </c>
      <c r="P82" t="n">
        <v>0</v>
      </c>
      <c r="Q82" t="n">
        <v>0</v>
      </c>
      <c r="R82" t="n">
        <v>0</v>
      </c>
      <c r="S82" t="n">
        <v>1</v>
      </c>
      <c r="T82" t="n">
        <v>1</v>
      </c>
      <c r="U82" t="n">
        <v>1</v>
      </c>
      <c r="V82" s="2" t="inlineStr">
        <is>
          <t>Tvåblad</t>
        </is>
      </c>
      <c r="W82">
        <f>HYPERLINK("https://klasma.github.io/Logging_0885/artfynd/A 31720-2022 artfynd.xlsx", "A 31720-2022")</f>
        <v/>
      </c>
      <c r="X82">
        <f>HYPERLINK("https://klasma.github.io/Logging_0885/kartor/A 31720-2022 karta.png", "A 31720-2022")</f>
        <v/>
      </c>
      <c r="Y82">
        <f>HYPERLINK("https://klasma.github.io/Logging_0885/kartor_geotiff/A 31720-2022 georefererad karta.tif", "A 31720-2022")</f>
        <v/>
      </c>
      <c r="AA82">
        <f>HYPERLINK("https://klasma.github.io/Logging_0885/klagomål/A 31720-2022 FSC-klagomål.docx", "A 31720-2022")</f>
        <v/>
      </c>
      <c r="AB82">
        <f>HYPERLINK("https://klasma.github.io/Logging_0885/klagomålsmail/A 31720-2022 FSC-klagomål mail.docx", "A 31720-2022")</f>
        <v/>
      </c>
      <c r="AC82">
        <f>HYPERLINK("https://klasma.github.io/Logging_0885/tillsyn/A 31720-2022 tillsynsbegäran.docx", "A 31720-2022")</f>
        <v/>
      </c>
      <c r="AD82">
        <f>HYPERLINK("https://klasma.github.io/Logging_0885/tillsynsmail/A 31720-2022 tillsynsbegäran mail.docx", "A 31720-2022")</f>
        <v/>
      </c>
    </row>
    <row r="83" ht="15" customHeight="1">
      <c r="A83" t="inlineStr">
        <is>
          <t>A 28785-2025</t>
        </is>
      </c>
      <c r="B83" t="inlineStr">
        <is>
          <t>avverkningsanmälan</t>
        </is>
      </c>
      <c r="C83" t="inlineStr">
        <is>
          <t>Avverkning för att bevara och utveckla /försöksver</t>
        </is>
      </c>
      <c r="D83" s="1" t="n">
        <v>45820</v>
      </c>
      <c r="E83" s="1" t="n">
        <v>46318</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28782-2025</t>
        </is>
      </c>
      <c r="B84" t="inlineStr">
        <is>
          <t>avverkningsanmälan</t>
        </is>
      </c>
      <c r="C84" t="inlineStr">
        <is>
          <t>Avverkning för att bevara och utveckla /försöksver</t>
        </is>
      </c>
      <c r="D84" s="1" t="n">
        <v>45820</v>
      </c>
      <c r="E84" s="1" t="n">
        <v>46318</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19867-2024</t>
        </is>
      </c>
      <c r="B85" t="inlineStr">
        <is>
          <t>avverkningsanmälan</t>
        </is>
      </c>
      <c r="C85" t="inlineStr">
        <is>
          <t>Föryngringsavverkning</t>
        </is>
      </c>
      <c r="D85" s="1" t="n">
        <v>45433</v>
      </c>
      <c r="E85" s="1" t="n">
        <v>46318</v>
      </c>
      <c r="F85" t="inlineStr">
        <is>
          <t>KALMAR LÄN</t>
        </is>
      </c>
      <c r="G85" t="inlineStr">
        <is>
          <t>BORGHOLM</t>
        </is>
      </c>
      <c r="I85" t="n">
        <v>3.9</v>
      </c>
      <c r="J85" t="n">
        <v>0</v>
      </c>
      <c r="K85" t="n">
        <v>0</v>
      </c>
      <c r="L85" t="n">
        <v>1</v>
      </c>
      <c r="M85" t="n">
        <v>0</v>
      </c>
      <c r="N85" t="n">
        <v>0</v>
      </c>
      <c r="O85" t="n">
        <v>0</v>
      </c>
      <c r="P85" t="n">
        <v>0</v>
      </c>
      <c r="Q85" t="n">
        <v>1</v>
      </c>
      <c r="R85" t="n">
        <v>0</v>
      </c>
      <c r="S85" t="n">
        <v>1</v>
      </c>
      <c r="T85" t="n">
        <v>1</v>
      </c>
      <c r="U85" t="n">
        <v>1</v>
      </c>
      <c r="V85" s="2" t="inlineStr">
        <is>
          <t>Åkerkulla</t>
        </is>
      </c>
      <c r="W85">
        <f>HYPERLINK("https://klasma.github.io/Logging_0885/artfynd/A 19867-2024 artfynd.xlsx", "A 19867-2024")</f>
        <v/>
      </c>
      <c r="X85">
        <f>HYPERLINK("https://klasma.github.io/Logging_0885/kartor/A 19867-2024 karta.png", "A 19867-2024")</f>
        <v/>
      </c>
      <c r="Y85">
        <f>HYPERLINK("https://klasma.github.io/Logging_0885/kartor_geotiff/A 19867-2024 georefererad karta.tif", "A 19867-2024")</f>
        <v/>
      </c>
      <c r="AA85">
        <f>HYPERLINK("https://klasma.github.io/Logging_0885/klagomål/A 19867-2024 FSC-klagomål.docx", "A 19867-2024")</f>
        <v/>
      </c>
      <c r="AB85">
        <f>HYPERLINK("https://klasma.github.io/Logging_0885/klagomålsmail/A 19867-2024 FSC-klagomål mail.docx", "A 19867-2024")</f>
        <v/>
      </c>
      <c r="AC85">
        <f>HYPERLINK("https://klasma.github.io/Logging_0885/tillsyn/A 19867-2024 tillsynsbegäran.docx", "A 19867-2024")</f>
        <v/>
      </c>
      <c r="AD85">
        <f>HYPERLINK("https://klasma.github.io/Logging_0885/tillsynsmail/A 19867-2024 tillsynsbegäran mail.docx", "A 19867-2024")</f>
        <v/>
      </c>
    </row>
    <row r="86" ht="15" customHeight="1">
      <c r="A86" t="inlineStr">
        <is>
          <t>A 41831-2025</t>
        </is>
      </c>
      <c r="B86" t="inlineStr">
        <is>
          <t>avverkningsanmälan</t>
        </is>
      </c>
      <c r="C86" t="inlineStr">
        <is>
          <t>Föryngringsavverkning</t>
        </is>
      </c>
      <c r="D86" s="1" t="n">
        <v>45902</v>
      </c>
      <c r="E86" s="1" t="n">
        <v>46318</v>
      </c>
      <c r="F86" t="inlineStr">
        <is>
          <t>KALMAR LÄN</t>
        </is>
      </c>
      <c r="G86" t="inlineStr">
        <is>
          <t>BORGHOLM</t>
        </is>
      </c>
      <c r="I86" t="n">
        <v>1.5</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HYPERLINK("https://klasma.github.io/Logging_0885/artfynd/A 41831-2025 artfynd.xlsx", "A 41831-2025")</f>
        <v/>
      </c>
      <c r="X86">
        <f>HYPERLINK("https://klasma.github.io/Logging_0885/kartor/A 41831-2025 karta.png", "A 41831-2025")</f>
        <v/>
      </c>
      <c r="Y86">
        <f>HYPERLINK("https://klasma.github.io/Logging_0885/kartor_geotiff/A 41831-2025 georefererad karta.tif", "A 41831-2025")</f>
        <v/>
      </c>
      <c r="AA86">
        <f>HYPERLINK("https://klasma.github.io/Logging_0885/klagomål/A 41831-2025 FSC-klagomål.docx", "A 41831-2025")</f>
        <v/>
      </c>
      <c r="AB86">
        <f>HYPERLINK("https://klasma.github.io/Logging_0885/klagomålsmail/A 41831-2025 FSC-klagomål mail.docx", "A 41831-2025")</f>
        <v/>
      </c>
      <c r="AC86">
        <f>HYPERLINK("https://klasma.github.io/Logging_0885/tillsyn/A 41831-2025 tillsynsbegäran.docx", "A 41831-2025")</f>
        <v/>
      </c>
      <c r="AD86">
        <f>HYPERLINK("https://klasma.github.io/Logging_0885/tillsynsmail/A 41831-2025 tillsynsbegäran mail.docx", "A 41831-2025")</f>
        <v/>
      </c>
    </row>
    <row r="87" ht="15" customHeight="1">
      <c r="A87" t="inlineStr">
        <is>
          <t>A 13043-2024</t>
        </is>
      </c>
      <c r="B87" t="inlineStr">
        <is>
          <t>avverkningsanmälan</t>
        </is>
      </c>
      <c r="C87" t="inlineStr">
        <is>
          <t>Föryngringsavverkning</t>
        </is>
      </c>
      <c r="D87" s="1" t="n">
        <v>45385</v>
      </c>
      <c r="E87" s="1" t="n">
        <v>46318</v>
      </c>
      <c r="F87" t="inlineStr">
        <is>
          <t>KALMAR LÄN</t>
        </is>
      </c>
      <c r="G87" t="inlineStr">
        <is>
          <t>BORGHOLM</t>
        </is>
      </c>
      <c r="I87" t="n">
        <v>0.4</v>
      </c>
      <c r="J87" t="n">
        <v>1</v>
      </c>
      <c r="K87" t="n">
        <v>1</v>
      </c>
      <c r="L87" t="n">
        <v>0</v>
      </c>
      <c r="M87" t="n">
        <v>0</v>
      </c>
      <c r="N87" t="n">
        <v>0</v>
      </c>
      <c r="O87" t="n">
        <v>0</v>
      </c>
      <c r="P87" t="n">
        <v>0</v>
      </c>
      <c r="Q87" t="n">
        <v>0</v>
      </c>
      <c r="R87" t="n">
        <v>0</v>
      </c>
      <c r="S87" t="n">
        <v>1</v>
      </c>
      <c r="T87" t="n">
        <v>1</v>
      </c>
      <c r="U87" t="n">
        <v>0</v>
      </c>
      <c r="V87" s="2" t="inlineStr">
        <is>
          <t>Ekoxe</t>
        </is>
      </c>
      <c r="W87">
        <f>HYPERLINK("https://klasma.github.io/Logging_0885/artfynd/A 13043-2024 artfynd.xlsx", "A 13043-2024")</f>
        <v/>
      </c>
      <c r="X87">
        <f>HYPERLINK("https://klasma.github.io/Logging_0885/kartor/A 13043-2024 karta.png", "A 13043-2024")</f>
        <v/>
      </c>
      <c r="Y87">
        <f>HYPERLINK("https://klasma.github.io/Logging_0885/kartor_geotiff/A 13043-2024 georefererad karta.tif", "A 13043-2024")</f>
        <v/>
      </c>
      <c r="AA87">
        <f>HYPERLINK("https://klasma.github.io/Logging_0885/klagomål/A 13043-2024 FSC-klagomål.docx", "A 13043-2024")</f>
        <v/>
      </c>
      <c r="AB87">
        <f>HYPERLINK("https://klasma.github.io/Logging_0885/klagomålsmail/A 13043-2024 FSC-klagomål mail.docx", "A 13043-2024")</f>
        <v/>
      </c>
      <c r="AC87">
        <f>HYPERLINK("https://klasma.github.io/Logging_0885/tillsyn/A 13043-2024 tillsynsbegäran.docx", "A 13043-2024")</f>
        <v/>
      </c>
      <c r="AD87">
        <f>HYPERLINK("https://klasma.github.io/Logging_0885/tillsynsmail/A 13043-2024 tillsynsbegäran mail.docx", "A 13043-2024")</f>
        <v/>
      </c>
    </row>
    <row r="88" ht="15" customHeight="1">
      <c r="A88" t="inlineStr">
        <is>
          <t>A 20878-2024</t>
        </is>
      </c>
      <c r="B88" t="inlineStr">
        <is>
          <t>avverkningsanmälan</t>
        </is>
      </c>
      <c r="C88" t="inlineStr">
        <is>
          <t>Föryngringsavverkning</t>
        </is>
      </c>
      <c r="D88" s="1" t="n">
        <v>45439</v>
      </c>
      <c r="E88" s="1" t="n">
        <v>46318</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20878-2024 artfynd.xlsx", "A 20878-2024")</f>
        <v/>
      </c>
      <c r="X88">
        <f>HYPERLINK("https://klasma.github.io/Logging_0885/kartor/A 20878-2024 karta.png", "A 20878-2024")</f>
        <v/>
      </c>
      <c r="Y88">
        <f>HYPERLINK("https://klasma.github.io/Logging_0885/kartor_geotiff/A 20878-2024 georefererad karta.tif", "A 20878-2024")</f>
        <v/>
      </c>
      <c r="AA88">
        <f>HYPERLINK("https://klasma.github.io/Logging_0885/klagomål/A 20878-2024 FSC-klagomål.docx", "A 20878-2024")</f>
        <v/>
      </c>
      <c r="AB88">
        <f>HYPERLINK("https://klasma.github.io/Logging_0885/klagomålsmail/A 20878-2024 FSC-klagomål mail.docx", "A 20878-2024")</f>
        <v/>
      </c>
      <c r="AC88">
        <f>HYPERLINK("https://klasma.github.io/Logging_0885/tillsyn/A 20878-2024 tillsynsbegäran.docx", "A 20878-2024")</f>
        <v/>
      </c>
      <c r="AD88">
        <f>HYPERLINK("https://klasma.github.io/Logging_0885/tillsynsmail/A 20878-2024 tillsynsbegäran mail.docx", "A 20878-2024")</f>
        <v/>
      </c>
    </row>
    <row r="89" ht="15" customHeight="1">
      <c r="A89" t="inlineStr">
        <is>
          <t>A 3302-2026</t>
        </is>
      </c>
      <c r="B89" t="inlineStr">
        <is>
          <t>avverkningsanmälan</t>
        </is>
      </c>
      <c r="C89" t="inlineStr">
        <is>
          <t>Avverkning för annat ändamål</t>
        </is>
      </c>
      <c r="D89" s="1" t="n">
        <v>46041</v>
      </c>
      <c r="E89" s="1" t="n">
        <v>46318</v>
      </c>
      <c r="F89" t="inlineStr">
        <is>
          <t>KALMAR LÄN</t>
        </is>
      </c>
      <c r="G89" t="inlineStr">
        <is>
          <t>BORGHOLM</t>
        </is>
      </c>
      <c r="I89" t="n">
        <v>3.9</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HYPERLINK("https://klasma.github.io/Logging_0885/artfynd/A 3302-2026 artfynd.xlsx", "A 3302-2026")</f>
        <v/>
      </c>
      <c r="X89">
        <f>HYPERLINK("https://klasma.github.io/Logging_0885/kartor/A 3302-2026 karta.png", "A 3302-2026")</f>
        <v/>
      </c>
      <c r="Y89">
        <f>HYPERLINK("https://klasma.github.io/Logging_0885/kartor_geotiff/A 3302-2026 georefererad karta.tif", "A 3302-2026")</f>
        <v/>
      </c>
      <c r="AA89">
        <f>HYPERLINK("https://klasma.github.io/Logging_0885/klagomål/A 3302-2026 FSC-klagomål.docx", "A 3302-2026")</f>
        <v/>
      </c>
      <c r="AB89">
        <f>HYPERLINK("https://klasma.github.io/Logging_0885/klagomålsmail/A 3302-2026 FSC-klagomål mail.docx", "A 3302-2026")</f>
        <v/>
      </c>
      <c r="AC89">
        <f>HYPERLINK("https://klasma.github.io/Logging_0885/tillsyn/A 3302-2026 tillsynsbegäran.docx", "A 3302-2026")</f>
        <v/>
      </c>
      <c r="AD89">
        <f>HYPERLINK("https://klasma.github.io/Logging_0885/tillsynsmail/A 3302-2026 tillsynsbegäran mail.docx", "A 3302-2026")</f>
        <v/>
      </c>
    </row>
    <row r="90" ht="15" customHeight="1">
      <c r="A90" t="inlineStr">
        <is>
          <t>A 7481-2026</t>
        </is>
      </c>
      <c r="B90" t="inlineStr">
        <is>
          <t>avverkningsanmälan</t>
        </is>
      </c>
      <c r="C90" t="inlineStr">
        <is>
          <t>Föryngringsavverkning</t>
        </is>
      </c>
      <c r="D90" s="1" t="n">
        <v>46059</v>
      </c>
      <c r="E90" s="1" t="n">
        <v>46318</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9104-2026</t>
        </is>
      </c>
      <c r="B91" t="inlineStr">
        <is>
          <t>avverkningsanmälan</t>
        </is>
      </c>
      <c r="C91" t="inlineStr">
        <is>
          <t>Avverkning för annat ändamål</t>
        </is>
      </c>
      <c r="D91" s="1" t="n">
        <v>46069</v>
      </c>
      <c r="E91" s="1" t="n">
        <v>46318</v>
      </c>
      <c r="F91" t="inlineStr">
        <is>
          <t>KALMAR LÄN</t>
        </is>
      </c>
      <c r="G91" t="inlineStr">
        <is>
          <t>BORGHOLM</t>
        </is>
      </c>
      <c r="I91" t="n">
        <v>1.3</v>
      </c>
      <c r="J91" t="n">
        <v>0</v>
      </c>
      <c r="K91" t="n">
        <v>0</v>
      </c>
      <c r="L91" t="n">
        <v>0</v>
      </c>
      <c r="M91" t="n">
        <v>0</v>
      </c>
      <c r="N91" t="n">
        <v>0</v>
      </c>
      <c r="O91" t="n">
        <v>0</v>
      </c>
      <c r="P91" t="n">
        <v>0</v>
      </c>
      <c r="Q91" t="n">
        <v>0</v>
      </c>
      <c r="R91" t="n">
        <v>0</v>
      </c>
      <c r="S91" t="n">
        <v>1</v>
      </c>
      <c r="T91" t="n">
        <v>1</v>
      </c>
      <c r="U91" t="n">
        <v>1</v>
      </c>
      <c r="V91" s="2" t="inlineStr">
        <is>
          <t>Liljekonvalj</t>
        </is>
      </c>
      <c r="W91">
        <f>HYPERLINK("https://klasma.github.io/Logging_0885/artfynd/A 9104-2026 artfynd.xlsx", "A 9104-2026")</f>
        <v/>
      </c>
      <c r="X91">
        <f>HYPERLINK("https://klasma.github.io/Logging_0885/kartor/A 9104-2026 karta.png", "A 9104-2026")</f>
        <v/>
      </c>
      <c r="Y91">
        <f>HYPERLINK("https://klasma.github.io/Logging_0885/kartor_geotiff/A 9104-2026 georefererad karta.tif", "A 9104-2026")</f>
        <v/>
      </c>
      <c r="AA91">
        <f>HYPERLINK("https://klasma.github.io/Logging_0885/klagomål/A 9104-2026 FSC-klagomål.docx", "A 9104-2026")</f>
        <v/>
      </c>
      <c r="AB91">
        <f>HYPERLINK("https://klasma.github.io/Logging_0885/klagomålsmail/A 9104-2026 FSC-klagomål mail.docx", "A 9104-2026")</f>
        <v/>
      </c>
      <c r="AC91">
        <f>HYPERLINK("https://klasma.github.io/Logging_0885/tillsyn/A 9104-2026 tillsynsbegäran.docx", "A 9104-2026")</f>
        <v/>
      </c>
      <c r="AD91">
        <f>HYPERLINK("https://klasma.github.io/Logging_0885/tillsynsmail/A 9104-2026 tillsynsbegäran mail.docx", "A 9104-2026")</f>
        <v/>
      </c>
    </row>
    <row r="92" ht="15" customHeight="1">
      <c r="A92" t="inlineStr">
        <is>
          <t>A 9905-2026</t>
        </is>
      </c>
      <c r="B92" t="inlineStr">
        <is>
          <t>avverkningsanmälan</t>
        </is>
      </c>
      <c r="C92" t="inlineStr">
        <is>
          <t>Föryngringsavverkning</t>
        </is>
      </c>
      <c r="D92" s="1" t="n">
        <v>46073</v>
      </c>
      <c r="E92" s="1" t="n">
        <v>46318</v>
      </c>
      <c r="F92" t="inlineStr">
        <is>
          <t>KALMAR LÄN</t>
        </is>
      </c>
      <c r="G92" t="inlineStr">
        <is>
          <t>BORGHOLM</t>
        </is>
      </c>
      <c r="I92" t="n">
        <v>1.4</v>
      </c>
      <c r="J92" t="n">
        <v>0</v>
      </c>
      <c r="K92" t="n">
        <v>0</v>
      </c>
      <c r="L92" t="n">
        <v>0</v>
      </c>
      <c r="M92" t="n">
        <v>0</v>
      </c>
      <c r="N92" t="n">
        <v>1</v>
      </c>
      <c r="O92" t="n">
        <v>0</v>
      </c>
      <c r="P92" t="n">
        <v>0</v>
      </c>
      <c r="Q92" t="n">
        <v>1</v>
      </c>
      <c r="R92" t="n">
        <v>1</v>
      </c>
      <c r="S92" t="n">
        <v>1</v>
      </c>
      <c r="T92" t="n">
        <v>1</v>
      </c>
      <c r="U92" t="n">
        <v>0</v>
      </c>
      <c r="V92" s="2" t="inlineStr">
        <is>
          <t>Ask</t>
        </is>
      </c>
      <c r="W92">
        <f>HYPERLINK("https://klasma.github.io/Logging_0885/artfynd/A 9905-2026 artfynd.xlsx", "A 9905-2026")</f>
        <v/>
      </c>
      <c r="X92">
        <f>HYPERLINK("https://klasma.github.io/Logging_0885/kartor/A 9905-2026 karta.png", "A 9905-2026")</f>
        <v/>
      </c>
      <c r="Y92">
        <f>HYPERLINK("https://klasma.github.io/Logging_0885/kartor_geotiff/A 9905-2026 georefererad karta.tif", "A 9905-2026")</f>
        <v/>
      </c>
      <c r="AA92">
        <f>HYPERLINK("https://klasma.github.io/Logging_0885/klagomål/A 9905-2026 FSC-klagomål.docx", "A 9905-2026")</f>
        <v/>
      </c>
      <c r="AB92">
        <f>HYPERLINK("https://klasma.github.io/Logging_0885/klagomålsmail/A 9905-2026 FSC-klagomål mail.docx", "A 9905-2026")</f>
        <v/>
      </c>
      <c r="AC92">
        <f>HYPERLINK("https://klasma.github.io/Logging_0885/tillsyn/A 9905-2026 tillsynsbegäran.docx", "A 9905-2026")</f>
        <v/>
      </c>
      <c r="AD92">
        <f>HYPERLINK("https://klasma.github.io/Logging_0885/tillsynsmail/A 9905-2026 tillsynsbegäran mail.docx", "A 9905-2026")</f>
        <v/>
      </c>
    </row>
    <row r="93" ht="15" customHeight="1">
      <c r="A93" t="inlineStr">
        <is>
          <t>A 26840-2026</t>
        </is>
      </c>
      <c r="B93" t="inlineStr">
        <is>
          <t>avverkningsanmälan</t>
        </is>
      </c>
      <c r="C93" t="inlineStr">
        <is>
          <t>Avverkning för att bevara och utveckla /försöksver</t>
        </is>
      </c>
      <c r="D93" s="1" t="n">
        <v>46185</v>
      </c>
      <c r="E93" s="1" t="n">
        <v>46318</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46318</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40339-2023</t>
        </is>
      </c>
      <c r="B95" t="inlineStr">
        <is>
          <t>avverkningsanmälan</t>
        </is>
      </c>
      <c r="C95" t="inlineStr">
        <is>
          <t>Föryngringsavverkning</t>
        </is>
      </c>
      <c r="D95" s="1" t="n">
        <v>45169</v>
      </c>
      <c r="E95" s="1" t="n">
        <v>46318</v>
      </c>
      <c r="F95" t="inlineStr">
        <is>
          <t>KALMAR LÄN</t>
        </is>
      </c>
      <c r="G95" t="inlineStr">
        <is>
          <t>BORGHOLM</t>
        </is>
      </c>
      <c r="I95" t="n">
        <v>3.8</v>
      </c>
      <c r="J95" t="n">
        <v>1</v>
      </c>
      <c r="K95" t="n">
        <v>1</v>
      </c>
      <c r="L95" t="n">
        <v>0</v>
      </c>
      <c r="M95" t="n">
        <v>0</v>
      </c>
      <c r="N95" t="n">
        <v>0</v>
      </c>
      <c r="O95" t="n">
        <v>0</v>
      </c>
      <c r="P95" t="n">
        <v>0</v>
      </c>
      <c r="Q95" t="n">
        <v>0</v>
      </c>
      <c r="R95" t="n">
        <v>0</v>
      </c>
      <c r="S95" t="n">
        <v>1</v>
      </c>
      <c r="T95" t="n">
        <v>1</v>
      </c>
      <c r="U95" t="n">
        <v>1</v>
      </c>
      <c r="V95" s="2" t="inlineStr">
        <is>
          <t>Ekoxe</t>
        </is>
      </c>
      <c r="W95">
        <f>HYPERLINK("https://klasma.github.io/Logging_0885/artfynd/A 40339-2023 artfynd.xlsx", "A 40339-2023")</f>
        <v/>
      </c>
      <c r="X95">
        <f>HYPERLINK("https://klasma.github.io/Logging_0885/kartor/A 40339-2023 karta.png", "A 40339-2023")</f>
        <v/>
      </c>
      <c r="Y95">
        <f>HYPERLINK("https://klasma.github.io/Logging_0885/kartor_geotiff/A 40339-2023 georefererad karta.tif", "A 40339-2023")</f>
        <v/>
      </c>
      <c r="AA95">
        <f>HYPERLINK("https://klasma.github.io/Logging_0885/klagomål/A 40339-2023 FSC-klagomål.docx", "A 40339-2023")</f>
        <v/>
      </c>
      <c r="AB95">
        <f>HYPERLINK("https://klasma.github.io/Logging_0885/klagomålsmail/A 40339-2023 FSC-klagomål mail.docx", "A 40339-2023")</f>
        <v/>
      </c>
      <c r="AC95">
        <f>HYPERLINK("https://klasma.github.io/Logging_0885/tillsyn/A 40339-2023 tillsynsbegäran.docx", "A 40339-2023")</f>
        <v/>
      </c>
      <c r="AD95">
        <f>HYPERLINK("https://klasma.github.io/Logging_0885/tillsynsmail/A 40339-2023 tillsynsbegäran mail.docx", "A 40339-2023")</f>
        <v/>
      </c>
    </row>
    <row r="96" ht="15" customHeight="1">
      <c r="A96" t="inlineStr">
        <is>
          <t>A 28430-2026</t>
        </is>
      </c>
      <c r="B96" t="inlineStr">
        <is>
          <t>avverkningsanmälan</t>
        </is>
      </c>
      <c r="C96" t="inlineStr">
        <is>
          <t>Avverkning för att bevara och utveckla /försöksver</t>
        </is>
      </c>
      <c r="D96" s="1" t="n">
        <v>46197</v>
      </c>
      <c r="E96" s="1" t="n">
        <v>46318</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63276-2023</t>
        </is>
      </c>
      <c r="B97" t="inlineStr">
        <is>
          <t>avverkningsanmälan</t>
        </is>
      </c>
      <c r="C97" t="inlineStr">
        <is>
          <t>Föryngringsavverkning</t>
        </is>
      </c>
      <c r="D97" s="1" t="n">
        <v>45273</v>
      </c>
      <c r="E97" s="1" t="n">
        <v>46318</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33293-2026</t>
        </is>
      </c>
      <c r="B98" t="inlineStr">
        <is>
          <t>avverkningsanmälan</t>
        </is>
      </c>
      <c r="C98" t="inlineStr">
        <is>
          <t>Avverkning för att bevara och utveckla /försöksver</t>
        </is>
      </c>
      <c r="D98" s="1" t="n">
        <v>46246</v>
      </c>
      <c r="E98" s="1" t="n">
        <v>46318</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24704-2023</t>
        </is>
      </c>
      <c r="B99" t="inlineStr">
        <is>
          <t>avverkningsanmälan</t>
        </is>
      </c>
      <c r="C99" t="inlineStr">
        <is>
          <t>Föryngringsavverkning</t>
        </is>
      </c>
      <c r="D99" s="1" t="n">
        <v>45084</v>
      </c>
      <c r="E99" s="1" t="n">
        <v>46318</v>
      </c>
      <c r="F99" t="inlineStr">
        <is>
          <t>KALMAR LÄN</t>
        </is>
      </c>
      <c r="G99" t="inlineStr">
        <is>
          <t>BORGHOLM</t>
        </is>
      </c>
      <c r="I99" t="n">
        <v>3.5</v>
      </c>
      <c r="J99" t="n">
        <v>0</v>
      </c>
      <c r="K99" t="n">
        <v>0</v>
      </c>
      <c r="L99" t="n">
        <v>0</v>
      </c>
      <c r="M99" t="n">
        <v>0</v>
      </c>
      <c r="N99" t="n">
        <v>1</v>
      </c>
      <c r="O99" t="n">
        <v>0</v>
      </c>
      <c r="P99" t="n">
        <v>0</v>
      </c>
      <c r="Q99" t="n">
        <v>1</v>
      </c>
      <c r="R99" t="n">
        <v>1</v>
      </c>
      <c r="S99" t="n">
        <v>1</v>
      </c>
      <c r="T99" t="n">
        <v>2</v>
      </c>
      <c r="U99" t="n">
        <v>0</v>
      </c>
      <c r="V99" s="2" t="inlineStr">
        <is>
          <t>Ask</t>
        </is>
      </c>
      <c r="W99">
        <f>HYPERLINK("https://klasma.github.io/Logging_0885/artfynd/A 24704-2023 artfynd.xlsx", "A 24704-2023")</f>
        <v/>
      </c>
      <c r="X99">
        <f>HYPERLINK("https://klasma.github.io/Logging_0885/kartor/A 24704-2023 karta.png", "A 24704-2023")</f>
        <v/>
      </c>
      <c r="Y99">
        <f>HYPERLINK("https://klasma.github.io/Logging_0885/kartor_geotiff/A 24704-2023 georefererad karta.tif", "A 24704-2023")</f>
        <v/>
      </c>
      <c r="AA99">
        <f>HYPERLINK("https://klasma.github.io/Logging_0885/klagomål/A 24704-2023 FSC-klagomål.docx", "A 24704-2023")</f>
        <v/>
      </c>
      <c r="AB99">
        <f>HYPERLINK("https://klasma.github.io/Logging_0885/klagomålsmail/A 24704-2023 FSC-klagomål mail.docx", "A 24704-2023")</f>
        <v/>
      </c>
      <c r="AC99">
        <f>HYPERLINK("https://klasma.github.io/Logging_0885/tillsyn/A 24704-2023 tillsynsbegäran.docx", "A 24704-2023")</f>
        <v/>
      </c>
      <c r="AD99">
        <f>HYPERLINK("https://klasma.github.io/Logging_0885/tillsynsmail/A 24704-2023 tillsynsbegäran mail.docx", "A 24704-2023")</f>
        <v/>
      </c>
    </row>
    <row r="100" ht="15" customHeight="1">
      <c r="A100" t="inlineStr">
        <is>
          <t>A 9745-2023</t>
        </is>
      </c>
      <c r="B100" t="inlineStr">
        <is>
          <t>avverkningsanmälan</t>
        </is>
      </c>
      <c r="C100" t="inlineStr">
        <is>
          <t>Föryngringsavverkning</t>
        </is>
      </c>
      <c r="D100" s="1" t="n">
        <v>44984</v>
      </c>
      <c r="E100" s="1" t="n">
        <v>46318</v>
      </c>
      <c r="F100" t="inlineStr">
        <is>
          <t>KALMAR LÄN</t>
        </is>
      </c>
      <c r="G100" t="inlineStr">
        <is>
          <t>BORGHOLM</t>
        </is>
      </c>
      <c r="I100" t="n">
        <v>1.2</v>
      </c>
      <c r="J100" t="n">
        <v>1</v>
      </c>
      <c r="K100" t="n">
        <v>1</v>
      </c>
      <c r="L100" t="n">
        <v>0</v>
      </c>
      <c r="M100" t="n">
        <v>0</v>
      </c>
      <c r="N100" t="n">
        <v>0</v>
      </c>
      <c r="O100" t="n">
        <v>0</v>
      </c>
      <c r="P100" t="n">
        <v>0</v>
      </c>
      <c r="Q100" t="n">
        <v>0</v>
      </c>
      <c r="R100" t="n">
        <v>0</v>
      </c>
      <c r="S100" t="n">
        <v>1</v>
      </c>
      <c r="T100" t="n">
        <v>2</v>
      </c>
      <c r="U100" t="n">
        <v>1</v>
      </c>
      <c r="V100" s="2" t="inlineStr">
        <is>
          <t>Skogsknipprot</t>
        </is>
      </c>
      <c r="W100">
        <f>HYPERLINK("https://klasma.github.io/Logging_0885/artfynd/A 9745-2023 artfynd.xlsx", "A 9745-2023")</f>
        <v/>
      </c>
      <c r="X100">
        <f>HYPERLINK("https://klasma.github.io/Logging_0885/kartor/A 9745-2023 karta.png", "A 9745-2023")</f>
        <v/>
      </c>
      <c r="Y100">
        <f>HYPERLINK("https://klasma.github.io/Logging_0885/kartor_geotiff/A 9745-2023 georefererad karta.tif", "A 9745-2023")</f>
        <v/>
      </c>
      <c r="AA100">
        <f>HYPERLINK("https://klasma.github.io/Logging_0885/klagomål/A 9745-2023 FSC-klagomål.docx", "A 9745-2023")</f>
        <v/>
      </c>
      <c r="AB100">
        <f>HYPERLINK("https://klasma.github.io/Logging_0885/klagomålsmail/A 9745-2023 FSC-klagomål mail.docx", "A 9745-2023")</f>
        <v/>
      </c>
      <c r="AC100">
        <f>HYPERLINK("https://klasma.github.io/Logging_0885/tillsyn/A 9745-2023 tillsynsbegäran.docx", "A 9745-2023")</f>
        <v/>
      </c>
      <c r="AD100">
        <f>HYPERLINK("https://klasma.github.io/Logging_0885/tillsynsmail/A 9745-2023 tillsynsbegäran mail.docx", "A 9745-2023")</f>
        <v/>
      </c>
    </row>
    <row r="101" ht="15" customHeight="1">
      <c r="A101" t="inlineStr">
        <is>
          <t>S 2390-2023</t>
        </is>
      </c>
      <c r="B101" t="inlineStr">
        <is>
          <t>samrådsanmälan</t>
        </is>
      </c>
      <c r="C101" t="inlineStr">
        <is>
          <t>Annan skogsbruksåtgärd</t>
        </is>
      </c>
      <c r="D101" s="1" t="n">
        <v>45111</v>
      </c>
      <c r="E101" s="1" t="n">
        <v>46318</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46318</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46318</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46318</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46318</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46318</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46318</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46318</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46318</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46318</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46318</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46318</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46318</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46318</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26190-2025</t>
        </is>
      </c>
      <c r="B115" t="inlineStr">
        <is>
          <t>avverkningsanmälan</t>
        </is>
      </c>
      <c r="C115" t="inlineStr">
        <is>
          <t>Föryngringsavverkning</t>
        </is>
      </c>
      <c r="D115" s="1" t="n">
        <v>45805</v>
      </c>
      <c r="E115" s="1" t="n">
        <v>46318</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46318</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32919-2023</t>
        </is>
      </c>
      <c r="B117" t="inlineStr">
        <is>
          <t>avverkningsanmälan</t>
        </is>
      </c>
      <c r="C117" t="inlineStr">
        <is>
          <t>Föryngringsavverkning</t>
        </is>
      </c>
      <c r="D117" s="1" t="n">
        <v>45125</v>
      </c>
      <c r="E117" s="1" t="n">
        <v>46318</v>
      </c>
      <c r="F117" t="inlineStr">
        <is>
          <t>KALMAR LÄN</t>
        </is>
      </c>
      <c r="G117" t="inlineStr">
        <is>
          <t>BORGHOLM</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5175-2024</t>
        </is>
      </c>
      <c r="B118" t="inlineStr">
        <is>
          <t>avverkningsanmälan</t>
        </is>
      </c>
      <c r="C118" t="inlineStr">
        <is>
          <t>Föryngringsavverkning</t>
        </is>
      </c>
      <c r="D118" s="1" t="n">
        <v>45330</v>
      </c>
      <c r="E118" s="1" t="n">
        <v>46318</v>
      </c>
      <c r="F118" t="inlineStr">
        <is>
          <t>KALMAR LÄN</t>
        </is>
      </c>
      <c r="G118" t="inlineStr">
        <is>
          <t>BORGHOLM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34951-2022</t>
        </is>
      </c>
      <c r="B119" t="inlineStr">
        <is>
          <t>avverkningsanmälan</t>
        </is>
      </c>
      <c r="C119" t="inlineStr">
        <is>
          <t>Avverkning för att bevara och utveckla /försöksver</t>
        </is>
      </c>
      <c r="D119" s="1" t="n">
        <v>44796</v>
      </c>
      <c r="E119" s="1" t="n">
        <v>46318</v>
      </c>
      <c r="F119" t="inlineStr">
        <is>
          <t>KALMAR LÄN</t>
        </is>
      </c>
      <c r="G119" t="inlineStr">
        <is>
          <t>BORGHOLM</t>
        </is>
      </c>
      <c r="H119" t="inlineStr">
        <is>
          <t>Sveaskog</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13383-2023</t>
        </is>
      </c>
      <c r="B120" t="inlineStr">
        <is>
          <t>avverkningsanmälan</t>
        </is>
      </c>
      <c r="C120" t="inlineStr">
        <is>
          <t>Föryngringsavverkning</t>
        </is>
      </c>
      <c r="D120" s="1" t="n">
        <v>45005</v>
      </c>
      <c r="E120" s="1" t="n">
        <v>46318</v>
      </c>
      <c r="F120" t="inlineStr">
        <is>
          <t>KALMAR LÄN</t>
        </is>
      </c>
      <c r="G120" t="inlineStr">
        <is>
          <t>BORGHOLM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61438-2023</t>
        </is>
      </c>
      <c r="B121" t="inlineStr">
        <is>
          <t>avverkningsanmälan</t>
        </is>
      </c>
      <c r="C121" t="inlineStr">
        <is>
          <t>Avverkning för annat ändamål</t>
        </is>
      </c>
      <c r="D121" s="1" t="n">
        <v>45264</v>
      </c>
      <c r="E121" s="1" t="n">
        <v>46318</v>
      </c>
      <c r="F121" t="inlineStr">
        <is>
          <t>KALMAR LÄN</t>
        </is>
      </c>
      <c r="G121" t="inlineStr">
        <is>
          <t>BORGHOLM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13041-2024</t>
        </is>
      </c>
      <c r="B122" t="inlineStr">
        <is>
          <t>avverkningsanmälan</t>
        </is>
      </c>
      <c r="C122" t="inlineStr">
        <is>
          <t>Föryngringsavverkning</t>
        </is>
      </c>
      <c r="D122" s="1" t="n">
        <v>45385</v>
      </c>
      <c r="E122" s="1" t="n">
        <v>46318</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4165-2023</t>
        </is>
      </c>
      <c r="B123" t="inlineStr">
        <is>
          <t>avverkningsanmälan</t>
        </is>
      </c>
      <c r="C123" t="inlineStr">
        <is>
          <t>Föryngringsavverkning</t>
        </is>
      </c>
      <c r="D123" s="1" t="n">
        <v>44953</v>
      </c>
      <c r="E123" s="1" t="n">
        <v>46318</v>
      </c>
      <c r="F123" t="inlineStr">
        <is>
          <t>KALMAR LÄN</t>
        </is>
      </c>
      <c r="G123" t="inlineStr">
        <is>
          <t>BORGHOLM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41950-2025</t>
        </is>
      </c>
      <c r="B124" t="inlineStr">
        <is>
          <t>avverkningsanmälan</t>
        </is>
      </c>
      <c r="C124" t="inlineStr">
        <is>
          <t>Föryngringsavverkning</t>
        </is>
      </c>
      <c r="D124" s="1" t="n">
        <v>45903</v>
      </c>
      <c r="E124" s="1" t="n">
        <v>46318</v>
      </c>
      <c r="F124" t="inlineStr">
        <is>
          <t>KALMAR LÄN</t>
        </is>
      </c>
      <c r="G124" t="inlineStr">
        <is>
          <t>BORGHOLM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36269-2025</t>
        </is>
      </c>
      <c r="B125" t="inlineStr">
        <is>
          <t>avverkningsanmälan</t>
        </is>
      </c>
      <c r="C125" t="inlineStr">
        <is>
          <t>Föryngringsavverkning</t>
        </is>
      </c>
      <c r="D125" s="1" t="n">
        <v>45867</v>
      </c>
      <c r="E125" s="1" t="n">
        <v>46318</v>
      </c>
      <c r="F125" t="inlineStr">
        <is>
          <t>KALMAR LÄN</t>
        </is>
      </c>
      <c r="G125" t="inlineStr">
        <is>
          <t>BORGHOLM</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45869-2025</t>
        </is>
      </c>
      <c r="B126" t="inlineStr">
        <is>
          <t>avverkningsanmälan</t>
        </is>
      </c>
      <c r="C126" t="inlineStr">
        <is>
          <t>Föryngringsavverkning</t>
        </is>
      </c>
      <c r="D126" s="1" t="n">
        <v>45923</v>
      </c>
      <c r="E126" s="1" t="n">
        <v>46318</v>
      </c>
      <c r="F126" t="inlineStr">
        <is>
          <t>KALMAR LÄN</t>
        </is>
      </c>
      <c r="G126" t="inlineStr">
        <is>
          <t>BORGHOLM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46845-2025</t>
        </is>
      </c>
      <c r="B127" t="inlineStr">
        <is>
          <t>avverkningsanmälan</t>
        </is>
      </c>
      <c r="C127" t="inlineStr">
        <is>
          <t>Avverkning för annat ändamål</t>
        </is>
      </c>
      <c r="D127" s="1" t="n">
        <v>45928</v>
      </c>
      <c r="E127" s="1" t="n">
        <v>46318</v>
      </c>
      <c r="F127" t="inlineStr">
        <is>
          <t>KALMAR LÄN</t>
        </is>
      </c>
      <c r="G127" t="inlineStr">
        <is>
          <t>BORGHOLM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34780-2022</t>
        </is>
      </c>
      <c r="B128" t="inlineStr">
        <is>
          <t>avverkningsanmälan</t>
        </is>
      </c>
      <c r="C128" t="inlineStr">
        <is>
          <t>Föryngringsavverkning</t>
        </is>
      </c>
      <c r="D128" s="1" t="n">
        <v>44795</v>
      </c>
      <c r="E128" s="1" t="n">
        <v>46318</v>
      </c>
      <c r="F128" t="inlineStr">
        <is>
          <t>KALMAR LÄN</t>
        </is>
      </c>
      <c r="G128" t="inlineStr">
        <is>
          <t>BORGHOLM</t>
        </is>
      </c>
      <c r="H128" t="inlineStr">
        <is>
          <t>Sveaskog</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46318</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20287-2025</t>
        </is>
      </c>
      <c r="B130" t="inlineStr">
        <is>
          <t>avverkningsanmälan</t>
        </is>
      </c>
      <c r="C130" t="inlineStr">
        <is>
          <t>Avverkning för att bevara och utveckla /försöksver</t>
        </is>
      </c>
      <c r="D130" s="1" t="n">
        <v>45774</v>
      </c>
      <c r="E130" s="1" t="n">
        <v>46318</v>
      </c>
      <c r="F130" t="inlineStr">
        <is>
          <t>KALMAR LÄN</t>
        </is>
      </c>
      <c r="G130" t="inlineStr">
        <is>
          <t>BORGHOLM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7669-2024</t>
        </is>
      </c>
      <c r="B131" t="inlineStr">
        <is>
          <t>avverkningsanmälan</t>
        </is>
      </c>
      <c r="C131" t="inlineStr">
        <is>
          <t>Föryngringsavverkning</t>
        </is>
      </c>
      <c r="D131" s="1" t="n">
        <v>45348</v>
      </c>
      <c r="E131" s="1" t="n">
        <v>46318</v>
      </c>
      <c r="F131" t="inlineStr">
        <is>
          <t>KALMAR LÄN</t>
        </is>
      </c>
      <c r="G131" t="inlineStr">
        <is>
          <t>BORGHOLM</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26160-2024</t>
        </is>
      </c>
      <c r="B132" t="inlineStr">
        <is>
          <t>avverkningsanmälan</t>
        </is>
      </c>
      <c r="C132" t="inlineStr">
        <is>
          <t>Avverkning för annat ändamål</t>
        </is>
      </c>
      <c r="D132" s="1" t="n">
        <v>45468</v>
      </c>
      <c r="E132" s="1" t="n">
        <v>46318</v>
      </c>
      <c r="F132" t="inlineStr">
        <is>
          <t>KALMAR LÄN</t>
        </is>
      </c>
      <c r="G132" t="inlineStr">
        <is>
          <t>BORGHOLM</t>
        </is>
      </c>
      <c r="I132" t="n">
        <v>0.4</v>
      </c>
      <c r="J132" t="n">
        <v>0</v>
      </c>
      <c r="K132" t="n">
        <v>0</v>
      </c>
      <c r="L132" t="n">
        <v>0</v>
      </c>
      <c r="M132" t="n">
        <v>0</v>
      </c>
      <c r="N132" t="n">
        <v>0</v>
      </c>
      <c r="O132" t="n">
        <v>0</v>
      </c>
      <c r="P132" t="n">
        <v>0</v>
      </c>
      <c r="Q132" t="n">
        <v>0</v>
      </c>
      <c r="R132" t="n">
        <v>0</v>
      </c>
      <c r="S132" t="n">
        <v>0</v>
      </c>
      <c r="T132" t="n">
        <v>0</v>
      </c>
      <c r="U132" t="n">
        <v>0</v>
      </c>
      <c r="V132" s="2" t="inlineStr"/>
      <c r="X132">
        <f>HYPERLINK("https://klasma.github.io/Logging_0885/kartor/A 26160-2024 karta.png", "A 26160-2024")</f>
        <v/>
      </c>
      <c r="Y132">
        <f>HYPERLINK("https://klasma.github.io/Logging_0885/kartor_geotiff/A 26160-2024 georefererad karta.tif", "A 26160-2024")</f>
        <v/>
      </c>
      <c r="AA132">
        <f>HYPERLINK("https://klasma.github.io/Logging_0885/klagomål/A 26160-2024 FSC-klagomål.docx", "A 26160-2024")</f>
        <v/>
      </c>
      <c r="AB132">
        <f>HYPERLINK("https://klasma.github.io/Logging_0885/klagomålsmail/A 26160-2024 FSC-klagomål mail.docx", "A 26160-2024")</f>
        <v/>
      </c>
      <c r="AC132">
        <f>HYPERLINK("https://klasma.github.io/Logging_0885/tillsyn/A 26160-2024 tillsynsbegäran.docx", "A 26160-2024")</f>
        <v/>
      </c>
      <c r="AD132">
        <f>HYPERLINK("https://klasma.github.io/Logging_0885/tillsynsmail/A 26160-2024 tillsynsbegäran mail.docx", "A 26160-2024")</f>
        <v/>
      </c>
    </row>
    <row r="133" ht="15" customHeight="1">
      <c r="A133" t="inlineStr">
        <is>
          <t>A 24323-2026</t>
        </is>
      </c>
      <c r="B133" t="inlineStr">
        <is>
          <t>avverkningsanmälan</t>
        </is>
      </c>
      <c r="C133" t="inlineStr">
        <is>
          <t>Föryngringsavverkning</t>
        </is>
      </c>
      <c r="D133" s="1" t="n">
        <v>46169</v>
      </c>
      <c r="E133" s="1" t="n">
        <v>46318</v>
      </c>
      <c r="F133" t="inlineStr">
        <is>
          <t>KALMAR LÄN</t>
        </is>
      </c>
      <c r="G133" t="inlineStr">
        <is>
          <t>BORGHOLM</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63075-2023</t>
        </is>
      </c>
      <c r="B134" t="inlineStr">
        <is>
          <t>avverkningsanmälan</t>
        </is>
      </c>
      <c r="C134" t="inlineStr">
        <is>
          <t>Avverkning för annat ändamål</t>
        </is>
      </c>
      <c r="D134" s="1" t="n">
        <v>45273</v>
      </c>
      <c r="E134" s="1" t="n">
        <v>46318</v>
      </c>
      <c r="F134" t="inlineStr">
        <is>
          <t>KALMAR LÄN</t>
        </is>
      </c>
      <c r="G134" t="inlineStr">
        <is>
          <t>BORGHOLM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55367-2024</t>
        </is>
      </c>
      <c r="B135" t="inlineStr">
        <is>
          <t>avverkningsanmälan</t>
        </is>
      </c>
      <c r="C135" t="inlineStr">
        <is>
          <t>Föryngringsavverkning</t>
        </is>
      </c>
      <c r="D135" s="1" t="n">
        <v>45621</v>
      </c>
      <c r="E135" s="1" t="n">
        <v>46318</v>
      </c>
      <c r="F135" t="inlineStr">
        <is>
          <t>KALMAR LÄN</t>
        </is>
      </c>
      <c r="G135" t="inlineStr">
        <is>
          <t>BORGHOLM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9259-2026</t>
        </is>
      </c>
      <c r="B136" t="inlineStr">
        <is>
          <t>avverkningsanmälan</t>
        </is>
      </c>
      <c r="C136" t="inlineStr">
        <is>
          <t>Föryngringsavverkning</t>
        </is>
      </c>
      <c r="D136" s="1" t="n">
        <v>46070</v>
      </c>
      <c r="E136" s="1" t="n">
        <v>46318</v>
      </c>
      <c r="F136" t="inlineStr">
        <is>
          <t>KALMAR LÄN</t>
        </is>
      </c>
      <c r="G136" t="inlineStr">
        <is>
          <t>BORGHOLM</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22785-2025</t>
        </is>
      </c>
      <c r="B137" t="inlineStr">
        <is>
          <t>avverkningsanmälan</t>
        </is>
      </c>
      <c r="C137" t="inlineStr">
        <is>
          <t>Föryngringsavverkning</t>
        </is>
      </c>
      <c r="D137" s="1" t="n">
        <v>45789</v>
      </c>
      <c r="E137" s="1" t="n">
        <v>46318</v>
      </c>
      <c r="F137" t="inlineStr">
        <is>
          <t>KALMAR LÄN</t>
        </is>
      </c>
      <c r="G137" t="inlineStr">
        <is>
          <t>BORGHOLM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28381-2026</t>
        </is>
      </c>
      <c r="B138" t="inlineStr">
        <is>
          <t>avverkningsanmälan</t>
        </is>
      </c>
      <c r="C138" t="inlineStr">
        <is>
          <t>Avverkning för att bevara och utveckla /försöksver</t>
        </is>
      </c>
      <c r="D138" s="1" t="n">
        <v>46196</v>
      </c>
      <c r="E138" s="1" t="n">
        <v>46318</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28380-2026</t>
        </is>
      </c>
      <c r="B139" t="inlineStr">
        <is>
          <t>avverkningsanmälan</t>
        </is>
      </c>
      <c r="C139" t="inlineStr">
        <is>
          <t>Avverkning för att bevara och utveckla /försöksver</t>
        </is>
      </c>
      <c r="D139" s="1" t="n">
        <v>46196</v>
      </c>
      <c r="E139" s="1" t="n">
        <v>46318</v>
      </c>
      <c r="F139" t="inlineStr">
        <is>
          <t>KALMAR LÄN</t>
        </is>
      </c>
      <c r="G139" t="inlineStr">
        <is>
          <t>BORGHOLM</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28411-2026</t>
        </is>
      </c>
      <c r="B140" t="inlineStr">
        <is>
          <t>avverkningsanmälan</t>
        </is>
      </c>
      <c r="C140" t="inlineStr">
        <is>
          <t>Avverkning för att bevara och utveckla /försöksver</t>
        </is>
      </c>
      <c r="D140" s="1" t="n">
        <v>46197</v>
      </c>
      <c r="E140" s="1" t="n">
        <v>46318</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29413-2026</t>
        </is>
      </c>
      <c r="B141" t="inlineStr">
        <is>
          <t>avverkningsanmälan</t>
        </is>
      </c>
      <c r="C141" t="inlineStr">
        <is>
          <t>Avverkning för att bevara och utveckla /försöksver</t>
        </is>
      </c>
      <c r="D141" s="1" t="n">
        <v>46203</v>
      </c>
      <c r="E141" s="1" t="n">
        <v>46318</v>
      </c>
      <c r="F141" t="inlineStr">
        <is>
          <t>KALMAR LÄN</t>
        </is>
      </c>
      <c r="G141" t="inlineStr">
        <is>
          <t>BORGHOLM</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29414-2026</t>
        </is>
      </c>
      <c r="B142" t="inlineStr">
        <is>
          <t>avverkningsanmälan</t>
        </is>
      </c>
      <c r="C142" t="inlineStr">
        <is>
          <t>Avverkning för att bevara och utveckla /försöksver</t>
        </is>
      </c>
      <c r="D142" s="1" t="n">
        <v>46203</v>
      </c>
      <c r="E142" s="1" t="n">
        <v>46318</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29431-2026</t>
        </is>
      </c>
      <c r="B143" t="inlineStr">
        <is>
          <t>avverkningsanmälan</t>
        </is>
      </c>
      <c r="C143" t="inlineStr">
        <is>
          <t>Avverkning för att bevara och utveckla /försöksver</t>
        </is>
      </c>
      <c r="D143" s="1" t="n">
        <v>46203</v>
      </c>
      <c r="E143" s="1" t="n">
        <v>46318</v>
      </c>
      <c r="F143" t="inlineStr">
        <is>
          <t>KALMAR LÄN</t>
        </is>
      </c>
      <c r="G143" t="inlineStr">
        <is>
          <t>BORGHOLM</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46318</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15264-2026</t>
        </is>
      </c>
      <c r="B145" t="inlineStr">
        <is>
          <t>avverkningsanmälan</t>
        </is>
      </c>
      <c r="C145" t="inlineStr">
        <is>
          <t>Avverkning för att bevara och utveckla /försöksver</t>
        </is>
      </c>
      <c r="D145" s="1" t="n">
        <v>46105</v>
      </c>
      <c r="E145" s="1" t="n">
        <v>46318</v>
      </c>
      <c r="F145" t="inlineStr">
        <is>
          <t>KALMAR LÄN</t>
        </is>
      </c>
      <c r="G145" t="inlineStr">
        <is>
          <t>BORGHOLM</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46318</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4159-2024</t>
        </is>
      </c>
      <c r="B147" t="inlineStr">
        <is>
          <t>avverkningsanmälan</t>
        </is>
      </c>
      <c r="C147" t="inlineStr">
        <is>
          <t>Föryngringsavverkning</t>
        </is>
      </c>
      <c r="D147" s="1" t="n">
        <v>45323</v>
      </c>
      <c r="E147" s="1" t="n">
        <v>46318</v>
      </c>
      <c r="F147" t="inlineStr">
        <is>
          <t>KALMAR LÄN</t>
        </is>
      </c>
      <c r="G147" t="inlineStr">
        <is>
          <t>BORGHOLM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32921-2023</t>
        </is>
      </c>
      <c r="B148" t="inlineStr">
        <is>
          <t>avverkningsanmälan</t>
        </is>
      </c>
      <c r="C148" t="inlineStr">
        <is>
          <t>Föryngringsavverkning</t>
        </is>
      </c>
      <c r="D148" s="1" t="n">
        <v>45125</v>
      </c>
      <c r="E148" s="1" t="n">
        <v>46318</v>
      </c>
      <c r="F148" t="inlineStr">
        <is>
          <t>KALMAR LÄN</t>
        </is>
      </c>
      <c r="G148" t="inlineStr">
        <is>
          <t>BORGHOLM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31699-2022</t>
        </is>
      </c>
      <c r="B149" t="inlineStr">
        <is>
          <t>avverkningsanmälan</t>
        </is>
      </c>
      <c r="C149" t="inlineStr">
        <is>
          <t>Föryngringsavverkning</t>
        </is>
      </c>
      <c r="D149" s="1" t="n">
        <v>44776</v>
      </c>
      <c r="E149" s="1" t="n">
        <v>46318</v>
      </c>
      <c r="F149" t="inlineStr">
        <is>
          <t>KALMAR LÄN</t>
        </is>
      </c>
      <c r="G149" t="inlineStr">
        <is>
          <t>BORGHOLM</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1614-2025</t>
        </is>
      </c>
      <c r="B150" t="inlineStr">
        <is>
          <t>avverkningsanmälan</t>
        </is>
      </c>
      <c r="C150" t="inlineStr">
        <is>
          <t>Föryngringsavverkning</t>
        </is>
      </c>
      <c r="D150" s="1" t="n">
        <v>45670</v>
      </c>
      <c r="E150" s="1" t="n">
        <v>46318</v>
      </c>
      <c r="F150" t="inlineStr">
        <is>
          <t>KALMAR LÄN</t>
        </is>
      </c>
      <c r="G150" t="inlineStr">
        <is>
          <t>BORGHOLM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24338-2026</t>
        </is>
      </c>
      <c r="B151" t="inlineStr">
        <is>
          <t>avverkningsanmälan</t>
        </is>
      </c>
      <c r="C151" t="inlineStr">
        <is>
          <t>Avverkning för att bevara och utveckla /försöksver</t>
        </is>
      </c>
      <c r="D151" s="1" t="n">
        <v>46169</v>
      </c>
      <c r="E151" s="1" t="n">
        <v>46318</v>
      </c>
      <c r="F151" t="inlineStr">
        <is>
          <t>KALMAR LÄN</t>
        </is>
      </c>
      <c r="G151" t="inlineStr">
        <is>
          <t>BORGHOLM</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9076-2025</t>
        </is>
      </c>
      <c r="B152" t="inlineStr">
        <is>
          <t>avverkningsanmälan</t>
        </is>
      </c>
      <c r="C152" t="inlineStr">
        <is>
          <t>Föryngringsavverkning</t>
        </is>
      </c>
      <c r="D152" s="1" t="n">
        <v>45713</v>
      </c>
      <c r="E152" s="1" t="n">
        <v>46318</v>
      </c>
      <c r="F152" t="inlineStr">
        <is>
          <t>KALMAR LÄN</t>
        </is>
      </c>
      <c r="G152" t="inlineStr">
        <is>
          <t>BORGHOLM</t>
        </is>
      </c>
      <c r="H152" t="inlineStr">
        <is>
          <t>Sveaskog</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1757-2025</t>
        </is>
      </c>
      <c r="B153" t="inlineStr">
        <is>
          <t>avverkningsanmälan</t>
        </is>
      </c>
      <c r="C153" t="inlineStr">
        <is>
          <t>Föryngringsavverkning</t>
        </is>
      </c>
      <c r="D153" s="1" t="n">
        <v>45671</v>
      </c>
      <c r="E153" s="1" t="n">
        <v>46318</v>
      </c>
      <c r="F153" t="inlineStr">
        <is>
          <t>KALMAR LÄN</t>
        </is>
      </c>
      <c r="G153" t="inlineStr">
        <is>
          <t>BORGHOLM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9050-2025</t>
        </is>
      </c>
      <c r="B154" t="inlineStr">
        <is>
          <t>avverkningsanmälan</t>
        </is>
      </c>
      <c r="C154" t="inlineStr">
        <is>
          <t>Avverkning för att bevara och utveckla /försöksver</t>
        </is>
      </c>
      <c r="D154" s="1" t="n">
        <v>45713</v>
      </c>
      <c r="E154" s="1" t="n">
        <v>46318</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43603-2024</t>
        </is>
      </c>
      <c r="B155" t="inlineStr">
        <is>
          <t>avverkningsanmälan</t>
        </is>
      </c>
      <c r="C155" t="inlineStr">
        <is>
          <t>Föryngringsavverkning</t>
        </is>
      </c>
      <c r="D155" s="1" t="n">
        <v>45569</v>
      </c>
      <c r="E155" s="1" t="n">
        <v>46318</v>
      </c>
      <c r="F155" t="inlineStr">
        <is>
          <t>KALMAR LÄN</t>
        </is>
      </c>
      <c r="G155" t="inlineStr">
        <is>
          <t>BORGHOLM</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46318</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46318</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46318</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46318</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46318</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46318</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46318</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46318</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46318</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46318</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46318</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46318</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46318</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46318</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46318</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2026-10-23T02:01:47Z</dcterms:created>
  <dcterms:modified xmlns:dcterms="http://purl.org/dc/terms/" xmlns:xsi="http://www.w3.org/2001/XMLSchema-instance" xsi:type="dcterms:W3CDTF">2026-10-23T02:01:48Z</dcterms:modified>
</cp:coreProperties>
</file>