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46304</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46304</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46304</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46304</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46304</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46304</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46304</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46304</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46304</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46304</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46304</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46304</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67432-2021</t>
        </is>
      </c>
      <c r="B14" t="inlineStr">
        <is>
          <t>avverkningsanmälan</t>
        </is>
      </c>
      <c r="C14" t="inlineStr">
        <is>
          <t>Föryngringsavverkning</t>
        </is>
      </c>
      <c r="D14" s="1" t="n">
        <v>44523</v>
      </c>
      <c r="E14" s="1" t="n">
        <v>46304</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46304</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46304</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46304</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46304</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46304</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46304</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46304</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46304</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46304</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46304</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46304</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46304</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46304</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46304</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46304</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11</v>
      </c>
      <c r="U29" t="n">
        <v>1</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46304</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46304</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46304</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46304</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46304</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8</v>
      </c>
      <c r="U34" t="n">
        <v>1</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46304</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46304</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46304</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46304</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46304</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8</v>
      </c>
      <c r="U39" t="n">
        <v>1</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46304</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46304</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46304</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46304</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46304</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46304</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46304</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46304</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46304</v>
      </c>
      <c r="F48" t="inlineStr">
        <is>
          <t>KALMAR LÄN</t>
        </is>
      </c>
      <c r="G48" t="inlineStr">
        <is>
          <t>BORGHOLM</t>
        </is>
      </c>
      <c r="I48" t="n">
        <v>4.4</v>
      </c>
      <c r="J48" t="n">
        <v>3</v>
      </c>
      <c r="K48" t="n">
        <v>1</v>
      </c>
      <c r="L48" t="n">
        <v>1</v>
      </c>
      <c r="M48" t="n">
        <v>0</v>
      </c>
      <c r="N48" t="n">
        <v>1</v>
      </c>
      <c r="O48" t="n">
        <v>0</v>
      </c>
      <c r="P48" t="n">
        <v>0</v>
      </c>
      <c r="Q48" t="n">
        <v>2</v>
      </c>
      <c r="R48" t="n">
        <v>1</v>
      </c>
      <c r="S48" t="n">
        <v>4</v>
      </c>
      <c r="T48" t="n">
        <v>25</v>
      </c>
      <c r="U48" t="n">
        <v>25</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46304</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46304</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46304</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46304</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15285-2026</t>
        </is>
      </c>
      <c r="B53" t="inlineStr">
        <is>
          <t>avverkningsanmälan</t>
        </is>
      </c>
      <c r="C53" t="inlineStr">
        <is>
          <t>Avverkning för att bevara och utveckla /försöksver</t>
        </is>
      </c>
      <c r="D53" s="1" t="n">
        <v>46105</v>
      </c>
      <c r="E53" s="1" t="n">
        <v>46304</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32174-2022</t>
        </is>
      </c>
      <c r="B54" t="inlineStr">
        <is>
          <t>avverkningsanmälan</t>
        </is>
      </c>
      <c r="C54" t="inlineStr">
        <is>
          <t>Avverkning för att bevara och utveckla /försöksver</t>
        </is>
      </c>
      <c r="D54" s="1" t="n">
        <v>44781</v>
      </c>
      <c r="E54" s="1" t="n">
        <v>46304</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46304</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46304</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46304</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31520-2026</t>
        </is>
      </c>
      <c r="B58" t="inlineStr">
        <is>
          <t>avverkningsanmälan</t>
        </is>
      </c>
      <c r="C58" t="inlineStr">
        <is>
          <t>Avverkning för att bevara och utveckla /försöksver</t>
        </is>
      </c>
      <c r="D58" s="1" t="n">
        <v>46223</v>
      </c>
      <c r="E58" s="1" t="n">
        <v>46304</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24048-2025</t>
        </is>
      </c>
      <c r="B59" t="inlineStr">
        <is>
          <t>avverkningsanmälan</t>
        </is>
      </c>
      <c r="C59" t="inlineStr">
        <is>
          <t>Föryngringsavverkning</t>
        </is>
      </c>
      <c r="D59" s="1" t="n">
        <v>45796</v>
      </c>
      <c r="E59" s="1" t="n">
        <v>46304</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46304</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46304</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46304</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46304</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21908-2022</t>
        </is>
      </c>
      <c r="B64" t="inlineStr">
        <is>
          <t>avverkningsanmälan</t>
        </is>
      </c>
      <c r="C64" t="inlineStr">
        <is>
          <t>Föryngringsavverkning</t>
        </is>
      </c>
      <c r="D64" s="1" t="n">
        <v>44711</v>
      </c>
      <c r="E64" s="1" t="n">
        <v>46304</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60141-2025</t>
        </is>
      </c>
      <c r="B65" t="inlineStr">
        <is>
          <t>avverkningsanmälan</t>
        </is>
      </c>
      <c r="C65" t="inlineStr">
        <is>
          <t>Föryngringsavverkning</t>
        </is>
      </c>
      <c r="D65" s="1" t="n">
        <v>45994</v>
      </c>
      <c r="E65" s="1" t="n">
        <v>46304</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46304</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9253-2026</t>
        </is>
      </c>
      <c r="B67" t="inlineStr">
        <is>
          <t>avverkningsanmälan</t>
        </is>
      </c>
      <c r="C67" t="inlineStr">
        <is>
          <t>Föryngringsavverkning</t>
        </is>
      </c>
      <c r="D67" s="1" t="n">
        <v>46070</v>
      </c>
      <c r="E67" s="1" t="n">
        <v>46304</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44678-2022</t>
        </is>
      </c>
      <c r="B68" t="inlineStr">
        <is>
          <t>avverkningsanmälan</t>
        </is>
      </c>
      <c r="C68" t="inlineStr">
        <is>
          <t>Föryngringsavverkning</t>
        </is>
      </c>
      <c r="D68" s="1" t="n">
        <v>44840</v>
      </c>
      <c r="E68" s="1" t="n">
        <v>46304</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46304</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29411-2026</t>
        </is>
      </c>
      <c r="B70" t="inlineStr">
        <is>
          <t>avverkningsanmälan</t>
        </is>
      </c>
      <c r="C70" t="inlineStr">
        <is>
          <t>Avverkning för att bevara och utveckla /försöksver</t>
        </is>
      </c>
      <c r="D70" s="1" t="n">
        <v>46203</v>
      </c>
      <c r="E70" s="1" t="n">
        <v>46304</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17699-2025</t>
        </is>
      </c>
      <c r="B71" t="inlineStr">
        <is>
          <t>avverkningsanmälan</t>
        </is>
      </c>
      <c r="C71" t="inlineStr">
        <is>
          <t>Föryngringsavverkning</t>
        </is>
      </c>
      <c r="D71" s="1" t="n">
        <v>45758</v>
      </c>
      <c r="E71" s="1" t="n">
        <v>46304</v>
      </c>
      <c r="F71" t="inlineStr">
        <is>
          <t>KALMAR LÄN</t>
        </is>
      </c>
      <c r="G71" t="inlineStr">
        <is>
          <t>BORGHOLM</t>
        </is>
      </c>
      <c r="I71" t="n">
        <v>0.7</v>
      </c>
      <c r="J71" t="n">
        <v>0</v>
      </c>
      <c r="K71" t="n">
        <v>0</v>
      </c>
      <c r="L71" t="n">
        <v>2</v>
      </c>
      <c r="M71" t="n">
        <v>0</v>
      </c>
      <c r="N71" t="n">
        <v>0</v>
      </c>
      <c r="O71" t="n">
        <v>0</v>
      </c>
      <c r="P71" t="n">
        <v>0</v>
      </c>
      <c r="Q71" t="n">
        <v>2</v>
      </c>
      <c r="R71" t="n">
        <v>0</v>
      </c>
      <c r="S71" t="n">
        <v>2</v>
      </c>
      <c r="T71" t="n">
        <v>2</v>
      </c>
      <c r="U71" t="n">
        <v>2</v>
      </c>
      <c r="V71" s="2" t="inlineStr">
        <is>
          <t>Backtimjan
Klibbveronika</t>
        </is>
      </c>
      <c r="W71">
        <f>HYPERLINK("https://klasma.github.io/Logging_0885/artfynd/A 17699-2025 artfynd.xlsx", "A 17699-2025")</f>
        <v/>
      </c>
      <c r="X71">
        <f>HYPERLINK("https://klasma.github.io/Logging_0885/kartor/A 17699-2025 karta.png", "A 17699-2025")</f>
        <v/>
      </c>
      <c r="Y71">
        <f>HYPERLINK("https://klasma.github.io/Logging_0885/kartor_geotiff/A 17699-2025 georefererad karta.tif", "A 17699-2025")</f>
        <v/>
      </c>
      <c r="AA71">
        <f>HYPERLINK("https://klasma.github.io/Logging_0885/klagomål/A 17699-2025 FSC-klagomål.docx", "A 17699-2025")</f>
        <v/>
      </c>
      <c r="AB71">
        <f>HYPERLINK("https://klasma.github.io/Logging_0885/klagomålsmail/A 17699-2025 FSC-klagomål mail.docx", "A 17699-2025")</f>
        <v/>
      </c>
      <c r="AC71">
        <f>HYPERLINK("https://klasma.github.io/Logging_0885/tillsyn/A 17699-2025 tillsynsbegäran.docx", "A 17699-2025")</f>
        <v/>
      </c>
      <c r="AD71">
        <f>HYPERLINK("https://klasma.github.io/Logging_0885/tillsynsmail/A 17699-2025 tillsynsbegäran mail.docx", "A 17699-2025")</f>
        <v/>
      </c>
    </row>
    <row r="72" ht="15" customHeight="1">
      <c r="A72" t="inlineStr">
        <is>
          <t>A 24166-2022</t>
        </is>
      </c>
      <c r="B72" t="inlineStr">
        <is>
          <t>avverkningsanmälan</t>
        </is>
      </c>
      <c r="C72" t="inlineStr">
        <is>
          <t>Avverkning för annat ändamål</t>
        </is>
      </c>
      <c r="D72" s="1" t="n">
        <v>44725</v>
      </c>
      <c r="E72" s="1" t="n">
        <v>46304</v>
      </c>
      <c r="F72" t="inlineStr">
        <is>
          <t>KALMAR LÄN</t>
        </is>
      </c>
      <c r="G72" t="inlineStr">
        <is>
          <t>BORGHOLM</t>
        </is>
      </c>
      <c r="I72" t="n">
        <v>10.7</v>
      </c>
      <c r="J72" t="n">
        <v>0</v>
      </c>
      <c r="K72" t="n">
        <v>0</v>
      </c>
      <c r="L72" t="n">
        <v>1</v>
      </c>
      <c r="M72" t="n">
        <v>1</v>
      </c>
      <c r="N72" t="n">
        <v>0</v>
      </c>
      <c r="O72" t="n">
        <v>0</v>
      </c>
      <c r="P72" t="n">
        <v>0</v>
      </c>
      <c r="Q72" t="n">
        <v>2</v>
      </c>
      <c r="R72" t="n">
        <v>1</v>
      </c>
      <c r="S72" t="n">
        <v>2</v>
      </c>
      <c r="T72" t="n">
        <v>2</v>
      </c>
      <c r="U72" t="n">
        <v>1</v>
      </c>
      <c r="V72" s="2" t="inlineStr">
        <is>
          <t>Plattsäv
Jungfrulin</t>
        </is>
      </c>
      <c r="W72">
        <f>HYPERLINK("https://klasma.github.io/Logging_0885/artfynd/A 24166-2022 artfynd.xlsx", "A 24166-2022")</f>
        <v/>
      </c>
      <c r="X72">
        <f>HYPERLINK("https://klasma.github.io/Logging_0885/kartor/A 24166-2022 karta.png", "A 24166-2022")</f>
        <v/>
      </c>
      <c r="Y72">
        <f>HYPERLINK("https://klasma.github.io/Logging_0885/kartor_geotiff/A 24166-2022 georefererad karta.tif", "A 24166-2022")</f>
        <v/>
      </c>
      <c r="AA72">
        <f>HYPERLINK("https://klasma.github.io/Logging_0885/klagomål/A 24166-2022 FSC-klagomål.docx", "A 24166-2022")</f>
        <v/>
      </c>
      <c r="AB72">
        <f>HYPERLINK("https://klasma.github.io/Logging_0885/klagomålsmail/A 24166-2022 FSC-klagomål mail.docx", "A 24166-2022")</f>
        <v/>
      </c>
      <c r="AC72">
        <f>HYPERLINK("https://klasma.github.io/Logging_0885/tillsyn/A 24166-2022 tillsynsbegäran.docx", "A 24166-2022")</f>
        <v/>
      </c>
      <c r="AD72">
        <f>HYPERLINK("https://klasma.github.io/Logging_0885/tillsynsmail/A 24166-2022 tillsynsbegäran mail.docx", "A 24166-2022")</f>
        <v/>
      </c>
    </row>
    <row r="73" ht="15" customHeight="1">
      <c r="A73" t="inlineStr">
        <is>
          <t>A 29434-2026</t>
        </is>
      </c>
      <c r="B73" t="inlineStr">
        <is>
          <t>avverkningsanmälan</t>
        </is>
      </c>
      <c r="C73" t="inlineStr">
        <is>
          <t>Avverkning för att bevara och utveckla /försöksver</t>
        </is>
      </c>
      <c r="D73" s="1" t="n">
        <v>46203</v>
      </c>
      <c r="E73" s="1" t="n">
        <v>46304</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46304</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46304</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46304</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46304</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46304</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46304</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46304</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63276-2023</t>
        </is>
      </c>
      <c r="B81" t="inlineStr">
        <is>
          <t>avverkningsanmälan</t>
        </is>
      </c>
      <c r="C81" t="inlineStr">
        <is>
          <t>Föryngringsavverkning</t>
        </is>
      </c>
      <c r="D81" s="1" t="n">
        <v>45273</v>
      </c>
      <c r="E81" s="1" t="n">
        <v>46304</v>
      </c>
      <c r="F81" t="inlineStr">
        <is>
          <t>KALMAR LÄN</t>
        </is>
      </c>
      <c r="G81" t="inlineStr">
        <is>
          <t>BORGHOLM</t>
        </is>
      </c>
      <c r="I81" t="n">
        <v>5</v>
      </c>
      <c r="J81" t="n">
        <v>0</v>
      </c>
      <c r="K81" t="n">
        <v>0</v>
      </c>
      <c r="L81" t="n">
        <v>0</v>
      </c>
      <c r="M81" t="n">
        <v>1</v>
      </c>
      <c r="N81" t="n">
        <v>0</v>
      </c>
      <c r="O81" t="n">
        <v>0</v>
      </c>
      <c r="P81" t="n">
        <v>0</v>
      </c>
      <c r="Q81" t="n">
        <v>1</v>
      </c>
      <c r="R81" t="n">
        <v>1</v>
      </c>
      <c r="S81" t="n">
        <v>1</v>
      </c>
      <c r="T81" t="n">
        <v>1</v>
      </c>
      <c r="U81" t="n">
        <v>0</v>
      </c>
      <c r="V81" s="2" t="inlineStr">
        <is>
          <t>Elaphomyces barrioi</t>
        </is>
      </c>
      <c r="W81">
        <f>HYPERLINK("https://klasma.github.io/Logging_0885/artfynd/A 63276-2023 artfynd.xlsx", "A 63276-2023")</f>
        <v/>
      </c>
      <c r="X81">
        <f>HYPERLINK("https://klasma.github.io/Logging_0885/kartor/A 63276-2023 karta.png", "A 63276-2023")</f>
        <v/>
      </c>
      <c r="Y81">
        <f>HYPERLINK("https://klasma.github.io/Logging_0885/kartor_geotiff/A 63276-2023 georefererad karta.tif", "A 63276-2023")</f>
        <v/>
      </c>
      <c r="AA81">
        <f>HYPERLINK("https://klasma.github.io/Logging_0885/klagomål/A 63276-2023 FSC-klagomål.docx", "A 63276-2023")</f>
        <v/>
      </c>
      <c r="AB81">
        <f>HYPERLINK("https://klasma.github.io/Logging_0885/klagomålsmail/A 63276-2023 FSC-klagomål mail.docx", "A 63276-2023")</f>
        <v/>
      </c>
      <c r="AC81">
        <f>HYPERLINK("https://klasma.github.io/Logging_0885/tillsyn/A 63276-2023 tillsynsbegäran.docx", "A 63276-2023")</f>
        <v/>
      </c>
      <c r="AD81">
        <f>HYPERLINK("https://klasma.github.io/Logging_0885/tillsynsmail/A 63276-2023 tillsynsbegäran mail.docx", "A 63276-2023")</f>
        <v/>
      </c>
    </row>
    <row r="82" ht="15" customHeight="1">
      <c r="A82" t="inlineStr">
        <is>
          <t>A 41831-2025</t>
        </is>
      </c>
      <c r="B82" t="inlineStr">
        <is>
          <t>avverkningsanmälan</t>
        </is>
      </c>
      <c r="C82" t="inlineStr">
        <is>
          <t>Föryngringsavverkning</t>
        </is>
      </c>
      <c r="D82" s="1" t="n">
        <v>45902</v>
      </c>
      <c r="E82" s="1" t="n">
        <v>46304</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24704-2023</t>
        </is>
      </c>
      <c r="B83" t="inlineStr">
        <is>
          <t>avverkningsanmälan</t>
        </is>
      </c>
      <c r="C83" t="inlineStr">
        <is>
          <t>Föryngringsavverkning</t>
        </is>
      </c>
      <c r="D83" s="1" t="n">
        <v>45084</v>
      </c>
      <c r="E83" s="1" t="n">
        <v>46304</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9745-2023</t>
        </is>
      </c>
      <c r="B84" t="inlineStr">
        <is>
          <t>avverkningsanmälan</t>
        </is>
      </c>
      <c r="C84" t="inlineStr">
        <is>
          <t>Föryngringsavverkning</t>
        </is>
      </c>
      <c r="D84" s="1" t="n">
        <v>44984</v>
      </c>
      <c r="E84" s="1" t="n">
        <v>46304</v>
      </c>
      <c r="F84" t="inlineStr">
        <is>
          <t>KALMAR LÄN</t>
        </is>
      </c>
      <c r="G84" t="inlineStr">
        <is>
          <t>BORGHOLM</t>
        </is>
      </c>
      <c r="I84" t="n">
        <v>1.2</v>
      </c>
      <c r="J84" t="n">
        <v>1</v>
      </c>
      <c r="K84" t="n">
        <v>1</v>
      </c>
      <c r="L84" t="n">
        <v>0</v>
      </c>
      <c r="M84" t="n">
        <v>0</v>
      </c>
      <c r="N84" t="n">
        <v>0</v>
      </c>
      <c r="O84" t="n">
        <v>0</v>
      </c>
      <c r="P84" t="n">
        <v>0</v>
      </c>
      <c r="Q84" t="n">
        <v>0</v>
      </c>
      <c r="R84" t="n">
        <v>0</v>
      </c>
      <c r="S84" t="n">
        <v>1</v>
      </c>
      <c r="T84" t="n">
        <v>2</v>
      </c>
      <c r="U84" t="n">
        <v>1</v>
      </c>
      <c r="V84" s="2" t="inlineStr">
        <is>
          <t>Skogsknipprot</t>
        </is>
      </c>
      <c r="W84">
        <f>HYPERLINK("https://klasma.github.io/Logging_0885/artfynd/A 9745-2023 artfynd.xlsx", "A 9745-2023")</f>
        <v/>
      </c>
      <c r="X84">
        <f>HYPERLINK("https://klasma.github.io/Logging_0885/kartor/A 9745-2023 karta.png", "A 9745-2023")</f>
        <v/>
      </c>
      <c r="Y84">
        <f>HYPERLINK("https://klasma.github.io/Logging_0885/kartor_geotiff/A 9745-2023 georefererad karta.tif", "A 9745-2023")</f>
        <v/>
      </c>
      <c r="AA84">
        <f>HYPERLINK("https://klasma.github.io/Logging_0885/klagomål/A 9745-2023 FSC-klagomål.docx", "A 9745-2023")</f>
        <v/>
      </c>
      <c r="AB84">
        <f>HYPERLINK("https://klasma.github.io/Logging_0885/klagomålsmail/A 9745-2023 FSC-klagomål mail.docx", "A 9745-2023")</f>
        <v/>
      </c>
      <c r="AC84">
        <f>HYPERLINK("https://klasma.github.io/Logging_0885/tillsyn/A 9745-2023 tillsynsbegäran.docx", "A 9745-2023")</f>
        <v/>
      </c>
      <c r="AD84">
        <f>HYPERLINK("https://klasma.github.io/Logging_0885/tillsynsmail/A 9745-2023 tillsynsbegäran mail.docx", "A 9745-2023")</f>
        <v/>
      </c>
    </row>
    <row r="85" ht="15" customHeight="1">
      <c r="A85" t="inlineStr">
        <is>
          <t>A 3302-2026</t>
        </is>
      </c>
      <c r="B85" t="inlineStr">
        <is>
          <t>avverkningsanmälan</t>
        </is>
      </c>
      <c r="C85" t="inlineStr">
        <is>
          <t>Avverkning för annat ändamål</t>
        </is>
      </c>
      <c r="D85" s="1" t="n">
        <v>46041</v>
      </c>
      <c r="E85" s="1" t="n">
        <v>46304</v>
      </c>
      <c r="F85" t="inlineStr">
        <is>
          <t>KALMAR LÄN</t>
        </is>
      </c>
      <c r="G85" t="inlineStr">
        <is>
          <t>BORGHOLM</t>
        </is>
      </c>
      <c r="I85" t="n">
        <v>3.9</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HYPERLINK("https://klasma.github.io/Logging_0885/artfynd/A 3302-2026 artfynd.xlsx", "A 3302-2026")</f>
        <v/>
      </c>
      <c r="X85">
        <f>HYPERLINK("https://klasma.github.io/Logging_0885/kartor/A 3302-2026 karta.png", "A 3302-2026")</f>
        <v/>
      </c>
      <c r="Y85">
        <f>HYPERLINK("https://klasma.github.io/Logging_0885/kartor_geotiff/A 3302-2026 georefererad karta.tif", "A 3302-2026")</f>
        <v/>
      </c>
      <c r="AA85">
        <f>HYPERLINK("https://klasma.github.io/Logging_0885/klagomål/A 3302-2026 FSC-klagomål.docx", "A 3302-2026")</f>
        <v/>
      </c>
      <c r="AB85">
        <f>HYPERLINK("https://klasma.github.io/Logging_0885/klagomålsmail/A 3302-2026 FSC-klagomål mail.docx", "A 3302-2026")</f>
        <v/>
      </c>
      <c r="AC85">
        <f>HYPERLINK("https://klasma.github.io/Logging_0885/tillsyn/A 3302-2026 tillsynsbegäran.docx", "A 3302-2026")</f>
        <v/>
      </c>
      <c r="AD85">
        <f>HYPERLINK("https://klasma.github.io/Logging_0885/tillsynsmail/A 3302-2026 tillsynsbegäran mail.docx", "A 3302-2026")</f>
        <v/>
      </c>
    </row>
    <row r="86" ht="15" customHeight="1">
      <c r="A86" t="inlineStr">
        <is>
          <t>A 7481-2026</t>
        </is>
      </c>
      <c r="B86" t="inlineStr">
        <is>
          <t>avverkningsanmälan</t>
        </is>
      </c>
      <c r="C86" t="inlineStr">
        <is>
          <t>Föryngringsavverkning</t>
        </is>
      </c>
      <c r="D86" s="1" t="n">
        <v>46059</v>
      </c>
      <c r="E86" s="1" t="n">
        <v>46304</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9104-2026</t>
        </is>
      </c>
      <c r="B87" t="inlineStr">
        <is>
          <t>avverkningsanmälan</t>
        </is>
      </c>
      <c r="C87" t="inlineStr">
        <is>
          <t>Avverkning för annat ändamål</t>
        </is>
      </c>
      <c r="D87" s="1" t="n">
        <v>46069</v>
      </c>
      <c r="E87" s="1" t="n">
        <v>46304</v>
      </c>
      <c r="F87" t="inlineStr">
        <is>
          <t>KALMAR LÄN</t>
        </is>
      </c>
      <c r="G87" t="inlineStr">
        <is>
          <t>BORGHOLM</t>
        </is>
      </c>
      <c r="I87" t="n">
        <v>1.3</v>
      </c>
      <c r="J87" t="n">
        <v>0</v>
      </c>
      <c r="K87" t="n">
        <v>0</v>
      </c>
      <c r="L87" t="n">
        <v>0</v>
      </c>
      <c r="M87" t="n">
        <v>0</v>
      </c>
      <c r="N87" t="n">
        <v>0</v>
      </c>
      <c r="O87" t="n">
        <v>0</v>
      </c>
      <c r="P87" t="n">
        <v>0</v>
      </c>
      <c r="Q87" t="n">
        <v>0</v>
      </c>
      <c r="R87" t="n">
        <v>0</v>
      </c>
      <c r="S87" t="n">
        <v>1</v>
      </c>
      <c r="T87" t="n">
        <v>1</v>
      </c>
      <c r="U87" t="n">
        <v>1</v>
      </c>
      <c r="V87" s="2" t="inlineStr">
        <is>
          <t>Liljekonvalj</t>
        </is>
      </c>
      <c r="W87">
        <f>HYPERLINK("https://klasma.github.io/Logging_0885/artfynd/A 9104-2026 artfynd.xlsx", "A 9104-2026")</f>
        <v/>
      </c>
      <c r="X87">
        <f>HYPERLINK("https://klasma.github.io/Logging_0885/kartor/A 9104-2026 karta.png", "A 9104-2026")</f>
        <v/>
      </c>
      <c r="Y87">
        <f>HYPERLINK("https://klasma.github.io/Logging_0885/kartor_geotiff/A 9104-2026 georefererad karta.tif", "A 9104-2026")</f>
        <v/>
      </c>
      <c r="AA87">
        <f>HYPERLINK("https://klasma.github.io/Logging_0885/klagomål/A 9104-2026 FSC-klagomål.docx", "A 9104-2026")</f>
        <v/>
      </c>
      <c r="AB87">
        <f>HYPERLINK("https://klasma.github.io/Logging_0885/klagomålsmail/A 9104-2026 FSC-klagomål mail.docx", "A 9104-2026")</f>
        <v/>
      </c>
      <c r="AC87">
        <f>HYPERLINK("https://klasma.github.io/Logging_0885/tillsyn/A 9104-2026 tillsynsbegäran.docx", "A 9104-2026")</f>
        <v/>
      </c>
      <c r="AD87">
        <f>HYPERLINK("https://klasma.github.io/Logging_0885/tillsynsmail/A 9104-2026 tillsynsbegäran mail.docx", "A 9104-2026")</f>
        <v/>
      </c>
    </row>
    <row r="88" ht="15" customHeight="1">
      <c r="A88" t="inlineStr">
        <is>
          <t>A 9905-2026</t>
        </is>
      </c>
      <c r="B88" t="inlineStr">
        <is>
          <t>avverkningsanmälan</t>
        </is>
      </c>
      <c r="C88" t="inlineStr">
        <is>
          <t>Föryngringsavverkning</t>
        </is>
      </c>
      <c r="D88" s="1" t="n">
        <v>46073</v>
      </c>
      <c r="E88" s="1" t="n">
        <v>46304</v>
      </c>
      <c r="F88" t="inlineStr">
        <is>
          <t>KALMAR LÄN</t>
        </is>
      </c>
      <c r="G88" t="inlineStr">
        <is>
          <t>BORGHOLM</t>
        </is>
      </c>
      <c r="I88" t="n">
        <v>1.4</v>
      </c>
      <c r="J88" t="n">
        <v>0</v>
      </c>
      <c r="K88" t="n">
        <v>0</v>
      </c>
      <c r="L88" t="n">
        <v>0</v>
      </c>
      <c r="M88" t="n">
        <v>0</v>
      </c>
      <c r="N88" t="n">
        <v>1</v>
      </c>
      <c r="O88" t="n">
        <v>0</v>
      </c>
      <c r="P88" t="n">
        <v>0</v>
      </c>
      <c r="Q88" t="n">
        <v>1</v>
      </c>
      <c r="R88" t="n">
        <v>1</v>
      </c>
      <c r="S88" t="n">
        <v>1</v>
      </c>
      <c r="T88" t="n">
        <v>1</v>
      </c>
      <c r="U88" t="n">
        <v>0</v>
      </c>
      <c r="V88" s="2" t="inlineStr">
        <is>
          <t>Ask</t>
        </is>
      </c>
      <c r="W88">
        <f>HYPERLINK("https://klasma.github.io/Logging_0885/artfynd/A 9905-2026 artfynd.xlsx", "A 9905-2026")</f>
        <v/>
      </c>
      <c r="X88">
        <f>HYPERLINK("https://klasma.github.io/Logging_0885/kartor/A 9905-2026 karta.png", "A 9905-2026")</f>
        <v/>
      </c>
      <c r="Y88">
        <f>HYPERLINK("https://klasma.github.io/Logging_0885/kartor_geotiff/A 9905-2026 georefererad karta.tif", "A 9905-2026")</f>
        <v/>
      </c>
      <c r="AA88">
        <f>HYPERLINK("https://klasma.github.io/Logging_0885/klagomål/A 9905-2026 FSC-klagomål.docx", "A 9905-2026")</f>
        <v/>
      </c>
      <c r="AB88">
        <f>HYPERLINK("https://klasma.github.io/Logging_0885/klagomålsmail/A 9905-2026 FSC-klagomål mail.docx", "A 9905-2026")</f>
        <v/>
      </c>
      <c r="AC88">
        <f>HYPERLINK("https://klasma.github.io/Logging_0885/tillsyn/A 9905-2026 tillsynsbegäran.docx", "A 9905-2026")</f>
        <v/>
      </c>
      <c r="AD88">
        <f>HYPERLINK("https://klasma.github.io/Logging_0885/tillsynsmail/A 9905-2026 tillsynsbegäran mail.docx", "A 9905-2026")</f>
        <v/>
      </c>
    </row>
    <row r="89" ht="15" customHeight="1">
      <c r="A89" t="inlineStr">
        <is>
          <t>A 31720-2022</t>
        </is>
      </c>
      <c r="B89" t="inlineStr">
        <is>
          <t>avverkningsanmälan</t>
        </is>
      </c>
      <c r="C89" t="inlineStr">
        <is>
          <t>Föryngringsavverkning</t>
        </is>
      </c>
      <c r="D89" s="1" t="n">
        <v>44776</v>
      </c>
      <c r="E89" s="1" t="n">
        <v>46304</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19867-2024</t>
        </is>
      </c>
      <c r="B90" t="inlineStr">
        <is>
          <t>avverkningsanmälan</t>
        </is>
      </c>
      <c r="C90" t="inlineStr">
        <is>
          <t>Föryngringsavverkning</t>
        </is>
      </c>
      <c r="D90" s="1" t="n">
        <v>45433</v>
      </c>
      <c r="E90" s="1" t="n">
        <v>46304</v>
      </c>
      <c r="F90" t="inlineStr">
        <is>
          <t>KALMAR LÄN</t>
        </is>
      </c>
      <c r="G90" t="inlineStr">
        <is>
          <t>BORGHOLM</t>
        </is>
      </c>
      <c r="I90" t="n">
        <v>3.9</v>
      </c>
      <c r="J90" t="n">
        <v>0</v>
      </c>
      <c r="K90" t="n">
        <v>0</v>
      </c>
      <c r="L90" t="n">
        <v>1</v>
      </c>
      <c r="M90" t="n">
        <v>0</v>
      </c>
      <c r="N90" t="n">
        <v>0</v>
      </c>
      <c r="O90" t="n">
        <v>0</v>
      </c>
      <c r="P90" t="n">
        <v>0</v>
      </c>
      <c r="Q90" t="n">
        <v>1</v>
      </c>
      <c r="R90" t="n">
        <v>0</v>
      </c>
      <c r="S90" t="n">
        <v>1</v>
      </c>
      <c r="T90" t="n">
        <v>1</v>
      </c>
      <c r="U90" t="n">
        <v>1</v>
      </c>
      <c r="V90" s="2" t="inlineStr">
        <is>
          <t>Åkerkulla</t>
        </is>
      </c>
      <c r="W90">
        <f>HYPERLINK("https://klasma.github.io/Logging_0885/artfynd/A 19867-2024 artfynd.xlsx", "A 19867-2024")</f>
        <v/>
      </c>
      <c r="X90">
        <f>HYPERLINK("https://klasma.github.io/Logging_0885/kartor/A 19867-2024 karta.png", "A 19867-2024")</f>
        <v/>
      </c>
      <c r="Y90">
        <f>HYPERLINK("https://klasma.github.io/Logging_0885/kartor_geotiff/A 19867-2024 georefererad karta.tif", "A 19867-2024")</f>
        <v/>
      </c>
      <c r="AA90">
        <f>HYPERLINK("https://klasma.github.io/Logging_0885/klagomål/A 19867-2024 FSC-klagomål.docx", "A 19867-2024")</f>
        <v/>
      </c>
      <c r="AB90">
        <f>HYPERLINK("https://klasma.github.io/Logging_0885/klagomålsmail/A 19867-2024 FSC-klagomål mail.docx", "A 19867-2024")</f>
        <v/>
      </c>
      <c r="AC90">
        <f>HYPERLINK("https://klasma.github.io/Logging_0885/tillsyn/A 19867-2024 tillsynsbegäran.docx", "A 19867-2024")</f>
        <v/>
      </c>
      <c r="AD90">
        <f>HYPERLINK("https://klasma.github.io/Logging_0885/tillsynsmail/A 19867-2024 tillsynsbegäran mail.docx", "A 19867-2024")</f>
        <v/>
      </c>
    </row>
    <row r="91" ht="15" customHeight="1">
      <c r="A91" t="inlineStr">
        <is>
          <t>A 26840-2026</t>
        </is>
      </c>
      <c r="B91" t="inlineStr">
        <is>
          <t>avverkningsanmälan</t>
        </is>
      </c>
      <c r="C91" t="inlineStr">
        <is>
          <t>Avverkning för att bevara och utveckla /försöksver</t>
        </is>
      </c>
      <c r="D91" s="1" t="n">
        <v>46185</v>
      </c>
      <c r="E91" s="1" t="n">
        <v>46304</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28374-2026</t>
        </is>
      </c>
      <c r="B92" t="inlineStr">
        <is>
          <t>avverkningsanmälan</t>
        </is>
      </c>
      <c r="C92" t="inlineStr">
        <is>
          <t>Avverkning för att bevara och utveckla /försöksver</t>
        </is>
      </c>
      <c r="D92" s="1" t="n">
        <v>46196</v>
      </c>
      <c r="E92" s="1" t="n">
        <v>46304</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13043-2024</t>
        </is>
      </c>
      <c r="B93" t="inlineStr">
        <is>
          <t>avverkningsanmälan</t>
        </is>
      </c>
      <c r="C93" t="inlineStr">
        <is>
          <t>Föryngringsavverkning</t>
        </is>
      </c>
      <c r="D93" s="1" t="n">
        <v>45385</v>
      </c>
      <c r="E93" s="1" t="n">
        <v>46304</v>
      </c>
      <c r="F93" t="inlineStr">
        <is>
          <t>KALMAR LÄN</t>
        </is>
      </c>
      <c r="G93" t="inlineStr">
        <is>
          <t>BORGHOLM</t>
        </is>
      </c>
      <c r="I93" t="n">
        <v>0.4</v>
      </c>
      <c r="J93" t="n">
        <v>1</v>
      </c>
      <c r="K93" t="n">
        <v>1</v>
      </c>
      <c r="L93" t="n">
        <v>0</v>
      </c>
      <c r="M93" t="n">
        <v>0</v>
      </c>
      <c r="N93" t="n">
        <v>0</v>
      </c>
      <c r="O93" t="n">
        <v>0</v>
      </c>
      <c r="P93" t="n">
        <v>0</v>
      </c>
      <c r="Q93" t="n">
        <v>0</v>
      </c>
      <c r="R93" t="n">
        <v>0</v>
      </c>
      <c r="S93" t="n">
        <v>1</v>
      </c>
      <c r="T93" t="n">
        <v>1</v>
      </c>
      <c r="U93" t="n">
        <v>0</v>
      </c>
      <c r="V93" s="2" t="inlineStr">
        <is>
          <t>Ekoxe</t>
        </is>
      </c>
      <c r="W93">
        <f>HYPERLINK("https://klasma.github.io/Logging_0885/artfynd/A 13043-2024 artfynd.xlsx", "A 13043-2024")</f>
        <v/>
      </c>
      <c r="X93">
        <f>HYPERLINK("https://klasma.github.io/Logging_0885/kartor/A 13043-2024 karta.png", "A 13043-2024")</f>
        <v/>
      </c>
      <c r="Y93">
        <f>HYPERLINK("https://klasma.github.io/Logging_0885/kartor_geotiff/A 13043-2024 georefererad karta.tif", "A 13043-2024")</f>
        <v/>
      </c>
      <c r="AA93">
        <f>HYPERLINK("https://klasma.github.io/Logging_0885/klagomål/A 13043-2024 FSC-klagomål.docx", "A 13043-2024")</f>
        <v/>
      </c>
      <c r="AB93">
        <f>HYPERLINK("https://klasma.github.io/Logging_0885/klagomålsmail/A 13043-2024 FSC-klagomål mail.docx", "A 13043-2024")</f>
        <v/>
      </c>
      <c r="AC93">
        <f>HYPERLINK("https://klasma.github.io/Logging_0885/tillsyn/A 13043-2024 tillsynsbegäran.docx", "A 13043-2024")</f>
        <v/>
      </c>
      <c r="AD93">
        <f>HYPERLINK("https://klasma.github.io/Logging_0885/tillsynsmail/A 13043-2024 tillsynsbegäran mail.docx", "A 13043-2024")</f>
        <v/>
      </c>
    </row>
    <row r="94" ht="15" customHeight="1">
      <c r="A94" t="inlineStr">
        <is>
          <t>A 28430-2026</t>
        </is>
      </c>
      <c r="B94" t="inlineStr">
        <is>
          <t>avverkningsanmälan</t>
        </is>
      </c>
      <c r="C94" t="inlineStr">
        <is>
          <t>Avverkning för att bevara och utveckla /försöksver</t>
        </is>
      </c>
      <c r="D94" s="1" t="n">
        <v>46197</v>
      </c>
      <c r="E94" s="1" t="n">
        <v>46304</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20878-2024</t>
        </is>
      </c>
      <c r="B95" t="inlineStr">
        <is>
          <t>avverkningsanmälan</t>
        </is>
      </c>
      <c r="C95" t="inlineStr">
        <is>
          <t>Föryngringsavverkning</t>
        </is>
      </c>
      <c r="D95" s="1" t="n">
        <v>45439</v>
      </c>
      <c r="E95" s="1" t="n">
        <v>46304</v>
      </c>
      <c r="F95" t="inlineStr">
        <is>
          <t>KALMAR LÄN</t>
        </is>
      </c>
      <c r="G95" t="inlineStr">
        <is>
          <t>BORGHOLM</t>
        </is>
      </c>
      <c r="I95" t="n">
        <v>1.9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HYPERLINK("https://klasma.github.io/Logging_0885/artfynd/A 20878-2024 artfynd.xlsx", "A 20878-2024")</f>
        <v/>
      </c>
      <c r="X95">
        <f>HYPERLINK("https://klasma.github.io/Logging_0885/kartor/A 20878-2024 karta.png", "A 20878-2024")</f>
        <v/>
      </c>
      <c r="Y95">
        <f>HYPERLINK("https://klasma.github.io/Logging_0885/kartor_geotiff/A 20878-2024 georefererad karta.tif", "A 20878-2024")</f>
        <v/>
      </c>
      <c r="AA95">
        <f>HYPERLINK("https://klasma.github.io/Logging_0885/klagomål/A 20878-2024 FSC-klagomål.docx", "A 20878-2024")</f>
        <v/>
      </c>
      <c r="AB95">
        <f>HYPERLINK("https://klasma.github.io/Logging_0885/klagomålsmail/A 20878-2024 FSC-klagomål mail.docx", "A 20878-2024")</f>
        <v/>
      </c>
      <c r="AC95">
        <f>HYPERLINK("https://klasma.github.io/Logging_0885/tillsyn/A 20878-2024 tillsynsbegäran.docx", "A 20878-2024")</f>
        <v/>
      </c>
      <c r="AD95">
        <f>HYPERLINK("https://klasma.github.io/Logging_0885/tillsynsmail/A 20878-2024 tillsynsbegäran mail.docx", "A 20878-2024")</f>
        <v/>
      </c>
    </row>
    <row r="96" ht="15" customHeight="1">
      <c r="A96" t="inlineStr">
        <is>
          <t>A 33293-2026</t>
        </is>
      </c>
      <c r="B96" t="inlineStr">
        <is>
          <t>avverkningsanmälan</t>
        </is>
      </c>
      <c r="C96" t="inlineStr">
        <is>
          <t>Avverkning för att bevara och utveckla /försöksver</t>
        </is>
      </c>
      <c r="D96" s="1" t="n">
        <v>46246</v>
      </c>
      <c r="E96" s="1" t="n">
        <v>46304</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28785-2025</t>
        </is>
      </c>
      <c r="B97" t="inlineStr">
        <is>
          <t>avverkningsanmälan</t>
        </is>
      </c>
      <c r="C97" t="inlineStr">
        <is>
          <t>Avverkning för att bevara och utveckla /försöksver</t>
        </is>
      </c>
      <c r="D97" s="1" t="n">
        <v>45820</v>
      </c>
      <c r="E97" s="1" t="n">
        <v>46304</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A 28782-2025</t>
        </is>
      </c>
      <c r="B98" t="inlineStr">
        <is>
          <t>avverkningsanmälan</t>
        </is>
      </c>
      <c r="C98" t="inlineStr">
        <is>
          <t>Avverkning för att bevara och utveckla /försöksver</t>
        </is>
      </c>
      <c r="D98" s="1" t="n">
        <v>45820</v>
      </c>
      <c r="E98" s="1" t="n">
        <v>46304</v>
      </c>
      <c r="F98" t="inlineStr">
        <is>
          <t>KALMAR LÄN</t>
        </is>
      </c>
      <c r="G98" t="inlineStr">
        <is>
          <t>BORGHOLM</t>
        </is>
      </c>
      <c r="H98" t="inlineStr">
        <is>
          <t>Sveaskog</t>
        </is>
      </c>
      <c r="I98" t="n">
        <v>0.8</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28782-2025 artfynd.xlsx", "A 28782-2025")</f>
        <v/>
      </c>
      <c r="X98">
        <f>HYPERLINK("https://klasma.github.io/Logging_0885/kartor/A 28782-2025 karta.png", "A 28782-2025")</f>
        <v/>
      </c>
      <c r="Y98">
        <f>HYPERLINK("https://klasma.github.io/Logging_0885/kartor_geotiff/A 28782-2025 georefererad karta.tif", "A 28782-2025")</f>
        <v/>
      </c>
      <c r="AA98">
        <f>HYPERLINK("https://klasma.github.io/Logging_0885/klagomål/A 28782-2025 FSC-klagomål.docx", "A 28782-2025")</f>
        <v/>
      </c>
      <c r="AB98">
        <f>HYPERLINK("https://klasma.github.io/Logging_0885/klagomålsmail/A 28782-2025 FSC-klagomål mail.docx", "A 28782-2025")</f>
        <v/>
      </c>
      <c r="AC98">
        <f>HYPERLINK("https://klasma.github.io/Logging_0885/tillsyn/A 28782-2025 tillsynsbegäran.docx", "A 28782-2025")</f>
        <v/>
      </c>
      <c r="AD98">
        <f>HYPERLINK("https://klasma.github.io/Logging_0885/tillsynsmail/A 28782-2025 tillsynsbegäran mail.docx", "A 28782-2025")</f>
        <v/>
      </c>
      <c r="AE98">
        <f>HYPERLINK("https://klasma.github.io/Logging_0885/fåglar/A 28782-2025 prioriterade fågelarter.docx", "A 28782-2025")</f>
        <v/>
      </c>
    </row>
    <row r="99" ht="15" customHeight="1">
      <c r="A99" t="inlineStr">
        <is>
          <t>S 2390-2023</t>
        </is>
      </c>
      <c r="B99" t="inlineStr">
        <is>
          <t>samrådsanmälan</t>
        </is>
      </c>
      <c r="C99" t="inlineStr">
        <is>
          <t>Annan skogsbruksåtgärd</t>
        </is>
      </c>
      <c r="D99" s="1" t="n">
        <v>45111</v>
      </c>
      <c r="E99" s="1" t="n">
        <v>46304</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46304</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46304</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46304</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46304</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46304</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46304</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46304</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46304</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46304</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46304</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46304</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46304</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3878-2023</t>
        </is>
      </c>
      <c r="B112" t="inlineStr">
        <is>
          <t>avverkningsanmälan</t>
        </is>
      </c>
      <c r="C112" t="inlineStr">
        <is>
          <t>Föryngringsavverkning</t>
        </is>
      </c>
      <c r="D112" s="1" t="n">
        <v>44951</v>
      </c>
      <c r="E112" s="1" t="n">
        <v>46304</v>
      </c>
      <c r="F112" t="inlineStr">
        <is>
          <t>KALMAR LÄN</t>
        </is>
      </c>
      <c r="G112" t="inlineStr">
        <is>
          <t>BORGHOLM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12937-2022</t>
        </is>
      </c>
      <c r="B113" t="inlineStr">
        <is>
          <t>avverkningsanmälan</t>
        </is>
      </c>
      <c r="C113" t="inlineStr">
        <is>
          <t>Föryngringsavverkning</t>
        </is>
      </c>
      <c r="D113" s="1" t="n">
        <v>44642</v>
      </c>
      <c r="E113" s="1" t="n">
        <v>46304</v>
      </c>
      <c r="F113" t="inlineStr">
        <is>
          <t>KALMAR LÄN</t>
        </is>
      </c>
      <c r="G113" t="inlineStr">
        <is>
          <t>BORGHOLM</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46304</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46304</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46304</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46304</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36269-2025</t>
        </is>
      </c>
      <c r="B118" t="inlineStr">
        <is>
          <t>avverkningsanmälan</t>
        </is>
      </c>
      <c r="C118" t="inlineStr">
        <is>
          <t>Föryngringsavverkning</t>
        </is>
      </c>
      <c r="D118" s="1" t="n">
        <v>45867</v>
      </c>
      <c r="E118" s="1" t="n">
        <v>46304</v>
      </c>
      <c r="F118" t="inlineStr">
        <is>
          <t>KALMAR LÄN</t>
        </is>
      </c>
      <c r="G118" t="inlineStr">
        <is>
          <t>BORGHOLM</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31699-2022</t>
        </is>
      </c>
      <c r="B119" t="inlineStr">
        <is>
          <t>avverkningsanmälan</t>
        </is>
      </c>
      <c r="C119" t="inlineStr">
        <is>
          <t>Föryngringsavverkning</t>
        </is>
      </c>
      <c r="D119" s="1" t="n">
        <v>44776</v>
      </c>
      <c r="E119" s="1" t="n">
        <v>46304</v>
      </c>
      <c r="F119" t="inlineStr">
        <is>
          <t>KALMAR LÄN</t>
        </is>
      </c>
      <c r="G119" t="inlineStr">
        <is>
          <t>BORGHOLM</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46304</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1614-2025</t>
        </is>
      </c>
      <c r="B121" t="inlineStr">
        <is>
          <t>avverkningsanmälan</t>
        </is>
      </c>
      <c r="C121" t="inlineStr">
        <is>
          <t>Föryngringsavverkning</t>
        </is>
      </c>
      <c r="D121" s="1" t="n">
        <v>45670</v>
      </c>
      <c r="E121" s="1" t="n">
        <v>46304</v>
      </c>
      <c r="F121" t="inlineStr">
        <is>
          <t>KALMAR LÄN</t>
        </is>
      </c>
      <c r="G121" t="inlineStr">
        <is>
          <t>BORGHOLM</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46304</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46304</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46304</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46304</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46845-2025</t>
        </is>
      </c>
      <c r="B126" t="inlineStr">
        <is>
          <t>avverkningsanmälan</t>
        </is>
      </c>
      <c r="C126" t="inlineStr">
        <is>
          <t>Avverkning för annat ändamål</t>
        </is>
      </c>
      <c r="D126" s="1" t="n">
        <v>45928</v>
      </c>
      <c r="E126" s="1" t="n">
        <v>46304</v>
      </c>
      <c r="F126" t="inlineStr">
        <is>
          <t>KALMAR LÄN</t>
        </is>
      </c>
      <c r="G126" t="inlineStr">
        <is>
          <t>BORGHOLM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9076-2025</t>
        </is>
      </c>
      <c r="B127" t="inlineStr">
        <is>
          <t>avverkningsanmälan</t>
        </is>
      </c>
      <c r="C127" t="inlineStr">
        <is>
          <t>Föryngringsavverkning</t>
        </is>
      </c>
      <c r="D127" s="1" t="n">
        <v>45713</v>
      </c>
      <c r="E127" s="1" t="n">
        <v>46304</v>
      </c>
      <c r="F127" t="inlineStr">
        <is>
          <t>KALMAR LÄN</t>
        </is>
      </c>
      <c r="G127" t="inlineStr">
        <is>
          <t>BORGHOLM</t>
        </is>
      </c>
      <c r="H127" t="inlineStr">
        <is>
          <t>Sveaskog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46304</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46304</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43603-2024</t>
        </is>
      </c>
      <c r="B130" t="inlineStr">
        <is>
          <t>avverkningsanmälan</t>
        </is>
      </c>
      <c r="C130" t="inlineStr">
        <is>
          <t>Föryngringsavverkning</t>
        </is>
      </c>
      <c r="D130" s="1" t="n">
        <v>45569</v>
      </c>
      <c r="E130" s="1" t="n">
        <v>46304</v>
      </c>
      <c r="F130" t="inlineStr">
        <is>
          <t>KALMAR LÄN</t>
        </is>
      </c>
      <c r="G130" t="inlineStr">
        <is>
          <t>BORGHOLM</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9259-2026</t>
        </is>
      </c>
      <c r="B131" t="inlineStr">
        <is>
          <t>avverkningsanmälan</t>
        </is>
      </c>
      <c r="C131" t="inlineStr">
        <is>
          <t>Föryngringsavverkning</t>
        </is>
      </c>
      <c r="D131" s="1" t="n">
        <v>46070</v>
      </c>
      <c r="E131" s="1" t="n">
        <v>46304</v>
      </c>
      <c r="F131" t="inlineStr">
        <is>
          <t>KALMAR LÄN</t>
        </is>
      </c>
      <c r="G131" t="inlineStr">
        <is>
          <t>BORGHOLM</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32919-2023</t>
        </is>
      </c>
      <c r="B132" t="inlineStr">
        <is>
          <t>avverkningsanmälan</t>
        </is>
      </c>
      <c r="C132" t="inlineStr">
        <is>
          <t>Föryngringsavverkning</t>
        </is>
      </c>
      <c r="D132" s="1" t="n">
        <v>45125</v>
      </c>
      <c r="E132" s="1" t="n">
        <v>46304</v>
      </c>
      <c r="F132" t="inlineStr">
        <is>
          <t>KALMAR LÄN</t>
        </is>
      </c>
      <c r="G132" t="inlineStr">
        <is>
          <t>BORGHOLM</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5175-2024</t>
        </is>
      </c>
      <c r="B133" t="inlineStr">
        <is>
          <t>avverkningsanmälan</t>
        </is>
      </c>
      <c r="C133" t="inlineStr">
        <is>
          <t>Föryngringsavverkning</t>
        </is>
      </c>
      <c r="D133" s="1" t="n">
        <v>45330</v>
      </c>
      <c r="E133" s="1" t="n">
        <v>46304</v>
      </c>
      <c r="F133" t="inlineStr">
        <is>
          <t>KALMAR LÄN</t>
        </is>
      </c>
      <c r="G133" t="inlineStr">
        <is>
          <t>BORGHOLM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27357-2025</t>
        </is>
      </c>
      <c r="B134" t="inlineStr">
        <is>
          <t>avverkningsanmälan</t>
        </is>
      </c>
      <c r="C134" t="inlineStr">
        <is>
          <t>Avverkning för att bevara och utveckla /försöksver</t>
        </is>
      </c>
      <c r="D134" s="1" t="n">
        <v>45812</v>
      </c>
      <c r="E134" s="1" t="n">
        <v>46304</v>
      </c>
      <c r="F134" t="inlineStr">
        <is>
          <t>KALMAR LÄN</t>
        </is>
      </c>
      <c r="G134" t="inlineStr">
        <is>
          <t>BORGHOLM</t>
        </is>
      </c>
      <c r="H134" t="inlineStr">
        <is>
          <t>Sveaskog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46304</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7669-2024</t>
        </is>
      </c>
      <c r="B136" t="inlineStr">
        <is>
          <t>avverkningsanmälan</t>
        </is>
      </c>
      <c r="C136" t="inlineStr">
        <is>
          <t>Föryngringsavverkning</t>
        </is>
      </c>
      <c r="D136" s="1" t="n">
        <v>45348</v>
      </c>
      <c r="E136" s="1" t="n">
        <v>46304</v>
      </c>
      <c r="F136" t="inlineStr">
        <is>
          <t>KALMAR LÄN</t>
        </is>
      </c>
      <c r="G136" t="inlineStr">
        <is>
          <t>BORGHOLM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13383-2023</t>
        </is>
      </c>
      <c r="B137" t="inlineStr">
        <is>
          <t>avverkningsanmälan</t>
        </is>
      </c>
      <c r="C137" t="inlineStr">
        <is>
          <t>Föryngringsavverkning</t>
        </is>
      </c>
      <c r="D137" s="1" t="n">
        <v>45005</v>
      </c>
      <c r="E137" s="1" t="n">
        <v>46304</v>
      </c>
      <c r="F137" t="inlineStr">
        <is>
          <t>KALMAR LÄN</t>
        </is>
      </c>
      <c r="G137" t="inlineStr">
        <is>
          <t>BORGHOLM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46304</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46304</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46304</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4165-2023</t>
        </is>
      </c>
      <c r="B141" t="inlineStr">
        <is>
          <t>avverkningsanmälan</t>
        </is>
      </c>
      <c r="C141" t="inlineStr">
        <is>
          <t>Föryngringsavverkning</t>
        </is>
      </c>
      <c r="D141" s="1" t="n">
        <v>44953</v>
      </c>
      <c r="E141" s="1" t="n">
        <v>46304</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28381-2026</t>
        </is>
      </c>
      <c r="B142" t="inlineStr">
        <is>
          <t>avverkningsanmälan</t>
        </is>
      </c>
      <c r="C142" t="inlineStr">
        <is>
          <t>Avverkning för att bevara och utveckla /försöksver</t>
        </is>
      </c>
      <c r="D142" s="1" t="n">
        <v>46196</v>
      </c>
      <c r="E142" s="1" t="n">
        <v>46304</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28380-2026</t>
        </is>
      </c>
      <c r="B143" t="inlineStr">
        <is>
          <t>avverkningsanmälan</t>
        </is>
      </c>
      <c r="C143" t="inlineStr">
        <is>
          <t>Avverkning för att bevara och utveckla /försöksver</t>
        </is>
      </c>
      <c r="D143" s="1" t="n">
        <v>46196</v>
      </c>
      <c r="E143" s="1" t="n">
        <v>46304</v>
      </c>
      <c r="F143" t="inlineStr">
        <is>
          <t>KALMAR LÄN</t>
        </is>
      </c>
      <c r="G143" t="inlineStr">
        <is>
          <t>BORGHOLM</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34780-2022</t>
        </is>
      </c>
      <c r="B144" t="inlineStr">
        <is>
          <t>avverkningsanmälan</t>
        </is>
      </c>
      <c r="C144" t="inlineStr">
        <is>
          <t>Föryngringsavverkning</t>
        </is>
      </c>
      <c r="D144" s="1" t="n">
        <v>44795</v>
      </c>
      <c r="E144" s="1" t="n">
        <v>46304</v>
      </c>
      <c r="F144" t="inlineStr">
        <is>
          <t>KALMAR LÄN</t>
        </is>
      </c>
      <c r="G144" t="inlineStr">
        <is>
          <t>BORGHOLM</t>
        </is>
      </c>
      <c r="H144" t="inlineStr">
        <is>
          <t>Sveaskog</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28411-2026</t>
        </is>
      </c>
      <c r="B145" t="inlineStr">
        <is>
          <t>avverkningsanmälan</t>
        </is>
      </c>
      <c r="C145" t="inlineStr">
        <is>
          <t>Avverkning för att bevara och utveckla /försöksver</t>
        </is>
      </c>
      <c r="D145" s="1" t="n">
        <v>46197</v>
      </c>
      <c r="E145" s="1" t="n">
        <v>46304</v>
      </c>
      <c r="F145" t="inlineStr">
        <is>
          <t>KALMAR LÄN</t>
        </is>
      </c>
      <c r="G145" t="inlineStr">
        <is>
          <t>BORGHOLM</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29413-2026</t>
        </is>
      </c>
      <c r="B146" t="inlineStr">
        <is>
          <t>avverkningsanmälan</t>
        </is>
      </c>
      <c r="C146" t="inlineStr">
        <is>
          <t>Avverkning för att bevara och utveckla /försöksver</t>
        </is>
      </c>
      <c r="D146" s="1" t="n">
        <v>46203</v>
      </c>
      <c r="E146" s="1" t="n">
        <v>46304</v>
      </c>
      <c r="F146" t="inlineStr">
        <is>
          <t>KALMAR LÄN</t>
        </is>
      </c>
      <c r="G146" t="inlineStr">
        <is>
          <t>BORGHOLM</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29414-2026</t>
        </is>
      </c>
      <c r="B147" t="inlineStr">
        <is>
          <t>avverkningsanmälan</t>
        </is>
      </c>
      <c r="C147" t="inlineStr">
        <is>
          <t>Avverkning för att bevara och utveckla /försöksver</t>
        </is>
      </c>
      <c r="D147" s="1" t="n">
        <v>46203</v>
      </c>
      <c r="E147" s="1" t="n">
        <v>46304</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29431-2026</t>
        </is>
      </c>
      <c r="B148" t="inlineStr">
        <is>
          <t>avverkningsanmälan</t>
        </is>
      </c>
      <c r="C148" t="inlineStr">
        <is>
          <t>Avverkning för att bevara och utveckla /försöksver</t>
        </is>
      </c>
      <c r="D148" s="1" t="n">
        <v>46203</v>
      </c>
      <c r="E148" s="1" t="n">
        <v>46304</v>
      </c>
      <c r="F148" t="inlineStr">
        <is>
          <t>KALMAR LÄN</t>
        </is>
      </c>
      <c r="G148" t="inlineStr">
        <is>
          <t>BORGHOLM</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29410-2026</t>
        </is>
      </c>
      <c r="B149" t="inlineStr">
        <is>
          <t>avverkningsanmälan</t>
        </is>
      </c>
      <c r="C149" t="inlineStr">
        <is>
          <t>Avverkning för att bevara och utveckla /försöksver</t>
        </is>
      </c>
      <c r="D149" s="1" t="n">
        <v>46203</v>
      </c>
      <c r="E149" s="1" t="n">
        <v>46304</v>
      </c>
      <c r="F149" t="inlineStr">
        <is>
          <t>KALMAR LÄN</t>
        </is>
      </c>
      <c r="G149" t="inlineStr">
        <is>
          <t>BORGHOLM</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20287-2025</t>
        </is>
      </c>
      <c r="B150" t="inlineStr">
        <is>
          <t>avverkningsanmälan</t>
        </is>
      </c>
      <c r="C150" t="inlineStr">
        <is>
          <t>Avverkning för att bevara och utveckla /försöksver</t>
        </is>
      </c>
      <c r="D150" s="1" t="n">
        <v>45774</v>
      </c>
      <c r="E150" s="1" t="n">
        <v>46304</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26160-2024</t>
        </is>
      </c>
      <c r="B151" t="inlineStr">
        <is>
          <t>avverkningsanmälan</t>
        </is>
      </c>
      <c r="C151" t="inlineStr">
        <is>
          <t>Avverkning för annat ändamål</t>
        </is>
      </c>
      <c r="D151" s="1" t="n">
        <v>45468</v>
      </c>
      <c r="E151" s="1" t="n">
        <v>46304</v>
      </c>
      <c r="F151" t="inlineStr">
        <is>
          <t>KALMAR LÄN</t>
        </is>
      </c>
      <c r="G151" t="inlineStr">
        <is>
          <t>BORGHOLM</t>
        </is>
      </c>
      <c r="I151" t="n">
        <v>0.4</v>
      </c>
      <c r="J151" t="n">
        <v>0</v>
      </c>
      <c r="K151" t="n">
        <v>0</v>
      </c>
      <c r="L151" t="n">
        <v>0</v>
      </c>
      <c r="M151" t="n">
        <v>0</v>
      </c>
      <c r="N151" t="n">
        <v>0</v>
      </c>
      <c r="O151" t="n">
        <v>0</v>
      </c>
      <c r="P151" t="n">
        <v>0</v>
      </c>
      <c r="Q151" t="n">
        <v>0</v>
      </c>
      <c r="R151" t="n">
        <v>0</v>
      </c>
      <c r="S151" t="n">
        <v>0</v>
      </c>
      <c r="T151" t="n">
        <v>0</v>
      </c>
      <c r="U151" t="n">
        <v>0</v>
      </c>
      <c r="V151" s="2" t="inlineStr"/>
      <c r="X151">
        <f>HYPERLINK("https://klasma.github.io/Logging_0885/kartor/A 26160-2024 karta.png", "A 26160-2024")</f>
        <v/>
      </c>
      <c r="Y151">
        <f>HYPERLINK("https://klasma.github.io/Logging_0885/kartor_geotiff/A 26160-2024 georefererad karta.tif", "A 26160-2024")</f>
        <v/>
      </c>
      <c r="AA151">
        <f>HYPERLINK("https://klasma.github.io/Logging_0885/klagomål/A 26160-2024 FSC-klagomål.docx", "A 26160-2024")</f>
        <v/>
      </c>
      <c r="AB151">
        <f>HYPERLINK("https://klasma.github.io/Logging_0885/klagomålsmail/A 26160-2024 FSC-klagomål mail.docx", "A 26160-2024")</f>
        <v/>
      </c>
      <c r="AC151">
        <f>HYPERLINK("https://klasma.github.io/Logging_0885/tillsyn/A 26160-2024 tillsynsbegäran.docx", "A 26160-2024")</f>
        <v/>
      </c>
      <c r="AD151">
        <f>HYPERLINK("https://klasma.github.io/Logging_0885/tillsynsmail/A 26160-2024 tillsynsbegäran mail.docx", "A 26160-2024")</f>
        <v/>
      </c>
    </row>
    <row r="152" ht="15" customHeight="1">
      <c r="A152" t="inlineStr">
        <is>
          <t>A 63075-2023</t>
        </is>
      </c>
      <c r="B152" t="inlineStr">
        <is>
          <t>avverkningsanmälan</t>
        </is>
      </c>
      <c r="C152" t="inlineStr">
        <is>
          <t>Avverkning för annat ändamål</t>
        </is>
      </c>
      <c r="D152" s="1" t="n">
        <v>45273</v>
      </c>
      <c r="E152" s="1" t="n">
        <v>46304</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22785-2025</t>
        </is>
      </c>
      <c r="B153" t="inlineStr">
        <is>
          <t>avverkningsanmälan</t>
        </is>
      </c>
      <c r="C153" t="inlineStr">
        <is>
          <t>Föryngringsavverkning</t>
        </is>
      </c>
      <c r="D153" s="1" t="n">
        <v>45789</v>
      </c>
      <c r="E153" s="1" t="n">
        <v>46304</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40339-2023</t>
        </is>
      </c>
      <c r="B154" t="inlineStr">
        <is>
          <t>avverkningsanmälan</t>
        </is>
      </c>
      <c r="C154" t="inlineStr">
        <is>
          <t>Föryngringsavverkning</t>
        </is>
      </c>
      <c r="D154" s="1" t="n">
        <v>45169</v>
      </c>
      <c r="E154" s="1" t="n">
        <v>46304</v>
      </c>
      <c r="F154" t="inlineStr">
        <is>
          <t>KALMAR LÄN</t>
        </is>
      </c>
      <c r="G154" t="inlineStr">
        <is>
          <t>BORGHOLM</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26190-2025</t>
        </is>
      </c>
      <c r="B155" t="inlineStr">
        <is>
          <t>avverkningsanmälan</t>
        </is>
      </c>
      <c r="C155" t="inlineStr">
        <is>
          <t>Föryngringsavverkning</t>
        </is>
      </c>
      <c r="D155" s="1" t="n">
        <v>45805</v>
      </c>
      <c r="E155" s="1" t="n">
        <v>46304</v>
      </c>
      <c r="F155" t="inlineStr">
        <is>
          <t>KALMAR LÄN</t>
        </is>
      </c>
      <c r="G155" t="inlineStr">
        <is>
          <t>BORGHOLM</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24338-2026</t>
        </is>
      </c>
      <c r="B156" t="inlineStr">
        <is>
          <t>avverkningsanmälan</t>
        </is>
      </c>
      <c r="C156" t="inlineStr">
        <is>
          <t>Avverkning för att bevara och utveckla /försöksver</t>
        </is>
      </c>
      <c r="D156" s="1" t="n">
        <v>46169</v>
      </c>
      <c r="E156" s="1" t="n">
        <v>46304</v>
      </c>
      <c r="F156" t="inlineStr">
        <is>
          <t>KALMAR LÄN</t>
        </is>
      </c>
      <c r="G156" t="inlineStr">
        <is>
          <t>BORGHOLM</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4035-2022</t>
        </is>
      </c>
      <c r="B157" t="inlineStr">
        <is>
          <t>samrådsanmälan</t>
        </is>
      </c>
      <c r="C157" t="inlineStr">
        <is>
          <t>Annan skogsbruksåtgärd</t>
        </is>
      </c>
      <c r="D157" s="1" t="n">
        <v>44756</v>
      </c>
      <c r="E157" s="1" t="n">
        <v>46304</v>
      </c>
      <c r="F157" t="inlineStr">
        <is>
          <t>KALMAR LÄN</t>
        </is>
      </c>
      <c r="G157" t="inlineStr">
        <is>
          <t>BORGHOLM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605-2025</t>
        </is>
      </c>
      <c r="B158" t="inlineStr">
        <is>
          <t>samrådsanmälan</t>
        </is>
      </c>
      <c r="C158" t="inlineStr">
        <is>
          <t>Annan skogsbruksåtgärd</t>
        </is>
      </c>
      <c r="D158" s="1" t="n">
        <v>45713</v>
      </c>
      <c r="E158" s="1" t="n">
        <v>46304</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1762-2025</t>
        </is>
      </c>
      <c r="B159" t="inlineStr">
        <is>
          <t>samrådsanmälan</t>
        </is>
      </c>
      <c r="C159" t="inlineStr">
        <is>
          <t>Annan skogsbruksåtgärd</t>
        </is>
      </c>
      <c r="D159" s="1" t="n">
        <v>45812</v>
      </c>
      <c r="E159" s="1" t="n">
        <v>46304</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1760-2025</t>
        </is>
      </c>
      <c r="B160" t="inlineStr">
        <is>
          <t>samrådsanmälan</t>
        </is>
      </c>
      <c r="C160" t="inlineStr">
        <is>
          <t>Annan skogsbruksåtgärd</t>
        </is>
      </c>
      <c r="D160" s="1" t="n">
        <v>45812</v>
      </c>
      <c r="E160" s="1" t="n">
        <v>46304</v>
      </c>
      <c r="F160" t="inlineStr">
        <is>
          <t>KALMAR LÄN</t>
        </is>
      </c>
      <c r="G160" t="inlineStr">
        <is>
          <t>BORGHOLM</t>
        </is>
      </c>
      <c r="H160" t="inlineStr">
        <is>
          <t>Sveaskog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1123-2025</t>
        </is>
      </c>
      <c r="B161" t="inlineStr">
        <is>
          <t>samrådsanmälan</t>
        </is>
      </c>
      <c r="C161" t="inlineStr">
        <is>
          <t>Annan skogsbruksåtgärd</t>
        </is>
      </c>
      <c r="D161" s="1" t="n">
        <v>45754</v>
      </c>
      <c r="E161" s="1" t="n">
        <v>46304</v>
      </c>
      <c r="F161" t="inlineStr">
        <is>
          <t>KALMAR LÄN</t>
        </is>
      </c>
      <c r="G161" t="inlineStr">
        <is>
          <t>BORGHOLM</t>
        </is>
      </c>
      <c r="I161" t="n">
        <v>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842-2026</t>
        </is>
      </c>
      <c r="B162" t="inlineStr">
        <is>
          <t>samrådsanmälan</t>
        </is>
      </c>
      <c r="C162" t="inlineStr">
        <is>
          <t>Annan skogsbruksåtgärd</t>
        </is>
      </c>
      <c r="D162" s="1" t="n">
        <v>46105</v>
      </c>
      <c r="E162" s="1" t="n">
        <v>46304</v>
      </c>
      <c r="F162" t="inlineStr">
        <is>
          <t>KALMAR LÄN</t>
        </is>
      </c>
      <c r="G162" t="inlineStr">
        <is>
          <t>BORGHOLM</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843-2026</t>
        </is>
      </c>
      <c r="B163" t="inlineStr">
        <is>
          <t>samrådsanmälan</t>
        </is>
      </c>
      <c r="C163" t="inlineStr">
        <is>
          <t>Annan skogsbruksåtgärd</t>
        </is>
      </c>
      <c r="D163" s="1" t="n">
        <v>46105</v>
      </c>
      <c r="E163" s="1" t="n">
        <v>46304</v>
      </c>
      <c r="F163" t="inlineStr">
        <is>
          <t>KALMAR LÄN</t>
        </is>
      </c>
      <c r="G163" t="inlineStr">
        <is>
          <t>BORGHOLM</t>
        </is>
      </c>
      <c r="H163" t="inlineStr">
        <is>
          <t>Sveaskog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1556-2026</t>
        </is>
      </c>
      <c r="B164" t="inlineStr">
        <is>
          <t>samrådsanmälan</t>
        </is>
      </c>
      <c r="C164" t="inlineStr">
        <is>
          <t>Annan skogsbruksåtgärd</t>
        </is>
      </c>
      <c r="D164" s="1" t="n">
        <v>46169</v>
      </c>
      <c r="E164" s="1" t="n">
        <v>46304</v>
      </c>
      <c r="F164" t="inlineStr">
        <is>
          <t>KALMAR LÄN</t>
        </is>
      </c>
      <c r="G164" t="inlineStr">
        <is>
          <t>BORGHOLM</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46304</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46304</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1812-2026</t>
        </is>
      </c>
      <c r="B167" t="inlineStr">
        <is>
          <t>samrådsanmälan</t>
        </is>
      </c>
      <c r="C167" t="inlineStr">
        <is>
          <t>Annan skogsbruksåtgärd</t>
        </is>
      </c>
      <c r="D167" s="1" t="n">
        <v>46197</v>
      </c>
      <c r="E167" s="1" t="n">
        <v>46304</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1891-2026</t>
        </is>
      </c>
      <c r="B168" t="inlineStr">
        <is>
          <t>samrådsanmälan</t>
        </is>
      </c>
      <c r="C168" t="inlineStr">
        <is>
          <t>Annan skogsbruksåtgärd</t>
        </is>
      </c>
      <c r="D168" s="1" t="n">
        <v>46203</v>
      </c>
      <c r="E168" s="1" t="n">
        <v>46304</v>
      </c>
      <c r="F168" t="inlineStr">
        <is>
          <t>KALMAR LÄN</t>
        </is>
      </c>
      <c r="G168" t="inlineStr">
        <is>
          <t>BORGHOLM</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1885-2026</t>
        </is>
      </c>
      <c r="B169" t="inlineStr">
        <is>
          <t>samrådsanmälan</t>
        </is>
      </c>
      <c r="C169" t="inlineStr">
        <is>
          <t>Annan skogsbruksåtgärd</t>
        </is>
      </c>
      <c r="D169" s="1" t="n">
        <v>46203</v>
      </c>
      <c r="E169" s="1" t="n">
        <v>46304</v>
      </c>
      <c r="F169" t="inlineStr">
        <is>
          <t>KALMAR LÄN</t>
        </is>
      </c>
      <c r="G169" t="inlineStr">
        <is>
          <t>BORGHOLM</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1887-2026</t>
        </is>
      </c>
      <c r="B170" t="inlineStr">
        <is>
          <t>samrådsanmälan</t>
        </is>
      </c>
      <c r="C170" t="inlineStr">
        <is>
          <t>Annan skogsbruksåtgärd</t>
        </is>
      </c>
      <c r="D170" s="1" t="n">
        <v>46203</v>
      </c>
      <c r="E170" s="1" t="n">
        <v>46304</v>
      </c>
      <c r="F170" t="inlineStr">
        <is>
          <t>KALMAR LÄN</t>
        </is>
      </c>
      <c r="G170" t="inlineStr">
        <is>
          <t>BORGHOLM</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c r="A171" t="inlineStr">
        <is>
          <t>S 1888-2026</t>
        </is>
      </c>
      <c r="B171" t="inlineStr">
        <is>
          <t>samrådsanmälan</t>
        </is>
      </c>
      <c r="C171" t="inlineStr">
        <is>
          <t>Annan skogsbruksåtgärd</t>
        </is>
      </c>
      <c r="D171" s="1" t="n">
        <v>46203</v>
      </c>
      <c r="E171" s="1" t="n">
        <v>46304</v>
      </c>
      <c r="F171" t="inlineStr">
        <is>
          <t>KALMAR LÄN</t>
        </is>
      </c>
      <c r="G171" t="inlineStr">
        <is>
          <t>BORGHOLM</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2026-10-09T02:06:09Z</dcterms:created>
  <dcterms:modified xmlns:dcterms="http://purl.org/dc/terms/" xmlns:xsi="http://www.w3.org/2001/XMLSchema-instance" xsi:type="dcterms:W3CDTF">2026-10-09T02:06:09Z</dcterms:modified>
</cp:coreProperties>
</file>