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45995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45995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45995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45995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45995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45995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45995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45995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45995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45995</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45995</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45995</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45995</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32174-2022</t>
        </is>
      </c>
      <c r="B20" s="1" t="n">
        <v>44781</v>
      </c>
      <c r="C20" s="1" t="n">
        <v>45995</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38860-2025</t>
        </is>
      </c>
      <c r="B21" s="1" t="n">
        <v>45887.5609375</v>
      </c>
      <c r="C21" s="1" t="n">
        <v>45995</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13556-2025</t>
        </is>
      </c>
      <c r="B22" s="1" t="n">
        <v>45736.54759259259</v>
      </c>
      <c r="C22" s="1" t="n">
        <v>45995</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45995</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45995</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28779-2025</t>
        </is>
      </c>
      <c r="B25" s="1" t="n">
        <v>45820.44920138889</v>
      </c>
      <c r="C25" s="1" t="n">
        <v>45995</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4164-2023</t>
        </is>
      </c>
      <c r="B26" s="1" t="n">
        <v>44953</v>
      </c>
      <c r="C26" s="1" t="n">
        <v>45995</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45995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45995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45995</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45995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45995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45995</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13558-2025</t>
        </is>
      </c>
      <c r="B33" s="1" t="n">
        <v>45736.54974537037</v>
      </c>
      <c r="C33" s="1" t="n">
        <v>45995</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14789-2021</t>
        </is>
      </c>
      <c r="B34" s="1" t="n">
        <v>44280</v>
      </c>
      <c r="C34" s="1" t="n">
        <v>45995</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24701-2023</t>
        </is>
      </c>
      <c r="B35" s="1" t="n">
        <v>45084</v>
      </c>
      <c r="C35" s="1" t="n">
        <v>45995</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9745-2023</t>
        </is>
      </c>
      <c r="B36" s="1" t="n">
        <v>44984</v>
      </c>
      <c r="C36" s="1" t="n">
        <v>45995</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45995</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24704-2023</t>
        </is>
      </c>
      <c r="B38" s="1" t="n">
        <v>45084</v>
      </c>
      <c r="C38" s="1" t="n">
        <v>45995</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12785-2021</t>
        </is>
      </c>
      <c r="B39" s="1" t="n">
        <v>44270</v>
      </c>
      <c r="C39" s="1" t="n">
        <v>45995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45693-2025</t>
        </is>
      </c>
      <c r="B40" s="1" t="n">
        <v>45923</v>
      </c>
      <c r="C40" s="1" t="n">
        <v>45995</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24048-2025</t>
        </is>
      </c>
      <c r="B41" s="1" t="n">
        <v>45796.4959375</v>
      </c>
      <c r="C41" s="1" t="n">
        <v>45995</v>
      </c>
      <c r="D41" t="inlineStr">
        <is>
          <t>KALMAR LÄN</t>
        </is>
      </c>
      <c r="E41" t="inlineStr">
        <is>
          <t>BORGHOLM</t>
        </is>
      </c>
      <c r="G41" t="n">
        <v>2</v>
      </c>
      <c r="H41" t="n">
        <v>0</v>
      </c>
      <c r="I41" t="n">
        <v>0</v>
      </c>
      <c r="J41" t="n">
        <v>1</v>
      </c>
      <c r="K41" t="n">
        <v>0</v>
      </c>
      <c r="L41" t="n">
        <v>0</v>
      </c>
      <c r="M41" t="n">
        <v>0</v>
      </c>
      <c r="N41" t="n">
        <v>0</v>
      </c>
      <c r="O41" t="n">
        <v>1</v>
      </c>
      <c r="P41" t="n">
        <v>0</v>
      </c>
      <c r="Q41" t="n">
        <v>1</v>
      </c>
      <c r="R41" s="2" t="inlineStr">
        <is>
          <t>Loppstarr</t>
        </is>
      </c>
      <c r="S41">
        <f>HYPERLINK("https://klasma.github.io/Logging_0885/artfynd/A 24048-2025 artfynd.xlsx", "A 24048-2025")</f>
        <v/>
      </c>
      <c r="T41">
        <f>HYPERLINK("https://klasma.github.io/Logging_0885/kartor/A 24048-2025 karta.png", "A 24048-2025")</f>
        <v/>
      </c>
      <c r="V41">
        <f>HYPERLINK("https://klasma.github.io/Logging_0885/klagomål/A 24048-2025 FSC-klagomål.docx", "A 24048-2025")</f>
        <v/>
      </c>
      <c r="W41">
        <f>HYPERLINK("https://klasma.github.io/Logging_0885/klagomålsmail/A 24048-2025 FSC-klagomål mail.docx", "A 24048-2025")</f>
        <v/>
      </c>
      <c r="X41">
        <f>HYPERLINK("https://klasma.github.io/Logging_0885/tillsyn/A 24048-2025 tillsynsbegäran.docx", "A 24048-2025")</f>
        <v/>
      </c>
      <c r="Y41">
        <f>HYPERLINK("https://klasma.github.io/Logging_0885/tillsynsmail/A 24048-2025 tillsynsbegäran mail.docx", "A 24048-2025")</f>
        <v/>
      </c>
    </row>
    <row r="42" ht="15" customHeight="1">
      <c r="A42" t="inlineStr">
        <is>
          <t>A 41640-2023</t>
        </is>
      </c>
      <c r="B42" s="1" t="n">
        <v>45175</v>
      </c>
      <c r="C42" s="1" t="n">
        <v>45995</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28785-2025</t>
        </is>
      </c>
      <c r="B43" s="1" t="n">
        <v>45820.46159722222</v>
      </c>
      <c r="C43" s="1" t="n">
        <v>45995</v>
      </c>
      <c r="D43" t="inlineStr">
        <is>
          <t>KALMAR LÄN</t>
        </is>
      </c>
      <c r="E43" t="inlineStr">
        <is>
          <t>BORGHOLM</t>
        </is>
      </c>
      <c r="F43" t="inlineStr">
        <is>
          <t>Sveaskog</t>
        </is>
      </c>
      <c r="G43" t="n">
        <v>2.3</v>
      </c>
      <c r="H43" t="n">
        <v>1</v>
      </c>
      <c r="I43" t="n">
        <v>0</v>
      </c>
      <c r="J43" t="n">
        <v>1</v>
      </c>
      <c r="K43" t="n">
        <v>0</v>
      </c>
      <c r="L43" t="n">
        <v>0</v>
      </c>
      <c r="M43" t="n">
        <v>0</v>
      </c>
      <c r="N43" t="n">
        <v>0</v>
      </c>
      <c r="O43" t="n">
        <v>1</v>
      </c>
      <c r="P43" t="n">
        <v>0</v>
      </c>
      <c r="Q43" t="n">
        <v>1</v>
      </c>
      <c r="R43" s="2" t="inlineStr">
        <is>
          <t>Havsörn</t>
        </is>
      </c>
      <c r="S43">
        <f>HYPERLINK("https://klasma.github.io/Logging_0885/artfynd/A 28785-2025 artfynd.xlsx", "A 28785-2025")</f>
        <v/>
      </c>
      <c r="T43">
        <f>HYPERLINK("https://klasma.github.io/Logging_0885/kartor/A 28785-2025 karta.png", "A 28785-2025")</f>
        <v/>
      </c>
      <c r="V43">
        <f>HYPERLINK("https://klasma.github.io/Logging_0885/klagomål/A 28785-2025 FSC-klagomål.docx", "A 28785-2025")</f>
        <v/>
      </c>
      <c r="W43">
        <f>HYPERLINK("https://klasma.github.io/Logging_0885/klagomålsmail/A 28785-2025 FSC-klagomål mail.docx", "A 28785-2025")</f>
        <v/>
      </c>
      <c r="X43">
        <f>HYPERLINK("https://klasma.github.io/Logging_0885/tillsyn/A 28785-2025 tillsynsbegäran.docx", "A 28785-2025")</f>
        <v/>
      </c>
      <c r="Y43">
        <f>HYPERLINK("https://klasma.github.io/Logging_0885/tillsynsmail/A 28785-2025 tillsynsbegäran mail.docx", "A 28785-2025")</f>
        <v/>
      </c>
      <c r="Z43">
        <f>HYPERLINK("https://klasma.github.io/Logging_0885/fåglar/A 28785-2025 prioriterade fågelarter.docx", "A 28785-2025")</f>
        <v/>
      </c>
    </row>
    <row r="44" ht="15" customHeight="1">
      <c r="A44" t="inlineStr">
        <is>
          <t>A 29962-2025</t>
        </is>
      </c>
      <c r="B44" s="1" t="n">
        <v>45826.48184027777</v>
      </c>
      <c r="C44" s="1" t="n">
        <v>45995</v>
      </c>
      <c r="D44" t="inlineStr">
        <is>
          <t>KALMAR LÄN</t>
        </is>
      </c>
      <c r="E44" t="inlineStr">
        <is>
          <t>BORGHOLM</t>
        </is>
      </c>
      <c r="G44" t="n">
        <v>3.3</v>
      </c>
      <c r="H44" t="n">
        <v>1</v>
      </c>
      <c r="I44" t="n">
        <v>0</v>
      </c>
      <c r="J44" t="n">
        <v>0</v>
      </c>
      <c r="K44" t="n">
        <v>0</v>
      </c>
      <c r="L44" t="n">
        <v>0</v>
      </c>
      <c r="M44" t="n">
        <v>0</v>
      </c>
      <c r="N44" t="n">
        <v>0</v>
      </c>
      <c r="O44" t="n">
        <v>0</v>
      </c>
      <c r="P44" t="n">
        <v>0</v>
      </c>
      <c r="Q44" t="n">
        <v>1</v>
      </c>
      <c r="R44" s="2" t="inlineStr">
        <is>
          <t>Grönvit nattviol</t>
        </is>
      </c>
      <c r="S44">
        <f>HYPERLINK("https://klasma.github.io/Logging_0885/artfynd/A 29962-2025 artfynd.xlsx", "A 29962-2025")</f>
        <v/>
      </c>
      <c r="T44">
        <f>HYPERLINK("https://klasma.github.io/Logging_0885/kartor/A 29962-2025 karta.png", "A 29962-2025")</f>
        <v/>
      </c>
      <c r="V44">
        <f>HYPERLINK("https://klasma.github.io/Logging_0885/klagomål/A 29962-2025 FSC-klagomål.docx", "A 29962-2025")</f>
        <v/>
      </c>
      <c r="W44">
        <f>HYPERLINK("https://klasma.github.io/Logging_0885/klagomålsmail/A 29962-2025 FSC-klagomål mail.docx", "A 29962-2025")</f>
        <v/>
      </c>
      <c r="X44">
        <f>HYPERLINK("https://klasma.github.io/Logging_0885/tillsyn/A 29962-2025 tillsynsbegäran.docx", "A 29962-2025")</f>
        <v/>
      </c>
      <c r="Y44">
        <f>HYPERLINK("https://klasma.github.io/Logging_0885/tillsynsmail/A 29962-2025 tillsynsbegäran mail.docx", "A 29962-2025")</f>
        <v/>
      </c>
    </row>
    <row r="45" ht="15" customHeight="1">
      <c r="A45" t="inlineStr">
        <is>
          <t>A 34885-2025</t>
        </is>
      </c>
      <c r="B45" s="1" t="n">
        <v>45849.47128472223</v>
      </c>
      <c r="C45" s="1" t="n">
        <v>45995</v>
      </c>
      <c r="D45" t="inlineStr">
        <is>
          <t>KALMAR LÄN</t>
        </is>
      </c>
      <c r="E45" t="inlineStr">
        <is>
          <t>BORGHOLM</t>
        </is>
      </c>
      <c r="G45" t="n">
        <v>4.4</v>
      </c>
      <c r="H45" t="n">
        <v>0</v>
      </c>
      <c r="I45" t="n">
        <v>0</v>
      </c>
      <c r="J45" t="n">
        <v>1</v>
      </c>
      <c r="K45" t="n">
        <v>0</v>
      </c>
      <c r="L45" t="n">
        <v>0</v>
      </c>
      <c r="M45" t="n">
        <v>0</v>
      </c>
      <c r="N45" t="n">
        <v>0</v>
      </c>
      <c r="O45" t="n">
        <v>1</v>
      </c>
      <c r="P45" t="n">
        <v>0</v>
      </c>
      <c r="Q45" t="n">
        <v>1</v>
      </c>
      <c r="R45" s="2" t="inlineStr">
        <is>
          <t>Backfryle</t>
        </is>
      </c>
      <c r="S45">
        <f>HYPERLINK("https://klasma.github.io/Logging_0885/artfynd/A 34885-2025 artfynd.xlsx", "A 34885-2025")</f>
        <v/>
      </c>
      <c r="T45">
        <f>HYPERLINK("https://klasma.github.io/Logging_0885/kartor/A 34885-2025 karta.png", "A 34885-2025")</f>
        <v/>
      </c>
      <c r="V45">
        <f>HYPERLINK("https://klasma.github.io/Logging_0885/klagomål/A 34885-2025 FSC-klagomål.docx", "A 34885-2025")</f>
        <v/>
      </c>
      <c r="W45">
        <f>HYPERLINK("https://klasma.github.io/Logging_0885/klagomålsmail/A 34885-2025 FSC-klagomål mail.docx", "A 34885-2025")</f>
        <v/>
      </c>
      <c r="X45">
        <f>HYPERLINK("https://klasma.github.io/Logging_0885/tillsyn/A 34885-2025 tillsynsbegäran.docx", "A 34885-2025")</f>
        <v/>
      </c>
      <c r="Y45">
        <f>HYPERLINK("https://klasma.github.io/Logging_0885/tillsynsmail/A 34885-2025 tillsynsbegäran mail.docx", "A 34885-2025")</f>
        <v/>
      </c>
    </row>
    <row r="46" ht="15" customHeight="1">
      <c r="A46" t="inlineStr">
        <is>
          <t>A 12711-2021</t>
        </is>
      </c>
      <c r="B46" s="1" t="n">
        <v>44270</v>
      </c>
      <c r="C46" s="1" t="n">
        <v>45995</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45995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45995</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45995</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45995</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45995</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45995</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45995</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45995</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45995</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45995</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45995</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45995</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45995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4165-2023</t>
        </is>
      </c>
      <c r="B60" s="1" t="n">
        <v>44953</v>
      </c>
      <c r="C60" s="1" t="n">
        <v>45995</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61438-2023</t>
        </is>
      </c>
      <c r="B61" s="1" t="n">
        <v>45264</v>
      </c>
      <c r="C61" s="1" t="n">
        <v>45995</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32180-2022</t>
        </is>
      </c>
      <c r="B62" s="1" t="n">
        <v>44781</v>
      </c>
      <c r="C62" s="1" t="n">
        <v>45995</v>
      </c>
      <c r="D62" t="inlineStr">
        <is>
          <t>KALMAR LÄN</t>
        </is>
      </c>
      <c r="E62" t="inlineStr">
        <is>
          <t>BORGHOLM</t>
        </is>
      </c>
      <c r="F62" t="inlineStr">
        <is>
          <t>Sveaskog</t>
        </is>
      </c>
      <c r="G62" t="n">
        <v>0.9</v>
      </c>
      <c r="H62" t="n">
        <v>0</v>
      </c>
      <c r="I62" t="n">
        <v>0</v>
      </c>
      <c r="J62" t="n">
        <v>0</v>
      </c>
      <c r="K62" t="n">
        <v>0</v>
      </c>
      <c r="L62" t="n">
        <v>0</v>
      </c>
      <c r="M62" t="n">
        <v>0</v>
      </c>
      <c r="N62" t="n">
        <v>0</v>
      </c>
      <c r="O62" t="n">
        <v>0</v>
      </c>
      <c r="P62" t="n">
        <v>0</v>
      </c>
      <c r="Q62" t="n">
        <v>0</v>
      </c>
      <c r="R62" s="2" t="inlineStr"/>
    </row>
    <row r="63" ht="15" customHeight="1">
      <c r="A63" t="inlineStr">
        <is>
          <t>A 31699-2022</t>
        </is>
      </c>
      <c r="B63" s="1" t="n">
        <v>44776</v>
      </c>
      <c r="C63" s="1" t="n">
        <v>45995</v>
      </c>
      <c r="D63" t="inlineStr">
        <is>
          <t>KALMAR LÄN</t>
        </is>
      </c>
      <c r="E63" t="inlineStr">
        <is>
          <t>BORGHOLM</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9044-2025</t>
        </is>
      </c>
      <c r="B64" s="1" t="n">
        <v>45713.6275</v>
      </c>
      <c r="C64" s="1" t="n">
        <v>45995</v>
      </c>
      <c r="D64" t="inlineStr">
        <is>
          <t>KALMAR LÄN</t>
        </is>
      </c>
      <c r="E64" t="inlineStr">
        <is>
          <t>BORGHOLM</t>
        </is>
      </c>
      <c r="F64" t="inlineStr">
        <is>
          <t>Sveaskog</t>
        </is>
      </c>
      <c r="G64" t="n">
        <v>4</v>
      </c>
      <c r="H64" t="n">
        <v>0</v>
      </c>
      <c r="I64" t="n">
        <v>0</v>
      </c>
      <c r="J64" t="n">
        <v>0</v>
      </c>
      <c r="K64" t="n">
        <v>0</v>
      </c>
      <c r="L64" t="n">
        <v>0</v>
      </c>
      <c r="M64" t="n">
        <v>0</v>
      </c>
      <c r="N64" t="n">
        <v>0</v>
      </c>
      <c r="O64" t="n">
        <v>0</v>
      </c>
      <c r="P64" t="n">
        <v>0</v>
      </c>
      <c r="Q64" t="n">
        <v>0</v>
      </c>
      <c r="R64" s="2" t="inlineStr"/>
    </row>
    <row r="65" ht="15" customHeight="1">
      <c r="A65" t="inlineStr">
        <is>
          <t>A 13041-2024</t>
        </is>
      </c>
      <c r="B65" s="1" t="n">
        <v>45385.60065972222</v>
      </c>
      <c r="C65" s="1" t="n">
        <v>45995</v>
      </c>
      <c r="D65" t="inlineStr">
        <is>
          <t>KALMAR LÄN</t>
        </is>
      </c>
      <c r="E65" t="inlineStr">
        <is>
          <t>BORGHOLM</t>
        </is>
      </c>
      <c r="G65" t="n">
        <v>0.5</v>
      </c>
      <c r="H65" t="n">
        <v>0</v>
      </c>
      <c r="I65" t="n">
        <v>0</v>
      </c>
      <c r="J65" t="n">
        <v>0</v>
      </c>
      <c r="K65" t="n">
        <v>0</v>
      </c>
      <c r="L65" t="n">
        <v>0</v>
      </c>
      <c r="M65" t="n">
        <v>0</v>
      </c>
      <c r="N65" t="n">
        <v>0</v>
      </c>
      <c r="O65" t="n">
        <v>0</v>
      </c>
      <c r="P65" t="n">
        <v>0</v>
      </c>
      <c r="Q65" t="n">
        <v>0</v>
      </c>
      <c r="R65" s="2" t="inlineStr"/>
    </row>
    <row r="66" ht="15" customHeight="1">
      <c r="A66" t="inlineStr">
        <is>
          <t>A 13548-2025</t>
        </is>
      </c>
      <c r="B66" s="1" t="n">
        <v>45736.53827546296</v>
      </c>
      <c r="C66" s="1" t="n">
        <v>45995</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32921-2023</t>
        </is>
      </c>
      <c r="B67" s="1" t="n">
        <v>45125</v>
      </c>
      <c r="C67" s="1" t="n">
        <v>45995</v>
      </c>
      <c r="D67" t="inlineStr">
        <is>
          <t>KALMAR LÄN</t>
        </is>
      </c>
      <c r="E67" t="inlineStr">
        <is>
          <t>BORGHOLM</t>
        </is>
      </c>
      <c r="G67" t="n">
        <v>2.9</v>
      </c>
      <c r="H67" t="n">
        <v>0</v>
      </c>
      <c r="I67" t="n">
        <v>0</v>
      </c>
      <c r="J67" t="n">
        <v>0</v>
      </c>
      <c r="K67" t="n">
        <v>0</v>
      </c>
      <c r="L67" t="n">
        <v>0</v>
      </c>
      <c r="M67" t="n">
        <v>0</v>
      </c>
      <c r="N67" t="n">
        <v>0</v>
      </c>
      <c r="O67" t="n">
        <v>0</v>
      </c>
      <c r="P67" t="n">
        <v>0</v>
      </c>
      <c r="Q67" t="n">
        <v>0</v>
      </c>
      <c r="R67" s="2" t="inlineStr"/>
    </row>
    <row r="68" ht="15" customHeight="1">
      <c r="A68" t="inlineStr">
        <is>
          <t>A 31840-2021</t>
        </is>
      </c>
      <c r="B68" s="1" t="n">
        <v>44370</v>
      </c>
      <c r="C68" s="1" t="n">
        <v>45995</v>
      </c>
      <c r="D68" t="inlineStr">
        <is>
          <t>KALMAR LÄN</t>
        </is>
      </c>
      <c r="E68" t="inlineStr">
        <is>
          <t>BORGHOLM</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26160-2024</t>
        </is>
      </c>
      <c r="B69" s="1" t="n">
        <v>45468</v>
      </c>
      <c r="C69" s="1" t="n">
        <v>45995</v>
      </c>
      <c r="D69" t="inlineStr">
        <is>
          <t>KALMAR LÄN</t>
        </is>
      </c>
      <c r="E69" t="inlineStr">
        <is>
          <t>BORGHOLM</t>
        </is>
      </c>
      <c r="G69" t="n">
        <v>0.4</v>
      </c>
      <c r="H69" t="n">
        <v>0</v>
      </c>
      <c r="I69" t="n">
        <v>0</v>
      </c>
      <c r="J69" t="n">
        <v>0</v>
      </c>
      <c r="K69" t="n">
        <v>0</v>
      </c>
      <c r="L69" t="n">
        <v>0</v>
      </c>
      <c r="M69" t="n">
        <v>0</v>
      </c>
      <c r="N69" t="n">
        <v>0</v>
      </c>
      <c r="O69" t="n">
        <v>0</v>
      </c>
      <c r="P69" t="n">
        <v>0</v>
      </c>
      <c r="Q69" t="n">
        <v>0</v>
      </c>
      <c r="R69" s="2" t="inlineStr"/>
      <c r="T69">
        <f>HYPERLINK("https://klasma.github.io/Logging_0885/kartor/A 26160-2024 karta.png", "A 26160-2024")</f>
        <v/>
      </c>
      <c r="V69">
        <f>HYPERLINK("https://klasma.github.io/Logging_0885/klagomål/A 26160-2024 FSC-klagomål.docx", "A 26160-2024")</f>
        <v/>
      </c>
      <c r="W69">
        <f>HYPERLINK("https://klasma.github.io/Logging_0885/klagomålsmail/A 26160-2024 FSC-klagomål mail.docx", "A 26160-2024")</f>
        <v/>
      </c>
      <c r="X69">
        <f>HYPERLINK("https://klasma.github.io/Logging_0885/tillsyn/A 26160-2024 tillsynsbegäran.docx", "A 26160-2024")</f>
        <v/>
      </c>
      <c r="Y69">
        <f>HYPERLINK("https://klasma.github.io/Logging_0885/tillsynsmail/A 26160-2024 tillsynsbegäran mail.docx", "A 26160-2024")</f>
        <v/>
      </c>
    </row>
    <row r="70" ht="15" customHeight="1">
      <c r="A70" t="inlineStr">
        <is>
          <t>A 44678-2022</t>
        </is>
      </c>
      <c r="B70" s="1" t="n">
        <v>44840.65100694444</v>
      </c>
      <c r="C70" s="1" t="n">
        <v>45995</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1614-2025</t>
        </is>
      </c>
      <c r="B71" s="1" t="n">
        <v>45670.60094907408</v>
      </c>
      <c r="C71" s="1" t="n">
        <v>45995</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45995</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45995</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45995</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20878-2024</t>
        </is>
      </c>
      <c r="B75" s="1" t="n">
        <v>45439.44748842593</v>
      </c>
      <c r="C75" s="1" t="n">
        <v>45995</v>
      </c>
      <c r="D75" t="inlineStr">
        <is>
          <t>KALMAR LÄN</t>
        </is>
      </c>
      <c r="E75" t="inlineStr">
        <is>
          <t>BORGHOLM</t>
        </is>
      </c>
      <c r="G75" t="n">
        <v>1.9</v>
      </c>
      <c r="H75" t="n">
        <v>0</v>
      </c>
      <c r="I75" t="n">
        <v>0</v>
      </c>
      <c r="J75" t="n">
        <v>0</v>
      </c>
      <c r="K75" t="n">
        <v>0</v>
      </c>
      <c r="L75" t="n">
        <v>0</v>
      </c>
      <c r="M75" t="n">
        <v>0</v>
      </c>
      <c r="N75" t="n">
        <v>0</v>
      </c>
      <c r="O75" t="n">
        <v>0</v>
      </c>
      <c r="P75" t="n">
        <v>0</v>
      </c>
      <c r="Q75" t="n">
        <v>0</v>
      </c>
      <c r="R75" s="2" t="inlineStr"/>
    </row>
    <row r="76" ht="15" customHeight="1">
      <c r="A76" t="inlineStr">
        <is>
          <t>A 63276-2023</t>
        </is>
      </c>
      <c r="B76" s="1" t="n">
        <v>45273.82195601852</v>
      </c>
      <c r="C76" s="1" t="n">
        <v>45995</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64303-2023</t>
        </is>
      </c>
      <c r="B77" s="1" t="n">
        <v>45280</v>
      </c>
      <c r="C77" s="1" t="n">
        <v>45995</v>
      </c>
      <c r="D77" t="inlineStr">
        <is>
          <t>KALMAR LÄN</t>
        </is>
      </c>
      <c r="E77" t="inlineStr">
        <is>
          <t>BORGHOLM</t>
        </is>
      </c>
      <c r="G77" t="n">
        <v>1.2</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45995</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44547-2021</t>
        </is>
      </c>
      <c r="B79" s="1" t="n">
        <v>44435</v>
      </c>
      <c r="C79" s="1" t="n">
        <v>45995</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45995</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65144-2020</t>
        </is>
      </c>
      <c r="B81" s="1" t="n">
        <v>44172</v>
      </c>
      <c r="C81" s="1" t="n">
        <v>45995</v>
      </c>
      <c r="D81" t="inlineStr">
        <is>
          <t>KALMAR LÄN</t>
        </is>
      </c>
      <c r="E81" t="inlineStr">
        <is>
          <t>BORGHOLM</t>
        </is>
      </c>
      <c r="G81" t="n">
        <v>1.7</v>
      </c>
      <c r="H81" t="n">
        <v>0</v>
      </c>
      <c r="I81" t="n">
        <v>0</v>
      </c>
      <c r="J81" t="n">
        <v>0</v>
      </c>
      <c r="K81" t="n">
        <v>0</v>
      </c>
      <c r="L81" t="n">
        <v>0</v>
      </c>
      <c r="M81" t="n">
        <v>0</v>
      </c>
      <c r="N81" t="n">
        <v>0</v>
      </c>
      <c r="O81" t="n">
        <v>0</v>
      </c>
      <c r="P81" t="n">
        <v>0</v>
      </c>
      <c r="Q81" t="n">
        <v>0</v>
      </c>
      <c r="R81" s="2" t="inlineStr"/>
    </row>
    <row r="82" ht="15" customHeight="1">
      <c r="A82" t="inlineStr">
        <is>
          <t>A 44224-2025</t>
        </is>
      </c>
      <c r="B82" s="1" t="n">
        <v>45915</v>
      </c>
      <c r="C82" s="1" t="n">
        <v>45995</v>
      </c>
      <c r="D82" t="inlineStr">
        <is>
          <t>KALMAR LÄN</t>
        </is>
      </c>
      <c r="E82" t="inlineStr">
        <is>
          <t>BORGHOLM</t>
        </is>
      </c>
      <c r="G82" t="n">
        <v>1.3</v>
      </c>
      <c r="H82" t="n">
        <v>0</v>
      </c>
      <c r="I82" t="n">
        <v>0</v>
      </c>
      <c r="J82" t="n">
        <v>0</v>
      </c>
      <c r="K82" t="n">
        <v>0</v>
      </c>
      <c r="L82" t="n">
        <v>0</v>
      </c>
      <c r="M82" t="n">
        <v>0</v>
      </c>
      <c r="N82" t="n">
        <v>0</v>
      </c>
      <c r="O82" t="n">
        <v>0</v>
      </c>
      <c r="P82" t="n">
        <v>0</v>
      </c>
      <c r="Q82" t="n">
        <v>0</v>
      </c>
      <c r="R82" s="2" t="inlineStr"/>
    </row>
    <row r="83" ht="15" customHeight="1">
      <c r="A83" t="inlineStr">
        <is>
          <t>A 63075-2023</t>
        </is>
      </c>
      <c r="B83" s="1" t="n">
        <v>45273</v>
      </c>
      <c r="C83" s="1" t="n">
        <v>45995</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50129-2021</t>
        </is>
      </c>
      <c r="B84" s="1" t="n">
        <v>44456</v>
      </c>
      <c r="C84" s="1" t="n">
        <v>45995</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53050-2021</t>
        </is>
      </c>
      <c r="B85" s="1" t="n">
        <v>44467</v>
      </c>
      <c r="C85" s="1" t="n">
        <v>45995</v>
      </c>
      <c r="D85" t="inlineStr">
        <is>
          <t>KALMAR LÄN</t>
        </is>
      </c>
      <c r="E85" t="inlineStr">
        <is>
          <t>BORGHOLM</t>
        </is>
      </c>
      <c r="G85" t="n">
        <v>3.6</v>
      </c>
      <c r="H85" t="n">
        <v>0</v>
      </c>
      <c r="I85" t="n">
        <v>0</v>
      </c>
      <c r="J85" t="n">
        <v>0</v>
      </c>
      <c r="K85" t="n">
        <v>0</v>
      </c>
      <c r="L85" t="n">
        <v>0</v>
      </c>
      <c r="M85" t="n">
        <v>0</v>
      </c>
      <c r="N85" t="n">
        <v>0</v>
      </c>
      <c r="O85" t="n">
        <v>0</v>
      </c>
      <c r="P85" t="n">
        <v>0</v>
      </c>
      <c r="Q85" t="n">
        <v>0</v>
      </c>
      <c r="R85" s="2" t="inlineStr"/>
    </row>
    <row r="86" ht="15" customHeight="1">
      <c r="A86" t="inlineStr">
        <is>
          <t>A 9050-2025</t>
        </is>
      </c>
      <c r="B86" s="1" t="n">
        <v>45713.63512731482</v>
      </c>
      <c r="C86" s="1" t="n">
        <v>45995</v>
      </c>
      <c r="D86" t="inlineStr">
        <is>
          <t>KALMAR LÄN</t>
        </is>
      </c>
      <c r="E86" t="inlineStr">
        <is>
          <t>BORGHOLM</t>
        </is>
      </c>
      <c r="F86" t="inlineStr">
        <is>
          <t>Sveaskog</t>
        </is>
      </c>
      <c r="G86" t="n">
        <v>2.5</v>
      </c>
      <c r="H86" t="n">
        <v>0</v>
      </c>
      <c r="I86" t="n">
        <v>0</v>
      </c>
      <c r="J86" t="n">
        <v>0</v>
      </c>
      <c r="K86" t="n">
        <v>0</v>
      </c>
      <c r="L86" t="n">
        <v>0</v>
      </c>
      <c r="M86" t="n">
        <v>0</v>
      </c>
      <c r="N86" t="n">
        <v>0</v>
      </c>
      <c r="O86" t="n">
        <v>0</v>
      </c>
      <c r="P86" t="n">
        <v>0</v>
      </c>
      <c r="Q86" t="n">
        <v>0</v>
      </c>
      <c r="R86" s="2" t="inlineStr"/>
    </row>
    <row r="87" ht="15" customHeight="1">
      <c r="A87" t="inlineStr">
        <is>
          <t>A 31720-2022</t>
        </is>
      </c>
      <c r="B87" s="1" t="n">
        <v>44776</v>
      </c>
      <c r="C87" s="1" t="n">
        <v>45995</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45734-2025</t>
        </is>
      </c>
      <c r="B88" s="1" t="n">
        <v>45923.46512731481</v>
      </c>
      <c r="C88" s="1" t="n">
        <v>45995</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45869-2025</t>
        </is>
      </c>
      <c r="B89" s="1" t="n">
        <v>45923.65313657407</v>
      </c>
      <c r="C89" s="1" t="n">
        <v>45995</v>
      </c>
      <c r="D89" t="inlineStr">
        <is>
          <t>KALMAR LÄN</t>
        </is>
      </c>
      <c r="E89" t="inlineStr">
        <is>
          <t>BORGHOLM</t>
        </is>
      </c>
      <c r="G89" t="n">
        <v>4.5</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45995</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45995</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45995</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17699-2025</t>
        </is>
      </c>
      <c r="B93" s="1" t="n">
        <v>45758.41846064815</v>
      </c>
      <c r="C93" s="1" t="n">
        <v>45995</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45995</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13043-2024</t>
        </is>
      </c>
      <c r="B95" s="1" t="n">
        <v>45385.60111111111</v>
      </c>
      <c r="C95" s="1" t="n">
        <v>45995</v>
      </c>
      <c r="D95" t="inlineStr">
        <is>
          <t>KALMAR LÄN</t>
        </is>
      </c>
      <c r="E95" t="inlineStr">
        <is>
          <t>BORGHOLM</t>
        </is>
      </c>
      <c r="G95" t="n">
        <v>0.4</v>
      </c>
      <c r="H95" t="n">
        <v>0</v>
      </c>
      <c r="I95" t="n">
        <v>0</v>
      </c>
      <c r="J95" t="n">
        <v>0</v>
      </c>
      <c r="K95" t="n">
        <v>0</v>
      </c>
      <c r="L95" t="n">
        <v>0</v>
      </c>
      <c r="M95" t="n">
        <v>0</v>
      </c>
      <c r="N95" t="n">
        <v>0</v>
      </c>
      <c r="O95" t="n">
        <v>0</v>
      </c>
      <c r="P95" t="n">
        <v>0</v>
      </c>
      <c r="Q95" t="n">
        <v>0</v>
      </c>
      <c r="R95" s="2" t="inlineStr"/>
    </row>
    <row r="96" ht="15" customHeight="1">
      <c r="A96" t="inlineStr">
        <is>
          <t>A 34780-2022</t>
        </is>
      </c>
      <c r="B96" s="1" t="n">
        <v>44795</v>
      </c>
      <c r="C96" s="1" t="n">
        <v>45995</v>
      </c>
      <c r="D96" t="inlineStr">
        <is>
          <t>KALMAR LÄN</t>
        </is>
      </c>
      <c r="E96" t="inlineStr">
        <is>
          <t>BORGHOLM</t>
        </is>
      </c>
      <c r="F96" t="inlineStr">
        <is>
          <t>Sveaskog</t>
        </is>
      </c>
      <c r="G96" t="n">
        <v>6.7</v>
      </c>
      <c r="H96" t="n">
        <v>0</v>
      </c>
      <c r="I96" t="n">
        <v>0</v>
      </c>
      <c r="J96" t="n">
        <v>0</v>
      </c>
      <c r="K96" t="n">
        <v>0</v>
      </c>
      <c r="L96" t="n">
        <v>0</v>
      </c>
      <c r="M96" t="n">
        <v>0</v>
      </c>
      <c r="N96" t="n">
        <v>0</v>
      </c>
      <c r="O96" t="n">
        <v>0</v>
      </c>
      <c r="P96" t="n">
        <v>0</v>
      </c>
      <c r="Q96" t="n">
        <v>0</v>
      </c>
      <c r="R96" s="2" t="inlineStr"/>
    </row>
    <row r="97" ht="15" customHeight="1">
      <c r="A97" t="inlineStr">
        <is>
          <t>A 55367-2024</t>
        </is>
      </c>
      <c r="B97" s="1" t="n">
        <v>45621.87075231481</v>
      </c>
      <c r="C97" s="1" t="n">
        <v>45995</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20287-2025</t>
        </is>
      </c>
      <c r="B98" s="1" t="n">
        <v>45774.60741898148</v>
      </c>
      <c r="C98" s="1" t="n">
        <v>45995</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17978-2021</t>
        </is>
      </c>
      <c r="B99" s="1" t="n">
        <v>44301</v>
      </c>
      <c r="C99" s="1" t="n">
        <v>45995</v>
      </c>
      <c r="D99" t="inlineStr">
        <is>
          <t>KALMAR LÄN</t>
        </is>
      </c>
      <c r="E99" t="inlineStr">
        <is>
          <t>BORGHOLM</t>
        </is>
      </c>
      <c r="G99" t="n">
        <v>6</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45995</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22785-2025</t>
        </is>
      </c>
      <c r="B101" s="1" t="n">
        <v>45789.64186342592</v>
      </c>
      <c r="C101" s="1" t="n">
        <v>45995</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45995</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45995</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45995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4878-2021</t>
        </is>
      </c>
      <c r="B105" s="1" t="n">
        <v>44225</v>
      </c>
      <c r="C105" s="1" t="n">
        <v>45995</v>
      </c>
      <c r="D105" t="inlineStr">
        <is>
          <t>KALMAR LÄN</t>
        </is>
      </c>
      <c r="E105" t="inlineStr">
        <is>
          <t>BORGHOLM</t>
        </is>
      </c>
      <c r="G105" t="n">
        <v>3</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45995</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60141-2025</t>
        </is>
      </c>
      <c r="B107" s="1" t="n">
        <v>45994.36873842592</v>
      </c>
      <c r="C107" s="1" t="n">
        <v>45995</v>
      </c>
      <c r="D107" t="inlineStr">
        <is>
          <t>KALMAR LÄN</t>
        </is>
      </c>
      <c r="E107" t="inlineStr">
        <is>
          <t>BORGHOLM</t>
        </is>
      </c>
      <c r="G107" t="n">
        <v>0.7</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45995</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40339-2023</t>
        </is>
      </c>
      <c r="B109" s="1" t="n">
        <v>45169.62733796296</v>
      </c>
      <c r="C109" s="1" t="n">
        <v>45995</v>
      </c>
      <c r="D109" t="inlineStr">
        <is>
          <t>KALMAR LÄN</t>
        </is>
      </c>
      <c r="E109" t="inlineStr">
        <is>
          <t>BORGHOLM</t>
        </is>
      </c>
      <c r="G109" t="n">
        <v>3.8</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45995</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24166-2022</t>
        </is>
      </c>
      <c r="B111" s="1" t="n">
        <v>44725</v>
      </c>
      <c r="C111" s="1" t="n">
        <v>45995</v>
      </c>
      <c r="D111" t="inlineStr">
        <is>
          <t>KALMAR LÄN</t>
        </is>
      </c>
      <c r="E111" t="inlineStr">
        <is>
          <t>BORGHOLM</t>
        </is>
      </c>
      <c r="G111" t="n">
        <v>10.7</v>
      </c>
      <c r="H111" t="n">
        <v>0</v>
      </c>
      <c r="I111" t="n">
        <v>0</v>
      </c>
      <c r="J111" t="n">
        <v>0</v>
      </c>
      <c r="K111" t="n">
        <v>0</v>
      </c>
      <c r="L111" t="n">
        <v>0</v>
      </c>
      <c r="M111" t="n">
        <v>0</v>
      </c>
      <c r="N111" t="n">
        <v>0</v>
      </c>
      <c r="O111" t="n">
        <v>0</v>
      </c>
      <c r="P111" t="n">
        <v>0</v>
      </c>
      <c r="Q111" t="n">
        <v>0</v>
      </c>
      <c r="R111" s="2" t="inlineStr"/>
    </row>
    <row r="112" ht="15" customHeight="1">
      <c r="A112" t="inlineStr">
        <is>
          <t>A 26160-2025</t>
        </is>
      </c>
      <c r="B112" s="1" t="n">
        <v>45805.4490162037</v>
      </c>
      <c r="C112" s="1" t="n">
        <v>45995</v>
      </c>
      <c r="D112" t="inlineStr">
        <is>
          <t>KALMAR LÄN</t>
        </is>
      </c>
      <c r="E112" t="inlineStr">
        <is>
          <t>BORGHOLM</t>
        </is>
      </c>
      <c r="G112" t="n">
        <v>3.7</v>
      </c>
      <c r="H112" t="n">
        <v>0</v>
      </c>
      <c r="I112" t="n">
        <v>0</v>
      </c>
      <c r="J112" t="n">
        <v>0</v>
      </c>
      <c r="K112" t="n">
        <v>0</v>
      </c>
      <c r="L112" t="n">
        <v>0</v>
      </c>
      <c r="M112" t="n">
        <v>0</v>
      </c>
      <c r="N112" t="n">
        <v>0</v>
      </c>
      <c r="O112" t="n">
        <v>0</v>
      </c>
      <c r="P112" t="n">
        <v>0</v>
      </c>
      <c r="Q112" t="n">
        <v>0</v>
      </c>
      <c r="R112" s="2" t="inlineStr"/>
    </row>
    <row r="113" ht="15" customHeight="1">
      <c r="A113" t="inlineStr">
        <is>
          <t>A 26190-2025</t>
        </is>
      </c>
      <c r="B113" s="1" t="n">
        <v>45805.48349537037</v>
      </c>
      <c r="C113" s="1" t="n">
        <v>45995</v>
      </c>
      <c r="D113" t="inlineStr">
        <is>
          <t>KALMAR LÄN</t>
        </is>
      </c>
      <c r="E113" t="inlineStr">
        <is>
          <t>BORGHOLM</t>
        </is>
      </c>
      <c r="G113" t="n">
        <v>3.2</v>
      </c>
      <c r="H113" t="n">
        <v>0</v>
      </c>
      <c r="I113" t="n">
        <v>0</v>
      </c>
      <c r="J113" t="n">
        <v>0</v>
      </c>
      <c r="K113" t="n">
        <v>0</v>
      </c>
      <c r="L113" t="n">
        <v>0</v>
      </c>
      <c r="M113" t="n">
        <v>0</v>
      </c>
      <c r="N113" t="n">
        <v>0</v>
      </c>
      <c r="O113" t="n">
        <v>0</v>
      </c>
      <c r="P113" t="n">
        <v>0</v>
      </c>
      <c r="Q113" t="n">
        <v>0</v>
      </c>
      <c r="R113" s="2" t="inlineStr"/>
    </row>
    <row r="114" ht="15" customHeight="1">
      <c r="A114" t="inlineStr">
        <is>
          <t>A 27357-2025</t>
        </is>
      </c>
      <c r="B114" s="1" t="n">
        <v>45812.63650462963</v>
      </c>
      <c r="C114" s="1" t="n">
        <v>45995</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27366-2025</t>
        </is>
      </c>
      <c r="B115" s="1" t="n">
        <v>45812.64475694444</v>
      </c>
      <c r="C115" s="1" t="n">
        <v>45995</v>
      </c>
      <c r="D115" t="inlineStr">
        <is>
          <t>KALMAR LÄN</t>
        </is>
      </c>
      <c r="E115" t="inlineStr">
        <is>
          <t>BORGHOLM</t>
        </is>
      </c>
      <c r="F115" t="inlineStr">
        <is>
          <t>Sveaskog</t>
        </is>
      </c>
      <c r="G115" t="n">
        <v>2.5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45995</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28782-2025</t>
        </is>
      </c>
      <c r="B117" s="1" t="n">
        <v>45820.45572916666</v>
      </c>
      <c r="C117" s="1" t="n">
        <v>45995</v>
      </c>
      <c r="D117" t="inlineStr">
        <is>
          <t>KALMAR LÄN</t>
        </is>
      </c>
      <c r="E117" t="inlineStr">
        <is>
          <t>BORGHOLM</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19867-2024</t>
        </is>
      </c>
      <c r="B118" s="1" t="n">
        <v>45433</v>
      </c>
      <c r="C118" s="1" t="n">
        <v>45995</v>
      </c>
      <c r="D118" t="inlineStr">
        <is>
          <t>KALMAR LÄN</t>
        </is>
      </c>
      <c r="E118" t="inlineStr">
        <is>
          <t>BORGHOLM</t>
        </is>
      </c>
      <c r="G118" t="n">
        <v>3.9</v>
      </c>
      <c r="H118" t="n">
        <v>0</v>
      </c>
      <c r="I118" t="n">
        <v>0</v>
      </c>
      <c r="J118" t="n">
        <v>0</v>
      </c>
      <c r="K118" t="n">
        <v>0</v>
      </c>
      <c r="L118" t="n">
        <v>0</v>
      </c>
      <c r="M118" t="n">
        <v>0</v>
      </c>
      <c r="N118" t="n">
        <v>0</v>
      </c>
      <c r="O118" t="n">
        <v>0</v>
      </c>
      <c r="P118" t="n">
        <v>0</v>
      </c>
      <c r="Q118" t="n">
        <v>0</v>
      </c>
      <c r="R118" s="2" t="inlineStr"/>
    </row>
    <row r="119" ht="15" customHeight="1">
      <c r="A119" t="inlineStr">
        <is>
          <t>A 13383-2023</t>
        </is>
      </c>
      <c r="B119" s="1" t="n">
        <v>45005</v>
      </c>
      <c r="C119" s="1" t="n">
        <v>45995</v>
      </c>
      <c r="D119" t="inlineStr">
        <is>
          <t>KALMAR LÄN</t>
        </is>
      </c>
      <c r="E119" t="inlineStr">
        <is>
          <t>BORGHOLM</t>
        </is>
      </c>
      <c r="G119" t="n">
        <v>0.8</v>
      </c>
      <c r="H119" t="n">
        <v>0</v>
      </c>
      <c r="I119" t="n">
        <v>0</v>
      </c>
      <c r="J119" t="n">
        <v>0</v>
      </c>
      <c r="K119" t="n">
        <v>0</v>
      </c>
      <c r="L119" t="n">
        <v>0</v>
      </c>
      <c r="M119" t="n">
        <v>0</v>
      </c>
      <c r="N119" t="n">
        <v>0</v>
      </c>
      <c r="O119" t="n">
        <v>0</v>
      </c>
      <c r="P119" t="n">
        <v>0</v>
      </c>
      <c r="Q119" t="n">
        <v>0</v>
      </c>
      <c r="R119" s="2" t="inlineStr"/>
    </row>
    <row r="120" ht="15" customHeight="1">
      <c r="A120" t="inlineStr">
        <is>
          <t>A 12937-2022</t>
        </is>
      </c>
      <c r="B120" s="1" t="n">
        <v>44642</v>
      </c>
      <c r="C120" s="1" t="n">
        <v>45995</v>
      </c>
      <c r="D120" t="inlineStr">
        <is>
          <t>KALMAR LÄN</t>
        </is>
      </c>
      <c r="E120" t="inlineStr">
        <is>
          <t>BORGHOLM</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45995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c r="A122" t="inlineStr">
        <is>
          <t>A 36269-2025</t>
        </is>
      </c>
      <c r="B122" s="1" t="n">
        <v>45867.61736111111</v>
      </c>
      <c r="C122" s="1" t="n">
        <v>45995</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2025-12-04T10:28:17Z</dcterms:created>
  <dcterms:modified xmlns:dcterms="http://purl.org/dc/terms/" xmlns:xsi="http://www.w3.org/2001/XMLSchema-instance" xsi:type="dcterms:W3CDTF">2025-12-04T10:28:17Z</dcterms:modified>
</cp:coreProperties>
</file>