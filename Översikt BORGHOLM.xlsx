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45986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45986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45986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45986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45986</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45986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45986</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45986</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45986</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45986</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45986</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45986</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45986</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45986</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45986</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45986</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45986</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45986</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45986</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45986</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45986</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45986</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45986</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32174-2022</t>
        </is>
      </c>
      <c r="B25" s="1" t="n">
        <v>44781</v>
      </c>
      <c r="C25" s="1" t="n">
        <v>45986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45986</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4164-2023</t>
        </is>
      </c>
      <c r="B27" s="1" t="n">
        <v>44953</v>
      </c>
      <c r="C27" s="1" t="n">
        <v>45986</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3871-2021</t>
        </is>
      </c>
      <c r="B28" s="1" t="n">
        <v>44222</v>
      </c>
      <c r="C28" s="1" t="n">
        <v>45986</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45986</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45986</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45986</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24701-2023</t>
        </is>
      </c>
      <c r="B32" s="1" t="n">
        <v>45084</v>
      </c>
      <c r="C32" s="1" t="n">
        <v>45986</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45986</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45986</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45986</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45986</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45986</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45693-2025</t>
        </is>
      </c>
      <c r="B38" s="1" t="n">
        <v>45923</v>
      </c>
      <c r="C38" s="1" t="n">
        <v>45986</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24704-2023</t>
        </is>
      </c>
      <c r="B39" s="1" t="n">
        <v>45084</v>
      </c>
      <c r="C39" s="1" t="n">
        <v>45986</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34885-2025</t>
        </is>
      </c>
      <c r="B40" s="1" t="n">
        <v>45849.47128472223</v>
      </c>
      <c r="C40" s="1" t="n">
        <v>45986</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9745-2023</t>
        </is>
      </c>
      <c r="B41" s="1" t="n">
        <v>44984</v>
      </c>
      <c r="C41" s="1" t="n">
        <v>45986</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45986</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45986</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45986</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45986</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45986</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45986</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45986</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45986</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45986</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45986</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45986</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45986</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45986</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45986</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45986</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45986</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45986</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45986</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45986</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3878-2023</t>
        </is>
      </c>
      <c r="B61" s="1" t="n">
        <v>44951</v>
      </c>
      <c r="C61" s="1" t="n">
        <v>45986</v>
      </c>
      <c r="D61" t="inlineStr">
        <is>
          <t>KALMAR LÄN</t>
        </is>
      </c>
      <c r="E61" t="inlineStr">
        <is>
          <t>BORGHOLM</t>
        </is>
      </c>
      <c r="G61" t="n">
        <v>1.7</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45986</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45986</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17978-2021</t>
        </is>
      </c>
      <c r="B64" s="1" t="n">
        <v>44301</v>
      </c>
      <c r="C64" s="1" t="n">
        <v>45986</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22785-2025</t>
        </is>
      </c>
      <c r="B65" s="1" t="n">
        <v>45789.64186342592</v>
      </c>
      <c r="C65" s="1" t="n">
        <v>45986</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12534-2022</t>
        </is>
      </c>
      <c r="B66" s="1" t="n">
        <v>44638</v>
      </c>
      <c r="C66" s="1" t="n">
        <v>45986</v>
      </c>
      <c r="D66" t="inlineStr">
        <is>
          <t>KALMAR LÄN</t>
        </is>
      </c>
      <c r="E66" t="inlineStr">
        <is>
          <t>BORGHOLM</t>
        </is>
      </c>
      <c r="G66" t="n">
        <v>8.6</v>
      </c>
      <c r="H66" t="n">
        <v>0</v>
      </c>
      <c r="I66" t="n">
        <v>0</v>
      </c>
      <c r="J66" t="n">
        <v>0</v>
      </c>
      <c r="K66" t="n">
        <v>0</v>
      </c>
      <c r="L66" t="n">
        <v>0</v>
      </c>
      <c r="M66" t="n">
        <v>0</v>
      </c>
      <c r="N66" t="n">
        <v>0</v>
      </c>
      <c r="O66" t="n">
        <v>0</v>
      </c>
      <c r="P66" t="n">
        <v>0</v>
      </c>
      <c r="Q66" t="n">
        <v>0</v>
      </c>
      <c r="R66" s="2" t="inlineStr"/>
    </row>
    <row r="67" ht="15" customHeight="1">
      <c r="A67" t="inlineStr">
        <is>
          <t>A 40339-2023</t>
        </is>
      </c>
      <c r="B67" s="1" t="n">
        <v>45169.62733796296</v>
      </c>
      <c r="C67" s="1" t="n">
        <v>45986</v>
      </c>
      <c r="D67" t="inlineStr">
        <is>
          <t>KALMAR LÄN</t>
        </is>
      </c>
      <c r="E67" t="inlineStr">
        <is>
          <t>BORGHOLM</t>
        </is>
      </c>
      <c r="G67" t="n">
        <v>3.8</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45986</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45986</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45986</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26190-2025</t>
        </is>
      </c>
      <c r="B71" s="1" t="n">
        <v>45805.48349537037</v>
      </c>
      <c r="C71" s="1" t="n">
        <v>45986</v>
      </c>
      <c r="D71" t="inlineStr">
        <is>
          <t>KALMAR LÄN</t>
        </is>
      </c>
      <c r="E71" t="inlineStr">
        <is>
          <t>BORGHOLM</t>
        </is>
      </c>
      <c r="G71" t="n">
        <v>3.2</v>
      </c>
      <c r="H71" t="n">
        <v>0</v>
      </c>
      <c r="I71" t="n">
        <v>0</v>
      </c>
      <c r="J71" t="n">
        <v>0</v>
      </c>
      <c r="K71" t="n">
        <v>0</v>
      </c>
      <c r="L71" t="n">
        <v>0</v>
      </c>
      <c r="M71" t="n">
        <v>0</v>
      </c>
      <c r="N71" t="n">
        <v>0</v>
      </c>
      <c r="O71" t="n">
        <v>0</v>
      </c>
      <c r="P71" t="n">
        <v>0</v>
      </c>
      <c r="Q71" t="n">
        <v>0</v>
      </c>
      <c r="R71" s="2" t="inlineStr"/>
    </row>
    <row r="72" ht="15" customHeight="1">
      <c r="A72" t="inlineStr">
        <is>
          <t>A 26160-2025</t>
        </is>
      </c>
      <c r="B72" s="1" t="n">
        <v>45805.4490162037</v>
      </c>
      <c r="C72" s="1" t="n">
        <v>45986</v>
      </c>
      <c r="D72" t="inlineStr">
        <is>
          <t>KALMAR LÄN</t>
        </is>
      </c>
      <c r="E72" t="inlineStr">
        <is>
          <t>BORGHOLM</t>
        </is>
      </c>
      <c r="G72" t="n">
        <v>3.7</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45986</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43542-2025</t>
        </is>
      </c>
      <c r="B74" s="1" t="n">
        <v>45911.61123842592</v>
      </c>
      <c r="C74" s="1" t="n">
        <v>45986</v>
      </c>
      <c r="D74" t="inlineStr">
        <is>
          <t>KALMAR LÄN</t>
        </is>
      </c>
      <c r="E74" t="inlineStr">
        <is>
          <t>BORGHOLM</t>
        </is>
      </c>
      <c r="G74" t="n">
        <v>2.4</v>
      </c>
      <c r="H74" t="n">
        <v>0</v>
      </c>
      <c r="I74" t="n">
        <v>0</v>
      </c>
      <c r="J74" t="n">
        <v>0</v>
      </c>
      <c r="K74" t="n">
        <v>0</v>
      </c>
      <c r="L74" t="n">
        <v>0</v>
      </c>
      <c r="M74" t="n">
        <v>0</v>
      </c>
      <c r="N74" t="n">
        <v>0</v>
      </c>
      <c r="O74" t="n">
        <v>0</v>
      </c>
      <c r="P74" t="n">
        <v>0</v>
      </c>
      <c r="Q74" t="n">
        <v>0</v>
      </c>
      <c r="R74" s="2" t="inlineStr"/>
    </row>
    <row r="75" ht="15" customHeight="1">
      <c r="A75" t="inlineStr">
        <is>
          <t>A 64303-2023</t>
        </is>
      </c>
      <c r="B75" s="1" t="n">
        <v>45280</v>
      </c>
      <c r="C75" s="1" t="n">
        <v>45986</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27357-2025</t>
        </is>
      </c>
      <c r="B76" s="1" t="n">
        <v>45812.63650462963</v>
      </c>
      <c r="C76" s="1" t="n">
        <v>45986</v>
      </c>
      <c r="D76" t="inlineStr">
        <is>
          <t>KALMAR LÄN</t>
        </is>
      </c>
      <c r="E76" t="inlineStr">
        <is>
          <t>BORGHOLM</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44224-2025</t>
        </is>
      </c>
      <c r="B77" s="1" t="n">
        <v>45915</v>
      </c>
      <c r="C77" s="1" t="n">
        <v>45986</v>
      </c>
      <c r="D77" t="inlineStr">
        <is>
          <t>KALMAR LÄN</t>
        </is>
      </c>
      <c r="E77" t="inlineStr">
        <is>
          <t>BORGHOLM</t>
        </is>
      </c>
      <c r="G77" t="n">
        <v>1.3</v>
      </c>
      <c r="H77" t="n">
        <v>0</v>
      </c>
      <c r="I77" t="n">
        <v>0</v>
      </c>
      <c r="J77" t="n">
        <v>0</v>
      </c>
      <c r="K77" t="n">
        <v>0</v>
      </c>
      <c r="L77" t="n">
        <v>0</v>
      </c>
      <c r="M77" t="n">
        <v>0</v>
      </c>
      <c r="N77" t="n">
        <v>0</v>
      </c>
      <c r="O77" t="n">
        <v>0</v>
      </c>
      <c r="P77" t="n">
        <v>0</v>
      </c>
      <c r="Q77" t="n">
        <v>0</v>
      </c>
      <c r="R77" s="2" t="inlineStr"/>
    </row>
    <row r="78" ht="15" customHeight="1">
      <c r="A78" t="inlineStr">
        <is>
          <t>A 27366-2025</t>
        </is>
      </c>
      <c r="B78" s="1" t="n">
        <v>45812.64475694444</v>
      </c>
      <c r="C78" s="1" t="n">
        <v>45986</v>
      </c>
      <c r="D78" t="inlineStr">
        <is>
          <t>KALMAR LÄN</t>
        </is>
      </c>
      <c r="E78" t="inlineStr">
        <is>
          <t>BORGHOLM</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21908-2022</t>
        </is>
      </c>
      <c r="B79" s="1" t="n">
        <v>44711</v>
      </c>
      <c r="C79" s="1" t="n">
        <v>45986</v>
      </c>
      <c r="D79" t="inlineStr">
        <is>
          <t>KALMAR LÄN</t>
        </is>
      </c>
      <c r="E79" t="inlineStr">
        <is>
          <t>BORGHOLM</t>
        </is>
      </c>
      <c r="G79" t="n">
        <v>4.7</v>
      </c>
      <c r="H79" t="n">
        <v>0</v>
      </c>
      <c r="I79" t="n">
        <v>0</v>
      </c>
      <c r="J79" t="n">
        <v>0</v>
      </c>
      <c r="K79" t="n">
        <v>0</v>
      </c>
      <c r="L79" t="n">
        <v>0</v>
      </c>
      <c r="M79" t="n">
        <v>0</v>
      </c>
      <c r="N79" t="n">
        <v>0</v>
      </c>
      <c r="O79" t="n">
        <v>0</v>
      </c>
      <c r="P79" t="n">
        <v>0</v>
      </c>
      <c r="Q79" t="n">
        <v>0</v>
      </c>
      <c r="R79" s="2" t="inlineStr"/>
    </row>
    <row r="80" ht="15" customHeight="1">
      <c r="A80" t="inlineStr">
        <is>
          <t>A 55367-2024</t>
        </is>
      </c>
      <c r="B80" s="1" t="n">
        <v>45621.87075231481</v>
      </c>
      <c r="C80" s="1" t="n">
        <v>45986</v>
      </c>
      <c r="D80" t="inlineStr">
        <is>
          <t>KALMAR LÄN</t>
        </is>
      </c>
      <c r="E80" t="inlineStr">
        <is>
          <t>BORGHOLM</t>
        </is>
      </c>
      <c r="G80" t="n">
        <v>0.7</v>
      </c>
      <c r="H80" t="n">
        <v>0</v>
      </c>
      <c r="I80" t="n">
        <v>0</v>
      </c>
      <c r="J80" t="n">
        <v>0</v>
      </c>
      <c r="K80" t="n">
        <v>0</v>
      </c>
      <c r="L80" t="n">
        <v>0</v>
      </c>
      <c r="M80" t="n">
        <v>0</v>
      </c>
      <c r="N80" t="n">
        <v>0</v>
      </c>
      <c r="O80" t="n">
        <v>0</v>
      </c>
      <c r="P80" t="n">
        <v>0</v>
      </c>
      <c r="Q80" t="n">
        <v>0</v>
      </c>
      <c r="R80" s="2" t="inlineStr"/>
    </row>
    <row r="81" ht="15" customHeight="1">
      <c r="A81" t="inlineStr">
        <is>
          <t>A 28782-2025</t>
        </is>
      </c>
      <c r="B81" s="1" t="n">
        <v>45820.45572916666</v>
      </c>
      <c r="C81" s="1" t="n">
        <v>45986</v>
      </c>
      <c r="D81" t="inlineStr">
        <is>
          <t>KALMAR LÄN</t>
        </is>
      </c>
      <c r="E81" t="inlineStr">
        <is>
          <t>BORGHOLM</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45734-2025</t>
        </is>
      </c>
      <c r="B82" s="1" t="n">
        <v>45923.46512731481</v>
      </c>
      <c r="C82" s="1" t="n">
        <v>45986</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45869-2025</t>
        </is>
      </c>
      <c r="B83" s="1" t="n">
        <v>45923.65313657407</v>
      </c>
      <c r="C83" s="1" t="n">
        <v>45986</v>
      </c>
      <c r="D83" t="inlineStr">
        <is>
          <t>KALMAR LÄN</t>
        </is>
      </c>
      <c r="E83" t="inlineStr">
        <is>
          <t>BORGHOLM</t>
        </is>
      </c>
      <c r="G83" t="n">
        <v>4.5</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45986</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45986</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46845-2025</t>
        </is>
      </c>
      <c r="B86" s="1" t="n">
        <v>45928</v>
      </c>
      <c r="C86" s="1" t="n">
        <v>45986</v>
      </c>
      <c r="D86" t="inlineStr">
        <is>
          <t>KALMAR LÄN</t>
        </is>
      </c>
      <c r="E86" t="inlineStr">
        <is>
          <t>BORGHOLM</t>
        </is>
      </c>
      <c r="G86" t="n">
        <v>2.7</v>
      </c>
      <c r="H86" t="n">
        <v>0</v>
      </c>
      <c r="I86" t="n">
        <v>0</v>
      </c>
      <c r="J86" t="n">
        <v>0</v>
      </c>
      <c r="K86" t="n">
        <v>0</v>
      </c>
      <c r="L86" t="n">
        <v>0</v>
      </c>
      <c r="M86" t="n">
        <v>0</v>
      </c>
      <c r="N86" t="n">
        <v>0</v>
      </c>
      <c r="O86" t="n">
        <v>0</v>
      </c>
      <c r="P86" t="n">
        <v>0</v>
      </c>
      <c r="Q86" t="n">
        <v>0</v>
      </c>
      <c r="R86" s="2" t="inlineStr"/>
    </row>
    <row r="87" ht="15" customHeight="1">
      <c r="A87" t="inlineStr">
        <is>
          <t>A 4159-2024</t>
        </is>
      </c>
      <c r="B87" s="1" t="n">
        <v>45323</v>
      </c>
      <c r="C87" s="1" t="n">
        <v>45986</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32921-2023</t>
        </is>
      </c>
      <c r="B88" s="1" t="n">
        <v>45125</v>
      </c>
      <c r="C88" s="1" t="n">
        <v>45986</v>
      </c>
      <c r="D88" t="inlineStr">
        <is>
          <t>KALMAR LÄN</t>
        </is>
      </c>
      <c r="E88" t="inlineStr">
        <is>
          <t>BORGHOLM</t>
        </is>
      </c>
      <c r="G88" t="n">
        <v>2.9</v>
      </c>
      <c r="H88" t="n">
        <v>0</v>
      </c>
      <c r="I88" t="n">
        <v>0</v>
      </c>
      <c r="J88" t="n">
        <v>0</v>
      </c>
      <c r="K88" t="n">
        <v>0</v>
      </c>
      <c r="L88" t="n">
        <v>0</v>
      </c>
      <c r="M88" t="n">
        <v>0</v>
      </c>
      <c r="N88" t="n">
        <v>0</v>
      </c>
      <c r="O88" t="n">
        <v>0</v>
      </c>
      <c r="P88" t="n">
        <v>0</v>
      </c>
      <c r="Q88" t="n">
        <v>0</v>
      </c>
      <c r="R88" s="2" t="inlineStr"/>
    </row>
    <row r="89" ht="15" customHeight="1">
      <c r="A89" t="inlineStr">
        <is>
          <t>A 31699-2022</t>
        </is>
      </c>
      <c r="B89" s="1" t="n">
        <v>44776</v>
      </c>
      <c r="C89" s="1" t="n">
        <v>45986</v>
      </c>
      <c r="D89" t="inlineStr">
        <is>
          <t>KALMAR LÄN</t>
        </is>
      </c>
      <c r="E89" t="inlineStr">
        <is>
          <t>BORGHOLM</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63276-2023</t>
        </is>
      </c>
      <c r="B90" s="1" t="n">
        <v>45273.82195601852</v>
      </c>
      <c r="C90" s="1" t="n">
        <v>45986</v>
      </c>
      <c r="D90" t="inlineStr">
        <is>
          <t>KALMAR LÄN</t>
        </is>
      </c>
      <c r="E90" t="inlineStr">
        <is>
          <t>BORGHOLM</t>
        </is>
      </c>
      <c r="G90" t="n">
        <v>5</v>
      </c>
      <c r="H90" t="n">
        <v>0</v>
      </c>
      <c r="I90" t="n">
        <v>0</v>
      </c>
      <c r="J90" t="n">
        <v>0</v>
      </c>
      <c r="K90" t="n">
        <v>0</v>
      </c>
      <c r="L90" t="n">
        <v>0</v>
      </c>
      <c r="M90" t="n">
        <v>0</v>
      </c>
      <c r="N90" t="n">
        <v>0</v>
      </c>
      <c r="O90" t="n">
        <v>0</v>
      </c>
      <c r="P90" t="n">
        <v>0</v>
      </c>
      <c r="Q90" t="n">
        <v>0</v>
      </c>
      <c r="R90" s="2" t="inlineStr"/>
    </row>
    <row r="91" ht="15" customHeight="1">
      <c r="A91" t="inlineStr">
        <is>
          <t>A 1614-2025</t>
        </is>
      </c>
      <c r="B91" s="1" t="n">
        <v>45670.60094907408</v>
      </c>
      <c r="C91" s="1" t="n">
        <v>45986</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36269-2025</t>
        </is>
      </c>
      <c r="B92" s="1" t="n">
        <v>45867.61736111111</v>
      </c>
      <c r="C92" s="1" t="n">
        <v>45986</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9076-2025</t>
        </is>
      </c>
      <c r="B93" s="1" t="n">
        <v>45713.6596875</v>
      </c>
      <c r="C93" s="1" t="n">
        <v>45986</v>
      </c>
      <c r="D93" t="inlineStr">
        <is>
          <t>KALMAR LÄN</t>
        </is>
      </c>
      <c r="E93" t="inlineStr">
        <is>
          <t>BORGHOLM</t>
        </is>
      </c>
      <c r="F93" t="inlineStr">
        <is>
          <t>Sveaskog</t>
        </is>
      </c>
      <c r="G93" t="n">
        <v>4.2</v>
      </c>
      <c r="H93" t="n">
        <v>0</v>
      </c>
      <c r="I93" t="n">
        <v>0</v>
      </c>
      <c r="J93" t="n">
        <v>0</v>
      </c>
      <c r="K93" t="n">
        <v>0</v>
      </c>
      <c r="L93" t="n">
        <v>0</v>
      </c>
      <c r="M93" t="n">
        <v>0</v>
      </c>
      <c r="N93" t="n">
        <v>0</v>
      </c>
      <c r="O93" t="n">
        <v>0</v>
      </c>
      <c r="P93" t="n">
        <v>0</v>
      </c>
      <c r="Q93" t="n">
        <v>0</v>
      </c>
      <c r="R93" s="2" t="inlineStr"/>
    </row>
    <row r="94" ht="15" customHeight="1">
      <c r="A94" t="inlineStr">
        <is>
          <t>A 1757-2025</t>
        </is>
      </c>
      <c r="B94" s="1" t="n">
        <v>45671.42195601852</v>
      </c>
      <c r="C94" s="1" t="n">
        <v>45986</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7960-2023</t>
        </is>
      </c>
      <c r="B95" s="1" t="n">
        <v>44973</v>
      </c>
      <c r="C95" s="1" t="n">
        <v>45986</v>
      </c>
      <c r="D95" t="inlineStr">
        <is>
          <t>KALMAR LÄN</t>
        </is>
      </c>
      <c r="E95" t="inlineStr">
        <is>
          <t>BORGHOLM</t>
        </is>
      </c>
      <c r="G95" t="n">
        <v>2.1</v>
      </c>
      <c r="H95" t="n">
        <v>0</v>
      </c>
      <c r="I95" t="n">
        <v>0</v>
      </c>
      <c r="J95" t="n">
        <v>0</v>
      </c>
      <c r="K95" t="n">
        <v>0</v>
      </c>
      <c r="L95" t="n">
        <v>0</v>
      </c>
      <c r="M95" t="n">
        <v>0</v>
      </c>
      <c r="N95" t="n">
        <v>0</v>
      </c>
      <c r="O95" t="n">
        <v>0</v>
      </c>
      <c r="P95" t="n">
        <v>0</v>
      </c>
      <c r="Q95" t="n">
        <v>0</v>
      </c>
      <c r="R95" s="2" t="inlineStr"/>
    </row>
    <row r="96" ht="15" customHeight="1">
      <c r="A96" t="inlineStr">
        <is>
          <t>A 29656-2023</t>
        </is>
      </c>
      <c r="B96" s="1" t="n">
        <v>45107</v>
      </c>
      <c r="C96" s="1" t="n">
        <v>45986</v>
      </c>
      <c r="D96" t="inlineStr">
        <is>
          <t>KALMAR LÄN</t>
        </is>
      </c>
      <c r="E96" t="inlineStr">
        <is>
          <t>BORGHOLM</t>
        </is>
      </c>
      <c r="G96" t="n">
        <v>4.1</v>
      </c>
      <c r="H96" t="n">
        <v>0</v>
      </c>
      <c r="I96" t="n">
        <v>0</v>
      </c>
      <c r="J96" t="n">
        <v>0</v>
      </c>
      <c r="K96" t="n">
        <v>0</v>
      </c>
      <c r="L96" t="n">
        <v>0</v>
      </c>
      <c r="M96" t="n">
        <v>0</v>
      </c>
      <c r="N96" t="n">
        <v>0</v>
      </c>
      <c r="O96" t="n">
        <v>0</v>
      </c>
      <c r="P96" t="n">
        <v>0</v>
      </c>
      <c r="Q96" t="n">
        <v>0</v>
      </c>
      <c r="R96" s="2" t="inlineStr"/>
    </row>
    <row r="97" ht="15" customHeight="1">
      <c r="A97" t="inlineStr">
        <is>
          <t>A 9050-2025</t>
        </is>
      </c>
      <c r="B97" s="1" t="n">
        <v>45713.63512731482</v>
      </c>
      <c r="C97" s="1" t="n">
        <v>45986</v>
      </c>
      <c r="D97" t="inlineStr">
        <is>
          <t>KALMAR LÄN</t>
        </is>
      </c>
      <c r="E97" t="inlineStr">
        <is>
          <t>BORGHOLM</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45986</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45986</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32919-2023</t>
        </is>
      </c>
      <c r="B100" s="1" t="n">
        <v>45125</v>
      </c>
      <c r="C100" s="1" t="n">
        <v>45986</v>
      </c>
      <c r="D100" t="inlineStr">
        <is>
          <t>KALMAR LÄN</t>
        </is>
      </c>
      <c r="E100" t="inlineStr">
        <is>
          <t>BORGHOLM</t>
        </is>
      </c>
      <c r="G100" t="n">
        <v>2.7</v>
      </c>
      <c r="H100" t="n">
        <v>0</v>
      </c>
      <c r="I100" t="n">
        <v>0</v>
      </c>
      <c r="J100" t="n">
        <v>0</v>
      </c>
      <c r="K100" t="n">
        <v>0</v>
      </c>
      <c r="L100" t="n">
        <v>0</v>
      </c>
      <c r="M100" t="n">
        <v>0</v>
      </c>
      <c r="N100" t="n">
        <v>0</v>
      </c>
      <c r="O100" t="n">
        <v>0</v>
      </c>
      <c r="P100" t="n">
        <v>0</v>
      </c>
      <c r="Q100" t="n">
        <v>0</v>
      </c>
      <c r="R100" s="2" t="inlineStr"/>
    </row>
    <row r="101" ht="15" customHeight="1">
      <c r="A101" t="inlineStr">
        <is>
          <t>A 44678-2022</t>
        </is>
      </c>
      <c r="B101" s="1" t="n">
        <v>44840.65100694444</v>
      </c>
      <c r="C101" s="1" t="n">
        <v>45986</v>
      </c>
      <c r="D101" t="inlineStr">
        <is>
          <t>KALMAR LÄN</t>
        </is>
      </c>
      <c r="E101" t="inlineStr">
        <is>
          <t>BORGHOLM</t>
        </is>
      </c>
      <c r="G101" t="n">
        <v>2.4</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45986</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45986</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45986</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45986</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19867-2024</t>
        </is>
      </c>
      <c r="B106" s="1" t="n">
        <v>45433</v>
      </c>
      <c r="C106" s="1" t="n">
        <v>45986</v>
      </c>
      <c r="D106" t="inlineStr">
        <is>
          <t>KALMAR LÄN</t>
        </is>
      </c>
      <c r="E106" t="inlineStr">
        <is>
          <t>BORGHOLM</t>
        </is>
      </c>
      <c r="G106" t="n">
        <v>3.9</v>
      </c>
      <c r="H106" t="n">
        <v>0</v>
      </c>
      <c r="I106" t="n">
        <v>0</v>
      </c>
      <c r="J106" t="n">
        <v>0</v>
      </c>
      <c r="K106" t="n">
        <v>0</v>
      </c>
      <c r="L106" t="n">
        <v>0</v>
      </c>
      <c r="M106" t="n">
        <v>0</v>
      </c>
      <c r="N106" t="n">
        <v>0</v>
      </c>
      <c r="O106" t="n">
        <v>0</v>
      </c>
      <c r="P106" t="n">
        <v>0</v>
      </c>
      <c r="Q106" t="n">
        <v>0</v>
      </c>
      <c r="R106" s="2" t="inlineStr"/>
    </row>
    <row r="107" ht="15" customHeight="1">
      <c r="A107" t="inlineStr">
        <is>
          <t>A 13383-2023</t>
        </is>
      </c>
      <c r="B107" s="1" t="n">
        <v>45005</v>
      </c>
      <c r="C107" s="1" t="n">
        <v>45986</v>
      </c>
      <c r="D107" t="inlineStr">
        <is>
          <t>KALMAR LÄN</t>
        </is>
      </c>
      <c r="E107" t="inlineStr">
        <is>
          <t>BORGHOLM</t>
        </is>
      </c>
      <c r="G107" t="n">
        <v>0.8</v>
      </c>
      <c r="H107" t="n">
        <v>0</v>
      </c>
      <c r="I107" t="n">
        <v>0</v>
      </c>
      <c r="J107" t="n">
        <v>0</v>
      </c>
      <c r="K107" t="n">
        <v>0</v>
      </c>
      <c r="L107" t="n">
        <v>0</v>
      </c>
      <c r="M107" t="n">
        <v>0</v>
      </c>
      <c r="N107" t="n">
        <v>0</v>
      </c>
      <c r="O107" t="n">
        <v>0</v>
      </c>
      <c r="P107" t="n">
        <v>0</v>
      </c>
      <c r="Q107" t="n">
        <v>0</v>
      </c>
      <c r="R107" s="2" t="inlineStr"/>
    </row>
    <row r="108" ht="15" customHeight="1">
      <c r="A108" t="inlineStr">
        <is>
          <t>A 61438-2023</t>
        </is>
      </c>
      <c r="B108" s="1" t="n">
        <v>45264</v>
      </c>
      <c r="C108" s="1" t="n">
        <v>45986</v>
      </c>
      <c r="D108" t="inlineStr">
        <is>
          <t>KALMAR LÄN</t>
        </is>
      </c>
      <c r="E108" t="inlineStr">
        <is>
          <t>BORGHOLM</t>
        </is>
      </c>
      <c r="G108" t="n">
        <v>1.1</v>
      </c>
      <c r="H108" t="n">
        <v>0</v>
      </c>
      <c r="I108" t="n">
        <v>0</v>
      </c>
      <c r="J108" t="n">
        <v>0</v>
      </c>
      <c r="K108" t="n">
        <v>0</v>
      </c>
      <c r="L108" t="n">
        <v>0</v>
      </c>
      <c r="M108" t="n">
        <v>0</v>
      </c>
      <c r="N108" t="n">
        <v>0</v>
      </c>
      <c r="O108" t="n">
        <v>0</v>
      </c>
      <c r="P108" t="n">
        <v>0</v>
      </c>
      <c r="Q108" t="n">
        <v>0</v>
      </c>
      <c r="R108" s="2" t="inlineStr"/>
    </row>
    <row r="109" ht="15" customHeight="1">
      <c r="A109" t="inlineStr">
        <is>
          <t>A 13041-2024</t>
        </is>
      </c>
      <c r="B109" s="1" t="n">
        <v>45385.60065972222</v>
      </c>
      <c r="C109" s="1" t="n">
        <v>45986</v>
      </c>
      <c r="D109" t="inlineStr">
        <is>
          <t>KALMAR LÄN</t>
        </is>
      </c>
      <c r="E109" t="inlineStr">
        <is>
          <t>BORGHOLM</t>
        </is>
      </c>
      <c r="G109" t="n">
        <v>0.5</v>
      </c>
      <c r="H109" t="n">
        <v>0</v>
      </c>
      <c r="I109" t="n">
        <v>0</v>
      </c>
      <c r="J109" t="n">
        <v>0</v>
      </c>
      <c r="K109" t="n">
        <v>0</v>
      </c>
      <c r="L109" t="n">
        <v>0</v>
      </c>
      <c r="M109" t="n">
        <v>0</v>
      </c>
      <c r="N109" t="n">
        <v>0</v>
      </c>
      <c r="O109" t="n">
        <v>0</v>
      </c>
      <c r="P109" t="n">
        <v>0</v>
      </c>
      <c r="Q109" t="n">
        <v>0</v>
      </c>
      <c r="R109" s="2" t="inlineStr"/>
    </row>
    <row r="110" ht="15" customHeight="1">
      <c r="A110" t="inlineStr">
        <is>
          <t>A 53050-2021</t>
        </is>
      </c>
      <c r="B110" s="1" t="n">
        <v>44467</v>
      </c>
      <c r="C110" s="1" t="n">
        <v>45986</v>
      </c>
      <c r="D110" t="inlineStr">
        <is>
          <t>KALMAR LÄN</t>
        </is>
      </c>
      <c r="E110" t="inlineStr">
        <is>
          <t>BORGHOLM</t>
        </is>
      </c>
      <c r="G110" t="n">
        <v>3.6</v>
      </c>
      <c r="H110" t="n">
        <v>0</v>
      </c>
      <c r="I110" t="n">
        <v>0</v>
      </c>
      <c r="J110" t="n">
        <v>0</v>
      </c>
      <c r="K110" t="n">
        <v>0</v>
      </c>
      <c r="L110" t="n">
        <v>0</v>
      </c>
      <c r="M110" t="n">
        <v>0</v>
      </c>
      <c r="N110" t="n">
        <v>0</v>
      </c>
      <c r="O110" t="n">
        <v>0</v>
      </c>
      <c r="P110" t="n">
        <v>0</v>
      </c>
      <c r="Q110" t="n">
        <v>0</v>
      </c>
      <c r="R110" s="2" t="inlineStr"/>
    </row>
    <row r="111" ht="15" customHeight="1">
      <c r="A111" t="inlineStr">
        <is>
          <t>A 4165-2023</t>
        </is>
      </c>
      <c r="B111" s="1" t="n">
        <v>44953</v>
      </c>
      <c r="C111" s="1" t="n">
        <v>45986</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50129-2021</t>
        </is>
      </c>
      <c r="B112" s="1" t="n">
        <v>44456</v>
      </c>
      <c r="C112" s="1" t="n">
        <v>45986</v>
      </c>
      <c r="D112" t="inlineStr">
        <is>
          <t>KALMAR LÄN</t>
        </is>
      </c>
      <c r="E112" t="inlineStr">
        <is>
          <t>BORGHOLM</t>
        </is>
      </c>
      <c r="G112" t="n">
        <v>1.6</v>
      </c>
      <c r="H112" t="n">
        <v>0</v>
      </c>
      <c r="I112" t="n">
        <v>0</v>
      </c>
      <c r="J112" t="n">
        <v>0</v>
      </c>
      <c r="K112" t="n">
        <v>0</v>
      </c>
      <c r="L112" t="n">
        <v>0</v>
      </c>
      <c r="M112" t="n">
        <v>0</v>
      </c>
      <c r="N112" t="n">
        <v>0</v>
      </c>
      <c r="O112" t="n">
        <v>0</v>
      </c>
      <c r="P112" t="n">
        <v>0</v>
      </c>
      <c r="Q112" t="n">
        <v>0</v>
      </c>
      <c r="R112" s="2" t="inlineStr"/>
    </row>
    <row r="113" ht="15" customHeight="1">
      <c r="A113" t="inlineStr">
        <is>
          <t>A 13043-2024</t>
        </is>
      </c>
      <c r="B113" s="1" t="n">
        <v>45385.60111111111</v>
      </c>
      <c r="C113" s="1" t="n">
        <v>45986</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45986</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9044-2025</t>
        </is>
      </c>
      <c r="B115" s="1" t="n">
        <v>45713.6275</v>
      </c>
      <c r="C115" s="1" t="n">
        <v>45986</v>
      </c>
      <c r="D115" t="inlineStr">
        <is>
          <t>KALMAR LÄN</t>
        </is>
      </c>
      <c r="E115" t="inlineStr">
        <is>
          <t>BORGHOLM</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20878-2024</t>
        </is>
      </c>
      <c r="B116" s="1" t="n">
        <v>45439.44748842593</v>
      </c>
      <c r="C116" s="1" t="n">
        <v>45986</v>
      </c>
      <c r="D116" t="inlineStr">
        <is>
          <t>KALMAR LÄN</t>
        </is>
      </c>
      <c r="E116" t="inlineStr">
        <is>
          <t>BORGHOLM</t>
        </is>
      </c>
      <c r="G116" t="n">
        <v>1.9</v>
      </c>
      <c r="H116" t="n">
        <v>0</v>
      </c>
      <c r="I116" t="n">
        <v>0</v>
      </c>
      <c r="J116" t="n">
        <v>0</v>
      </c>
      <c r="K116" t="n">
        <v>0</v>
      </c>
      <c r="L116" t="n">
        <v>0</v>
      </c>
      <c r="M116" t="n">
        <v>0</v>
      </c>
      <c r="N116" t="n">
        <v>0</v>
      </c>
      <c r="O116" t="n">
        <v>0</v>
      </c>
      <c r="P116" t="n">
        <v>0</v>
      </c>
      <c r="Q116" t="n">
        <v>0</v>
      </c>
      <c r="R116" s="2" t="inlineStr"/>
    </row>
    <row r="117" ht="15" customHeight="1">
      <c r="A117" t="inlineStr">
        <is>
          <t>A 17699-2025</t>
        </is>
      </c>
      <c r="B117" s="1" t="n">
        <v>45758.41846064815</v>
      </c>
      <c r="C117" s="1" t="n">
        <v>45986</v>
      </c>
      <c r="D117" t="inlineStr">
        <is>
          <t>KALMAR LÄN</t>
        </is>
      </c>
      <c r="E117" t="inlineStr">
        <is>
          <t>BORGHOLM</t>
        </is>
      </c>
      <c r="G117" t="n">
        <v>0.7</v>
      </c>
      <c r="H117" t="n">
        <v>0</v>
      </c>
      <c r="I117" t="n">
        <v>0</v>
      </c>
      <c r="J117" t="n">
        <v>0</v>
      </c>
      <c r="K117" t="n">
        <v>0</v>
      </c>
      <c r="L117" t="n">
        <v>0</v>
      </c>
      <c r="M117" t="n">
        <v>0</v>
      </c>
      <c r="N117" t="n">
        <v>0</v>
      </c>
      <c r="O117" t="n">
        <v>0</v>
      </c>
      <c r="P117" t="n">
        <v>0</v>
      </c>
      <c r="Q117" t="n">
        <v>0</v>
      </c>
      <c r="R117" s="2" t="inlineStr"/>
    </row>
    <row r="118" ht="15" customHeight="1">
      <c r="A118" t="inlineStr">
        <is>
          <t>A 20287-2025</t>
        </is>
      </c>
      <c r="B118" s="1" t="n">
        <v>45774.60741898148</v>
      </c>
      <c r="C118" s="1" t="n">
        <v>45986</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26160-2024</t>
        </is>
      </c>
      <c r="B119" s="1" t="n">
        <v>45468</v>
      </c>
      <c r="C119" s="1" t="n">
        <v>45986</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c r="T119">
        <f>HYPERLINK("https://klasma.github.io/Logging_0885/kartor/A 26160-2024 karta.png", "A 26160-2024")</f>
        <v/>
      </c>
      <c r="V119">
        <f>HYPERLINK("https://klasma.github.io/Logging_0885/klagomål/A 26160-2024 FSC-klagomål.docx", "A 26160-2024")</f>
        <v/>
      </c>
      <c r="W119">
        <f>HYPERLINK("https://klasma.github.io/Logging_0885/klagomålsmail/A 26160-2024 FSC-klagomål mail.docx", "A 26160-2024")</f>
        <v/>
      </c>
      <c r="X119">
        <f>HYPERLINK("https://klasma.github.io/Logging_0885/tillsyn/A 26160-2024 tillsynsbegäran.docx", "A 26160-2024")</f>
        <v/>
      </c>
      <c r="Y119">
        <f>HYPERLINK("https://klasma.github.io/Logging_0885/tillsynsmail/A 26160-2024 tillsynsbegäran mail.docx", "A 26160-2024")</f>
        <v/>
      </c>
    </row>
    <row r="120">
      <c r="A120" t="inlineStr">
        <is>
          <t>A 63075-2023</t>
        </is>
      </c>
      <c r="B120" s="1" t="n">
        <v>45273</v>
      </c>
      <c r="C120" s="1" t="n">
        <v>45986</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2025-11-25T10:22:46Z</dcterms:created>
  <dcterms:modified xmlns:dcterms="http://purl.org/dc/terms/" xmlns:xsi="http://www.w3.org/2001/XMLSchema-instance" xsi:type="dcterms:W3CDTF">2025-11-25T10:22:46Z</dcterms:modified>
</cp:coreProperties>
</file>