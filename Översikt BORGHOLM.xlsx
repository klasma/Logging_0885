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46256</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46256</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46256</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46256</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S 2194-2026</t>
        </is>
      </c>
      <c r="B12" t="inlineStr">
        <is>
          <t>samrådsanmälan</t>
        </is>
      </c>
      <c r="C12" t="inlineStr">
        <is>
          <t>Annan skogsbruksåtgärd</t>
        </is>
      </c>
      <c r="D12" s="1" t="n">
        <v>46254</v>
      </c>
      <c r="E12" s="1" t="n">
        <v>46256</v>
      </c>
      <c r="F12" t="inlineStr">
        <is>
          <t>KALMAR LÄN</t>
        </is>
      </c>
      <c r="G12" t="inlineStr">
        <is>
          <t>BORGHOLM</t>
        </is>
      </c>
      <c r="I12" t="n">
        <v>15.1</v>
      </c>
      <c r="J12" t="n">
        <v>4</v>
      </c>
      <c r="K12" t="n">
        <v>5</v>
      </c>
      <c r="L12" t="n">
        <v>9</v>
      </c>
      <c r="M12" t="n">
        <v>2</v>
      </c>
      <c r="N12" t="n">
        <v>2</v>
      </c>
      <c r="O12" t="n">
        <v>0</v>
      </c>
      <c r="P12" t="n">
        <v>0</v>
      </c>
      <c r="Q12" t="n">
        <v>13</v>
      </c>
      <c r="R12" t="n">
        <v>4</v>
      </c>
      <c r="S12" t="n">
        <v>21</v>
      </c>
      <c r="T12" t="n">
        <v>29</v>
      </c>
      <c r="U12" t="n">
        <v>0</v>
      </c>
      <c r="V1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2">
        <f>HYPERLINK("https://klasma.github.io/Logging_0885/artfynd/S 2194-2026 artfynd.xlsx", "S 2194-2026")</f>
        <v/>
      </c>
      <c r="X12">
        <f>HYPERLINK("https://klasma.github.io/Logging_0885/kartor/S 2194-2026 karta.png", "S 2194-2026")</f>
        <v/>
      </c>
      <c r="Y12">
        <f>HYPERLINK("https://klasma.github.io/Logging_0885/kartor_geotiff/S 2194-2026 georefererad karta.tif", "S 2194-2026")</f>
        <v/>
      </c>
      <c r="AA12">
        <f>HYPERLINK("https://klasma.github.io/Logging_0885/klagomål/S 2194-2026 FSC-klagomål.docx", "S 2194-2026")</f>
        <v/>
      </c>
      <c r="AB12">
        <f>HYPERLINK("https://klasma.github.io/Logging_0885/klagomålsmail/S 2194-2026 FSC-klagomål mail.docx", "S 2194-2026")</f>
        <v/>
      </c>
      <c r="AC12">
        <f>HYPERLINK("https://klasma.github.io/Logging_0885/tillsyn/S 2194-2026 tillsynsbegäran.docx", "S 2194-2026")</f>
        <v/>
      </c>
      <c r="AD12">
        <f>HYPERLINK("https://klasma.github.io/Logging_0885/tillsynsmail/S 2194-2026 tillsynsbegäran mail.docx", "S 2194-2026")</f>
        <v/>
      </c>
    </row>
    <row r="13" ht="15" customHeight="1">
      <c r="A13" t="inlineStr">
        <is>
          <t>A 37421-2022</t>
        </is>
      </c>
      <c r="B13" t="inlineStr">
        <is>
          <t>avverkningsanmälan</t>
        </is>
      </c>
      <c r="C13" t="inlineStr">
        <is>
          <t>Avverkning för annat ändamål</t>
        </is>
      </c>
      <c r="D13" s="1" t="n">
        <v>44809</v>
      </c>
      <c r="E13" s="1" t="n">
        <v>46256</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34948-2022</t>
        </is>
      </c>
      <c r="B14" t="inlineStr">
        <is>
          <t>avverkningsanmälan</t>
        </is>
      </c>
      <c r="C14" t="inlineStr">
        <is>
          <t>Avverkning för att bevara och utveckla /försöksver</t>
        </is>
      </c>
      <c r="D14" s="1" t="n">
        <v>44796</v>
      </c>
      <c r="E14" s="1" t="n">
        <v>46256</v>
      </c>
      <c r="F14" t="inlineStr">
        <is>
          <t>KALMAR LÄN</t>
        </is>
      </c>
      <c r="G14" t="inlineStr">
        <is>
          <t>BORGHOLM</t>
        </is>
      </c>
      <c r="H14" t="inlineStr">
        <is>
          <t>Sveaskog</t>
        </is>
      </c>
      <c r="I14" t="n">
        <v>2.8</v>
      </c>
      <c r="J14" t="n">
        <v>3</v>
      </c>
      <c r="K14" t="n">
        <v>4</v>
      </c>
      <c r="L14" t="n">
        <v>3</v>
      </c>
      <c r="M14" t="n">
        <v>5</v>
      </c>
      <c r="N14" t="n">
        <v>0</v>
      </c>
      <c r="O14" t="n">
        <v>0</v>
      </c>
      <c r="P14" t="n">
        <v>0</v>
      </c>
      <c r="Q14" t="n">
        <v>8</v>
      </c>
      <c r="R14" t="n">
        <v>5</v>
      </c>
      <c r="S14" t="n">
        <v>13</v>
      </c>
      <c r="T14" t="n">
        <v>18</v>
      </c>
      <c r="U14" t="n">
        <v>12</v>
      </c>
      <c r="V14" s="2" t="inlineStr">
        <is>
          <t>Blåfotad fagerspindling
Brödmusseron
Gulsträngad fagerspindling
Skillerticka
Svartgrön spindling
Bittermusseron
Juvelspindling
Persiljespindling
Fransig jordstjärna
Murgröna
Purpurknipprot
Skogsknipprot
Blåsippa</t>
        </is>
      </c>
      <c r="W14">
        <f>HYPERLINK("https://klasma.github.io/Logging_0885/artfynd/A 34948-2022 artfynd.xlsx", "A 34948-2022")</f>
        <v/>
      </c>
      <c r="X14">
        <f>HYPERLINK("https://klasma.github.io/Logging_0885/kartor/A 34948-2022 karta.png", "A 34948-2022")</f>
        <v/>
      </c>
      <c r="Y14">
        <f>HYPERLINK("https://klasma.github.io/Logging_0885/kartor_geotiff/A 34948-2022 georefererad karta.tif", "A 34948-2022")</f>
        <v/>
      </c>
      <c r="AA14">
        <f>HYPERLINK("https://klasma.github.io/Logging_0885/klagomål/A 34948-2022 FSC-klagomål.docx", "A 34948-2022")</f>
        <v/>
      </c>
      <c r="AB14">
        <f>HYPERLINK("https://klasma.github.io/Logging_0885/klagomålsmail/A 34948-2022 FSC-klagomål mail.docx", "A 34948-2022")</f>
        <v/>
      </c>
      <c r="AC14">
        <f>HYPERLINK("https://klasma.github.io/Logging_0885/tillsyn/A 34948-2022 tillsynsbegäran.docx", "A 34948-2022")</f>
        <v/>
      </c>
      <c r="AD14">
        <f>HYPERLINK("https://klasma.github.io/Logging_0885/tillsynsmail/A 34948-2022 tillsynsbegäran mail.docx", "A 34948-2022")</f>
        <v/>
      </c>
    </row>
    <row r="15" ht="15" customHeight="1">
      <c r="A15" t="inlineStr">
        <is>
          <t>A 67432-2021</t>
        </is>
      </c>
      <c r="B15" t="inlineStr">
        <is>
          <t>avverkningsanmälan</t>
        </is>
      </c>
      <c r="C15" t="inlineStr">
        <is>
          <t>Föryngringsavverkning</t>
        </is>
      </c>
      <c r="D15" s="1" t="n">
        <v>44523</v>
      </c>
      <c r="E15" s="1" t="n">
        <v>46256</v>
      </c>
      <c r="F15" t="inlineStr">
        <is>
          <t>KALMAR LÄN</t>
        </is>
      </c>
      <c r="G15" t="inlineStr">
        <is>
          <t>BORGHOLM</t>
        </is>
      </c>
      <c r="I15" t="n">
        <v>35</v>
      </c>
      <c r="J15" t="n">
        <v>4</v>
      </c>
      <c r="K15" t="n">
        <v>7</v>
      </c>
      <c r="L15" t="n">
        <v>1</v>
      </c>
      <c r="M15" t="n">
        <v>1</v>
      </c>
      <c r="N15" t="n">
        <v>0</v>
      </c>
      <c r="O15" t="n">
        <v>0</v>
      </c>
      <c r="P15" t="n">
        <v>0</v>
      </c>
      <c r="Q15" t="n">
        <v>2</v>
      </c>
      <c r="R15" t="n">
        <v>1</v>
      </c>
      <c r="S15" t="n">
        <v>11</v>
      </c>
      <c r="T15" t="n">
        <v>17</v>
      </c>
      <c r="U15" t="n">
        <v>10</v>
      </c>
      <c r="V15" s="2" t="inlineStr">
        <is>
          <t>Grov gulmossa
Sårläka
Diskvaxskivling
Grov baronmossa
Guldlockmossa
Murgröna
Nästrot
Skogsknipprot
Svavelriska
Blåsippa
Långbensgroda</t>
        </is>
      </c>
      <c r="W15">
        <f>HYPERLINK("https://klasma.github.io/Logging_0885/artfynd/A 67432-2021 artfynd.xlsx", "A 67432-2021")</f>
        <v/>
      </c>
      <c r="X15">
        <f>HYPERLINK("https://klasma.github.io/Logging_0885/kartor/A 67432-2021 karta.png", "A 67432-2021")</f>
        <v/>
      </c>
      <c r="Y15">
        <f>HYPERLINK("https://klasma.github.io/Logging_0885/kartor_geotiff/A 67432-2021 georefererad karta.tif", "A 67432-2021")</f>
        <v/>
      </c>
      <c r="AA15">
        <f>HYPERLINK("https://klasma.github.io/Logging_0885/klagomål/A 67432-2021 FSC-klagomål.docx", "A 67432-2021")</f>
        <v/>
      </c>
      <c r="AB15">
        <f>HYPERLINK("https://klasma.github.io/Logging_0885/klagomålsmail/A 67432-2021 FSC-klagomål mail.docx", "A 67432-2021")</f>
        <v/>
      </c>
      <c r="AC15">
        <f>HYPERLINK("https://klasma.github.io/Logging_0885/tillsyn/A 67432-2021 tillsynsbegäran.docx", "A 67432-2021")</f>
        <v/>
      </c>
      <c r="AD15">
        <f>HYPERLINK("https://klasma.github.io/Logging_0885/tillsynsmail/A 67432-2021 tillsynsbegäran mail.docx", "A 67432-2021")</f>
        <v/>
      </c>
    </row>
    <row r="16" ht="15" customHeight="1">
      <c r="A16" t="inlineStr">
        <is>
          <t>A 29656-2023</t>
        </is>
      </c>
      <c r="B16" t="inlineStr">
        <is>
          <t>avverkningsanmälan</t>
        </is>
      </c>
      <c r="C16" t="inlineStr">
        <is>
          <t>Föryngringsavverkning</t>
        </is>
      </c>
      <c r="D16" s="1" t="n">
        <v>45107</v>
      </c>
      <c r="E16" s="1" t="n">
        <v>46256</v>
      </c>
      <c r="F16" t="inlineStr">
        <is>
          <t>KALMAR LÄN</t>
        </is>
      </c>
      <c r="G16" t="inlineStr">
        <is>
          <t>BORGHOLM</t>
        </is>
      </c>
      <c r="I16" t="n">
        <v>4.1</v>
      </c>
      <c r="J16" t="n">
        <v>0</v>
      </c>
      <c r="K16" t="n">
        <v>4</v>
      </c>
      <c r="L16" t="n">
        <v>3</v>
      </c>
      <c r="M16" t="n">
        <v>3</v>
      </c>
      <c r="N16" t="n">
        <v>0</v>
      </c>
      <c r="O16" t="n">
        <v>0</v>
      </c>
      <c r="P16" t="n">
        <v>0</v>
      </c>
      <c r="Q16" t="n">
        <v>6</v>
      </c>
      <c r="R16" t="n">
        <v>3</v>
      </c>
      <c r="S16" t="n">
        <v>10</v>
      </c>
      <c r="T16" t="n">
        <v>15</v>
      </c>
      <c r="U16" t="n">
        <v>1</v>
      </c>
      <c r="V16" s="2" t="inlineStr">
        <is>
          <t>Blå halmlav
Klosterlav
Mörk kraterlav
Gammelekslav
Gul dropplav
Oxtungssvamp
Grå skärelav
Gulpudrad spiklav
Lönnlav
Tvåfläckig praktbagge</t>
        </is>
      </c>
      <c r="W16">
        <f>HYPERLINK("https://klasma.github.io/Logging_0885/artfynd/A 29656-2023 artfynd.xlsx", "A 29656-2023")</f>
        <v/>
      </c>
      <c r="X16">
        <f>HYPERLINK("https://klasma.github.io/Logging_0885/kartor/A 29656-2023 karta.png", "A 29656-2023")</f>
        <v/>
      </c>
      <c r="Y16">
        <f>HYPERLINK("https://klasma.github.io/Logging_0885/kartor_geotiff/A 29656-2023 georefererad karta.tif", "A 29656-2023")</f>
        <v/>
      </c>
      <c r="AA16">
        <f>HYPERLINK("https://klasma.github.io/Logging_0885/klagomål/A 29656-2023 FSC-klagomål.docx", "A 29656-2023")</f>
        <v/>
      </c>
      <c r="AB16">
        <f>HYPERLINK("https://klasma.github.io/Logging_0885/klagomålsmail/A 29656-2023 FSC-klagomål mail.docx", "A 29656-2023")</f>
        <v/>
      </c>
      <c r="AC16">
        <f>HYPERLINK("https://klasma.github.io/Logging_0885/tillsyn/A 29656-2023 tillsynsbegäran.docx", "A 29656-2023")</f>
        <v/>
      </c>
      <c r="AD16">
        <f>HYPERLINK("https://klasma.github.io/Logging_0885/tillsynsmail/A 29656-2023 tillsynsbegäran mail.docx", "A 29656-2023")</f>
        <v/>
      </c>
    </row>
    <row r="17" ht="15" customHeight="1">
      <c r="A17" t="inlineStr">
        <is>
          <t>A 32178-2022</t>
        </is>
      </c>
      <c r="B17" t="inlineStr">
        <is>
          <t>avverkningsanmälan</t>
        </is>
      </c>
      <c r="C17" t="inlineStr">
        <is>
          <t>Avverkning för att bevara och utveckla /försöksver</t>
        </is>
      </c>
      <c r="D17" s="1" t="n">
        <v>44781</v>
      </c>
      <c r="E17" s="1" t="n">
        <v>46256</v>
      </c>
      <c r="F17" t="inlineStr">
        <is>
          <t>KALMAR LÄN</t>
        </is>
      </c>
      <c r="G17" t="inlineStr">
        <is>
          <t>BORGHOLM</t>
        </is>
      </c>
      <c r="H17" t="inlineStr">
        <is>
          <t>Sveaskog</t>
        </is>
      </c>
      <c r="I17" t="n">
        <v>3.8</v>
      </c>
      <c r="J17" t="n">
        <v>4</v>
      </c>
      <c r="K17" t="n">
        <v>4</v>
      </c>
      <c r="L17" t="n">
        <v>3</v>
      </c>
      <c r="M17" t="n">
        <v>0</v>
      </c>
      <c r="N17" t="n">
        <v>1</v>
      </c>
      <c r="O17" t="n">
        <v>1</v>
      </c>
      <c r="P17" t="n">
        <v>0</v>
      </c>
      <c r="Q17" t="n">
        <v>5</v>
      </c>
      <c r="R17" t="n">
        <v>2</v>
      </c>
      <c r="S17" t="n">
        <v>10</v>
      </c>
      <c r="T17" t="n">
        <v>22</v>
      </c>
      <c r="U17" t="n">
        <v>12</v>
      </c>
      <c r="V17" s="2" t="inlineStr">
        <is>
          <t>Järnek
Skogsalm
Fyrflikig jordstjärna
Grantaggsvamp
Grönsångare
Kalktallört
Kamjordstjärna
Skogsknipprot
Tvåblad
Kungsfågel</t>
        </is>
      </c>
      <c r="W17">
        <f>HYPERLINK("https://klasma.github.io/Logging_0885/artfynd/A 32178-2022 artfynd.xlsx", "A 32178-2022")</f>
        <v/>
      </c>
      <c r="X17">
        <f>HYPERLINK("https://klasma.github.io/Logging_0885/kartor/A 32178-2022 karta.png", "A 32178-2022")</f>
        <v/>
      </c>
      <c r="Y17">
        <f>HYPERLINK("https://klasma.github.io/Logging_0885/kartor_geotiff/A 32178-2022 georefererad karta.tif", "A 32178-2022")</f>
        <v/>
      </c>
      <c r="AA17">
        <f>HYPERLINK("https://klasma.github.io/Logging_0885/klagomål/A 32178-2022 FSC-klagomål.docx", "A 32178-2022")</f>
        <v/>
      </c>
      <c r="AB17">
        <f>HYPERLINK("https://klasma.github.io/Logging_0885/klagomålsmail/A 32178-2022 FSC-klagomål mail.docx", "A 32178-2022")</f>
        <v/>
      </c>
      <c r="AC17">
        <f>HYPERLINK("https://klasma.github.io/Logging_0885/tillsyn/A 32178-2022 tillsynsbegäran.docx", "A 32178-2022")</f>
        <v/>
      </c>
      <c r="AD17">
        <f>HYPERLINK("https://klasma.github.io/Logging_0885/tillsynsmail/A 32178-2022 tillsynsbegäran mail.docx", "A 32178-2022")</f>
        <v/>
      </c>
      <c r="AE17">
        <f>HYPERLINK("https://klasma.github.io/Logging_0885/fåglar/A 32178-2022 prioriterade fågelarter.docx", "A 32178-2022")</f>
        <v/>
      </c>
    </row>
    <row r="18" ht="15" customHeight="1">
      <c r="A18" t="inlineStr">
        <is>
          <t>S 2786-2023</t>
        </is>
      </c>
      <c r="B18" t="inlineStr">
        <is>
          <t>samrådsanmälan</t>
        </is>
      </c>
      <c r="C18" t="inlineStr">
        <is>
          <t>Annan skogsbruksåtgärd</t>
        </is>
      </c>
      <c r="D18" s="1" t="n">
        <v>45161</v>
      </c>
      <c r="E18" s="1" t="n">
        <v>46256</v>
      </c>
      <c r="F18" t="inlineStr">
        <is>
          <t>KALMAR LÄN</t>
        </is>
      </c>
      <c r="G18" t="inlineStr">
        <is>
          <t>BORGHOLM</t>
        </is>
      </c>
      <c r="I18" t="n">
        <v>6.2</v>
      </c>
      <c r="J18" t="n">
        <v>6</v>
      </c>
      <c r="K18" t="n">
        <v>1</v>
      </c>
      <c r="L18" t="n">
        <v>3</v>
      </c>
      <c r="M18" t="n">
        <v>0</v>
      </c>
      <c r="N18" t="n">
        <v>1</v>
      </c>
      <c r="O18" t="n">
        <v>0</v>
      </c>
      <c r="P18" t="n">
        <v>0</v>
      </c>
      <c r="Q18" t="n">
        <v>4</v>
      </c>
      <c r="R18" t="n">
        <v>1</v>
      </c>
      <c r="S18" t="n">
        <v>10</v>
      </c>
      <c r="T18" t="n">
        <v>21</v>
      </c>
      <c r="U18" t="n">
        <v>12</v>
      </c>
      <c r="V18" s="2" t="inlineStr">
        <is>
          <t>Ask
Jordtistel
Korskovall
Vårärt
Tvåblad
Blåsippa
Johannesnycklar
Krutbrännare
Sankt pers nycklar
Gullviva</t>
        </is>
      </c>
      <c r="W18">
        <f>HYPERLINK("https://klasma.github.io/Logging_0885/artfynd/S 2786-2023 artfynd.xlsx", "S 2786-2023")</f>
        <v/>
      </c>
      <c r="X18">
        <f>HYPERLINK("https://klasma.github.io/Logging_0885/kartor/S 2786-2023 karta.png", "S 2786-2023")</f>
        <v/>
      </c>
      <c r="Y18">
        <f>HYPERLINK("https://klasma.github.io/Logging_0885/kartor_geotiff/S 2786-2023 georefererad karta.tif", "S 2786-2023")</f>
        <v/>
      </c>
      <c r="AA18">
        <f>HYPERLINK("https://klasma.github.io/Logging_0885/klagomål/S 2786-2023 FSC-klagomål.docx", "S 2786-2023")</f>
        <v/>
      </c>
      <c r="AB18">
        <f>HYPERLINK("https://klasma.github.io/Logging_0885/klagomålsmail/S 2786-2023 FSC-klagomål mail.docx", "S 2786-2023")</f>
        <v/>
      </c>
      <c r="AC18">
        <f>HYPERLINK("https://klasma.github.io/Logging_0885/tillsyn/S 2786-2023 tillsynsbegäran.docx", "S 2786-2023")</f>
        <v/>
      </c>
      <c r="AD18">
        <f>HYPERLINK("https://klasma.github.io/Logging_0885/tillsynsmail/S 2786-2023 tillsynsbegäran mail.docx", "S 2786-2023")</f>
        <v/>
      </c>
    </row>
    <row r="19" ht="15" customHeight="1">
      <c r="A19" t="inlineStr">
        <is>
          <t>S 2604-2023</t>
        </is>
      </c>
      <c r="B19" t="inlineStr">
        <is>
          <t>samrådsanmälan</t>
        </is>
      </c>
      <c r="C19" t="inlineStr">
        <is>
          <t>Annan skogsbruksåtgärd</t>
        </is>
      </c>
      <c r="D19" s="1" t="n">
        <v>45146</v>
      </c>
      <c r="E19" s="1" t="n">
        <v>46256</v>
      </c>
      <c r="F19" t="inlineStr">
        <is>
          <t>KALMAR LÄN</t>
        </is>
      </c>
      <c r="G19" t="inlineStr">
        <is>
          <t>BORGHOLM</t>
        </is>
      </c>
      <c r="I19" t="n">
        <v>5</v>
      </c>
      <c r="J19" t="n">
        <v>3</v>
      </c>
      <c r="K19" t="n">
        <v>3</v>
      </c>
      <c r="L19" t="n">
        <v>5</v>
      </c>
      <c r="M19" t="n">
        <v>0</v>
      </c>
      <c r="N19" t="n">
        <v>0</v>
      </c>
      <c r="O19" t="n">
        <v>0</v>
      </c>
      <c r="P19" t="n">
        <v>0</v>
      </c>
      <c r="Q19" t="n">
        <v>5</v>
      </c>
      <c r="R19" t="n">
        <v>0</v>
      </c>
      <c r="S19" t="n">
        <v>10</v>
      </c>
      <c r="T19" t="n">
        <v>16</v>
      </c>
      <c r="U19" t="n">
        <v>16</v>
      </c>
      <c r="V19" s="2" t="inlineStr">
        <is>
          <t>Desmeknopp
Hålnunneört
Sårläka
Vårärt
Ängsskära
Tvåblad
Underviol
Vätteros
Blåsippa
Sankt pers nycklar</t>
        </is>
      </c>
      <c r="W19">
        <f>HYPERLINK("https://klasma.github.io/Logging_0885/artfynd/S 2604-2023 artfynd.xlsx", "S 2604-2023")</f>
        <v/>
      </c>
      <c r="X19">
        <f>HYPERLINK("https://klasma.github.io/Logging_0885/kartor/S 2604-2023 karta.png", "S 2604-2023")</f>
        <v/>
      </c>
      <c r="Y19">
        <f>HYPERLINK("https://klasma.github.io/Logging_0885/kartor_geotiff/S 2604-2023 georefererad karta.tif", "S 2604-2023")</f>
        <v/>
      </c>
      <c r="AA19">
        <f>HYPERLINK("https://klasma.github.io/Logging_0885/klagomål/S 2604-2023 FSC-klagomål.docx", "S 2604-2023")</f>
        <v/>
      </c>
      <c r="AB19">
        <f>HYPERLINK("https://klasma.github.io/Logging_0885/klagomålsmail/S 2604-2023 FSC-klagomål mail.docx", "S 2604-2023")</f>
        <v/>
      </c>
      <c r="AC19">
        <f>HYPERLINK("https://klasma.github.io/Logging_0885/tillsyn/S 2604-2023 tillsynsbegäran.docx", "S 2604-2023")</f>
        <v/>
      </c>
      <c r="AD19">
        <f>HYPERLINK("https://klasma.github.io/Logging_0885/tillsynsmail/S 2604-2023 tillsynsbegäran mail.docx", "S 2604-2023")</f>
        <v/>
      </c>
    </row>
    <row r="20" ht="15" customHeight="1">
      <c r="A20" t="inlineStr">
        <is>
          <t>A 44885-2025</t>
        </is>
      </c>
      <c r="B20" t="inlineStr">
        <is>
          <t>avverkningsanmälan</t>
        </is>
      </c>
      <c r="C20" t="inlineStr">
        <is>
          <t>Föryngringsavverkning</t>
        </is>
      </c>
      <c r="D20" s="1" t="n">
        <v>45918</v>
      </c>
      <c r="E20" s="1" t="n">
        <v>46256</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46256</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A 45006-2025</t>
        </is>
      </c>
      <c r="B22" t="inlineStr">
        <is>
          <t>avverkningsanmälan</t>
        </is>
      </c>
      <c r="C22" t="inlineStr">
        <is>
          <t>Avverkning för annat ändamål</t>
        </is>
      </c>
      <c r="D22" s="1" t="n">
        <v>45918</v>
      </c>
      <c r="E22" s="1" t="n">
        <v>46256</v>
      </c>
      <c r="F22" t="inlineStr">
        <is>
          <t>KALMAR LÄN</t>
        </is>
      </c>
      <c r="G22" t="inlineStr">
        <is>
          <t>BORGHOLM</t>
        </is>
      </c>
      <c r="I22" t="n">
        <v>7.8</v>
      </c>
      <c r="J22" t="n">
        <v>5</v>
      </c>
      <c r="K22" t="n">
        <v>4</v>
      </c>
      <c r="L22" t="n">
        <v>2</v>
      </c>
      <c r="M22" t="n">
        <v>0</v>
      </c>
      <c r="N22" t="n">
        <v>0</v>
      </c>
      <c r="O22" t="n">
        <v>0</v>
      </c>
      <c r="P22" t="n">
        <v>0</v>
      </c>
      <c r="Q22" t="n">
        <v>2</v>
      </c>
      <c r="R22" t="n">
        <v>0</v>
      </c>
      <c r="S22" t="n">
        <v>9</v>
      </c>
      <c r="T22" t="n">
        <v>13</v>
      </c>
      <c r="U22" t="n">
        <v>12</v>
      </c>
      <c r="V22" s="2" t="inlineStr">
        <is>
          <t>Mindre ekbock
Vårstarr
Murgröna
Myskmadra
Tvåblad
Vit skogslilja
Johannesnycklar
Krutbrännare
Gullviva</t>
        </is>
      </c>
      <c r="W22">
        <f>HYPERLINK("https://klasma.github.io/Logging_0885/artfynd/A 45006-2025 artfynd.xlsx", "A 45006-2025")</f>
        <v/>
      </c>
      <c r="X22">
        <f>HYPERLINK("https://klasma.github.io/Logging_0885/kartor/A 45006-2025 karta.png", "A 45006-2025")</f>
        <v/>
      </c>
      <c r="Y22">
        <f>HYPERLINK("https://klasma.github.io/Logging_0885/kartor_geotiff/A 45006-2025 georefererad karta.tif", "A 45006-2025")</f>
        <v/>
      </c>
      <c r="AA22">
        <f>HYPERLINK("https://klasma.github.io/Logging_0885/klagomål/A 45006-2025 FSC-klagomål.docx", "A 45006-2025")</f>
        <v/>
      </c>
      <c r="AB22">
        <f>HYPERLINK("https://klasma.github.io/Logging_0885/klagomålsmail/A 45006-2025 FSC-klagomål mail.docx", "A 45006-2025")</f>
        <v/>
      </c>
      <c r="AC22">
        <f>HYPERLINK("https://klasma.github.io/Logging_0885/tillsyn/A 45006-2025 tillsynsbegäran.docx", "A 45006-2025")</f>
        <v/>
      </c>
      <c r="AD22">
        <f>HYPERLINK("https://klasma.github.io/Logging_0885/tillsynsmail/A 45006-2025 tillsynsbegäran mail.docx", "A 45006-2025")</f>
        <v/>
      </c>
    </row>
    <row r="23" ht="15" customHeight="1">
      <c r="A23" t="inlineStr">
        <is>
          <t>S 2717-2025</t>
        </is>
      </c>
      <c r="B23" t="inlineStr">
        <is>
          <t>samrådsanmälan</t>
        </is>
      </c>
      <c r="C23" t="inlineStr">
        <is>
          <t>Annan skogsbruksåtgärd</t>
        </is>
      </c>
      <c r="D23" s="1" t="n">
        <v>45930</v>
      </c>
      <c r="E23" s="1" t="n">
        <v>46256</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46256</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46256</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46256</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46256</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A 12534-2022</t>
        </is>
      </c>
      <c r="B28" t="inlineStr">
        <is>
          <t>avverkningsanmälan</t>
        </is>
      </c>
      <c r="C28" t="inlineStr">
        <is>
          <t>Föryngringsavverkning</t>
        </is>
      </c>
      <c r="D28" s="1" t="n">
        <v>44638</v>
      </c>
      <c r="E28" s="1" t="n">
        <v>46256</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46256</v>
      </c>
      <c r="F29" t="inlineStr">
        <is>
          <t>KALMAR LÄN</t>
        </is>
      </c>
      <c r="G29" t="inlineStr">
        <is>
          <t>BORGHOLM</t>
        </is>
      </c>
      <c r="I29" t="n">
        <v>5.2</v>
      </c>
      <c r="J29" t="n">
        <v>1</v>
      </c>
      <c r="K29" t="n">
        <v>5</v>
      </c>
      <c r="L29" t="n">
        <v>1</v>
      </c>
      <c r="M29" t="n">
        <v>0</v>
      </c>
      <c r="N29" t="n">
        <v>2</v>
      </c>
      <c r="O29" t="n">
        <v>0</v>
      </c>
      <c r="P29" t="n">
        <v>0</v>
      </c>
      <c r="Q29" t="n">
        <v>3</v>
      </c>
      <c r="R29" t="n">
        <v>2</v>
      </c>
      <c r="S29" t="n">
        <v>8</v>
      </c>
      <c r="T29" t="n">
        <v>54</v>
      </c>
      <c r="U29" t="n">
        <v>48</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2058-2026</t>
        </is>
      </c>
      <c r="B30" t="inlineStr">
        <is>
          <t>samrådsanmälan</t>
        </is>
      </c>
      <c r="C30" t="inlineStr">
        <is>
          <t>Annan skogsbruksåtgärd</t>
        </is>
      </c>
      <c r="D30" s="1" t="n">
        <v>46223</v>
      </c>
      <c r="E30" s="1" t="n">
        <v>46256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S 2057-2026</t>
        </is>
      </c>
      <c r="B31" t="inlineStr">
        <is>
          <t>samrådsanmälan</t>
        </is>
      </c>
      <c r="C31" t="inlineStr">
        <is>
          <t>Annan skogsbruksåtgärd</t>
        </is>
      </c>
      <c r="D31" s="1" t="n">
        <v>46223</v>
      </c>
      <c r="E31" s="1" t="n">
        <v>46256</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10</v>
      </c>
      <c r="U31" t="n">
        <v>0</v>
      </c>
      <c r="V31" s="2" t="inlineStr">
        <is>
          <t>Blå slemspindling
Sårläka
Vårärt
Anisspindling
Skogsknipprot
Strävlosta
Blåsippa
Grönvit nattviol</t>
        </is>
      </c>
      <c r="W31">
        <f>HYPERLINK("https://klasma.github.io/Logging_0885/artfynd/S 2057-2026 artfynd.xlsx", "S 2057-2026")</f>
        <v/>
      </c>
      <c r="X31">
        <f>HYPERLINK("https://klasma.github.io/Logging_0885/kartor/S 2057-2026 karta.png", "S 2057-2026")</f>
        <v/>
      </c>
      <c r="Y31">
        <f>HYPERLINK("https://klasma.github.io/Logging_0885/kartor_geotiff/S 2057-2026 georefererad karta.tif", "S 2057-2026")</f>
        <v/>
      </c>
      <c r="AA31">
        <f>HYPERLINK("https://klasma.github.io/Logging_0885/klagomål/S 2057-2026 FSC-klagomål.docx", "S 2057-2026")</f>
        <v/>
      </c>
      <c r="AB31">
        <f>HYPERLINK("https://klasma.github.io/Logging_0885/klagomålsmail/S 2057-2026 FSC-klagomål mail.docx", "S 2057-2026")</f>
        <v/>
      </c>
      <c r="AC31">
        <f>HYPERLINK("https://klasma.github.io/Logging_0885/tillsyn/S 2057-2026 tillsynsbegäran.docx", "S 2057-2026")</f>
        <v/>
      </c>
      <c r="AD31">
        <f>HYPERLINK("https://klasma.github.io/Logging_0885/tillsynsmail/S 2057-2026 tillsynsbegäran mail.docx", "S 2057-2026")</f>
        <v/>
      </c>
    </row>
    <row r="32" ht="15" customHeight="1">
      <c r="A32" t="inlineStr">
        <is>
          <t>A 41640-2023</t>
        </is>
      </c>
      <c r="B32" t="inlineStr">
        <is>
          <t>avverkningsanmälan</t>
        </is>
      </c>
      <c r="C32" t="inlineStr">
        <is>
          <t>Föryngringsavverkning</t>
        </is>
      </c>
      <c r="D32" s="1" t="n">
        <v>45175</v>
      </c>
      <c r="E32" s="1" t="n">
        <v>46256</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31558-2026</t>
        </is>
      </c>
      <c r="B33" t="inlineStr">
        <is>
          <t>avverkningsanmälan</t>
        </is>
      </c>
      <c r="C33" t="inlineStr">
        <is>
          <t>Avverkning för att bevara och utveckla /försöksver</t>
        </is>
      </c>
      <c r="D33" s="1" t="n">
        <v>46224</v>
      </c>
      <c r="E33" s="1" t="n">
        <v>46256</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46256</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46794-2025</t>
        </is>
      </c>
      <c r="B35" t="inlineStr">
        <is>
          <t>avverkningsanmälan</t>
        </is>
      </c>
      <c r="C35" t="inlineStr">
        <is>
          <t>Avverkning för annat ändamål</t>
        </is>
      </c>
      <c r="D35" s="1" t="n">
        <v>45926</v>
      </c>
      <c r="E35" s="1" t="n">
        <v>46256</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A 16171-2023</t>
        </is>
      </c>
      <c r="B36" t="inlineStr">
        <is>
          <t>avverkningsanmälan</t>
        </is>
      </c>
      <c r="C36" t="inlineStr">
        <is>
          <t>Föryngringsavverkning</t>
        </is>
      </c>
      <c r="D36" s="1" t="n">
        <v>45027</v>
      </c>
      <c r="E36" s="1" t="n">
        <v>46256</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46256</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46256</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2060-2026</t>
        </is>
      </c>
      <c r="B39" t="inlineStr">
        <is>
          <t>samrådsanmälan</t>
        </is>
      </c>
      <c r="C39" t="inlineStr">
        <is>
          <t>Annan skogsbruksåtgärd</t>
        </is>
      </c>
      <c r="D39" s="1" t="n">
        <v>46224</v>
      </c>
      <c r="E39" s="1" t="n">
        <v>46256</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S 1728-2026</t>
        </is>
      </c>
      <c r="B40" t="inlineStr">
        <is>
          <t>samrådsanmälan</t>
        </is>
      </c>
      <c r="C40" t="inlineStr">
        <is>
          <t>Annan skogsbruksåtgärd</t>
        </is>
      </c>
      <c r="D40" s="1" t="n">
        <v>46188</v>
      </c>
      <c r="E40" s="1" t="n">
        <v>46256</v>
      </c>
      <c r="F40" t="inlineStr">
        <is>
          <t>KALMAR LÄN</t>
        </is>
      </c>
      <c r="G40" t="inlineStr">
        <is>
          <t>BORGHOLM</t>
        </is>
      </c>
      <c r="H40" t="inlineStr">
        <is>
          <t>Sveaskog</t>
        </is>
      </c>
      <c r="I40" t="n">
        <v>3.3</v>
      </c>
      <c r="J40" t="n">
        <v>0</v>
      </c>
      <c r="K40" t="n">
        <v>1</v>
      </c>
      <c r="L40" t="n">
        <v>5</v>
      </c>
      <c r="M40" t="n">
        <v>0</v>
      </c>
      <c r="N40" t="n">
        <v>0</v>
      </c>
      <c r="O40" t="n">
        <v>0</v>
      </c>
      <c r="P40" t="n">
        <v>0</v>
      </c>
      <c r="Q40" t="n">
        <v>5</v>
      </c>
      <c r="R40" t="n">
        <v>0</v>
      </c>
      <c r="S40" t="n">
        <v>6</v>
      </c>
      <c r="T40" t="n">
        <v>6</v>
      </c>
      <c r="U40" t="n">
        <v>0</v>
      </c>
      <c r="V40" s="2" t="inlineStr">
        <is>
          <t>Grenplattnos
Jungfrulin
Skugglosta
Sårläka
Älg
Murgröna</t>
        </is>
      </c>
      <c r="W40">
        <f>HYPERLINK("https://klasma.github.io/Logging_0885/artfynd/S 1728-2026 artfynd.xlsx", "S 1728-2026")</f>
        <v/>
      </c>
      <c r="X40">
        <f>HYPERLINK("https://klasma.github.io/Logging_0885/kartor/S 1728-2026 karta.png", "S 1728-2026")</f>
        <v/>
      </c>
      <c r="Y40">
        <f>HYPERLINK("https://klasma.github.io/Logging_0885/kartor_geotiff/S 1728-2026 georefererad karta.tif", "S 1728-2026")</f>
        <v/>
      </c>
      <c r="AA40">
        <f>HYPERLINK("https://klasma.github.io/Logging_0885/klagomål/S 1728-2026 FSC-klagomål.docx", "S 1728-2026")</f>
        <v/>
      </c>
      <c r="AB40">
        <f>HYPERLINK("https://klasma.github.io/Logging_0885/klagomålsmail/S 1728-2026 FSC-klagomål mail.docx", "S 1728-2026")</f>
        <v/>
      </c>
      <c r="AC40">
        <f>HYPERLINK("https://klasma.github.io/Logging_0885/tillsyn/S 1728-2026 tillsynsbegäran.docx", "S 1728-2026")</f>
        <v/>
      </c>
      <c r="AD40">
        <f>HYPERLINK("https://klasma.github.io/Logging_0885/tillsynsmail/S 1728-2026 tillsynsbegäran mail.docx", "S 1728-2026")</f>
        <v/>
      </c>
    </row>
    <row r="41" ht="15" customHeight="1">
      <c r="A41" t="inlineStr">
        <is>
          <t>A 56983-2021</t>
        </is>
      </c>
      <c r="B41" t="inlineStr">
        <is>
          <t>avverkningsanmälan</t>
        </is>
      </c>
      <c r="C41" t="inlineStr">
        <is>
          <t>Föryngringsavverkning</t>
        </is>
      </c>
      <c r="D41" s="1" t="n">
        <v>44482</v>
      </c>
      <c r="E41" s="1" t="n">
        <v>46256</v>
      </c>
      <c r="F41" t="inlineStr">
        <is>
          <t>KALMAR LÄN</t>
        </is>
      </c>
      <c r="G41" t="inlineStr">
        <is>
          <t>BORGHOLM</t>
        </is>
      </c>
      <c r="I41" t="n">
        <v>1.2</v>
      </c>
      <c r="J41" t="n">
        <v>3</v>
      </c>
      <c r="K41" t="n">
        <v>0</v>
      </c>
      <c r="L41" t="n">
        <v>3</v>
      </c>
      <c r="M41" t="n">
        <v>0</v>
      </c>
      <c r="N41" t="n">
        <v>0</v>
      </c>
      <c r="O41" t="n">
        <v>0</v>
      </c>
      <c r="P41" t="n">
        <v>0</v>
      </c>
      <c r="Q41" t="n">
        <v>3</v>
      </c>
      <c r="R41" t="n">
        <v>0</v>
      </c>
      <c r="S41" t="n">
        <v>5</v>
      </c>
      <c r="T41" t="n">
        <v>5</v>
      </c>
      <c r="U41" t="n">
        <v>3</v>
      </c>
      <c r="V41" s="2" t="inlineStr">
        <is>
          <t>Entita
Slät fjällav
Sårläka
Blåsippa
Gullviva</t>
        </is>
      </c>
      <c r="W41">
        <f>HYPERLINK("https://klasma.github.io/Logging_0885/artfynd/A 56983-2021 artfynd.xlsx", "A 56983-2021")</f>
        <v/>
      </c>
      <c r="X41">
        <f>HYPERLINK("https://klasma.github.io/Logging_0885/kartor/A 56983-2021 karta.png", "A 56983-2021")</f>
        <v/>
      </c>
      <c r="Y41">
        <f>HYPERLINK("https://klasma.github.io/Logging_0885/kartor_geotiff/A 56983-2021 georefererad karta.tif", "A 56983-2021")</f>
        <v/>
      </c>
      <c r="AA41">
        <f>HYPERLINK("https://klasma.github.io/Logging_0885/klagomål/A 56983-2021 FSC-klagomål.docx", "A 56983-2021")</f>
        <v/>
      </c>
      <c r="AB41">
        <f>HYPERLINK("https://klasma.github.io/Logging_0885/klagomålsmail/A 56983-2021 FSC-klagomål mail.docx", "A 56983-2021")</f>
        <v/>
      </c>
      <c r="AC41">
        <f>HYPERLINK("https://klasma.github.io/Logging_0885/tillsyn/A 56983-2021 tillsynsbegäran.docx", "A 56983-2021")</f>
        <v/>
      </c>
      <c r="AD41">
        <f>HYPERLINK("https://klasma.github.io/Logging_0885/tillsynsmail/A 56983-2021 tillsynsbegäran mail.docx", "A 56983-2021")</f>
        <v/>
      </c>
      <c r="AE41">
        <f>HYPERLINK("https://klasma.github.io/Logging_0885/fåglar/A 56983-2021 prioriterade fågelarter.docx", "A 56983-2021")</f>
        <v/>
      </c>
    </row>
    <row r="42" ht="15" customHeight="1">
      <c r="A42" t="inlineStr">
        <is>
          <t>A 50720-2021</t>
        </is>
      </c>
      <c r="B42" t="inlineStr">
        <is>
          <t>avverkningsanmälan</t>
        </is>
      </c>
      <c r="C42" t="inlineStr">
        <is>
          <t>Avverkning för annat ändamål</t>
        </is>
      </c>
      <c r="D42" s="1" t="n">
        <v>44459</v>
      </c>
      <c r="E42" s="1" t="n">
        <v>46256</v>
      </c>
      <c r="F42" t="inlineStr">
        <is>
          <t>KALMAR LÄN</t>
        </is>
      </c>
      <c r="G42" t="inlineStr">
        <is>
          <t>BORGHOLM</t>
        </is>
      </c>
      <c r="I42" t="n">
        <v>1.7</v>
      </c>
      <c r="J42" t="n">
        <v>0</v>
      </c>
      <c r="K42" t="n">
        <v>1</v>
      </c>
      <c r="L42" t="n">
        <v>3</v>
      </c>
      <c r="M42" t="n">
        <v>1</v>
      </c>
      <c r="N42" t="n">
        <v>0</v>
      </c>
      <c r="O42" t="n">
        <v>0</v>
      </c>
      <c r="P42" t="n">
        <v>0</v>
      </c>
      <c r="Q42" t="n">
        <v>4</v>
      </c>
      <c r="R42" t="n">
        <v>1</v>
      </c>
      <c r="S42" t="n">
        <v>5</v>
      </c>
      <c r="T42" t="n">
        <v>5</v>
      </c>
      <c r="U42" t="n">
        <v>4</v>
      </c>
      <c r="V42" s="2" t="inlineStr">
        <is>
          <t>Igelkott
Flentimotej
Grådådra
Sminkrot
Jordstjärnesläktet</t>
        </is>
      </c>
      <c r="W42">
        <f>HYPERLINK("https://klasma.github.io/Logging_0885/artfynd/A 50720-2021 artfynd.xlsx", "A 50720-2021")</f>
        <v/>
      </c>
      <c r="X42">
        <f>HYPERLINK("https://klasma.github.io/Logging_0885/kartor/A 50720-2021 karta.png", "A 50720-2021")</f>
        <v/>
      </c>
      <c r="Y42">
        <f>HYPERLINK("https://klasma.github.io/Logging_0885/kartor_geotiff/A 50720-2021 georefererad karta.tif", "A 50720-2021")</f>
        <v/>
      </c>
      <c r="AA42">
        <f>HYPERLINK("https://klasma.github.io/Logging_0885/klagomål/A 50720-2021 FSC-klagomål.docx", "A 50720-2021")</f>
        <v/>
      </c>
      <c r="AB42">
        <f>HYPERLINK("https://klasma.github.io/Logging_0885/klagomålsmail/A 50720-2021 FSC-klagomål mail.docx", "A 50720-2021")</f>
        <v/>
      </c>
      <c r="AC42">
        <f>HYPERLINK("https://klasma.github.io/Logging_0885/tillsyn/A 50720-2021 tillsynsbegäran.docx", "A 50720-2021")</f>
        <v/>
      </c>
      <c r="AD42">
        <f>HYPERLINK("https://klasma.github.io/Logging_0885/tillsynsmail/A 50720-2021 tillsynsbegäran mail.docx", "A 50720-2021")</f>
        <v/>
      </c>
    </row>
    <row r="43" ht="15" customHeight="1">
      <c r="A43" t="inlineStr">
        <is>
          <t>A 7960-2023</t>
        </is>
      </c>
      <c r="B43" t="inlineStr">
        <is>
          <t>avverkningsanmälan</t>
        </is>
      </c>
      <c r="C43" t="inlineStr">
        <is>
          <t>Föryngringsavverkning</t>
        </is>
      </c>
      <c r="D43" s="1" t="n">
        <v>44973</v>
      </c>
      <c r="E43" s="1" t="n">
        <v>46256</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46256</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27290-2026</t>
        </is>
      </c>
      <c r="B45" t="inlineStr">
        <is>
          <t>avverkningsanmälan</t>
        </is>
      </c>
      <c r="C45" t="inlineStr">
        <is>
          <t>Avverkning för att bevara och utveckla /försöksver</t>
        </is>
      </c>
      <c r="D45" s="1" t="n">
        <v>46188</v>
      </c>
      <c r="E45" s="1" t="n">
        <v>46256</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46256</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46256</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46256</v>
      </c>
      <c r="F48" t="inlineStr">
        <is>
          <t>KALMAR LÄN</t>
        </is>
      </c>
      <c r="G48" t="inlineStr">
        <is>
          <t>BORGHOLM</t>
        </is>
      </c>
      <c r="I48" t="n">
        <v>4.4</v>
      </c>
      <c r="J48" t="n">
        <v>3</v>
      </c>
      <c r="K48" t="n">
        <v>1</v>
      </c>
      <c r="L48" t="n">
        <v>1</v>
      </c>
      <c r="M48" t="n">
        <v>0</v>
      </c>
      <c r="N48" t="n">
        <v>1</v>
      </c>
      <c r="O48" t="n">
        <v>0</v>
      </c>
      <c r="P48" t="n">
        <v>0</v>
      </c>
      <c r="Q48" t="n">
        <v>2</v>
      </c>
      <c r="R48" t="n">
        <v>1</v>
      </c>
      <c r="S48" t="n">
        <v>4</v>
      </c>
      <c r="T48" t="n">
        <v>17</v>
      </c>
      <c r="U48" t="n">
        <v>17</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46256</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46256</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46256</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46256</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46256</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43756-2022</t>
        </is>
      </c>
      <c r="B54" t="inlineStr">
        <is>
          <t>avverkningsanmälan</t>
        </is>
      </c>
      <c r="C54" t="inlineStr">
        <is>
          <t>Föryngringsavverkning</t>
        </is>
      </c>
      <c r="D54" s="1" t="n">
        <v>44837</v>
      </c>
      <c r="E54" s="1" t="n">
        <v>46256</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31520-2026</t>
        </is>
      </c>
      <c r="B55" t="inlineStr">
        <is>
          <t>avverkningsanmälan</t>
        </is>
      </c>
      <c r="C55" t="inlineStr">
        <is>
          <t>Avverkning för att bevara och utveckla /försöksver</t>
        </is>
      </c>
      <c r="D55" s="1" t="n">
        <v>46223</v>
      </c>
      <c r="E55" s="1" t="n">
        <v>46256</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27283-2026</t>
        </is>
      </c>
      <c r="B56" t="inlineStr">
        <is>
          <t>avverkningsanmälan</t>
        </is>
      </c>
      <c r="C56" t="inlineStr">
        <is>
          <t>Avverkning för att bevara och utveckla /försöksver</t>
        </is>
      </c>
      <c r="D56" s="1" t="n">
        <v>46188</v>
      </c>
      <c r="E56" s="1" t="n">
        <v>46256</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46256</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15285-2026</t>
        </is>
      </c>
      <c r="B58" t="inlineStr">
        <is>
          <t>avverkningsanmälan</t>
        </is>
      </c>
      <c r="C58" t="inlineStr">
        <is>
          <t>Avverkning för att bevara och utveckla /försöksver</t>
        </is>
      </c>
      <c r="D58" s="1" t="n">
        <v>46105</v>
      </c>
      <c r="E58" s="1" t="n">
        <v>46256</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24048-2025</t>
        </is>
      </c>
      <c r="B59" t="inlineStr">
        <is>
          <t>avverkningsanmälan</t>
        </is>
      </c>
      <c r="C59" t="inlineStr">
        <is>
          <t>Föryngringsavverkning</t>
        </is>
      </c>
      <c r="D59" s="1" t="n">
        <v>45796</v>
      </c>
      <c r="E59" s="1" t="n">
        <v>46256</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46256</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2059-2026</t>
        </is>
      </c>
      <c r="B61" t="inlineStr">
        <is>
          <t>samrådsanmälan</t>
        </is>
      </c>
      <c r="C61" t="inlineStr">
        <is>
          <t>Annan skogsbruksåtgärd</t>
        </is>
      </c>
      <c r="D61" s="1" t="n">
        <v>46223</v>
      </c>
      <c r="E61" s="1" t="n">
        <v>46256</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S 1726-2026</t>
        </is>
      </c>
      <c r="B62" t="inlineStr">
        <is>
          <t>samrådsanmälan</t>
        </is>
      </c>
      <c r="C62" t="inlineStr">
        <is>
          <t>Annan skogsbruksåtgärd</t>
        </is>
      </c>
      <c r="D62" s="1" t="n">
        <v>46188</v>
      </c>
      <c r="E62" s="1" t="n">
        <v>46256</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A 10348-2022</t>
        </is>
      </c>
      <c r="B63" t="inlineStr">
        <is>
          <t>avverkningsanmälan</t>
        </is>
      </c>
      <c r="C63" t="inlineStr">
        <is>
          <t>Föryngringsavverkning</t>
        </is>
      </c>
      <c r="D63" s="1" t="n">
        <v>44623</v>
      </c>
      <c r="E63" s="1" t="n">
        <v>46256</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46256</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21908-2022</t>
        </is>
      </c>
      <c r="B65" t="inlineStr">
        <is>
          <t>avverkningsanmälan</t>
        </is>
      </c>
      <c r="C65" t="inlineStr">
        <is>
          <t>Föryngringsavverkning</t>
        </is>
      </c>
      <c r="D65" s="1" t="n">
        <v>44711</v>
      </c>
      <c r="E65" s="1" t="n">
        <v>46256</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46256</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46256</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46256</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46256</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9253-2026</t>
        </is>
      </c>
      <c r="B70" t="inlineStr">
        <is>
          <t>avverkningsanmälan</t>
        </is>
      </c>
      <c r="C70" t="inlineStr">
        <is>
          <t>Föryngringsavverkning</t>
        </is>
      </c>
      <c r="D70" s="1" t="n">
        <v>46070</v>
      </c>
      <c r="E70" s="1" t="n">
        <v>46256</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50129-2021</t>
        </is>
      </c>
      <c r="B71" t="inlineStr">
        <is>
          <t>avverkningsanmälan</t>
        </is>
      </c>
      <c r="C71" t="inlineStr">
        <is>
          <t>Avverkning för annat ändamål</t>
        </is>
      </c>
      <c r="D71" s="1" t="n">
        <v>44456</v>
      </c>
      <c r="E71" s="1" t="n">
        <v>46256</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29411-2026</t>
        </is>
      </c>
      <c r="B72" t="inlineStr">
        <is>
          <t>avverkningsanmälan</t>
        </is>
      </c>
      <c r="C72" t="inlineStr">
        <is>
          <t>Avverkning för att bevara och utveckla /försöksver</t>
        </is>
      </c>
      <c r="D72" s="1" t="n">
        <v>46203</v>
      </c>
      <c r="E72" s="1" t="n">
        <v>46256</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46256</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17699-2025</t>
        </is>
      </c>
      <c r="B74" t="inlineStr">
        <is>
          <t>avverkningsanmälan</t>
        </is>
      </c>
      <c r="C74" t="inlineStr">
        <is>
          <t>Föryngringsavverkning</t>
        </is>
      </c>
      <c r="D74" s="1" t="n">
        <v>45758</v>
      </c>
      <c r="E74" s="1" t="n">
        <v>46256</v>
      </c>
      <c r="F74" t="inlineStr">
        <is>
          <t>KALMAR LÄN</t>
        </is>
      </c>
      <c r="G74" t="inlineStr">
        <is>
          <t>BORGHOLM</t>
        </is>
      </c>
      <c r="I74" t="n">
        <v>0.7</v>
      </c>
      <c r="J74" t="n">
        <v>0</v>
      </c>
      <c r="K74" t="n">
        <v>0</v>
      </c>
      <c r="L74" t="n">
        <v>2</v>
      </c>
      <c r="M74" t="n">
        <v>0</v>
      </c>
      <c r="N74" t="n">
        <v>0</v>
      </c>
      <c r="O74" t="n">
        <v>0</v>
      </c>
      <c r="P74" t="n">
        <v>0</v>
      </c>
      <c r="Q74" t="n">
        <v>2</v>
      </c>
      <c r="R74" t="n">
        <v>0</v>
      </c>
      <c r="S74" t="n">
        <v>2</v>
      </c>
      <c r="T74" t="n">
        <v>2</v>
      </c>
      <c r="U74" t="n">
        <v>2</v>
      </c>
      <c r="V74" s="2" t="inlineStr">
        <is>
          <t>Backtimjan
Klibbveronika</t>
        </is>
      </c>
      <c r="W74">
        <f>HYPERLINK("https://klasma.github.io/Logging_0885/artfynd/A 17699-2025 artfynd.xlsx", "A 17699-2025")</f>
        <v/>
      </c>
      <c r="X74">
        <f>HYPERLINK("https://klasma.github.io/Logging_0885/kartor/A 17699-2025 karta.png", "A 17699-2025")</f>
        <v/>
      </c>
      <c r="Y74">
        <f>HYPERLINK("https://klasma.github.io/Logging_0885/kartor_geotiff/A 17699-2025 georefererad karta.tif", "A 17699-2025")</f>
        <v/>
      </c>
      <c r="AA74">
        <f>HYPERLINK("https://klasma.github.io/Logging_0885/klagomål/A 17699-2025 FSC-klagomål.docx", "A 17699-2025")</f>
        <v/>
      </c>
      <c r="AB74">
        <f>HYPERLINK("https://klasma.github.io/Logging_0885/klagomålsmail/A 17699-2025 FSC-klagomål mail.docx", "A 17699-2025")</f>
        <v/>
      </c>
      <c r="AC74">
        <f>HYPERLINK("https://klasma.github.io/Logging_0885/tillsyn/A 17699-2025 tillsynsbegäran.docx", "A 17699-2025")</f>
        <v/>
      </c>
      <c r="AD74">
        <f>HYPERLINK("https://klasma.github.io/Logging_0885/tillsynsmail/A 17699-2025 tillsynsbegäran mail.docx", "A 17699-2025")</f>
        <v/>
      </c>
    </row>
    <row r="75" ht="15" customHeight="1">
      <c r="A75" t="inlineStr">
        <is>
          <t>S 6144-2022</t>
        </is>
      </c>
      <c r="B75" t="inlineStr">
        <is>
          <t>samrådsanmälan</t>
        </is>
      </c>
      <c r="C75" t="inlineStr">
        <is>
          <t>Annan skogsbruksåtgärd</t>
        </is>
      </c>
      <c r="D75" s="1" t="n">
        <v>44865</v>
      </c>
      <c r="E75" s="1" t="n">
        <v>46256</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46256</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46256</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46256</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46256</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46256</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24704-2023</t>
        </is>
      </c>
      <c r="B81" t="inlineStr">
        <is>
          <t>avverkningsanmälan</t>
        </is>
      </c>
      <c r="C81" t="inlineStr">
        <is>
          <t>Föryngringsavverkning</t>
        </is>
      </c>
      <c r="D81" s="1" t="n">
        <v>45084</v>
      </c>
      <c r="E81" s="1" t="n">
        <v>46256</v>
      </c>
      <c r="F81" t="inlineStr">
        <is>
          <t>KALMAR LÄN</t>
        </is>
      </c>
      <c r="G81" t="inlineStr">
        <is>
          <t>BORGHOLM</t>
        </is>
      </c>
      <c r="I81" t="n">
        <v>3.5</v>
      </c>
      <c r="J81" t="n">
        <v>0</v>
      </c>
      <c r="K81" t="n">
        <v>0</v>
      </c>
      <c r="L81" t="n">
        <v>0</v>
      </c>
      <c r="M81" t="n">
        <v>0</v>
      </c>
      <c r="N81" t="n">
        <v>1</v>
      </c>
      <c r="O81" t="n">
        <v>0</v>
      </c>
      <c r="P81" t="n">
        <v>0</v>
      </c>
      <c r="Q81" t="n">
        <v>1</v>
      </c>
      <c r="R81" t="n">
        <v>1</v>
      </c>
      <c r="S81" t="n">
        <v>1</v>
      </c>
      <c r="T81" t="n">
        <v>2</v>
      </c>
      <c r="U81" t="n">
        <v>0</v>
      </c>
      <c r="V81" s="2" t="inlineStr">
        <is>
          <t>Ask</t>
        </is>
      </c>
      <c r="W81">
        <f>HYPERLINK("https://klasma.github.io/Logging_0885/artfynd/A 24704-2023 artfynd.xlsx", "A 24704-2023")</f>
        <v/>
      </c>
      <c r="X81">
        <f>HYPERLINK("https://klasma.github.io/Logging_0885/kartor/A 24704-2023 karta.png", "A 24704-2023")</f>
        <v/>
      </c>
      <c r="Y81">
        <f>HYPERLINK("https://klasma.github.io/Logging_0885/kartor_geotiff/A 24704-2023 georefererad karta.tif", "A 24704-2023")</f>
        <v/>
      </c>
      <c r="AA81">
        <f>HYPERLINK("https://klasma.github.io/Logging_0885/klagomål/A 24704-2023 FSC-klagomål.docx", "A 24704-2023")</f>
        <v/>
      </c>
      <c r="AB81">
        <f>HYPERLINK("https://klasma.github.io/Logging_0885/klagomålsmail/A 24704-2023 FSC-klagomål mail.docx", "A 24704-2023")</f>
        <v/>
      </c>
      <c r="AC81">
        <f>HYPERLINK("https://klasma.github.io/Logging_0885/tillsyn/A 24704-2023 tillsynsbegäran.docx", "A 24704-2023")</f>
        <v/>
      </c>
      <c r="AD81">
        <f>HYPERLINK("https://klasma.github.io/Logging_0885/tillsynsmail/A 24704-2023 tillsynsbegäran mail.docx", "A 24704-2023")</f>
        <v/>
      </c>
    </row>
    <row r="82" ht="15" customHeight="1">
      <c r="A82" t="inlineStr">
        <is>
          <t>A 24701-2023</t>
        </is>
      </c>
      <c r="B82" t="inlineStr">
        <is>
          <t>avverkningsanmälan</t>
        </is>
      </c>
      <c r="C82" t="inlineStr">
        <is>
          <t>Föryngringsavverkning</t>
        </is>
      </c>
      <c r="D82" s="1" t="n">
        <v>45084</v>
      </c>
      <c r="E82" s="1" t="n">
        <v>46256</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24701-2023 artfynd.xlsx", "A 24701-2023")</f>
        <v/>
      </c>
      <c r="X82">
        <f>HYPERLINK("https://klasma.github.io/Logging_0885/kartor/A 24701-2023 karta.png", "A 24701-2023")</f>
        <v/>
      </c>
      <c r="Y82">
        <f>HYPERLINK("https://klasma.github.io/Logging_0885/kartor_geotiff/A 24701-2023 georefererad karta.tif", "A 24701-2023")</f>
        <v/>
      </c>
      <c r="AA82">
        <f>HYPERLINK("https://klasma.github.io/Logging_0885/klagomål/A 24701-2023 FSC-klagomål.docx", "A 24701-2023")</f>
        <v/>
      </c>
      <c r="AB82">
        <f>HYPERLINK("https://klasma.github.io/Logging_0885/klagomålsmail/A 24701-2023 FSC-klagomål mail.docx", "A 24701-2023")</f>
        <v/>
      </c>
      <c r="AC82">
        <f>HYPERLINK("https://klasma.github.io/Logging_0885/tillsyn/A 24701-2023 tillsynsbegäran.docx", "A 24701-2023")</f>
        <v/>
      </c>
      <c r="AD82">
        <f>HYPERLINK("https://klasma.github.io/Logging_0885/tillsynsmail/A 24701-2023 tillsynsbegäran mail.docx", "A 24701-2023")</f>
        <v/>
      </c>
    </row>
    <row r="83" ht="15" customHeight="1">
      <c r="A83" t="inlineStr">
        <is>
          <t>A 41831-2025</t>
        </is>
      </c>
      <c r="B83" t="inlineStr">
        <is>
          <t>avverkningsanmälan</t>
        </is>
      </c>
      <c r="C83" t="inlineStr">
        <is>
          <t>Föryngringsavverkning</t>
        </is>
      </c>
      <c r="D83" s="1" t="n">
        <v>45902</v>
      </c>
      <c r="E83" s="1" t="n">
        <v>46256</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28785-2025</t>
        </is>
      </c>
      <c r="B84" t="inlineStr">
        <is>
          <t>avverkningsanmälan</t>
        </is>
      </c>
      <c r="C84" t="inlineStr">
        <is>
          <t>Avverkning för att bevara och utveckla /försöksver</t>
        </is>
      </c>
      <c r="D84" s="1" t="n">
        <v>45820</v>
      </c>
      <c r="E84" s="1" t="n">
        <v>46256</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28782-2025</t>
        </is>
      </c>
      <c r="B85" t="inlineStr">
        <is>
          <t>avverkningsanmälan</t>
        </is>
      </c>
      <c r="C85" t="inlineStr">
        <is>
          <t>Avverkning för att bevara och utveckla /försöksver</t>
        </is>
      </c>
      <c r="D85" s="1" t="n">
        <v>45820</v>
      </c>
      <c r="E85" s="1" t="n">
        <v>46256</v>
      </c>
      <c r="F85" t="inlineStr">
        <is>
          <t>KALMAR LÄN</t>
        </is>
      </c>
      <c r="G85" t="inlineStr">
        <is>
          <t>BORGHOLM</t>
        </is>
      </c>
      <c r="H85" t="inlineStr">
        <is>
          <t>Sveaskog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28782-2025 artfynd.xlsx", "A 28782-2025")</f>
        <v/>
      </c>
      <c r="X85">
        <f>HYPERLINK("https://klasma.github.io/Logging_0885/kartor/A 28782-2025 karta.png", "A 28782-2025")</f>
        <v/>
      </c>
      <c r="Y85">
        <f>HYPERLINK("https://klasma.github.io/Logging_0885/kartor_geotiff/A 28782-2025 georefererad karta.tif", "A 28782-2025")</f>
        <v/>
      </c>
      <c r="AA85">
        <f>HYPERLINK("https://klasma.github.io/Logging_0885/klagomål/A 28782-2025 FSC-klagomål.docx", "A 28782-2025")</f>
        <v/>
      </c>
      <c r="AB85">
        <f>HYPERLINK("https://klasma.github.io/Logging_0885/klagomålsmail/A 28782-2025 FSC-klagomål mail.docx", "A 28782-2025")</f>
        <v/>
      </c>
      <c r="AC85">
        <f>HYPERLINK("https://klasma.github.io/Logging_0885/tillsyn/A 28782-2025 tillsynsbegäran.docx", "A 28782-2025")</f>
        <v/>
      </c>
      <c r="AD85">
        <f>HYPERLINK("https://klasma.github.io/Logging_0885/tillsynsmail/A 28782-2025 tillsynsbegäran mail.docx", "A 28782-2025")</f>
        <v/>
      </c>
      <c r="AE85">
        <f>HYPERLINK("https://klasma.github.io/Logging_0885/fåglar/A 28782-2025 prioriterade fågelarter.docx", "A 28782-2025")</f>
        <v/>
      </c>
    </row>
    <row r="86" ht="15" customHeight="1">
      <c r="A86" t="inlineStr">
        <is>
          <t>A 9745-2023</t>
        </is>
      </c>
      <c r="B86" t="inlineStr">
        <is>
          <t>avverkningsanmälan</t>
        </is>
      </c>
      <c r="C86" t="inlineStr">
        <is>
          <t>Föryngringsavverkning</t>
        </is>
      </c>
      <c r="D86" s="1" t="n">
        <v>44984</v>
      </c>
      <c r="E86" s="1" t="n">
        <v>46256</v>
      </c>
      <c r="F86" t="inlineStr">
        <is>
          <t>KALMAR LÄN</t>
        </is>
      </c>
      <c r="G86" t="inlineStr">
        <is>
          <t>BORGHOLM</t>
        </is>
      </c>
      <c r="I86" t="n">
        <v>1.2</v>
      </c>
      <c r="J86" t="n">
        <v>1</v>
      </c>
      <c r="K86" t="n">
        <v>1</v>
      </c>
      <c r="L86" t="n">
        <v>0</v>
      </c>
      <c r="M86" t="n">
        <v>0</v>
      </c>
      <c r="N86" t="n">
        <v>0</v>
      </c>
      <c r="O86" t="n">
        <v>0</v>
      </c>
      <c r="P86" t="n">
        <v>0</v>
      </c>
      <c r="Q86" t="n">
        <v>0</v>
      </c>
      <c r="R86" t="n">
        <v>0</v>
      </c>
      <c r="S86" t="n">
        <v>1</v>
      </c>
      <c r="T86" t="n">
        <v>2</v>
      </c>
      <c r="U86" t="n">
        <v>1</v>
      </c>
      <c r="V86" s="2" t="inlineStr">
        <is>
          <t>Skogsknipprot</t>
        </is>
      </c>
      <c r="W86">
        <f>HYPERLINK("https://klasma.github.io/Logging_0885/artfynd/A 9745-2023 artfynd.xlsx", "A 9745-2023")</f>
        <v/>
      </c>
      <c r="X86">
        <f>HYPERLINK("https://klasma.github.io/Logging_0885/kartor/A 9745-2023 karta.png", "A 9745-2023")</f>
        <v/>
      </c>
      <c r="Y86">
        <f>HYPERLINK("https://klasma.github.io/Logging_0885/kartor_geotiff/A 9745-2023 georefererad karta.tif", "A 9745-2023")</f>
        <v/>
      </c>
      <c r="AA86">
        <f>HYPERLINK("https://klasma.github.io/Logging_0885/klagomål/A 9745-2023 FSC-klagomål.docx", "A 9745-2023")</f>
        <v/>
      </c>
      <c r="AB86">
        <f>HYPERLINK("https://klasma.github.io/Logging_0885/klagomålsmail/A 9745-2023 FSC-klagomål mail.docx", "A 9745-2023")</f>
        <v/>
      </c>
      <c r="AC86">
        <f>HYPERLINK("https://klasma.github.io/Logging_0885/tillsyn/A 9745-2023 tillsynsbegäran.docx", "A 9745-2023")</f>
        <v/>
      </c>
      <c r="AD86">
        <f>HYPERLINK("https://klasma.github.io/Logging_0885/tillsynsmail/A 9745-2023 tillsynsbegäran mail.docx", "A 9745-2023")</f>
        <v/>
      </c>
    </row>
    <row r="87" ht="15" customHeight="1">
      <c r="A87" t="inlineStr">
        <is>
          <t>A 63276-2023</t>
        </is>
      </c>
      <c r="B87" t="inlineStr">
        <is>
          <t>avverkningsanmälan</t>
        </is>
      </c>
      <c r="C87" t="inlineStr">
        <is>
          <t>Föryngringsavverkning</t>
        </is>
      </c>
      <c r="D87" s="1" t="n">
        <v>45273</v>
      </c>
      <c r="E87" s="1" t="n">
        <v>46256</v>
      </c>
      <c r="F87" t="inlineStr">
        <is>
          <t>KALMAR LÄN</t>
        </is>
      </c>
      <c r="G87" t="inlineStr">
        <is>
          <t>BORGHOLM</t>
        </is>
      </c>
      <c r="I87" t="n">
        <v>5</v>
      </c>
      <c r="J87" t="n">
        <v>0</v>
      </c>
      <c r="K87" t="n">
        <v>0</v>
      </c>
      <c r="L87" t="n">
        <v>0</v>
      </c>
      <c r="M87" t="n">
        <v>1</v>
      </c>
      <c r="N87" t="n">
        <v>0</v>
      </c>
      <c r="O87" t="n">
        <v>0</v>
      </c>
      <c r="P87" t="n">
        <v>0</v>
      </c>
      <c r="Q87" t="n">
        <v>1</v>
      </c>
      <c r="R87" t="n">
        <v>1</v>
      </c>
      <c r="S87" t="n">
        <v>1</v>
      </c>
      <c r="T87" t="n">
        <v>1</v>
      </c>
      <c r="U87" t="n">
        <v>0</v>
      </c>
      <c r="V87" s="2" t="inlineStr">
        <is>
          <t>Elaphomyces barrioi</t>
        </is>
      </c>
      <c r="W87">
        <f>HYPERLINK("https://klasma.github.io/Logging_0885/artfynd/A 63276-2023 artfynd.xlsx", "A 63276-2023")</f>
        <v/>
      </c>
      <c r="X87">
        <f>HYPERLINK("https://klasma.github.io/Logging_0885/kartor/A 63276-2023 karta.png", "A 63276-2023")</f>
        <v/>
      </c>
      <c r="Y87">
        <f>HYPERLINK("https://klasma.github.io/Logging_0885/kartor_geotiff/A 63276-2023 georefererad karta.tif", "A 63276-2023")</f>
        <v/>
      </c>
      <c r="AA87">
        <f>HYPERLINK("https://klasma.github.io/Logging_0885/klagomål/A 63276-2023 FSC-klagomål.docx", "A 63276-2023")</f>
        <v/>
      </c>
      <c r="AB87">
        <f>HYPERLINK("https://klasma.github.io/Logging_0885/klagomålsmail/A 63276-2023 FSC-klagomål mail.docx", "A 63276-2023")</f>
        <v/>
      </c>
      <c r="AC87">
        <f>HYPERLINK("https://klasma.github.io/Logging_0885/tillsyn/A 63276-2023 tillsynsbegäran.docx", "A 63276-2023")</f>
        <v/>
      </c>
      <c r="AD87">
        <f>HYPERLINK("https://klasma.github.io/Logging_0885/tillsynsmail/A 63276-2023 tillsynsbegäran mail.docx", "A 63276-2023")</f>
        <v/>
      </c>
    </row>
    <row r="88" ht="15" customHeight="1">
      <c r="A88" t="inlineStr">
        <is>
          <t>A 3302-2026</t>
        </is>
      </c>
      <c r="B88" t="inlineStr">
        <is>
          <t>avverkningsanmälan</t>
        </is>
      </c>
      <c r="C88" t="inlineStr">
        <is>
          <t>Avverkning för annat ändamål</t>
        </is>
      </c>
      <c r="D88" s="1" t="n">
        <v>46041</v>
      </c>
      <c r="E88" s="1" t="n">
        <v>46256</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31720-2022</t>
        </is>
      </c>
      <c r="B89" t="inlineStr">
        <is>
          <t>avverkningsanmälan</t>
        </is>
      </c>
      <c r="C89" t="inlineStr">
        <is>
          <t>Föryngringsavverkning</t>
        </is>
      </c>
      <c r="D89" s="1" t="n">
        <v>44776</v>
      </c>
      <c r="E89" s="1" t="n">
        <v>46256</v>
      </c>
      <c r="F89" t="inlineStr">
        <is>
          <t>KALMAR LÄN</t>
        </is>
      </c>
      <c r="G89" t="inlineStr">
        <is>
          <t>BORGHOLM</t>
        </is>
      </c>
      <c r="H89" t="inlineStr">
        <is>
          <t>Sveaskog</t>
        </is>
      </c>
      <c r="I89" t="n">
        <v>4.5</v>
      </c>
      <c r="J89" t="n">
        <v>1</v>
      </c>
      <c r="K89" t="n">
        <v>1</v>
      </c>
      <c r="L89" t="n">
        <v>0</v>
      </c>
      <c r="M89" t="n">
        <v>0</v>
      </c>
      <c r="N89" t="n">
        <v>0</v>
      </c>
      <c r="O89" t="n">
        <v>0</v>
      </c>
      <c r="P89" t="n">
        <v>0</v>
      </c>
      <c r="Q89" t="n">
        <v>0</v>
      </c>
      <c r="R89" t="n">
        <v>0</v>
      </c>
      <c r="S89" t="n">
        <v>1</v>
      </c>
      <c r="T89" t="n">
        <v>1</v>
      </c>
      <c r="U89" t="n">
        <v>1</v>
      </c>
      <c r="V89" s="2" t="inlineStr">
        <is>
          <t>Tvåblad</t>
        </is>
      </c>
      <c r="W89">
        <f>HYPERLINK("https://klasma.github.io/Logging_0885/artfynd/A 31720-2022 artfynd.xlsx", "A 31720-2022")</f>
        <v/>
      </c>
      <c r="X89">
        <f>HYPERLINK("https://klasma.github.io/Logging_0885/kartor/A 31720-2022 karta.png", "A 31720-2022")</f>
        <v/>
      </c>
      <c r="Y89">
        <f>HYPERLINK("https://klasma.github.io/Logging_0885/kartor_geotiff/A 31720-2022 georefererad karta.tif", "A 31720-2022")</f>
        <v/>
      </c>
      <c r="AA89">
        <f>HYPERLINK("https://klasma.github.io/Logging_0885/klagomål/A 31720-2022 FSC-klagomål.docx", "A 31720-2022")</f>
        <v/>
      </c>
      <c r="AB89">
        <f>HYPERLINK("https://klasma.github.io/Logging_0885/klagomålsmail/A 31720-2022 FSC-klagomål mail.docx", "A 31720-2022")</f>
        <v/>
      </c>
      <c r="AC89">
        <f>HYPERLINK("https://klasma.github.io/Logging_0885/tillsyn/A 31720-2022 tillsynsbegäran.docx", "A 31720-2022")</f>
        <v/>
      </c>
      <c r="AD89">
        <f>HYPERLINK("https://klasma.github.io/Logging_0885/tillsynsmail/A 31720-2022 tillsynsbegäran mail.docx", "A 31720-2022")</f>
        <v/>
      </c>
    </row>
    <row r="90" ht="15" customHeight="1">
      <c r="A90" t="inlineStr">
        <is>
          <t>A 19867-2024</t>
        </is>
      </c>
      <c r="B90" t="inlineStr">
        <is>
          <t>avverkningsanmälan</t>
        </is>
      </c>
      <c r="C90" t="inlineStr">
        <is>
          <t>Föryngringsavverkning</t>
        </is>
      </c>
      <c r="D90" s="1" t="n">
        <v>45433</v>
      </c>
      <c r="E90" s="1" t="n">
        <v>46256</v>
      </c>
      <c r="F90" t="inlineStr">
        <is>
          <t>KALMAR LÄN</t>
        </is>
      </c>
      <c r="G90" t="inlineStr">
        <is>
          <t>BORGHOLM</t>
        </is>
      </c>
      <c r="I90" t="n">
        <v>3.9</v>
      </c>
      <c r="J90" t="n">
        <v>0</v>
      </c>
      <c r="K90" t="n">
        <v>0</v>
      </c>
      <c r="L90" t="n">
        <v>1</v>
      </c>
      <c r="M90" t="n">
        <v>0</v>
      </c>
      <c r="N90" t="n">
        <v>0</v>
      </c>
      <c r="O90" t="n">
        <v>0</v>
      </c>
      <c r="P90" t="n">
        <v>0</v>
      </c>
      <c r="Q90" t="n">
        <v>1</v>
      </c>
      <c r="R90" t="n">
        <v>0</v>
      </c>
      <c r="S90" t="n">
        <v>1</v>
      </c>
      <c r="T90" t="n">
        <v>1</v>
      </c>
      <c r="U90" t="n">
        <v>1</v>
      </c>
      <c r="V90" s="2" t="inlineStr">
        <is>
          <t>Åkerkulla</t>
        </is>
      </c>
      <c r="W90">
        <f>HYPERLINK("https://klasma.github.io/Logging_0885/artfynd/A 19867-2024 artfynd.xlsx", "A 19867-2024")</f>
        <v/>
      </c>
      <c r="X90">
        <f>HYPERLINK("https://klasma.github.io/Logging_0885/kartor/A 19867-2024 karta.png", "A 19867-2024")</f>
        <v/>
      </c>
      <c r="Y90">
        <f>HYPERLINK("https://klasma.github.io/Logging_0885/kartor_geotiff/A 19867-2024 georefererad karta.tif", "A 19867-2024")</f>
        <v/>
      </c>
      <c r="AA90">
        <f>HYPERLINK("https://klasma.github.io/Logging_0885/klagomål/A 19867-2024 FSC-klagomål.docx", "A 19867-2024")</f>
        <v/>
      </c>
      <c r="AB90">
        <f>HYPERLINK("https://klasma.github.io/Logging_0885/klagomålsmail/A 19867-2024 FSC-klagomål mail.docx", "A 19867-2024")</f>
        <v/>
      </c>
      <c r="AC90">
        <f>HYPERLINK("https://klasma.github.io/Logging_0885/tillsyn/A 19867-2024 tillsynsbegäran.docx", "A 19867-2024")</f>
        <v/>
      </c>
      <c r="AD90">
        <f>HYPERLINK("https://klasma.github.io/Logging_0885/tillsynsmail/A 19867-2024 tillsynsbegäran mail.docx", "A 19867-2024")</f>
        <v/>
      </c>
    </row>
    <row r="91" ht="15" customHeight="1">
      <c r="A91" t="inlineStr">
        <is>
          <t>A 7481-2026</t>
        </is>
      </c>
      <c r="B91" t="inlineStr">
        <is>
          <t>avverkningsanmälan</t>
        </is>
      </c>
      <c r="C91" t="inlineStr">
        <is>
          <t>Föryngringsavverkning</t>
        </is>
      </c>
      <c r="D91" s="1" t="n">
        <v>46059</v>
      </c>
      <c r="E91" s="1" t="n">
        <v>46256</v>
      </c>
      <c r="F91" t="inlineStr">
        <is>
          <t>KALMAR LÄN</t>
        </is>
      </c>
      <c r="G91" t="inlineStr">
        <is>
          <t>BORGHOLM</t>
        </is>
      </c>
      <c r="I91" t="n">
        <v>1.9</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HYPERLINK("https://klasma.github.io/Logging_0885/artfynd/A 7481-2026 artfynd.xlsx", "A 7481-2026")</f>
        <v/>
      </c>
      <c r="X91">
        <f>HYPERLINK("https://klasma.github.io/Logging_0885/kartor/A 7481-2026 karta.png", "A 7481-2026")</f>
        <v/>
      </c>
      <c r="Y91">
        <f>HYPERLINK("https://klasma.github.io/Logging_0885/kartor_geotiff/A 7481-2026 georefererad karta.tif", "A 7481-2026")</f>
        <v/>
      </c>
      <c r="AA91">
        <f>HYPERLINK("https://klasma.github.io/Logging_0885/klagomål/A 7481-2026 FSC-klagomål.docx", "A 7481-2026")</f>
        <v/>
      </c>
      <c r="AB91">
        <f>HYPERLINK("https://klasma.github.io/Logging_0885/klagomålsmail/A 7481-2026 FSC-klagomål mail.docx", "A 7481-2026")</f>
        <v/>
      </c>
      <c r="AC91">
        <f>HYPERLINK("https://klasma.github.io/Logging_0885/tillsyn/A 7481-2026 tillsynsbegäran.docx", "A 7481-2026")</f>
        <v/>
      </c>
      <c r="AD91">
        <f>HYPERLINK("https://klasma.github.io/Logging_0885/tillsynsmail/A 7481-2026 tillsynsbegäran mail.docx", "A 7481-2026")</f>
        <v/>
      </c>
    </row>
    <row r="92" ht="15" customHeight="1">
      <c r="A92" t="inlineStr">
        <is>
          <t>A 9104-2026</t>
        </is>
      </c>
      <c r="B92" t="inlineStr">
        <is>
          <t>avverkningsanmälan</t>
        </is>
      </c>
      <c r="C92" t="inlineStr">
        <is>
          <t>Avverkning för annat ändamål</t>
        </is>
      </c>
      <c r="D92" s="1" t="n">
        <v>46069</v>
      </c>
      <c r="E92" s="1" t="n">
        <v>46256</v>
      </c>
      <c r="F92" t="inlineStr">
        <is>
          <t>KALMAR LÄN</t>
        </is>
      </c>
      <c r="G92" t="inlineStr">
        <is>
          <t>BORGHOLM</t>
        </is>
      </c>
      <c r="I92" t="n">
        <v>1.3</v>
      </c>
      <c r="J92" t="n">
        <v>0</v>
      </c>
      <c r="K92" t="n">
        <v>0</v>
      </c>
      <c r="L92" t="n">
        <v>0</v>
      </c>
      <c r="M92" t="n">
        <v>0</v>
      </c>
      <c r="N92" t="n">
        <v>0</v>
      </c>
      <c r="O92" t="n">
        <v>0</v>
      </c>
      <c r="P92" t="n">
        <v>0</v>
      </c>
      <c r="Q92" t="n">
        <v>0</v>
      </c>
      <c r="R92" t="n">
        <v>0</v>
      </c>
      <c r="S92" t="n">
        <v>1</v>
      </c>
      <c r="T92" t="n">
        <v>1</v>
      </c>
      <c r="U92" t="n">
        <v>1</v>
      </c>
      <c r="V92" s="2" t="inlineStr">
        <is>
          <t>Liljekonvalj</t>
        </is>
      </c>
      <c r="W92">
        <f>HYPERLINK("https://klasma.github.io/Logging_0885/artfynd/A 9104-2026 artfynd.xlsx", "A 9104-2026")</f>
        <v/>
      </c>
      <c r="X92">
        <f>HYPERLINK("https://klasma.github.io/Logging_0885/kartor/A 9104-2026 karta.png", "A 9104-2026")</f>
        <v/>
      </c>
      <c r="Y92">
        <f>HYPERLINK("https://klasma.github.io/Logging_0885/kartor_geotiff/A 9104-2026 georefererad karta.tif", "A 9104-2026")</f>
        <v/>
      </c>
      <c r="AA92">
        <f>HYPERLINK("https://klasma.github.io/Logging_0885/klagomål/A 9104-2026 FSC-klagomål.docx", "A 9104-2026")</f>
        <v/>
      </c>
      <c r="AB92">
        <f>HYPERLINK("https://klasma.github.io/Logging_0885/klagomålsmail/A 9104-2026 FSC-klagomål mail.docx", "A 9104-2026")</f>
        <v/>
      </c>
      <c r="AC92">
        <f>HYPERLINK("https://klasma.github.io/Logging_0885/tillsyn/A 9104-2026 tillsynsbegäran.docx", "A 9104-2026")</f>
        <v/>
      </c>
      <c r="AD92">
        <f>HYPERLINK("https://klasma.github.io/Logging_0885/tillsynsmail/A 9104-2026 tillsynsbegäran mail.docx", "A 9104-2026")</f>
        <v/>
      </c>
    </row>
    <row r="93" ht="15" customHeight="1">
      <c r="A93" t="inlineStr">
        <is>
          <t>A 9905-2026</t>
        </is>
      </c>
      <c r="B93" t="inlineStr">
        <is>
          <t>avverkningsanmälan</t>
        </is>
      </c>
      <c r="C93" t="inlineStr">
        <is>
          <t>Föryngringsavverkning</t>
        </is>
      </c>
      <c r="D93" s="1" t="n">
        <v>46073</v>
      </c>
      <c r="E93" s="1" t="n">
        <v>46256</v>
      </c>
      <c r="F93" t="inlineStr">
        <is>
          <t>KALMAR LÄN</t>
        </is>
      </c>
      <c r="G93" t="inlineStr">
        <is>
          <t>BORGHOLM</t>
        </is>
      </c>
      <c r="I93" t="n">
        <v>1.4</v>
      </c>
      <c r="J93" t="n">
        <v>0</v>
      </c>
      <c r="K93" t="n">
        <v>0</v>
      </c>
      <c r="L93" t="n">
        <v>0</v>
      </c>
      <c r="M93" t="n">
        <v>0</v>
      </c>
      <c r="N93" t="n">
        <v>1</v>
      </c>
      <c r="O93" t="n">
        <v>0</v>
      </c>
      <c r="P93" t="n">
        <v>0</v>
      </c>
      <c r="Q93" t="n">
        <v>1</v>
      </c>
      <c r="R93" t="n">
        <v>1</v>
      </c>
      <c r="S93" t="n">
        <v>1</v>
      </c>
      <c r="T93" t="n">
        <v>1</v>
      </c>
      <c r="U93" t="n">
        <v>0</v>
      </c>
      <c r="V93" s="2" t="inlineStr">
        <is>
          <t>Ask</t>
        </is>
      </c>
      <c r="W93">
        <f>HYPERLINK("https://klasma.github.io/Logging_0885/artfynd/A 9905-2026 artfynd.xlsx", "A 9905-2026")</f>
        <v/>
      </c>
      <c r="X93">
        <f>HYPERLINK("https://klasma.github.io/Logging_0885/kartor/A 9905-2026 karta.png", "A 9905-2026")</f>
        <v/>
      </c>
      <c r="Y93">
        <f>HYPERLINK("https://klasma.github.io/Logging_0885/kartor_geotiff/A 9905-2026 georefererad karta.tif", "A 9905-2026")</f>
        <v/>
      </c>
      <c r="AA93">
        <f>HYPERLINK("https://klasma.github.io/Logging_0885/klagomål/A 9905-2026 FSC-klagomål.docx", "A 9905-2026")</f>
        <v/>
      </c>
      <c r="AB93">
        <f>HYPERLINK("https://klasma.github.io/Logging_0885/klagomålsmail/A 9905-2026 FSC-klagomål mail.docx", "A 9905-2026")</f>
        <v/>
      </c>
      <c r="AC93">
        <f>HYPERLINK("https://klasma.github.io/Logging_0885/tillsyn/A 9905-2026 tillsynsbegäran.docx", "A 9905-2026")</f>
        <v/>
      </c>
      <c r="AD93">
        <f>HYPERLINK("https://klasma.github.io/Logging_0885/tillsynsmail/A 9905-2026 tillsynsbegäran mail.docx", "A 9905-2026")</f>
        <v/>
      </c>
    </row>
    <row r="94" ht="15" customHeight="1">
      <c r="A94" t="inlineStr">
        <is>
          <t>A 26840-2026</t>
        </is>
      </c>
      <c r="B94" t="inlineStr">
        <is>
          <t>avverkningsanmälan</t>
        </is>
      </c>
      <c r="C94" t="inlineStr">
        <is>
          <t>Avverkning för att bevara och utveckla /försöksver</t>
        </is>
      </c>
      <c r="D94" s="1" t="n">
        <v>46185</v>
      </c>
      <c r="E94" s="1" t="n">
        <v>46256</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28374-2026</t>
        </is>
      </c>
      <c r="B95" t="inlineStr">
        <is>
          <t>avverkningsanmälan</t>
        </is>
      </c>
      <c r="C95" t="inlineStr">
        <is>
          <t>Avverkning för att bevara och utveckla /försöksver</t>
        </is>
      </c>
      <c r="D95" s="1" t="n">
        <v>46196</v>
      </c>
      <c r="E95" s="1" t="n">
        <v>46256</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28430-2026</t>
        </is>
      </c>
      <c r="B96" t="inlineStr">
        <is>
          <t>avverkningsanmälan</t>
        </is>
      </c>
      <c r="C96" t="inlineStr">
        <is>
          <t>Avverkning för att bevara och utveckla /försöksver</t>
        </is>
      </c>
      <c r="D96" s="1" t="n">
        <v>46197</v>
      </c>
      <c r="E96" s="1" t="n">
        <v>46256</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13043-2024</t>
        </is>
      </c>
      <c r="B97" t="inlineStr">
        <is>
          <t>avverkningsanmälan</t>
        </is>
      </c>
      <c r="C97" t="inlineStr">
        <is>
          <t>Föryngringsavverkning</t>
        </is>
      </c>
      <c r="D97" s="1" t="n">
        <v>45385</v>
      </c>
      <c r="E97" s="1" t="n">
        <v>46256</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33293-2026</t>
        </is>
      </c>
      <c r="B98" t="inlineStr">
        <is>
          <t>avverkningsanmälan</t>
        </is>
      </c>
      <c r="C98" t="inlineStr">
        <is>
          <t>Avverkning för att bevara och utveckla /försöksver</t>
        </is>
      </c>
      <c r="D98" s="1" t="n">
        <v>46246</v>
      </c>
      <c r="E98" s="1" t="n">
        <v>46256</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20878-2024</t>
        </is>
      </c>
      <c r="B99" t="inlineStr">
        <is>
          <t>avverkningsanmälan</t>
        </is>
      </c>
      <c r="C99" t="inlineStr">
        <is>
          <t>Föryngringsavverkning</t>
        </is>
      </c>
      <c r="D99" s="1" t="n">
        <v>45439</v>
      </c>
      <c r="E99" s="1" t="n">
        <v>46256</v>
      </c>
      <c r="F99" t="inlineStr">
        <is>
          <t>KALMAR LÄN</t>
        </is>
      </c>
      <c r="G99" t="inlineStr">
        <is>
          <t>BORGHOLM</t>
        </is>
      </c>
      <c r="I99" t="n">
        <v>1.9</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HYPERLINK("https://klasma.github.io/Logging_0885/artfynd/A 20878-2024 artfynd.xlsx", "A 20878-2024")</f>
        <v/>
      </c>
      <c r="X99">
        <f>HYPERLINK("https://klasma.github.io/Logging_0885/kartor/A 20878-2024 karta.png", "A 20878-2024")</f>
        <v/>
      </c>
      <c r="Y99">
        <f>HYPERLINK("https://klasma.github.io/Logging_0885/kartor_geotiff/A 20878-2024 georefererad karta.tif", "A 20878-2024")</f>
        <v/>
      </c>
      <c r="AA99">
        <f>HYPERLINK("https://klasma.github.io/Logging_0885/klagomål/A 20878-2024 FSC-klagomål.docx", "A 20878-2024")</f>
        <v/>
      </c>
      <c r="AB99">
        <f>HYPERLINK("https://klasma.github.io/Logging_0885/klagomålsmail/A 20878-2024 FSC-klagomål mail.docx", "A 20878-2024")</f>
        <v/>
      </c>
      <c r="AC99">
        <f>HYPERLINK("https://klasma.github.io/Logging_0885/tillsyn/A 20878-2024 tillsynsbegäran.docx", "A 20878-2024")</f>
        <v/>
      </c>
      <c r="AD99">
        <f>HYPERLINK("https://klasma.github.io/Logging_0885/tillsynsmail/A 20878-2024 tillsynsbegäran mail.docx", "A 20878-2024")</f>
        <v/>
      </c>
    </row>
    <row r="100" ht="15" customHeight="1">
      <c r="A100" t="inlineStr">
        <is>
          <t>S 2390-2023</t>
        </is>
      </c>
      <c r="B100" t="inlineStr">
        <is>
          <t>samrådsanmälan</t>
        </is>
      </c>
      <c r="C100" t="inlineStr">
        <is>
          <t>Annan skogsbruksåtgärd</t>
        </is>
      </c>
      <c r="D100" s="1" t="n">
        <v>45111</v>
      </c>
      <c r="E100" s="1" t="n">
        <v>46256</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46256</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46256</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46256</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46256</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46256</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46256</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46256</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46256</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46256</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46256</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56188-2021</t>
        </is>
      </c>
      <c r="B111" t="inlineStr">
        <is>
          <t>avverkningsanmälan</t>
        </is>
      </c>
      <c r="C111" t="inlineStr">
        <is>
          <t>Föryngringsavverkning</t>
        </is>
      </c>
      <c r="D111" s="1" t="n">
        <v>44477</v>
      </c>
      <c r="E111" s="1" t="n">
        <v>46256</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46256</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46256</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26190-2025</t>
        </is>
      </c>
      <c r="B114" t="inlineStr">
        <is>
          <t>avverkningsanmälan</t>
        </is>
      </c>
      <c r="C114" t="inlineStr">
        <is>
          <t>Föryngringsavverkning</t>
        </is>
      </c>
      <c r="D114" s="1" t="n">
        <v>45805</v>
      </c>
      <c r="E114" s="1" t="n">
        <v>46256</v>
      </c>
      <c r="F114" t="inlineStr">
        <is>
          <t>KALMAR LÄN</t>
        </is>
      </c>
      <c r="G114" t="inlineStr">
        <is>
          <t>BORGHOLM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46256</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12937-2022</t>
        </is>
      </c>
      <c r="B116" t="inlineStr">
        <is>
          <t>avverkningsanmälan</t>
        </is>
      </c>
      <c r="C116" t="inlineStr">
        <is>
          <t>Föryngringsavverkning</t>
        </is>
      </c>
      <c r="D116" s="1" t="n">
        <v>44642</v>
      </c>
      <c r="E116" s="1" t="n">
        <v>46256</v>
      </c>
      <c r="F116" t="inlineStr">
        <is>
          <t>KALMAR LÄN</t>
        </is>
      </c>
      <c r="G116" t="inlineStr">
        <is>
          <t>BORGHOLM</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9076-2025</t>
        </is>
      </c>
      <c r="B117" t="inlineStr">
        <is>
          <t>avverkningsanmälan</t>
        </is>
      </c>
      <c r="C117" t="inlineStr">
        <is>
          <t>Föryngringsavverkning</t>
        </is>
      </c>
      <c r="D117" s="1" t="n">
        <v>45713</v>
      </c>
      <c r="E117" s="1" t="n">
        <v>46256</v>
      </c>
      <c r="F117" t="inlineStr">
        <is>
          <t>KALMAR LÄN</t>
        </is>
      </c>
      <c r="G117" t="inlineStr">
        <is>
          <t>BORGHOLM</t>
        </is>
      </c>
      <c r="H117" t="inlineStr">
        <is>
          <t>Sveaskog</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46256</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1757-2025</t>
        </is>
      </c>
      <c r="B119" t="inlineStr">
        <is>
          <t>avverkningsanmälan</t>
        </is>
      </c>
      <c r="C119" t="inlineStr">
        <is>
          <t>Föryngringsavverkning</t>
        </is>
      </c>
      <c r="D119" s="1" t="n">
        <v>45671</v>
      </c>
      <c r="E119" s="1" t="n">
        <v>46256</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46256</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46256</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9050-2025</t>
        </is>
      </c>
      <c r="B122" t="inlineStr">
        <is>
          <t>avverkningsanmälan</t>
        </is>
      </c>
      <c r="C122" t="inlineStr">
        <is>
          <t>Avverkning för att bevara och utveckla /försöksver</t>
        </is>
      </c>
      <c r="D122" s="1" t="n">
        <v>45713</v>
      </c>
      <c r="E122" s="1" t="n">
        <v>46256</v>
      </c>
      <c r="F122" t="inlineStr">
        <is>
          <t>KALMAR LÄN</t>
        </is>
      </c>
      <c r="G122" t="inlineStr">
        <is>
          <t>BORGHOLM</t>
        </is>
      </c>
      <c r="H122" t="inlineStr">
        <is>
          <t>Sveaskog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64303-2023</t>
        </is>
      </c>
      <c r="B123" t="inlineStr">
        <is>
          <t>avverkningsanmälan</t>
        </is>
      </c>
      <c r="C123" t="inlineStr">
        <is>
          <t>Avverkning för annat ändamål</t>
        </is>
      </c>
      <c r="D123" s="1" t="n">
        <v>45280</v>
      </c>
      <c r="E123" s="1" t="n">
        <v>46256</v>
      </c>
      <c r="F123" t="inlineStr">
        <is>
          <t>KALMAR LÄN</t>
        </is>
      </c>
      <c r="G123" t="inlineStr">
        <is>
          <t>BORGHOLM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43603-2024</t>
        </is>
      </c>
      <c r="B124" t="inlineStr">
        <is>
          <t>avverkningsanmälan</t>
        </is>
      </c>
      <c r="C124" t="inlineStr">
        <is>
          <t>Föryngringsavverkning</t>
        </is>
      </c>
      <c r="D124" s="1" t="n">
        <v>45569</v>
      </c>
      <c r="E124" s="1" t="n">
        <v>46256</v>
      </c>
      <c r="F124" t="inlineStr">
        <is>
          <t>KALMAR LÄN</t>
        </is>
      </c>
      <c r="G124" t="inlineStr">
        <is>
          <t>BORGHOLM</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55367-2024</t>
        </is>
      </c>
      <c r="B125" t="inlineStr">
        <is>
          <t>avverkningsanmälan</t>
        </is>
      </c>
      <c r="C125" t="inlineStr">
        <is>
          <t>Föryngringsavverkning</t>
        </is>
      </c>
      <c r="D125" s="1" t="n">
        <v>45621</v>
      </c>
      <c r="E125" s="1" t="n">
        <v>46256</v>
      </c>
      <c r="F125" t="inlineStr">
        <is>
          <t>KALMAR LÄN</t>
        </is>
      </c>
      <c r="G125" t="inlineStr">
        <is>
          <t>BORGHOLM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4159-2024</t>
        </is>
      </c>
      <c r="B126" t="inlineStr">
        <is>
          <t>avverkningsanmälan</t>
        </is>
      </c>
      <c r="C126" t="inlineStr">
        <is>
          <t>Föryngringsavverkning</t>
        </is>
      </c>
      <c r="D126" s="1" t="n">
        <v>45323</v>
      </c>
      <c r="E126" s="1" t="n">
        <v>46256</v>
      </c>
      <c r="F126" t="inlineStr">
        <is>
          <t>KALMAR LÄN</t>
        </is>
      </c>
      <c r="G126" t="inlineStr">
        <is>
          <t>BORGHOLM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36269-2025</t>
        </is>
      </c>
      <c r="B127" t="inlineStr">
        <is>
          <t>avverkningsanmälan</t>
        </is>
      </c>
      <c r="C127" t="inlineStr">
        <is>
          <t>Föryngringsavverkning</t>
        </is>
      </c>
      <c r="D127" s="1" t="n">
        <v>45867</v>
      </c>
      <c r="E127" s="1" t="n">
        <v>46256</v>
      </c>
      <c r="F127" t="inlineStr">
        <is>
          <t>KALMAR LÄN</t>
        </is>
      </c>
      <c r="G127" t="inlineStr">
        <is>
          <t>BORGHOLM</t>
        </is>
      </c>
      <c r="H127" t="inlineStr">
        <is>
          <t>Sveaskog</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32921-2023</t>
        </is>
      </c>
      <c r="B128" t="inlineStr">
        <is>
          <t>avverkningsanmälan</t>
        </is>
      </c>
      <c r="C128" t="inlineStr">
        <is>
          <t>Föryngringsavverkning</t>
        </is>
      </c>
      <c r="D128" s="1" t="n">
        <v>45125</v>
      </c>
      <c r="E128" s="1" t="n">
        <v>46256</v>
      </c>
      <c r="F128" t="inlineStr">
        <is>
          <t>KALMAR LÄN</t>
        </is>
      </c>
      <c r="G128" t="inlineStr">
        <is>
          <t>BORGHOLM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31699-2022</t>
        </is>
      </c>
      <c r="B129" t="inlineStr">
        <is>
          <t>avverkningsanmälan</t>
        </is>
      </c>
      <c r="C129" t="inlineStr">
        <is>
          <t>Föryngringsavverkning</t>
        </is>
      </c>
      <c r="D129" s="1" t="n">
        <v>44776</v>
      </c>
      <c r="E129" s="1" t="n">
        <v>46256</v>
      </c>
      <c r="F129" t="inlineStr">
        <is>
          <t>KALMAR LÄN</t>
        </is>
      </c>
      <c r="G129" t="inlineStr">
        <is>
          <t>BORGHOLM</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32919-2023</t>
        </is>
      </c>
      <c r="B130" t="inlineStr">
        <is>
          <t>avverkningsanmälan</t>
        </is>
      </c>
      <c r="C130" t="inlineStr">
        <is>
          <t>Föryngringsavverkning</t>
        </is>
      </c>
      <c r="D130" s="1" t="n">
        <v>45125</v>
      </c>
      <c r="E130" s="1" t="n">
        <v>46256</v>
      </c>
      <c r="F130" t="inlineStr">
        <is>
          <t>KALMAR LÄN</t>
        </is>
      </c>
      <c r="G130" t="inlineStr">
        <is>
          <t>BORGHOLM</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1614-2025</t>
        </is>
      </c>
      <c r="B131" t="inlineStr">
        <is>
          <t>avverkningsanmälan</t>
        </is>
      </c>
      <c r="C131" t="inlineStr">
        <is>
          <t>Föryngringsavverkning</t>
        </is>
      </c>
      <c r="D131" s="1" t="n">
        <v>45670</v>
      </c>
      <c r="E131" s="1" t="n">
        <v>46256</v>
      </c>
      <c r="F131" t="inlineStr">
        <is>
          <t>KALMAR LÄN</t>
        </is>
      </c>
      <c r="G131" t="inlineStr">
        <is>
          <t>BORGHOLM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44547-2021</t>
        </is>
      </c>
      <c r="B132" t="inlineStr">
        <is>
          <t>avverkningsanmälan</t>
        </is>
      </c>
      <c r="C132" t="inlineStr">
        <is>
          <t>Avverkning för annat ändamål</t>
        </is>
      </c>
      <c r="D132" s="1" t="n">
        <v>44435</v>
      </c>
      <c r="E132" s="1" t="n">
        <v>46256</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5175-2024</t>
        </is>
      </c>
      <c r="B133" t="inlineStr">
        <is>
          <t>avverkningsanmälan</t>
        </is>
      </c>
      <c r="C133" t="inlineStr">
        <is>
          <t>Föryngringsavverkning</t>
        </is>
      </c>
      <c r="D133" s="1" t="n">
        <v>45330</v>
      </c>
      <c r="E133" s="1" t="n">
        <v>46256</v>
      </c>
      <c r="F133" t="inlineStr">
        <is>
          <t>KALMAR LÄN</t>
        </is>
      </c>
      <c r="G133" t="inlineStr">
        <is>
          <t>BORGHOLM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34951-2022</t>
        </is>
      </c>
      <c r="B134" t="inlineStr">
        <is>
          <t>avverkningsanmälan</t>
        </is>
      </c>
      <c r="C134" t="inlineStr">
        <is>
          <t>Avverkning för att bevara och utveckla /försöksver</t>
        </is>
      </c>
      <c r="D134" s="1" t="n">
        <v>44796</v>
      </c>
      <c r="E134" s="1" t="n">
        <v>46256</v>
      </c>
      <c r="F134" t="inlineStr">
        <is>
          <t>KALMAR LÄN</t>
        </is>
      </c>
      <c r="G134" t="inlineStr">
        <is>
          <t>BORGHOLM</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24323-2026</t>
        </is>
      </c>
      <c r="B135" t="inlineStr">
        <is>
          <t>avverkningsanmälan</t>
        </is>
      </c>
      <c r="C135" t="inlineStr">
        <is>
          <t>Föryngringsavverkning</t>
        </is>
      </c>
      <c r="D135" s="1" t="n">
        <v>46169</v>
      </c>
      <c r="E135" s="1" t="n">
        <v>46256</v>
      </c>
      <c r="F135" t="inlineStr">
        <is>
          <t>KALMAR LÄN</t>
        </is>
      </c>
      <c r="G135" t="inlineStr">
        <is>
          <t>BORGHOLM</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24345-2026</t>
        </is>
      </c>
      <c r="B136" t="inlineStr">
        <is>
          <t>avverkningsanmälan</t>
        </is>
      </c>
      <c r="C136" t="inlineStr">
        <is>
          <t>Avverkning för att bevara och utveckla /försöksver</t>
        </is>
      </c>
      <c r="D136" s="1" t="n">
        <v>46169</v>
      </c>
      <c r="E136" s="1" t="n">
        <v>46256</v>
      </c>
      <c r="F136" t="inlineStr">
        <is>
          <t>KALMAR LÄN</t>
        </is>
      </c>
      <c r="G136" t="inlineStr">
        <is>
          <t>BORGHOLM</t>
        </is>
      </c>
      <c r="H136" t="inlineStr">
        <is>
          <t>Sveaskog</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24338-2026</t>
        </is>
      </c>
      <c r="B137" t="inlineStr">
        <is>
          <t>avverkningsanmälan</t>
        </is>
      </c>
      <c r="C137" t="inlineStr">
        <is>
          <t>Avverkning för att bevara och utveckla /försöksver</t>
        </is>
      </c>
      <c r="D137" s="1" t="n">
        <v>46169</v>
      </c>
      <c r="E137" s="1" t="n">
        <v>46256</v>
      </c>
      <c r="F137" t="inlineStr">
        <is>
          <t>KALMAR LÄN</t>
        </is>
      </c>
      <c r="G137" t="inlineStr">
        <is>
          <t>BORGHOLM</t>
        </is>
      </c>
      <c r="H137" t="inlineStr">
        <is>
          <t>Sveaskog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46256</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46256</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46256</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53050-2021</t>
        </is>
      </c>
      <c r="B141" t="inlineStr">
        <is>
          <t>avverkningsanmälan</t>
        </is>
      </c>
      <c r="C141" t="inlineStr">
        <is>
          <t>Föryngringsavverkning</t>
        </is>
      </c>
      <c r="D141" s="1" t="n">
        <v>44467</v>
      </c>
      <c r="E141" s="1" t="n">
        <v>46256</v>
      </c>
      <c r="F141" t="inlineStr">
        <is>
          <t>KALMAR LÄN</t>
        </is>
      </c>
      <c r="G141" t="inlineStr">
        <is>
          <t>BORGHOLM</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4165-2023</t>
        </is>
      </c>
      <c r="B142" t="inlineStr">
        <is>
          <t>avverkningsanmälan</t>
        </is>
      </c>
      <c r="C142" t="inlineStr">
        <is>
          <t>Föryngringsavverkning</t>
        </is>
      </c>
      <c r="D142" s="1" t="n">
        <v>44953</v>
      </c>
      <c r="E142" s="1" t="n">
        <v>46256</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9259-2026</t>
        </is>
      </c>
      <c r="B143" t="inlineStr">
        <is>
          <t>avverkningsanmälan</t>
        </is>
      </c>
      <c r="C143" t="inlineStr">
        <is>
          <t>Föryngringsavverkning</t>
        </is>
      </c>
      <c r="D143" s="1" t="n">
        <v>46070</v>
      </c>
      <c r="E143" s="1" t="n">
        <v>46256</v>
      </c>
      <c r="F143" t="inlineStr">
        <is>
          <t>KALMAR LÄN</t>
        </is>
      </c>
      <c r="G143" t="inlineStr">
        <is>
          <t>BORGHOLM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15272-2026</t>
        </is>
      </c>
      <c r="B144" t="inlineStr">
        <is>
          <t>avverkningsanmälan</t>
        </is>
      </c>
      <c r="C144" t="inlineStr">
        <is>
          <t>Avverkning för att bevara och utveckla /försöksver</t>
        </is>
      </c>
      <c r="D144" s="1" t="n">
        <v>46105</v>
      </c>
      <c r="E144" s="1" t="n">
        <v>46256</v>
      </c>
      <c r="F144" t="inlineStr">
        <is>
          <t>KALMAR LÄN</t>
        </is>
      </c>
      <c r="G144" t="inlineStr">
        <is>
          <t>BORGHOLM</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15279-2026</t>
        </is>
      </c>
      <c r="B145" t="inlineStr">
        <is>
          <t>avverkningsanmälan</t>
        </is>
      </c>
      <c r="C145" t="inlineStr">
        <is>
          <t>Avverkning för att bevara och utveckla /försöksver</t>
        </is>
      </c>
      <c r="D145" s="1" t="n">
        <v>46105</v>
      </c>
      <c r="E145" s="1" t="n">
        <v>46256</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15264-2026</t>
        </is>
      </c>
      <c r="B146" t="inlineStr">
        <is>
          <t>avverkningsanmälan</t>
        </is>
      </c>
      <c r="C146" t="inlineStr">
        <is>
          <t>Avverkning för att bevara och utveckla /försöksver</t>
        </is>
      </c>
      <c r="D146" s="1" t="n">
        <v>46105</v>
      </c>
      <c r="E146" s="1" t="n">
        <v>46256</v>
      </c>
      <c r="F146" t="inlineStr">
        <is>
          <t>KALMAR LÄN</t>
        </is>
      </c>
      <c r="G146" t="inlineStr">
        <is>
          <t>BORGHOLM</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28381-2026</t>
        </is>
      </c>
      <c r="B147" t="inlineStr">
        <is>
          <t>avverkningsanmälan</t>
        </is>
      </c>
      <c r="C147" t="inlineStr">
        <is>
          <t>Avverkning för att bevara och utveckla /försöksver</t>
        </is>
      </c>
      <c r="D147" s="1" t="n">
        <v>46196</v>
      </c>
      <c r="E147" s="1" t="n">
        <v>46256</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28380-2026</t>
        </is>
      </c>
      <c r="B148" t="inlineStr">
        <is>
          <t>avverkningsanmälan</t>
        </is>
      </c>
      <c r="C148" t="inlineStr">
        <is>
          <t>Avverkning för att bevara och utveckla /försöksver</t>
        </is>
      </c>
      <c r="D148" s="1" t="n">
        <v>46196</v>
      </c>
      <c r="E148" s="1" t="n">
        <v>46256</v>
      </c>
      <c r="F148" t="inlineStr">
        <is>
          <t>KALMAR LÄN</t>
        </is>
      </c>
      <c r="G148" t="inlineStr">
        <is>
          <t>BORGHOLM</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34780-2022</t>
        </is>
      </c>
      <c r="B149" t="inlineStr">
        <is>
          <t>avverkningsanmälan</t>
        </is>
      </c>
      <c r="C149" t="inlineStr">
        <is>
          <t>Föryngringsavverkning</t>
        </is>
      </c>
      <c r="D149" s="1" t="n">
        <v>44795</v>
      </c>
      <c r="E149" s="1" t="n">
        <v>46256</v>
      </c>
      <c r="F149" t="inlineStr">
        <is>
          <t>KALMAR LÄN</t>
        </is>
      </c>
      <c r="G149" t="inlineStr">
        <is>
          <t>BORGHOLM</t>
        </is>
      </c>
      <c r="H149" t="inlineStr">
        <is>
          <t>Sveaskog</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28411-2026</t>
        </is>
      </c>
      <c r="B150" t="inlineStr">
        <is>
          <t>avverkningsanmälan</t>
        </is>
      </c>
      <c r="C150" t="inlineStr">
        <is>
          <t>Avverkning för att bevara och utveckla /försöksver</t>
        </is>
      </c>
      <c r="D150" s="1" t="n">
        <v>46197</v>
      </c>
      <c r="E150" s="1" t="n">
        <v>46256</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29413-2026</t>
        </is>
      </c>
      <c r="B151" t="inlineStr">
        <is>
          <t>avverkningsanmälan</t>
        </is>
      </c>
      <c r="C151" t="inlineStr">
        <is>
          <t>Avverkning för att bevara och utveckla /försöksver</t>
        </is>
      </c>
      <c r="D151" s="1" t="n">
        <v>46203</v>
      </c>
      <c r="E151" s="1" t="n">
        <v>46256</v>
      </c>
      <c r="F151" t="inlineStr">
        <is>
          <t>KALMAR LÄN</t>
        </is>
      </c>
      <c r="G151" t="inlineStr">
        <is>
          <t>BORGHOLM</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29414-2026</t>
        </is>
      </c>
      <c r="B152" t="inlineStr">
        <is>
          <t>avverkningsanmälan</t>
        </is>
      </c>
      <c r="C152" t="inlineStr">
        <is>
          <t>Avverkning för att bevara och utveckla /försöksver</t>
        </is>
      </c>
      <c r="D152" s="1" t="n">
        <v>46203</v>
      </c>
      <c r="E152" s="1" t="n">
        <v>46256</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29431-2026</t>
        </is>
      </c>
      <c r="B153" t="inlineStr">
        <is>
          <t>avverkningsanmälan</t>
        </is>
      </c>
      <c r="C153" t="inlineStr">
        <is>
          <t>Avverkning för att bevara och utveckla /försöksver</t>
        </is>
      </c>
      <c r="D153" s="1" t="n">
        <v>46203</v>
      </c>
      <c r="E153" s="1" t="n">
        <v>46256</v>
      </c>
      <c r="F153" t="inlineStr">
        <is>
          <t>KALMAR LÄN</t>
        </is>
      </c>
      <c r="G153" t="inlineStr">
        <is>
          <t>BORGHOLM</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29410-2026</t>
        </is>
      </c>
      <c r="B154" t="inlineStr">
        <is>
          <t>avverkningsanmälan</t>
        </is>
      </c>
      <c r="C154" t="inlineStr">
        <is>
          <t>Avverkning för att bevara och utveckla /försöksver</t>
        </is>
      </c>
      <c r="D154" s="1" t="n">
        <v>46203</v>
      </c>
      <c r="E154" s="1" t="n">
        <v>46256</v>
      </c>
      <c r="F154" t="inlineStr">
        <is>
          <t>KALMAR LÄN</t>
        </is>
      </c>
      <c r="G154" t="inlineStr">
        <is>
          <t>BORGHOLM</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46256</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46256</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46256</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27357-2025</t>
        </is>
      </c>
      <c r="B158" t="inlineStr">
        <is>
          <t>avverkningsanmälan</t>
        </is>
      </c>
      <c r="C158" t="inlineStr">
        <is>
          <t>Avverkning för att bevara och utveckla /försöksver</t>
        </is>
      </c>
      <c r="D158" s="1" t="n">
        <v>45812</v>
      </c>
      <c r="E158" s="1" t="n">
        <v>46256</v>
      </c>
      <c r="F158" t="inlineStr">
        <is>
          <t>KALMAR LÄN</t>
        </is>
      </c>
      <c r="G158" t="inlineStr">
        <is>
          <t>BORGHOLM</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7669-2024</t>
        </is>
      </c>
      <c r="B159" t="inlineStr">
        <is>
          <t>avverkningsanmälan</t>
        </is>
      </c>
      <c r="C159" t="inlineStr">
        <is>
          <t>Föryngringsavverkning</t>
        </is>
      </c>
      <c r="D159" s="1" t="n">
        <v>45348</v>
      </c>
      <c r="E159" s="1" t="n">
        <v>46256</v>
      </c>
      <c r="F159" t="inlineStr">
        <is>
          <t>KALMAR LÄN</t>
        </is>
      </c>
      <c r="G159" t="inlineStr">
        <is>
          <t>BORGHOLM</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46256</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40339-2023</t>
        </is>
      </c>
      <c r="B161" t="inlineStr">
        <is>
          <t>avverkningsanmälan</t>
        </is>
      </c>
      <c r="C161" t="inlineStr">
        <is>
          <t>Föryngringsavverkning</t>
        </is>
      </c>
      <c r="D161" s="1" t="n">
        <v>45169</v>
      </c>
      <c r="E161" s="1" t="n">
        <v>46256</v>
      </c>
      <c r="F161" t="inlineStr">
        <is>
          <t>KALMAR LÄN</t>
        </is>
      </c>
      <c r="G161" t="inlineStr">
        <is>
          <t>BORGHOLM</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4035-2022</t>
        </is>
      </c>
      <c r="B162" t="inlineStr">
        <is>
          <t>samrådsanmälan</t>
        </is>
      </c>
      <c r="C162" t="inlineStr">
        <is>
          <t>Annan skogsbruksåtgärd</t>
        </is>
      </c>
      <c r="D162" s="1" t="n">
        <v>44756</v>
      </c>
      <c r="E162" s="1" t="n">
        <v>46256</v>
      </c>
      <c r="F162" t="inlineStr">
        <is>
          <t>KALMAR LÄN</t>
        </is>
      </c>
      <c r="G162" t="inlineStr">
        <is>
          <t>BORGHOLM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605-2025</t>
        </is>
      </c>
      <c r="B163" t="inlineStr">
        <is>
          <t>samrådsanmälan</t>
        </is>
      </c>
      <c r="C163" t="inlineStr">
        <is>
          <t>Annan skogsbruksåtgärd</t>
        </is>
      </c>
      <c r="D163" s="1" t="n">
        <v>45713</v>
      </c>
      <c r="E163" s="1" t="n">
        <v>46256</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1762-2025</t>
        </is>
      </c>
      <c r="B164" t="inlineStr">
        <is>
          <t>samrådsanmälan</t>
        </is>
      </c>
      <c r="C164" t="inlineStr">
        <is>
          <t>Annan skogsbruksåtgärd</t>
        </is>
      </c>
      <c r="D164" s="1" t="n">
        <v>45812</v>
      </c>
      <c r="E164" s="1" t="n">
        <v>46256</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1760-2025</t>
        </is>
      </c>
      <c r="B165" t="inlineStr">
        <is>
          <t>samrådsanmälan</t>
        </is>
      </c>
      <c r="C165" t="inlineStr">
        <is>
          <t>Annan skogsbruksåtgärd</t>
        </is>
      </c>
      <c r="D165" s="1" t="n">
        <v>45812</v>
      </c>
      <c r="E165" s="1" t="n">
        <v>46256</v>
      </c>
      <c r="F165" t="inlineStr">
        <is>
          <t>KALMAR LÄN</t>
        </is>
      </c>
      <c r="G165" t="inlineStr">
        <is>
          <t>BORGHOLM</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1123-2025</t>
        </is>
      </c>
      <c r="B166" t="inlineStr">
        <is>
          <t>samrådsanmälan</t>
        </is>
      </c>
      <c r="C166" t="inlineStr">
        <is>
          <t>Annan skogsbruksåtgärd</t>
        </is>
      </c>
      <c r="D166" s="1" t="n">
        <v>45754</v>
      </c>
      <c r="E166" s="1" t="n">
        <v>46256</v>
      </c>
      <c r="F166" t="inlineStr">
        <is>
          <t>KALMAR LÄN</t>
        </is>
      </c>
      <c r="G166" t="inlineStr">
        <is>
          <t>BORGHOLM</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842-2026</t>
        </is>
      </c>
      <c r="B167" t="inlineStr">
        <is>
          <t>samrådsanmälan</t>
        </is>
      </c>
      <c r="C167" t="inlineStr">
        <is>
          <t>Annan skogsbruksåtgärd</t>
        </is>
      </c>
      <c r="D167" s="1" t="n">
        <v>46105</v>
      </c>
      <c r="E167" s="1" t="n">
        <v>46256</v>
      </c>
      <c r="F167" t="inlineStr">
        <is>
          <t>KALMAR LÄN</t>
        </is>
      </c>
      <c r="G167" t="inlineStr">
        <is>
          <t>BORGHOLM</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843-2026</t>
        </is>
      </c>
      <c r="B168" t="inlineStr">
        <is>
          <t>samrådsanmälan</t>
        </is>
      </c>
      <c r="C168" t="inlineStr">
        <is>
          <t>Annan skogsbruksåtgärd</t>
        </is>
      </c>
      <c r="D168" s="1" t="n">
        <v>46105</v>
      </c>
      <c r="E168" s="1" t="n">
        <v>46256</v>
      </c>
      <c r="F168" t="inlineStr">
        <is>
          <t>KALMAR LÄN</t>
        </is>
      </c>
      <c r="G168" t="inlineStr">
        <is>
          <t>BORGHOLM</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1556-2026</t>
        </is>
      </c>
      <c r="B169" t="inlineStr">
        <is>
          <t>samrådsanmälan</t>
        </is>
      </c>
      <c r="C169" t="inlineStr">
        <is>
          <t>Annan skogsbruksåtgärd</t>
        </is>
      </c>
      <c r="D169" s="1" t="n">
        <v>46169</v>
      </c>
      <c r="E169" s="1" t="n">
        <v>46256</v>
      </c>
      <c r="F169" t="inlineStr">
        <is>
          <t>KALMAR LÄN</t>
        </is>
      </c>
      <c r="G169" t="inlineStr">
        <is>
          <t>BORGHOLM</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1557-2026</t>
        </is>
      </c>
      <c r="B170" t="inlineStr">
        <is>
          <t>samrådsanmälan</t>
        </is>
      </c>
      <c r="C170" t="inlineStr">
        <is>
          <t>Annan skogsbruksåtgärd</t>
        </is>
      </c>
      <c r="D170" s="1" t="n">
        <v>46169</v>
      </c>
      <c r="E170" s="1" t="n">
        <v>46256</v>
      </c>
      <c r="F170" t="inlineStr">
        <is>
          <t>KALMAR LÄN</t>
        </is>
      </c>
      <c r="G170" t="inlineStr">
        <is>
          <t>BORGHOLM</t>
        </is>
      </c>
      <c r="H170" t="inlineStr">
        <is>
          <t>Sveaskog</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1806-2026</t>
        </is>
      </c>
      <c r="B171" t="inlineStr">
        <is>
          <t>samrådsanmälan</t>
        </is>
      </c>
      <c r="C171" t="inlineStr">
        <is>
          <t>Annan skogsbruksåtgärd</t>
        </is>
      </c>
      <c r="D171" s="1" t="n">
        <v>46196</v>
      </c>
      <c r="E171" s="1" t="n">
        <v>46256</v>
      </c>
      <c r="F171" t="inlineStr">
        <is>
          <t>KALMAR LÄN</t>
        </is>
      </c>
      <c r="G171" t="inlineStr">
        <is>
          <t>BORGHOLM</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1807-2026</t>
        </is>
      </c>
      <c r="B172" t="inlineStr">
        <is>
          <t>samrådsanmälan</t>
        </is>
      </c>
      <c r="C172" t="inlineStr">
        <is>
          <t>Annan skogsbruksåtgärd</t>
        </is>
      </c>
      <c r="D172" s="1" t="n">
        <v>46196</v>
      </c>
      <c r="E172" s="1" t="n">
        <v>46256</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1812-2026</t>
        </is>
      </c>
      <c r="B173" t="inlineStr">
        <is>
          <t>samrådsanmälan</t>
        </is>
      </c>
      <c r="C173" t="inlineStr">
        <is>
          <t>Annan skogsbruksåtgärd</t>
        </is>
      </c>
      <c r="D173" s="1" t="n">
        <v>46197</v>
      </c>
      <c r="E173" s="1" t="n">
        <v>46256</v>
      </c>
      <c r="F173" t="inlineStr">
        <is>
          <t>KALMAR LÄN</t>
        </is>
      </c>
      <c r="G173" t="inlineStr">
        <is>
          <t>BORGHOLM</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46256</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1885-2026</t>
        </is>
      </c>
      <c r="B175" t="inlineStr">
        <is>
          <t>samrådsanmälan</t>
        </is>
      </c>
      <c r="C175" t="inlineStr">
        <is>
          <t>Annan skogsbruksåtgärd</t>
        </is>
      </c>
      <c r="D175" s="1" t="n">
        <v>46203</v>
      </c>
      <c r="E175" s="1" t="n">
        <v>46256</v>
      </c>
      <c r="F175" t="inlineStr">
        <is>
          <t>KALMAR LÄN</t>
        </is>
      </c>
      <c r="G175" t="inlineStr">
        <is>
          <t>BORGHOLM</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1887-2026</t>
        </is>
      </c>
      <c r="B176" t="inlineStr">
        <is>
          <t>samrådsanmälan</t>
        </is>
      </c>
      <c r="C176" t="inlineStr">
        <is>
          <t>Annan skogsbruksåtgärd</t>
        </is>
      </c>
      <c r="D176" s="1" t="n">
        <v>46203</v>
      </c>
      <c r="E176" s="1" t="n">
        <v>46256</v>
      </c>
      <c r="F176" t="inlineStr">
        <is>
          <t>KALMAR LÄN</t>
        </is>
      </c>
      <c r="G176" t="inlineStr">
        <is>
          <t>BORGHOLM</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c r="A177" t="inlineStr">
        <is>
          <t>S 1888-2026</t>
        </is>
      </c>
      <c r="B177" t="inlineStr">
        <is>
          <t>samrådsanmälan</t>
        </is>
      </c>
      <c r="C177" t="inlineStr">
        <is>
          <t>Annan skogsbruksåtgärd</t>
        </is>
      </c>
      <c r="D177" s="1" t="n">
        <v>46203</v>
      </c>
      <c r="E177" s="1" t="n">
        <v>46256</v>
      </c>
      <c r="F177" t="inlineStr">
        <is>
          <t>KALMAR LÄN</t>
        </is>
      </c>
      <c r="G177" t="inlineStr">
        <is>
          <t>BORGHOLM</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2026-08-22T01:45:14Z</dcterms:created>
  <dcterms:modified xmlns:dcterms="http://purl.org/dc/terms/" xmlns:xsi="http://www.w3.org/2001/XMLSchema-instance" xsi:type="dcterms:W3CDTF">2026-08-22T01:45:14Z</dcterms:modified>
</cp:coreProperties>
</file>