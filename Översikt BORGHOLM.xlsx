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46230</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46230</v>
      </c>
      <c r="F4" t="inlineStr">
        <is>
          <t>KALMAR LÄN</t>
        </is>
      </c>
      <c r="G4" t="inlineStr">
        <is>
          <t>BORGHOLM</t>
        </is>
      </c>
      <c r="I4" t="n">
        <v>13.5</v>
      </c>
      <c r="J4" t="n">
        <v>13</v>
      </c>
      <c r="K4" t="n">
        <v>6</v>
      </c>
      <c r="L4" t="n">
        <v>9</v>
      </c>
      <c r="M4" t="n">
        <v>1</v>
      </c>
      <c r="N4" t="n">
        <v>1</v>
      </c>
      <c r="O4" t="n">
        <v>0</v>
      </c>
      <c r="P4" t="n">
        <v>0</v>
      </c>
      <c r="Q4" t="n">
        <v>11</v>
      </c>
      <c r="R4" t="n">
        <v>2</v>
      </c>
      <c r="S4" t="n">
        <v>30</v>
      </c>
      <c r="T4" t="n">
        <v>46</v>
      </c>
      <c r="U4" t="n">
        <v>39</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46230</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46230</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46230</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46230</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46230</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46230</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46230</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46230</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46230</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45006-2025</t>
        </is>
      </c>
      <c r="B19" t="inlineStr">
        <is>
          <t>avverkningsanmälan</t>
        </is>
      </c>
      <c r="C19" t="inlineStr">
        <is>
          <t>Avverkning för annat ändamål</t>
        </is>
      </c>
      <c r="D19" s="1" t="n">
        <v>45918</v>
      </c>
      <c r="E19" s="1" t="n">
        <v>46230</v>
      </c>
      <c r="F19" t="inlineStr">
        <is>
          <t>KALMAR LÄN</t>
        </is>
      </c>
      <c r="G19" t="inlineStr">
        <is>
          <t>BORGHOLM</t>
        </is>
      </c>
      <c r="I19" t="n">
        <v>7.8</v>
      </c>
      <c r="J19" t="n">
        <v>5</v>
      </c>
      <c r="K19" t="n">
        <v>4</v>
      </c>
      <c r="L19" t="n">
        <v>2</v>
      </c>
      <c r="M19" t="n">
        <v>0</v>
      </c>
      <c r="N19" t="n">
        <v>0</v>
      </c>
      <c r="O19" t="n">
        <v>0</v>
      </c>
      <c r="P19" t="n">
        <v>0</v>
      </c>
      <c r="Q19" t="n">
        <v>2</v>
      </c>
      <c r="R19" t="n">
        <v>0</v>
      </c>
      <c r="S19" t="n">
        <v>9</v>
      </c>
      <c r="T19" t="n">
        <v>13</v>
      </c>
      <c r="U19" t="n">
        <v>12</v>
      </c>
      <c r="V19" s="2" t="inlineStr">
        <is>
          <t>Mindre ekbock
Vårstarr
Murgröna
Myskmadra
Tvåblad
Vit skogslilja
Johannesnycklar
Krutbrännare
Gullviva</t>
        </is>
      </c>
      <c r="W19">
        <f>HYPERLINK("https://klasma.github.io/Logging_0885/artfynd/A 45006-2025 artfynd.xlsx", "A 45006-2025")</f>
        <v/>
      </c>
      <c r="X19">
        <f>HYPERLINK("https://klasma.github.io/Logging_0885/kartor/A 45006-2025 karta.png", "A 45006-2025")</f>
        <v/>
      </c>
      <c r="Y19">
        <f>HYPERLINK("https://klasma.github.io/Logging_0885/kartor_geotiff/A 45006-2025 georefererad karta.tif", "A 45006-2025")</f>
        <v/>
      </c>
      <c r="AA19">
        <f>HYPERLINK("https://klasma.github.io/Logging_0885/klagomål/A 45006-2025 FSC-klagomål.docx", "A 45006-2025")</f>
        <v/>
      </c>
      <c r="AB19">
        <f>HYPERLINK("https://klasma.github.io/Logging_0885/klagomålsmail/A 45006-2025 FSC-klagomål mail.docx", "A 45006-2025")</f>
        <v/>
      </c>
      <c r="AC19">
        <f>HYPERLINK("https://klasma.github.io/Logging_0885/tillsyn/A 45006-2025 tillsynsbegäran.docx", "A 45006-2025")</f>
        <v/>
      </c>
      <c r="AD19">
        <f>HYPERLINK("https://klasma.github.io/Logging_0885/tillsynsmail/A 45006-2025 tillsynsbegäran mail.docx", "A 45006-2025")</f>
        <v/>
      </c>
    </row>
    <row r="20" ht="15" customHeight="1">
      <c r="A20" t="inlineStr">
        <is>
          <t>A 44885-2025</t>
        </is>
      </c>
      <c r="B20" t="inlineStr">
        <is>
          <t>avverkningsanmälan</t>
        </is>
      </c>
      <c r="C20" t="inlineStr">
        <is>
          <t>Föryngringsavverkning</t>
        </is>
      </c>
      <c r="D20" s="1" t="n">
        <v>45918</v>
      </c>
      <c r="E20" s="1" t="n">
        <v>46230</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46230</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46230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46230</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46230</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46230</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46230</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46230</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46230</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46230</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46230</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46230</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46230</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46230</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46230</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46230</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46230</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46230</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46230</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46230</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46230</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46230</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46230</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46230</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46230</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46230</v>
      </c>
      <c r="F46" t="inlineStr">
        <is>
          <t>KALMAR LÄN</t>
        </is>
      </c>
      <c r="G46" t="inlineStr">
        <is>
          <t>BORGHOLM</t>
        </is>
      </c>
      <c r="I46" t="n">
        <v>1.4</v>
      </c>
      <c r="J46" t="n">
        <v>2</v>
      </c>
      <c r="K46" t="n">
        <v>2</v>
      </c>
      <c r="L46" t="n">
        <v>1</v>
      </c>
      <c r="M46" t="n">
        <v>0</v>
      </c>
      <c r="N46" t="n">
        <v>0</v>
      </c>
      <c r="O46" t="n">
        <v>0</v>
      </c>
      <c r="P46" t="n">
        <v>0</v>
      </c>
      <c r="Q46" t="n">
        <v>1</v>
      </c>
      <c r="R46" t="n">
        <v>0</v>
      </c>
      <c r="S46" t="n">
        <v>4</v>
      </c>
      <c r="T46" t="n">
        <v>9</v>
      </c>
      <c r="U46" t="n">
        <v>4</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2742-2022</t>
        </is>
      </c>
      <c r="B47" t="inlineStr">
        <is>
          <t>samrådsanmälan</t>
        </is>
      </c>
      <c r="C47" t="inlineStr">
        <is>
          <t>Annan skogsbruksåtgärd</t>
        </is>
      </c>
      <c r="D47" s="1" t="n">
        <v>44704</v>
      </c>
      <c r="E47" s="1" t="n">
        <v>46230</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46230</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46230</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43542-2025</t>
        </is>
      </c>
      <c r="B50" t="inlineStr">
        <is>
          <t>avverkningsanmälan</t>
        </is>
      </c>
      <c r="C50" t="inlineStr">
        <is>
          <t>Föryngringsavverkning</t>
        </is>
      </c>
      <c r="D50" s="1" t="n">
        <v>45911</v>
      </c>
      <c r="E50" s="1" t="n">
        <v>46230</v>
      </c>
      <c r="F50" t="inlineStr">
        <is>
          <t>KALMAR LÄN</t>
        </is>
      </c>
      <c r="G50" t="inlineStr">
        <is>
          <t>BORGHOLM</t>
        </is>
      </c>
      <c r="I50" t="n">
        <v>2.4</v>
      </c>
      <c r="J50" t="n">
        <v>0</v>
      </c>
      <c r="K50" t="n">
        <v>1</v>
      </c>
      <c r="L50" t="n">
        <v>2</v>
      </c>
      <c r="M50" t="n">
        <v>0</v>
      </c>
      <c r="N50" t="n">
        <v>0</v>
      </c>
      <c r="O50" t="n">
        <v>0</v>
      </c>
      <c r="P50" t="n">
        <v>0</v>
      </c>
      <c r="Q50" t="n">
        <v>2</v>
      </c>
      <c r="R50" t="n">
        <v>0</v>
      </c>
      <c r="S50" t="n">
        <v>3</v>
      </c>
      <c r="T50" t="n">
        <v>3</v>
      </c>
      <c r="U50" t="n">
        <v>3</v>
      </c>
      <c r="V50" s="2" t="inlineStr">
        <is>
          <t>Vårärt
Ängsskära
Underviol</t>
        </is>
      </c>
      <c r="W50">
        <f>HYPERLINK("https://klasma.github.io/Logging_0885/artfynd/A 43542-2025 artfynd.xlsx", "A 43542-2025")</f>
        <v/>
      </c>
      <c r="X50">
        <f>HYPERLINK("https://klasma.github.io/Logging_0885/kartor/A 43542-2025 karta.png", "A 43542-2025")</f>
        <v/>
      </c>
      <c r="Y50">
        <f>HYPERLINK("https://klasma.github.io/Logging_0885/kartor_geotiff/A 43542-2025 georefererad karta.tif", "A 43542-2025")</f>
        <v/>
      </c>
      <c r="AA50">
        <f>HYPERLINK("https://klasma.github.io/Logging_0885/klagomål/A 43542-2025 FSC-klagomål.docx", "A 43542-2025")</f>
        <v/>
      </c>
      <c r="AB50">
        <f>HYPERLINK("https://klasma.github.io/Logging_0885/klagomålsmail/A 43542-2025 FSC-klagomål mail.docx", "A 43542-2025")</f>
        <v/>
      </c>
      <c r="AC50">
        <f>HYPERLINK("https://klasma.github.io/Logging_0885/tillsyn/A 43542-2025 tillsynsbegäran.docx", "A 43542-2025")</f>
        <v/>
      </c>
      <c r="AD50">
        <f>HYPERLINK("https://klasma.github.io/Logging_0885/tillsynsmail/A 43542-2025 tillsynsbegäran mail.docx", "A 43542-2025")</f>
        <v/>
      </c>
    </row>
    <row r="51" ht="15" customHeight="1">
      <c r="A51" t="inlineStr">
        <is>
          <t>A 27283-2026</t>
        </is>
      </c>
      <c r="B51" t="inlineStr">
        <is>
          <t>avverkningsanmälan</t>
        </is>
      </c>
      <c r="C51" t="inlineStr">
        <is>
          <t>Avverkning för att bevara och utveckla /försöksver</t>
        </is>
      </c>
      <c r="D51" s="1" t="n">
        <v>46188</v>
      </c>
      <c r="E51" s="1" t="n">
        <v>46230</v>
      </c>
      <c r="F51" t="inlineStr">
        <is>
          <t>KALMAR LÄN</t>
        </is>
      </c>
      <c r="G51" t="inlineStr">
        <is>
          <t>BORGHOLM</t>
        </is>
      </c>
      <c r="H51" t="inlineStr">
        <is>
          <t>Sveaskog</t>
        </is>
      </c>
      <c r="I51" t="n">
        <v>2</v>
      </c>
      <c r="J51" t="n">
        <v>1</v>
      </c>
      <c r="K51" t="n">
        <v>1</v>
      </c>
      <c r="L51" t="n">
        <v>1</v>
      </c>
      <c r="M51" t="n">
        <v>0</v>
      </c>
      <c r="N51" t="n">
        <v>1</v>
      </c>
      <c r="O51" t="n">
        <v>0</v>
      </c>
      <c r="P51" t="n">
        <v>0</v>
      </c>
      <c r="Q51" t="n">
        <v>2</v>
      </c>
      <c r="R51" t="n">
        <v>1</v>
      </c>
      <c r="S51" t="n">
        <v>3</v>
      </c>
      <c r="T51" t="n">
        <v>3</v>
      </c>
      <c r="U51" t="n">
        <v>0</v>
      </c>
      <c r="V51" s="2" t="inlineStr">
        <is>
          <t>Ask
Mindre poppelglasvinge
Skogsknipprot</t>
        </is>
      </c>
      <c r="W51">
        <f>HYPERLINK("https://klasma.github.io/Logging_0885/artfynd/A 27283-2026 artfynd.xlsx", "A 27283-2026")</f>
        <v/>
      </c>
      <c r="X51">
        <f>HYPERLINK("https://klasma.github.io/Logging_0885/kartor/A 27283-2026 karta.png", "A 27283-2026")</f>
        <v/>
      </c>
      <c r="Y51">
        <f>HYPERLINK("https://klasma.github.io/Logging_0885/kartor_geotiff/A 27283-2026 georefererad karta.tif", "A 27283-2026")</f>
        <v/>
      </c>
      <c r="AA51">
        <f>HYPERLINK("https://klasma.github.io/Logging_0885/klagomål/A 27283-2026 FSC-klagomål.docx", "A 27283-2026")</f>
        <v/>
      </c>
      <c r="AB51">
        <f>HYPERLINK("https://klasma.github.io/Logging_0885/klagomålsmail/A 27283-2026 FSC-klagomål mail.docx", "A 27283-2026")</f>
        <v/>
      </c>
      <c r="AC51">
        <f>HYPERLINK("https://klasma.github.io/Logging_0885/tillsyn/A 27283-2026 tillsynsbegäran.docx", "A 27283-2026")</f>
        <v/>
      </c>
      <c r="AD51">
        <f>HYPERLINK("https://klasma.github.io/Logging_0885/tillsynsmail/A 27283-2026 tillsynsbegäran mail.docx", "A 27283-2026")</f>
        <v/>
      </c>
    </row>
    <row r="52" ht="15" customHeight="1">
      <c r="A52" t="inlineStr">
        <is>
          <t>A 32174-2022</t>
        </is>
      </c>
      <c r="B52" t="inlineStr">
        <is>
          <t>avverkningsanmälan</t>
        </is>
      </c>
      <c r="C52" t="inlineStr">
        <is>
          <t>Avverkning för att bevara och utveckla /försöksver</t>
        </is>
      </c>
      <c r="D52" s="1" t="n">
        <v>44781</v>
      </c>
      <c r="E52" s="1" t="n">
        <v>46230</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43756-2022</t>
        </is>
      </c>
      <c r="B53" t="inlineStr">
        <is>
          <t>avverkningsanmälan</t>
        </is>
      </c>
      <c r="C53" t="inlineStr">
        <is>
          <t>Föryngringsavverkning</t>
        </is>
      </c>
      <c r="D53" s="1" t="n">
        <v>44837</v>
      </c>
      <c r="E53" s="1" t="n">
        <v>46230</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15285-2026</t>
        </is>
      </c>
      <c r="B54" t="inlineStr">
        <is>
          <t>avverkningsanmälan</t>
        </is>
      </c>
      <c r="C54" t="inlineStr">
        <is>
          <t>Avverkning för att bevara och utveckla /försöksver</t>
        </is>
      </c>
      <c r="D54" s="1" t="n">
        <v>46105</v>
      </c>
      <c r="E54" s="1" t="n">
        <v>46230</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31520-2026</t>
        </is>
      </c>
      <c r="B55" t="inlineStr">
        <is>
          <t>avverkningsanmälan</t>
        </is>
      </c>
      <c r="C55" t="inlineStr">
        <is>
          <t>Avverkning för att bevara och utveckla /försöksver</t>
        </is>
      </c>
      <c r="D55" s="1" t="n">
        <v>46223</v>
      </c>
      <c r="E55" s="1" t="n">
        <v>46230</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26849-2026</t>
        </is>
      </c>
      <c r="B56" t="inlineStr">
        <is>
          <t>avverkningsanmälan</t>
        </is>
      </c>
      <c r="C56" t="inlineStr">
        <is>
          <t>Föryngringsavverkning</t>
        </is>
      </c>
      <c r="D56" s="1" t="n">
        <v>46185</v>
      </c>
      <c r="E56" s="1" t="n">
        <v>46230</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24048-2025</t>
        </is>
      </c>
      <c r="B57" t="inlineStr">
        <is>
          <t>avverkningsanmälan</t>
        </is>
      </c>
      <c r="C57" t="inlineStr">
        <is>
          <t>Föryngringsavverkning</t>
        </is>
      </c>
      <c r="D57" s="1" t="n">
        <v>45796</v>
      </c>
      <c r="E57" s="1" t="n">
        <v>46230</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S 2740-2022</t>
        </is>
      </c>
      <c r="B58" t="inlineStr">
        <is>
          <t>samrådsanmälan</t>
        </is>
      </c>
      <c r="C58" t="inlineStr">
        <is>
          <t>Annan skogsbruksåtgärd</t>
        </is>
      </c>
      <c r="D58" s="1" t="n">
        <v>44704</v>
      </c>
      <c r="E58" s="1" t="n">
        <v>46230</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46230</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46230</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46230</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46230</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46230</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60141-2025</t>
        </is>
      </c>
      <c r="B64" t="inlineStr">
        <is>
          <t>avverkningsanmälan</t>
        </is>
      </c>
      <c r="C64" t="inlineStr">
        <is>
          <t>Föryngringsavverkning</t>
        </is>
      </c>
      <c r="D64" s="1" t="n">
        <v>45994</v>
      </c>
      <c r="E64" s="1" t="n">
        <v>46230</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46230</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29411-2026</t>
        </is>
      </c>
      <c r="B66" t="inlineStr">
        <is>
          <t>avverkningsanmälan</t>
        </is>
      </c>
      <c r="C66" t="inlineStr">
        <is>
          <t>Avverkning för att bevara och utveckla /försöksver</t>
        </is>
      </c>
      <c r="D66" s="1" t="n">
        <v>46203</v>
      </c>
      <c r="E66" s="1" t="n">
        <v>46230</v>
      </c>
      <c r="F66" t="inlineStr">
        <is>
          <t>KALMAR LÄN</t>
        </is>
      </c>
      <c r="G66" t="inlineStr">
        <is>
          <t>BORGHOLM</t>
        </is>
      </c>
      <c r="H66" t="inlineStr">
        <is>
          <t>Sveaskog</t>
        </is>
      </c>
      <c r="I66" t="n">
        <v>0.6</v>
      </c>
      <c r="J66" t="n">
        <v>1</v>
      </c>
      <c r="K66" t="n">
        <v>1</v>
      </c>
      <c r="L66" t="n">
        <v>0</v>
      </c>
      <c r="M66" t="n">
        <v>1</v>
      </c>
      <c r="N66" t="n">
        <v>0</v>
      </c>
      <c r="O66" t="n">
        <v>0</v>
      </c>
      <c r="P66" t="n">
        <v>0</v>
      </c>
      <c r="Q66" t="n">
        <v>1</v>
      </c>
      <c r="R66" t="n">
        <v>1</v>
      </c>
      <c r="S66" t="n">
        <v>2</v>
      </c>
      <c r="T66" t="n">
        <v>2</v>
      </c>
      <c r="U66" t="n">
        <v>1</v>
      </c>
      <c r="V66" s="2" t="inlineStr">
        <is>
          <t>Bredbrämad bastardsvärmare
Ekoxe</t>
        </is>
      </c>
      <c r="W66">
        <f>HYPERLINK("https://klasma.github.io/Logging_0885/artfynd/A 29411-2026 artfynd.xlsx", "A 29411-2026")</f>
        <v/>
      </c>
      <c r="X66">
        <f>HYPERLINK("https://klasma.github.io/Logging_0885/kartor/A 29411-2026 karta.png", "A 29411-2026")</f>
        <v/>
      </c>
      <c r="Y66">
        <f>HYPERLINK("https://klasma.github.io/Logging_0885/kartor_geotiff/A 29411-2026 georefererad karta.tif", "A 29411-2026")</f>
        <v/>
      </c>
      <c r="AA66">
        <f>HYPERLINK("https://klasma.github.io/Logging_0885/klagomål/A 29411-2026 FSC-klagomål.docx", "A 29411-2026")</f>
        <v/>
      </c>
      <c r="AB66">
        <f>HYPERLINK("https://klasma.github.io/Logging_0885/klagomålsmail/A 29411-2026 FSC-klagomål mail.docx", "A 29411-2026")</f>
        <v/>
      </c>
      <c r="AC66">
        <f>HYPERLINK("https://klasma.github.io/Logging_0885/tillsyn/A 29411-2026 tillsynsbegäran.docx", "A 29411-2026")</f>
        <v/>
      </c>
      <c r="AD66">
        <f>HYPERLINK("https://klasma.github.io/Logging_0885/tillsynsmail/A 29411-2026 tillsynsbegäran mail.docx", "A 29411-2026")</f>
        <v/>
      </c>
    </row>
    <row r="67" ht="15" customHeight="1">
      <c r="A67" t="inlineStr">
        <is>
          <t>A 44678-2022</t>
        </is>
      </c>
      <c r="B67" t="inlineStr">
        <is>
          <t>avverkningsanmälan</t>
        </is>
      </c>
      <c r="C67" t="inlineStr">
        <is>
          <t>Föryngringsavverkning</t>
        </is>
      </c>
      <c r="D67" s="1" t="n">
        <v>44840</v>
      </c>
      <c r="E67" s="1" t="n">
        <v>46230</v>
      </c>
      <c r="F67" t="inlineStr">
        <is>
          <t>KALMAR LÄN</t>
        </is>
      </c>
      <c r="G67" t="inlineStr">
        <is>
          <t>BORGHOLM</t>
        </is>
      </c>
      <c r="I67" t="n">
        <v>2.4</v>
      </c>
      <c r="J67" t="n">
        <v>1</v>
      </c>
      <c r="K67" t="n">
        <v>1</v>
      </c>
      <c r="L67" t="n">
        <v>0</v>
      </c>
      <c r="M67" t="n">
        <v>0</v>
      </c>
      <c r="N67" t="n">
        <v>1</v>
      </c>
      <c r="O67" t="n">
        <v>0</v>
      </c>
      <c r="P67" t="n">
        <v>0</v>
      </c>
      <c r="Q67" t="n">
        <v>1</v>
      </c>
      <c r="R67" t="n">
        <v>1</v>
      </c>
      <c r="S67" t="n">
        <v>2</v>
      </c>
      <c r="T67" t="n">
        <v>2</v>
      </c>
      <c r="U67" t="n">
        <v>1</v>
      </c>
      <c r="V67" s="2" t="inlineStr">
        <is>
          <t>Ask
Skogsknipprot</t>
        </is>
      </c>
      <c r="W67">
        <f>HYPERLINK("https://klasma.github.io/Logging_0885/artfynd/A 44678-2022 artfynd.xlsx", "A 44678-2022")</f>
        <v/>
      </c>
      <c r="X67">
        <f>HYPERLINK("https://klasma.github.io/Logging_0885/kartor/A 44678-2022 karta.png", "A 44678-2022")</f>
        <v/>
      </c>
      <c r="Y67">
        <f>HYPERLINK("https://klasma.github.io/Logging_0885/kartor_geotiff/A 44678-2022 georefererad karta.tif", "A 44678-2022")</f>
        <v/>
      </c>
      <c r="AA67">
        <f>HYPERLINK("https://klasma.github.io/Logging_0885/klagomål/A 44678-2022 FSC-klagomål.docx", "A 44678-2022")</f>
        <v/>
      </c>
      <c r="AB67">
        <f>HYPERLINK("https://klasma.github.io/Logging_0885/klagomålsmail/A 44678-2022 FSC-klagomål mail.docx", "A 44678-2022")</f>
        <v/>
      </c>
      <c r="AC67">
        <f>HYPERLINK("https://klasma.github.io/Logging_0885/tillsyn/A 44678-2022 tillsynsbegäran.docx", "A 44678-2022")</f>
        <v/>
      </c>
      <c r="AD67">
        <f>HYPERLINK("https://klasma.github.io/Logging_0885/tillsynsmail/A 44678-2022 tillsynsbegäran mail.docx", "A 44678-2022")</f>
        <v/>
      </c>
    </row>
    <row r="68" ht="15" customHeight="1">
      <c r="A68" t="inlineStr">
        <is>
          <t>A 9253-2026</t>
        </is>
      </c>
      <c r="B68" t="inlineStr">
        <is>
          <t>avverkningsanmälan</t>
        </is>
      </c>
      <c r="C68" t="inlineStr">
        <is>
          <t>Föryngringsavverkning</t>
        </is>
      </c>
      <c r="D68" s="1" t="n">
        <v>46070</v>
      </c>
      <c r="E68" s="1" t="n">
        <v>46230</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24322-2026</t>
        </is>
      </c>
      <c r="B69" t="inlineStr">
        <is>
          <t>avverkningsanmälan</t>
        </is>
      </c>
      <c r="C69" t="inlineStr">
        <is>
          <t>Föryngringsavverkning</t>
        </is>
      </c>
      <c r="D69" s="1" t="n">
        <v>46169</v>
      </c>
      <c r="E69" s="1" t="n">
        <v>46230</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29434-2026</t>
        </is>
      </c>
      <c r="B70" t="inlineStr">
        <is>
          <t>avverkningsanmälan</t>
        </is>
      </c>
      <c r="C70" t="inlineStr">
        <is>
          <t>Avverkning för att bevara och utveckla /försöksver</t>
        </is>
      </c>
      <c r="D70" s="1" t="n">
        <v>46203</v>
      </c>
      <c r="E70" s="1" t="n">
        <v>46230</v>
      </c>
      <c r="F70" t="inlineStr">
        <is>
          <t>KALMAR LÄN</t>
        </is>
      </c>
      <c r="G70" t="inlineStr">
        <is>
          <t>BORGHOLM</t>
        </is>
      </c>
      <c r="H70" t="inlineStr">
        <is>
          <t>Sveaskog</t>
        </is>
      </c>
      <c r="I70" t="n">
        <v>2.1</v>
      </c>
      <c r="J70" t="n">
        <v>0</v>
      </c>
      <c r="K70" t="n">
        <v>0</v>
      </c>
      <c r="L70" t="n">
        <v>0</v>
      </c>
      <c r="M70" t="n">
        <v>2</v>
      </c>
      <c r="N70" t="n">
        <v>0</v>
      </c>
      <c r="O70" t="n">
        <v>0</v>
      </c>
      <c r="P70" t="n">
        <v>0</v>
      </c>
      <c r="Q70" t="n">
        <v>2</v>
      </c>
      <c r="R70" t="n">
        <v>2</v>
      </c>
      <c r="S70" t="n">
        <v>2</v>
      </c>
      <c r="T70" t="n">
        <v>2</v>
      </c>
      <c r="U70" t="n">
        <v>0</v>
      </c>
      <c r="V70" s="2" t="inlineStr">
        <is>
          <t>Bredbrämad bastardsvärmare
Purpurmusseron</t>
        </is>
      </c>
      <c r="W70">
        <f>HYPERLINK("https://klasma.github.io/Logging_0885/artfynd/A 29434-2026 artfynd.xlsx", "A 29434-2026")</f>
        <v/>
      </c>
      <c r="X70">
        <f>HYPERLINK("https://klasma.github.io/Logging_0885/kartor/A 29434-2026 karta.png", "A 29434-2026")</f>
        <v/>
      </c>
      <c r="Y70">
        <f>HYPERLINK("https://klasma.github.io/Logging_0885/kartor_geotiff/A 29434-2026 georefererad karta.tif", "A 29434-2026")</f>
        <v/>
      </c>
      <c r="AA70">
        <f>HYPERLINK("https://klasma.github.io/Logging_0885/klagomål/A 29434-2026 FSC-klagomål.docx", "A 29434-2026")</f>
        <v/>
      </c>
      <c r="AB70">
        <f>HYPERLINK("https://klasma.github.io/Logging_0885/klagomålsmail/A 29434-2026 FSC-klagomål mail.docx", "A 29434-2026")</f>
        <v/>
      </c>
      <c r="AC70">
        <f>HYPERLINK("https://klasma.github.io/Logging_0885/tillsyn/A 29434-2026 tillsynsbegäran.docx", "A 29434-2026")</f>
        <v/>
      </c>
      <c r="AD70">
        <f>HYPERLINK("https://klasma.github.io/Logging_0885/tillsynsmail/A 29434-2026 tillsynsbegäran mail.docx", "A 29434-2026")</f>
        <v/>
      </c>
    </row>
    <row r="71" ht="15" customHeight="1">
      <c r="A71" t="inlineStr">
        <is>
          <t>A 50129-2021</t>
        </is>
      </c>
      <c r="B71" t="inlineStr">
        <is>
          <t>avverkningsanmälan</t>
        </is>
      </c>
      <c r="C71" t="inlineStr">
        <is>
          <t>Avverkning för annat ändamål</t>
        </is>
      </c>
      <c r="D71" s="1" t="n">
        <v>44456</v>
      </c>
      <c r="E71" s="1" t="n">
        <v>46230</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17699-2025</t>
        </is>
      </c>
      <c r="B72" t="inlineStr">
        <is>
          <t>avverkningsanmälan</t>
        </is>
      </c>
      <c r="C72" t="inlineStr">
        <is>
          <t>Föryngringsavverkning</t>
        </is>
      </c>
      <c r="D72" s="1" t="n">
        <v>45758</v>
      </c>
      <c r="E72" s="1" t="n">
        <v>46230</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46230</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46230</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46230</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46230</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46230</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46230</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46230</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46230</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46230</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46230</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41831-2025</t>
        </is>
      </c>
      <c r="B83" t="inlineStr">
        <is>
          <t>avverkningsanmälan</t>
        </is>
      </c>
      <c r="C83" t="inlineStr">
        <is>
          <t>Föryngringsavverkning</t>
        </is>
      </c>
      <c r="D83" s="1" t="n">
        <v>45902</v>
      </c>
      <c r="E83" s="1" t="n">
        <v>46230</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24704-2023</t>
        </is>
      </c>
      <c r="B84" t="inlineStr">
        <is>
          <t>avverkningsanmälan</t>
        </is>
      </c>
      <c r="C84" t="inlineStr">
        <is>
          <t>Föryngringsavverkning</t>
        </is>
      </c>
      <c r="D84" s="1" t="n">
        <v>45084</v>
      </c>
      <c r="E84" s="1" t="n">
        <v>46230</v>
      </c>
      <c r="F84" t="inlineStr">
        <is>
          <t>KALMAR LÄN</t>
        </is>
      </c>
      <c r="G84" t="inlineStr">
        <is>
          <t>BORGHOLM</t>
        </is>
      </c>
      <c r="I84" t="n">
        <v>3.5</v>
      </c>
      <c r="J84" t="n">
        <v>0</v>
      </c>
      <c r="K84" t="n">
        <v>0</v>
      </c>
      <c r="L84" t="n">
        <v>0</v>
      </c>
      <c r="M84" t="n">
        <v>0</v>
      </c>
      <c r="N84" t="n">
        <v>1</v>
      </c>
      <c r="O84" t="n">
        <v>0</v>
      </c>
      <c r="P84" t="n">
        <v>0</v>
      </c>
      <c r="Q84" t="n">
        <v>1</v>
      </c>
      <c r="R84" t="n">
        <v>1</v>
      </c>
      <c r="S84" t="n">
        <v>1</v>
      </c>
      <c r="T84" t="n">
        <v>2</v>
      </c>
      <c r="U84" t="n">
        <v>0</v>
      </c>
      <c r="V84" s="2" t="inlineStr">
        <is>
          <t>Ask</t>
        </is>
      </c>
      <c r="W84">
        <f>HYPERLINK("https://klasma.github.io/Logging_0885/artfynd/A 24704-2023 artfynd.xlsx", "A 24704-2023")</f>
        <v/>
      </c>
      <c r="X84">
        <f>HYPERLINK("https://klasma.github.io/Logging_0885/kartor/A 24704-2023 karta.png", "A 24704-2023")</f>
        <v/>
      </c>
      <c r="Y84">
        <f>HYPERLINK("https://klasma.github.io/Logging_0885/kartor_geotiff/A 24704-2023 georefererad karta.tif", "A 24704-2023")</f>
        <v/>
      </c>
      <c r="AA84">
        <f>HYPERLINK("https://klasma.github.io/Logging_0885/klagomål/A 24704-2023 FSC-klagomål.docx", "A 24704-2023")</f>
        <v/>
      </c>
      <c r="AB84">
        <f>HYPERLINK("https://klasma.github.io/Logging_0885/klagomålsmail/A 24704-2023 FSC-klagomål mail.docx", "A 24704-2023")</f>
        <v/>
      </c>
      <c r="AC84">
        <f>HYPERLINK("https://klasma.github.io/Logging_0885/tillsyn/A 24704-2023 tillsynsbegäran.docx", "A 24704-2023")</f>
        <v/>
      </c>
      <c r="AD84">
        <f>HYPERLINK("https://klasma.github.io/Logging_0885/tillsynsmail/A 24704-2023 tillsynsbegäran mail.docx", "A 24704-2023")</f>
        <v/>
      </c>
    </row>
    <row r="85" ht="15" customHeight="1">
      <c r="A85" t="inlineStr">
        <is>
          <t>A 9745-2023</t>
        </is>
      </c>
      <c r="B85" t="inlineStr">
        <is>
          <t>avverkningsanmälan</t>
        </is>
      </c>
      <c r="C85" t="inlineStr">
        <is>
          <t>Föryngringsavverkning</t>
        </is>
      </c>
      <c r="D85" s="1" t="n">
        <v>44984</v>
      </c>
      <c r="E85" s="1" t="n">
        <v>46230</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28430-2026</t>
        </is>
      </c>
      <c r="B86" t="inlineStr">
        <is>
          <t>avverkningsanmälan</t>
        </is>
      </c>
      <c r="C86" t="inlineStr">
        <is>
          <t>Avverkning för att bevara och utveckla /försöksver</t>
        </is>
      </c>
      <c r="D86" s="1" t="n">
        <v>46197</v>
      </c>
      <c r="E86" s="1" t="n">
        <v>46230</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t="n">
        <v>0</v>
      </c>
      <c r="V86" s="2" t="inlineStr">
        <is>
          <t>Oxtungssvamp</t>
        </is>
      </c>
      <c r="W86">
        <f>HYPERLINK("https://klasma.github.io/Logging_0885/artfynd/A 28430-2026 artfynd.xlsx", "A 28430-2026")</f>
        <v/>
      </c>
      <c r="X86">
        <f>HYPERLINK("https://klasma.github.io/Logging_0885/kartor/A 28430-2026 karta.png", "A 28430-2026")</f>
        <v/>
      </c>
      <c r="Y86">
        <f>HYPERLINK("https://klasma.github.io/Logging_0885/kartor_geotiff/A 28430-2026 georefererad karta.tif", "A 28430-2026")</f>
        <v/>
      </c>
      <c r="AA86">
        <f>HYPERLINK("https://klasma.github.io/Logging_0885/klagomål/A 28430-2026 FSC-klagomål.docx", "A 28430-2026")</f>
        <v/>
      </c>
      <c r="AB86">
        <f>HYPERLINK("https://klasma.github.io/Logging_0885/klagomålsmail/A 28430-2026 FSC-klagomål mail.docx", "A 28430-2026")</f>
        <v/>
      </c>
      <c r="AC86">
        <f>HYPERLINK("https://klasma.github.io/Logging_0885/tillsyn/A 28430-2026 tillsynsbegäran.docx", "A 28430-2026")</f>
        <v/>
      </c>
      <c r="AD86">
        <f>HYPERLINK("https://klasma.github.io/Logging_0885/tillsynsmail/A 28430-2026 tillsynsbegäran mail.docx", "A 28430-2026")</f>
        <v/>
      </c>
    </row>
    <row r="87" ht="15" customHeight="1">
      <c r="A87" t="inlineStr">
        <is>
          <t>A 28374-2026</t>
        </is>
      </c>
      <c r="B87" t="inlineStr">
        <is>
          <t>avverkningsanmälan</t>
        </is>
      </c>
      <c r="C87" t="inlineStr">
        <is>
          <t>Avverkning för att bevara och utveckla /försöksver</t>
        </is>
      </c>
      <c r="D87" s="1" t="n">
        <v>46196</v>
      </c>
      <c r="E87" s="1" t="n">
        <v>46230</v>
      </c>
      <c r="F87" t="inlineStr">
        <is>
          <t>KALMAR LÄN</t>
        </is>
      </c>
      <c r="G87" t="inlineStr">
        <is>
          <t>BORGHOLM</t>
        </is>
      </c>
      <c r="H87" t="inlineStr">
        <is>
          <t>Sveaskog</t>
        </is>
      </c>
      <c r="I87" t="n">
        <v>2</v>
      </c>
      <c r="J87" t="n">
        <v>0</v>
      </c>
      <c r="K87" t="n">
        <v>0</v>
      </c>
      <c r="L87" t="n">
        <v>0</v>
      </c>
      <c r="M87" t="n">
        <v>1</v>
      </c>
      <c r="N87" t="n">
        <v>0</v>
      </c>
      <c r="O87" t="n">
        <v>0</v>
      </c>
      <c r="P87" t="n">
        <v>0</v>
      </c>
      <c r="Q87" t="n">
        <v>1</v>
      </c>
      <c r="R87" t="n">
        <v>1</v>
      </c>
      <c r="S87" t="n">
        <v>1</v>
      </c>
      <c r="T87" t="n">
        <v>1</v>
      </c>
      <c r="U87" t="n">
        <v>0</v>
      </c>
      <c r="V87" s="2" t="inlineStr">
        <is>
          <t>Purpurmusseron</t>
        </is>
      </c>
      <c r="W87">
        <f>HYPERLINK("https://klasma.github.io/Logging_0885/artfynd/A 28374-2026 artfynd.xlsx", "A 28374-2026")</f>
        <v/>
      </c>
      <c r="X87">
        <f>HYPERLINK("https://klasma.github.io/Logging_0885/kartor/A 28374-2026 karta.png", "A 28374-2026")</f>
        <v/>
      </c>
      <c r="Y87">
        <f>HYPERLINK("https://klasma.github.io/Logging_0885/kartor_geotiff/A 28374-2026 georefererad karta.tif", "A 28374-2026")</f>
        <v/>
      </c>
      <c r="AA87">
        <f>HYPERLINK("https://klasma.github.io/Logging_0885/klagomål/A 28374-2026 FSC-klagomål.docx", "A 28374-2026")</f>
        <v/>
      </c>
      <c r="AB87">
        <f>HYPERLINK("https://klasma.github.io/Logging_0885/klagomålsmail/A 28374-2026 FSC-klagomål mail.docx", "A 28374-2026")</f>
        <v/>
      </c>
      <c r="AC87">
        <f>HYPERLINK("https://klasma.github.io/Logging_0885/tillsyn/A 28374-2026 tillsynsbegäran.docx", "A 28374-2026")</f>
        <v/>
      </c>
      <c r="AD87">
        <f>HYPERLINK("https://klasma.github.io/Logging_0885/tillsynsmail/A 28374-2026 tillsynsbegäran mail.docx", "A 28374-2026")</f>
        <v/>
      </c>
    </row>
    <row r="88" ht="15" customHeight="1">
      <c r="A88" t="inlineStr">
        <is>
          <t>A 3302-2026</t>
        </is>
      </c>
      <c r="B88" t="inlineStr">
        <is>
          <t>avverkningsanmälan</t>
        </is>
      </c>
      <c r="C88" t="inlineStr">
        <is>
          <t>Avverkning för annat ändamål</t>
        </is>
      </c>
      <c r="D88" s="1" t="n">
        <v>46041</v>
      </c>
      <c r="E88" s="1" t="n">
        <v>46230</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7481-2026</t>
        </is>
      </c>
      <c r="B89" t="inlineStr">
        <is>
          <t>avverkningsanmälan</t>
        </is>
      </c>
      <c r="C89" t="inlineStr">
        <is>
          <t>Föryngringsavverkning</t>
        </is>
      </c>
      <c r="D89" s="1" t="n">
        <v>46059</v>
      </c>
      <c r="E89" s="1" t="n">
        <v>46230</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31720-2022</t>
        </is>
      </c>
      <c r="B90" t="inlineStr">
        <is>
          <t>avverkningsanmälan</t>
        </is>
      </c>
      <c r="C90" t="inlineStr">
        <is>
          <t>Föryngringsavverkning</t>
        </is>
      </c>
      <c r="D90" s="1" t="n">
        <v>44776</v>
      </c>
      <c r="E90" s="1" t="n">
        <v>46230</v>
      </c>
      <c r="F90" t="inlineStr">
        <is>
          <t>KALMAR LÄN</t>
        </is>
      </c>
      <c r="G90" t="inlineStr">
        <is>
          <t>BORGHOLM</t>
        </is>
      </c>
      <c r="H90" t="inlineStr">
        <is>
          <t>Sveaskog</t>
        </is>
      </c>
      <c r="I90" t="n">
        <v>4.5</v>
      </c>
      <c r="J90" t="n">
        <v>1</v>
      </c>
      <c r="K90" t="n">
        <v>1</v>
      </c>
      <c r="L90" t="n">
        <v>0</v>
      </c>
      <c r="M90" t="n">
        <v>0</v>
      </c>
      <c r="N90" t="n">
        <v>0</v>
      </c>
      <c r="O90" t="n">
        <v>0</v>
      </c>
      <c r="P90" t="n">
        <v>0</v>
      </c>
      <c r="Q90" t="n">
        <v>0</v>
      </c>
      <c r="R90" t="n">
        <v>0</v>
      </c>
      <c r="S90" t="n">
        <v>1</v>
      </c>
      <c r="T90" t="n">
        <v>1</v>
      </c>
      <c r="U90" t="n">
        <v>1</v>
      </c>
      <c r="V90" s="2" t="inlineStr">
        <is>
          <t>Tvåblad</t>
        </is>
      </c>
      <c r="W90">
        <f>HYPERLINK("https://klasma.github.io/Logging_0885/artfynd/A 31720-2022 artfynd.xlsx", "A 31720-2022")</f>
        <v/>
      </c>
      <c r="X90">
        <f>HYPERLINK("https://klasma.github.io/Logging_0885/kartor/A 31720-2022 karta.png", "A 31720-2022")</f>
        <v/>
      </c>
      <c r="Y90">
        <f>HYPERLINK("https://klasma.github.io/Logging_0885/kartor_geotiff/A 31720-2022 georefererad karta.tif", "A 31720-2022")</f>
        <v/>
      </c>
      <c r="AA90">
        <f>HYPERLINK("https://klasma.github.io/Logging_0885/klagomål/A 31720-2022 FSC-klagomål.docx", "A 31720-2022")</f>
        <v/>
      </c>
      <c r="AB90">
        <f>HYPERLINK("https://klasma.github.io/Logging_0885/klagomålsmail/A 31720-2022 FSC-klagomål mail.docx", "A 31720-2022")</f>
        <v/>
      </c>
      <c r="AC90">
        <f>HYPERLINK("https://klasma.github.io/Logging_0885/tillsyn/A 31720-2022 tillsynsbegäran.docx", "A 31720-2022")</f>
        <v/>
      </c>
      <c r="AD90">
        <f>HYPERLINK("https://klasma.github.io/Logging_0885/tillsynsmail/A 31720-2022 tillsynsbegäran mail.docx", "A 31720-2022")</f>
        <v/>
      </c>
    </row>
    <row r="91" ht="15" customHeight="1">
      <c r="A91" t="inlineStr">
        <is>
          <t>A 9905-2026</t>
        </is>
      </c>
      <c r="B91" t="inlineStr">
        <is>
          <t>avverkningsanmälan</t>
        </is>
      </c>
      <c r="C91" t="inlineStr">
        <is>
          <t>Föryngringsavverkning</t>
        </is>
      </c>
      <c r="D91" s="1" t="n">
        <v>46073</v>
      </c>
      <c r="E91" s="1" t="n">
        <v>46230</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19867-2024</t>
        </is>
      </c>
      <c r="B92" t="inlineStr">
        <is>
          <t>avverkningsanmälan</t>
        </is>
      </c>
      <c r="C92" t="inlineStr">
        <is>
          <t>Föryngringsavverkning</t>
        </is>
      </c>
      <c r="D92" s="1" t="n">
        <v>45433</v>
      </c>
      <c r="E92" s="1" t="n">
        <v>46230</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26840-2026</t>
        </is>
      </c>
      <c r="B93" t="inlineStr">
        <is>
          <t>avverkningsanmälan</t>
        </is>
      </c>
      <c r="C93" t="inlineStr">
        <is>
          <t>Avverkning för att bevara och utveckla /försöksver</t>
        </is>
      </c>
      <c r="D93" s="1" t="n">
        <v>46185</v>
      </c>
      <c r="E93" s="1" t="n">
        <v>46230</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13043-2024</t>
        </is>
      </c>
      <c r="B94" t="inlineStr">
        <is>
          <t>avverkningsanmälan</t>
        </is>
      </c>
      <c r="C94" t="inlineStr">
        <is>
          <t>Föryngringsavverkning</t>
        </is>
      </c>
      <c r="D94" s="1" t="n">
        <v>45385</v>
      </c>
      <c r="E94" s="1" t="n">
        <v>46230</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20878-2024</t>
        </is>
      </c>
      <c r="B95" t="inlineStr">
        <is>
          <t>avverkningsanmälan</t>
        </is>
      </c>
      <c r="C95" t="inlineStr">
        <is>
          <t>Föryngringsavverkning</t>
        </is>
      </c>
      <c r="D95" s="1" t="n">
        <v>45439</v>
      </c>
      <c r="E95" s="1" t="n">
        <v>46230</v>
      </c>
      <c r="F95" t="inlineStr">
        <is>
          <t>KALMAR LÄN</t>
        </is>
      </c>
      <c r="G95" t="inlineStr">
        <is>
          <t>BORGHOLM</t>
        </is>
      </c>
      <c r="I95" t="n">
        <v>1.9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HYPERLINK("https://klasma.github.io/Logging_0885/artfynd/A 20878-2024 artfynd.xlsx", "A 20878-2024")</f>
        <v/>
      </c>
      <c r="X95">
        <f>HYPERLINK("https://klasma.github.io/Logging_0885/kartor/A 20878-2024 karta.png", "A 20878-2024")</f>
        <v/>
      </c>
      <c r="Y95">
        <f>HYPERLINK("https://klasma.github.io/Logging_0885/kartor_geotiff/A 20878-2024 georefererad karta.tif", "A 20878-2024")</f>
        <v/>
      </c>
      <c r="AA95">
        <f>HYPERLINK("https://klasma.github.io/Logging_0885/klagomål/A 20878-2024 FSC-klagomål.docx", "A 20878-2024")</f>
        <v/>
      </c>
      <c r="AB95">
        <f>HYPERLINK("https://klasma.github.io/Logging_0885/klagomålsmail/A 20878-2024 FSC-klagomål mail.docx", "A 20878-2024")</f>
        <v/>
      </c>
      <c r="AC95">
        <f>HYPERLINK("https://klasma.github.io/Logging_0885/tillsyn/A 20878-2024 tillsynsbegäran.docx", "A 20878-2024")</f>
        <v/>
      </c>
      <c r="AD95">
        <f>HYPERLINK("https://klasma.github.io/Logging_0885/tillsynsmail/A 20878-2024 tillsynsbegäran mail.docx", "A 20878-2024")</f>
        <v/>
      </c>
    </row>
    <row r="96" ht="15" customHeight="1">
      <c r="A96" t="inlineStr">
        <is>
          <t>A 28785-2025</t>
        </is>
      </c>
      <c r="B96" t="inlineStr">
        <is>
          <t>avverkningsanmälan</t>
        </is>
      </c>
      <c r="C96" t="inlineStr">
        <is>
          <t>Avverkning för att bevara och utveckla /försöksver</t>
        </is>
      </c>
      <c r="D96" s="1" t="n">
        <v>45820</v>
      </c>
      <c r="E96" s="1" t="n">
        <v>46230</v>
      </c>
      <c r="F96" t="inlineStr">
        <is>
          <t>KALMAR LÄN</t>
        </is>
      </c>
      <c r="G96" t="inlineStr">
        <is>
          <t>BORGHOLM</t>
        </is>
      </c>
      <c r="H96" t="inlineStr">
        <is>
          <t>Sveaskog</t>
        </is>
      </c>
      <c r="I96" t="n">
        <v>2.3</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28785-2025 artfynd.xlsx", "A 28785-2025")</f>
        <v/>
      </c>
      <c r="X96">
        <f>HYPERLINK("https://klasma.github.io/Logging_0885/kartor/A 28785-2025 karta.png", "A 28785-2025")</f>
        <v/>
      </c>
      <c r="Y96">
        <f>HYPERLINK("https://klasma.github.io/Logging_0885/kartor_geotiff/A 28785-2025 georefererad karta.tif", "A 28785-2025")</f>
        <v/>
      </c>
      <c r="AA96">
        <f>HYPERLINK("https://klasma.github.io/Logging_0885/klagomål/A 28785-2025 FSC-klagomål.docx", "A 28785-2025")</f>
        <v/>
      </c>
      <c r="AB96">
        <f>HYPERLINK("https://klasma.github.io/Logging_0885/klagomålsmail/A 28785-2025 FSC-klagomål mail.docx", "A 28785-2025")</f>
        <v/>
      </c>
      <c r="AC96">
        <f>HYPERLINK("https://klasma.github.io/Logging_0885/tillsyn/A 28785-2025 tillsynsbegäran.docx", "A 28785-2025")</f>
        <v/>
      </c>
      <c r="AD96">
        <f>HYPERLINK("https://klasma.github.io/Logging_0885/tillsynsmail/A 28785-2025 tillsynsbegäran mail.docx", "A 28785-2025")</f>
        <v/>
      </c>
      <c r="AE96">
        <f>HYPERLINK("https://klasma.github.io/Logging_0885/fåglar/A 28785-2025 prioriterade fågelarter.docx", "A 28785-2025")</f>
        <v/>
      </c>
    </row>
    <row r="97" ht="15" customHeight="1">
      <c r="A97" t="inlineStr">
        <is>
          <t>A 28782-2025</t>
        </is>
      </c>
      <c r="B97" t="inlineStr">
        <is>
          <t>avverkningsanmälan</t>
        </is>
      </c>
      <c r="C97" t="inlineStr">
        <is>
          <t>Avverkning för att bevara och utveckla /försöksver</t>
        </is>
      </c>
      <c r="D97" s="1" t="n">
        <v>45820</v>
      </c>
      <c r="E97" s="1" t="n">
        <v>46230</v>
      </c>
      <c r="F97" t="inlineStr">
        <is>
          <t>KALMAR LÄN</t>
        </is>
      </c>
      <c r="G97" t="inlineStr">
        <is>
          <t>BORGHOLM</t>
        </is>
      </c>
      <c r="H97" t="inlineStr">
        <is>
          <t>Sveaskog</t>
        </is>
      </c>
      <c r="I97" t="n">
        <v>0.8</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28782-2025 artfynd.xlsx", "A 28782-2025")</f>
        <v/>
      </c>
      <c r="X97">
        <f>HYPERLINK("https://klasma.github.io/Logging_0885/kartor/A 28782-2025 karta.png", "A 28782-2025")</f>
        <v/>
      </c>
      <c r="Y97">
        <f>HYPERLINK("https://klasma.github.io/Logging_0885/kartor_geotiff/A 28782-2025 georefererad karta.tif", "A 28782-2025")</f>
        <v/>
      </c>
      <c r="AA97">
        <f>HYPERLINK("https://klasma.github.io/Logging_0885/klagomål/A 28782-2025 FSC-klagomål.docx", "A 28782-2025")</f>
        <v/>
      </c>
      <c r="AB97">
        <f>HYPERLINK("https://klasma.github.io/Logging_0885/klagomålsmail/A 28782-2025 FSC-klagomål mail.docx", "A 28782-2025")</f>
        <v/>
      </c>
      <c r="AC97">
        <f>HYPERLINK("https://klasma.github.io/Logging_0885/tillsyn/A 28782-2025 tillsynsbegäran.docx", "A 28782-2025")</f>
        <v/>
      </c>
      <c r="AD97">
        <f>HYPERLINK("https://klasma.github.io/Logging_0885/tillsynsmail/A 28782-2025 tillsynsbegäran mail.docx", "A 28782-2025")</f>
        <v/>
      </c>
      <c r="AE97">
        <f>HYPERLINK("https://klasma.github.io/Logging_0885/fåglar/A 28782-2025 prioriterade fågelarter.docx", "A 28782-2025")</f>
        <v/>
      </c>
    </row>
    <row r="98" ht="15" customHeight="1">
      <c r="A98" t="inlineStr">
        <is>
          <t>S 2390-2023</t>
        </is>
      </c>
      <c r="B98" t="inlineStr">
        <is>
          <t>samrådsanmälan</t>
        </is>
      </c>
      <c r="C98" t="inlineStr">
        <is>
          <t>Annan skogsbruksåtgärd</t>
        </is>
      </c>
      <c r="D98" s="1" t="n">
        <v>45111</v>
      </c>
      <c r="E98" s="1" t="n">
        <v>46230</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46230</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46230</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46230</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46230</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46230</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46230</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46230</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46230</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46230</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46230</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46230</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46230</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46230</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12937-2022</t>
        </is>
      </c>
      <c r="B112" t="inlineStr">
        <is>
          <t>avverkningsanmälan</t>
        </is>
      </c>
      <c r="C112" t="inlineStr">
        <is>
          <t>Föryngringsavverkning</t>
        </is>
      </c>
      <c r="D112" s="1" t="n">
        <v>44642</v>
      </c>
      <c r="E112" s="1" t="n">
        <v>46230</v>
      </c>
      <c r="F112" t="inlineStr">
        <is>
          <t>KALMAR LÄN</t>
        </is>
      </c>
      <c r="G112" t="inlineStr">
        <is>
          <t>BORGHOLM</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46230</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64303-2023</t>
        </is>
      </c>
      <c r="B114" t="inlineStr">
        <is>
          <t>avverkningsanmälan</t>
        </is>
      </c>
      <c r="C114" t="inlineStr">
        <is>
          <t>Avverkning för annat ändamål</t>
        </is>
      </c>
      <c r="D114" s="1" t="n">
        <v>45280</v>
      </c>
      <c r="E114" s="1" t="n">
        <v>46230</v>
      </c>
      <c r="F114" t="inlineStr">
        <is>
          <t>KALMAR LÄN</t>
        </is>
      </c>
      <c r="G114" t="inlineStr">
        <is>
          <t>BORGHOLM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46230</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46230</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46230</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31699-2022</t>
        </is>
      </c>
      <c r="B118" t="inlineStr">
        <is>
          <t>avverkningsanmälan</t>
        </is>
      </c>
      <c r="C118" t="inlineStr">
        <is>
          <t>Föryngringsavverkning</t>
        </is>
      </c>
      <c r="D118" s="1" t="n">
        <v>44776</v>
      </c>
      <c r="E118" s="1" t="n">
        <v>46230</v>
      </c>
      <c r="F118" t="inlineStr">
        <is>
          <t>KALMAR LÄN</t>
        </is>
      </c>
      <c r="G118" t="inlineStr">
        <is>
          <t>BORGHOLM</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1614-2025</t>
        </is>
      </c>
      <c r="B119" t="inlineStr">
        <is>
          <t>avverkningsanmälan</t>
        </is>
      </c>
      <c r="C119" t="inlineStr">
        <is>
          <t>Föryngringsavverkning</t>
        </is>
      </c>
      <c r="D119" s="1" t="n">
        <v>45670</v>
      </c>
      <c r="E119" s="1" t="n">
        <v>46230</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46230</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46230</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9076-2025</t>
        </is>
      </c>
      <c r="B122" t="inlineStr">
        <is>
          <t>avverkningsanmälan</t>
        </is>
      </c>
      <c r="C122" t="inlineStr">
        <is>
          <t>Föryngringsavverkning</t>
        </is>
      </c>
      <c r="D122" s="1" t="n">
        <v>45713</v>
      </c>
      <c r="E122" s="1" t="n">
        <v>46230</v>
      </c>
      <c r="F122" t="inlineStr">
        <is>
          <t>KALMAR LÄN</t>
        </is>
      </c>
      <c r="G122" t="inlineStr">
        <is>
          <t>BORGHOLM</t>
        </is>
      </c>
      <c r="H122" t="inlineStr">
        <is>
          <t>Sveaskog</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46230</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1757-2025</t>
        </is>
      </c>
      <c r="B124" t="inlineStr">
        <is>
          <t>avverkningsanmälan</t>
        </is>
      </c>
      <c r="C124" t="inlineStr">
        <is>
          <t>Föryngringsavverkning</t>
        </is>
      </c>
      <c r="D124" s="1" t="n">
        <v>45671</v>
      </c>
      <c r="E124" s="1" t="n">
        <v>46230</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9050-2025</t>
        </is>
      </c>
      <c r="B125" t="inlineStr">
        <is>
          <t>avverkningsanmälan</t>
        </is>
      </c>
      <c r="C125" t="inlineStr">
        <is>
          <t>Avverkning för att bevara och utveckla /försöksver</t>
        </is>
      </c>
      <c r="D125" s="1" t="n">
        <v>45713</v>
      </c>
      <c r="E125" s="1" t="n">
        <v>46230</v>
      </c>
      <c r="F125" t="inlineStr">
        <is>
          <t>KALMAR LÄN</t>
        </is>
      </c>
      <c r="G125" t="inlineStr">
        <is>
          <t>BORGHOLM</t>
        </is>
      </c>
      <c r="H125" t="inlineStr">
        <is>
          <t>Sveaskog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43603-2024</t>
        </is>
      </c>
      <c r="B126" t="inlineStr">
        <is>
          <t>avverkningsanmälan</t>
        </is>
      </c>
      <c r="C126" t="inlineStr">
        <is>
          <t>Föryngringsavverkning</t>
        </is>
      </c>
      <c r="D126" s="1" t="n">
        <v>45569</v>
      </c>
      <c r="E126" s="1" t="n">
        <v>46230</v>
      </c>
      <c r="F126" t="inlineStr">
        <is>
          <t>KALMAR LÄN</t>
        </is>
      </c>
      <c r="G126" t="inlineStr">
        <is>
          <t>BORGHOLM</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28411-2026</t>
        </is>
      </c>
      <c r="B127" t="inlineStr">
        <is>
          <t>avverkningsanmälan</t>
        </is>
      </c>
      <c r="C127" t="inlineStr">
        <is>
          <t>Avverkning för att bevara och utveckla /försöksver</t>
        </is>
      </c>
      <c r="D127" s="1" t="n">
        <v>46197</v>
      </c>
      <c r="E127" s="1" t="n">
        <v>46230</v>
      </c>
      <c r="F127" t="inlineStr">
        <is>
          <t>KALMAR LÄN</t>
        </is>
      </c>
      <c r="G127" t="inlineStr">
        <is>
          <t>BORGHOLM</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28381-2026</t>
        </is>
      </c>
      <c r="B128" t="inlineStr">
        <is>
          <t>avverkningsanmälan</t>
        </is>
      </c>
      <c r="C128" t="inlineStr">
        <is>
          <t>Avverkning för att bevara och utveckla /försöksver</t>
        </is>
      </c>
      <c r="D128" s="1" t="n">
        <v>46196</v>
      </c>
      <c r="E128" s="1" t="n">
        <v>46230</v>
      </c>
      <c r="F128" t="inlineStr">
        <is>
          <t>KALMAR LÄN</t>
        </is>
      </c>
      <c r="G128" t="inlineStr">
        <is>
          <t>BORGHOLM</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28380-2026</t>
        </is>
      </c>
      <c r="B129" t="inlineStr">
        <is>
          <t>avverkningsanmälan</t>
        </is>
      </c>
      <c r="C129" t="inlineStr">
        <is>
          <t>Avverkning för att bevara och utveckla /försöksver</t>
        </is>
      </c>
      <c r="D129" s="1" t="n">
        <v>46196</v>
      </c>
      <c r="E129" s="1" t="n">
        <v>46230</v>
      </c>
      <c r="F129" t="inlineStr">
        <is>
          <t>KALMAR LÄN</t>
        </is>
      </c>
      <c r="G129" t="inlineStr">
        <is>
          <t>BORGHOLM</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27357-2025</t>
        </is>
      </c>
      <c r="B130" t="inlineStr">
        <is>
          <t>avverkningsanmälan</t>
        </is>
      </c>
      <c r="C130" t="inlineStr">
        <is>
          <t>Avverkning för att bevara och utveckla /försöksver</t>
        </is>
      </c>
      <c r="D130" s="1" t="n">
        <v>45812</v>
      </c>
      <c r="E130" s="1" t="n">
        <v>46230</v>
      </c>
      <c r="F130" t="inlineStr">
        <is>
          <t>KALMAR LÄN</t>
        </is>
      </c>
      <c r="G130" t="inlineStr">
        <is>
          <t>BORGHOLM</t>
        </is>
      </c>
      <c r="H130" t="inlineStr">
        <is>
          <t>Sveaskog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29431-2026</t>
        </is>
      </c>
      <c r="B131" t="inlineStr">
        <is>
          <t>avverkningsanmälan</t>
        </is>
      </c>
      <c r="C131" t="inlineStr">
        <is>
          <t>Avverkning för att bevara och utveckla /försöksver</t>
        </is>
      </c>
      <c r="D131" s="1" t="n">
        <v>46203</v>
      </c>
      <c r="E131" s="1" t="n">
        <v>46230</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7669-2024</t>
        </is>
      </c>
      <c r="B132" t="inlineStr">
        <is>
          <t>avverkningsanmälan</t>
        </is>
      </c>
      <c r="C132" t="inlineStr">
        <is>
          <t>Föryngringsavverkning</t>
        </is>
      </c>
      <c r="D132" s="1" t="n">
        <v>45348</v>
      </c>
      <c r="E132" s="1" t="n">
        <v>46230</v>
      </c>
      <c r="F132" t="inlineStr">
        <is>
          <t>KALMAR LÄN</t>
        </is>
      </c>
      <c r="G132" t="inlineStr">
        <is>
          <t>BORGHOLM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29410-2026</t>
        </is>
      </c>
      <c r="B133" t="inlineStr">
        <is>
          <t>avverkningsanmälan</t>
        </is>
      </c>
      <c r="C133" t="inlineStr">
        <is>
          <t>Avverkning för att bevara och utveckla /försöksver</t>
        </is>
      </c>
      <c r="D133" s="1" t="n">
        <v>46203</v>
      </c>
      <c r="E133" s="1" t="n">
        <v>46230</v>
      </c>
      <c r="F133" t="inlineStr">
        <is>
          <t>KALMAR LÄN</t>
        </is>
      </c>
      <c r="G133" t="inlineStr">
        <is>
          <t>BORGHOLM</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29413-2026</t>
        </is>
      </c>
      <c r="B134" t="inlineStr">
        <is>
          <t>avverkningsanmälan</t>
        </is>
      </c>
      <c r="C134" t="inlineStr">
        <is>
          <t>Avverkning för att bevara och utveckla /försöksver</t>
        </is>
      </c>
      <c r="D134" s="1" t="n">
        <v>46203</v>
      </c>
      <c r="E134" s="1" t="n">
        <v>46230</v>
      </c>
      <c r="F134" t="inlineStr">
        <is>
          <t>KALMAR LÄN</t>
        </is>
      </c>
      <c r="G134" t="inlineStr">
        <is>
          <t>BORGHOLM</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29414-2026</t>
        </is>
      </c>
      <c r="B135" t="inlineStr">
        <is>
          <t>avverkningsanmälan</t>
        </is>
      </c>
      <c r="C135" t="inlineStr">
        <is>
          <t>Avverkning för att bevara och utveckla /försöksver</t>
        </is>
      </c>
      <c r="D135" s="1" t="n">
        <v>46203</v>
      </c>
      <c r="E135" s="1" t="n">
        <v>46230</v>
      </c>
      <c r="F135" t="inlineStr">
        <is>
          <t>KALMAR LÄN</t>
        </is>
      </c>
      <c r="G135" t="inlineStr">
        <is>
          <t>BORGHOLM</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46230</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9104-2026</t>
        </is>
      </c>
      <c r="B137" t="inlineStr">
        <is>
          <t>avverkningsanmälan</t>
        </is>
      </c>
      <c r="C137" t="inlineStr">
        <is>
          <t>Avverkning för annat ändamål</t>
        </is>
      </c>
      <c r="D137" s="1" t="n">
        <v>46069</v>
      </c>
      <c r="E137" s="1" t="n">
        <v>46230</v>
      </c>
      <c r="F137" t="inlineStr">
        <is>
          <t>KALMAR LÄN</t>
        </is>
      </c>
      <c r="G137" t="inlineStr">
        <is>
          <t>BORGHOLM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44547-2021</t>
        </is>
      </c>
      <c r="B138" t="inlineStr">
        <is>
          <t>avverkningsanmälan</t>
        </is>
      </c>
      <c r="C138" t="inlineStr">
        <is>
          <t>Avverkning för annat ändamål</t>
        </is>
      </c>
      <c r="D138" s="1" t="n">
        <v>44435</v>
      </c>
      <c r="E138" s="1" t="n">
        <v>46230</v>
      </c>
      <c r="F138" t="inlineStr">
        <is>
          <t>KALMAR LÄN</t>
        </is>
      </c>
      <c r="G138" t="inlineStr">
        <is>
          <t>BORGHOLM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5175-2024</t>
        </is>
      </c>
      <c r="B139" t="inlineStr">
        <is>
          <t>avverkningsanmälan</t>
        </is>
      </c>
      <c r="C139" t="inlineStr">
        <is>
          <t>Föryngringsavverkning</t>
        </is>
      </c>
      <c r="D139" s="1" t="n">
        <v>45330</v>
      </c>
      <c r="E139" s="1" t="n">
        <v>46230</v>
      </c>
      <c r="F139" t="inlineStr">
        <is>
          <t>KALMAR LÄN</t>
        </is>
      </c>
      <c r="G139" t="inlineStr">
        <is>
          <t>BORGHOLM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9259-2026</t>
        </is>
      </c>
      <c r="B140" t="inlineStr">
        <is>
          <t>avverkningsanmälan</t>
        </is>
      </c>
      <c r="C140" t="inlineStr">
        <is>
          <t>Föryngringsavverkning</t>
        </is>
      </c>
      <c r="D140" s="1" t="n">
        <v>46070</v>
      </c>
      <c r="E140" s="1" t="n">
        <v>46230</v>
      </c>
      <c r="F140" t="inlineStr">
        <is>
          <t>KALMAR LÄN</t>
        </is>
      </c>
      <c r="G140" t="inlineStr">
        <is>
          <t>BORGHOLM</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34951-2022</t>
        </is>
      </c>
      <c r="B141" t="inlineStr">
        <is>
          <t>avverkningsanmälan</t>
        </is>
      </c>
      <c r="C141" t="inlineStr">
        <is>
          <t>Avverkning för att bevara och utveckla /försöksver</t>
        </is>
      </c>
      <c r="D141" s="1" t="n">
        <v>44796</v>
      </c>
      <c r="E141" s="1" t="n">
        <v>46230</v>
      </c>
      <c r="F141" t="inlineStr">
        <is>
          <t>KALMAR LÄN</t>
        </is>
      </c>
      <c r="G141" t="inlineStr">
        <is>
          <t>BORGHOLM</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46230</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24345-2026</t>
        </is>
      </c>
      <c r="B143" t="inlineStr">
        <is>
          <t>avverkningsanmälan</t>
        </is>
      </c>
      <c r="C143" t="inlineStr">
        <is>
          <t>Avverkning för att bevara och utveckla /försöksver</t>
        </is>
      </c>
      <c r="D143" s="1" t="n">
        <v>46169</v>
      </c>
      <c r="E143" s="1" t="n">
        <v>46230</v>
      </c>
      <c r="F143" t="inlineStr">
        <is>
          <t>KALMAR LÄN</t>
        </is>
      </c>
      <c r="G143" t="inlineStr">
        <is>
          <t>BORGHOLM</t>
        </is>
      </c>
      <c r="H143" t="inlineStr">
        <is>
          <t>Sveaskog</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24338-2026</t>
        </is>
      </c>
      <c r="B144" t="inlineStr">
        <is>
          <t>avverkningsanmälan</t>
        </is>
      </c>
      <c r="C144" t="inlineStr">
        <is>
          <t>Avverkning för att bevara och utveckla /försöksver</t>
        </is>
      </c>
      <c r="D144" s="1" t="n">
        <v>46169</v>
      </c>
      <c r="E144" s="1" t="n">
        <v>46230</v>
      </c>
      <c r="F144" t="inlineStr">
        <is>
          <t>KALMAR LÄN</t>
        </is>
      </c>
      <c r="G144" t="inlineStr">
        <is>
          <t>BORGHOLM</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13383-2023</t>
        </is>
      </c>
      <c r="B145" t="inlineStr">
        <is>
          <t>avverkningsanmälan</t>
        </is>
      </c>
      <c r="C145" t="inlineStr">
        <is>
          <t>Föryngringsavverkning</t>
        </is>
      </c>
      <c r="D145" s="1" t="n">
        <v>45005</v>
      </c>
      <c r="E145" s="1" t="n">
        <v>46230</v>
      </c>
      <c r="F145" t="inlineStr">
        <is>
          <t>KALMAR LÄN</t>
        </is>
      </c>
      <c r="G145" t="inlineStr">
        <is>
          <t>BORGHOLM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61438-2023</t>
        </is>
      </c>
      <c r="B146" t="inlineStr">
        <is>
          <t>avverkningsanmälan</t>
        </is>
      </c>
      <c r="C146" t="inlineStr">
        <is>
          <t>Avverkning för annat ändamål</t>
        </is>
      </c>
      <c r="D146" s="1" t="n">
        <v>45264</v>
      </c>
      <c r="E146" s="1" t="n">
        <v>46230</v>
      </c>
      <c r="F146" t="inlineStr">
        <is>
          <t>KALMAR LÄN</t>
        </is>
      </c>
      <c r="G146" t="inlineStr">
        <is>
          <t>BORGHOLM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13041-2024</t>
        </is>
      </c>
      <c r="B147" t="inlineStr">
        <is>
          <t>avverkningsanmälan</t>
        </is>
      </c>
      <c r="C147" t="inlineStr">
        <is>
          <t>Föryngringsavverkning</t>
        </is>
      </c>
      <c r="D147" s="1" t="n">
        <v>45385</v>
      </c>
      <c r="E147" s="1" t="n">
        <v>46230</v>
      </c>
      <c r="F147" t="inlineStr">
        <is>
          <t>KALMAR LÄN</t>
        </is>
      </c>
      <c r="G147" t="inlineStr">
        <is>
          <t>BORGHOLM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53050-2021</t>
        </is>
      </c>
      <c r="B148" t="inlineStr">
        <is>
          <t>avverkningsanmälan</t>
        </is>
      </c>
      <c r="C148" t="inlineStr">
        <is>
          <t>Föryngringsavverkning</t>
        </is>
      </c>
      <c r="D148" s="1" t="n">
        <v>44467</v>
      </c>
      <c r="E148" s="1" t="n">
        <v>46230</v>
      </c>
      <c r="F148" t="inlineStr">
        <is>
          <t>KALMAR LÄN</t>
        </is>
      </c>
      <c r="G148" t="inlineStr">
        <is>
          <t>BORGHOLM</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4165-2023</t>
        </is>
      </c>
      <c r="B149" t="inlineStr">
        <is>
          <t>avverkningsanmälan</t>
        </is>
      </c>
      <c r="C149" t="inlineStr">
        <is>
          <t>Föryngringsavverkning</t>
        </is>
      </c>
      <c r="D149" s="1" t="n">
        <v>44953</v>
      </c>
      <c r="E149" s="1" t="n">
        <v>46230</v>
      </c>
      <c r="F149" t="inlineStr">
        <is>
          <t>KALMAR LÄN</t>
        </is>
      </c>
      <c r="G149" t="inlineStr">
        <is>
          <t>BORGHOLM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15272-2026</t>
        </is>
      </c>
      <c r="B150" t="inlineStr">
        <is>
          <t>avverkningsanmälan</t>
        </is>
      </c>
      <c r="C150" t="inlineStr">
        <is>
          <t>Avverkning för att bevara och utveckla /försöksver</t>
        </is>
      </c>
      <c r="D150" s="1" t="n">
        <v>46105</v>
      </c>
      <c r="E150" s="1" t="n">
        <v>46230</v>
      </c>
      <c r="F150" t="inlineStr">
        <is>
          <t>KALMAR LÄN</t>
        </is>
      </c>
      <c r="G150" t="inlineStr">
        <is>
          <t>BORGHOLM</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15279-2026</t>
        </is>
      </c>
      <c r="B151" t="inlineStr">
        <is>
          <t>avverkningsanmälan</t>
        </is>
      </c>
      <c r="C151" t="inlineStr">
        <is>
          <t>Avverkning för att bevara och utveckla /försöksver</t>
        </is>
      </c>
      <c r="D151" s="1" t="n">
        <v>46105</v>
      </c>
      <c r="E151" s="1" t="n">
        <v>46230</v>
      </c>
      <c r="F151" t="inlineStr">
        <is>
          <t>KALMAR LÄN</t>
        </is>
      </c>
      <c r="G151" t="inlineStr">
        <is>
          <t>BORGHOLM</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15264-2026</t>
        </is>
      </c>
      <c r="B152" t="inlineStr">
        <is>
          <t>avverkningsanmälan</t>
        </is>
      </c>
      <c r="C152" t="inlineStr">
        <is>
          <t>Avverkning för att bevara och utveckla /försöksver</t>
        </is>
      </c>
      <c r="D152" s="1" t="n">
        <v>46105</v>
      </c>
      <c r="E152" s="1" t="n">
        <v>46230</v>
      </c>
      <c r="F152" t="inlineStr">
        <is>
          <t>KALMAR LÄN</t>
        </is>
      </c>
      <c r="G152" t="inlineStr">
        <is>
          <t>BORGHOLM</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34780-2022</t>
        </is>
      </c>
      <c r="B153" t="inlineStr">
        <is>
          <t>avverkningsanmälan</t>
        </is>
      </c>
      <c r="C153" t="inlineStr">
        <is>
          <t>Föryngringsavverkning</t>
        </is>
      </c>
      <c r="D153" s="1" t="n">
        <v>44795</v>
      </c>
      <c r="E153" s="1" t="n">
        <v>46230</v>
      </c>
      <c r="F153" t="inlineStr">
        <is>
          <t>KALMAR LÄN</t>
        </is>
      </c>
      <c r="G153" t="inlineStr">
        <is>
          <t>BORGHOLM</t>
        </is>
      </c>
      <c r="H153" t="inlineStr">
        <is>
          <t>Sveaskog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20287-2025</t>
        </is>
      </c>
      <c r="B154" t="inlineStr">
        <is>
          <t>avverkningsanmälan</t>
        </is>
      </c>
      <c r="C154" t="inlineStr">
        <is>
          <t>Avverkning för att bevara och utveckla /försöksver</t>
        </is>
      </c>
      <c r="D154" s="1" t="n">
        <v>45774</v>
      </c>
      <c r="E154" s="1" t="n">
        <v>46230</v>
      </c>
      <c r="F154" t="inlineStr">
        <is>
          <t>KALMAR LÄN</t>
        </is>
      </c>
      <c r="G154" t="inlineStr">
        <is>
          <t>BORGHOLM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26160-2024</t>
        </is>
      </c>
      <c r="B155" t="inlineStr">
        <is>
          <t>avverkningsanmälan</t>
        </is>
      </c>
      <c r="C155" t="inlineStr">
        <is>
          <t>Avverkning för annat ändamål</t>
        </is>
      </c>
      <c r="D155" s="1" t="n">
        <v>45468</v>
      </c>
      <c r="E155" s="1" t="n">
        <v>46230</v>
      </c>
      <c r="F155" t="inlineStr">
        <is>
          <t>KALMAR LÄN</t>
        </is>
      </c>
      <c r="G155" t="inlineStr">
        <is>
          <t>BORGHOLM</t>
        </is>
      </c>
      <c r="I155" t="n">
        <v>0.4</v>
      </c>
      <c r="J155" t="n">
        <v>0</v>
      </c>
      <c r="K155" t="n">
        <v>0</v>
      </c>
      <c r="L155" t="n">
        <v>0</v>
      </c>
      <c r="M155" t="n">
        <v>0</v>
      </c>
      <c r="N155" t="n">
        <v>0</v>
      </c>
      <c r="O155" t="n">
        <v>0</v>
      </c>
      <c r="P155" t="n">
        <v>0</v>
      </c>
      <c r="Q155" t="n">
        <v>0</v>
      </c>
      <c r="R155" t="n">
        <v>0</v>
      </c>
      <c r="S155" t="n">
        <v>0</v>
      </c>
      <c r="T155" t="n">
        <v>0</v>
      </c>
      <c r="U155" t="n">
        <v>0</v>
      </c>
      <c r="V155" s="2" t="inlineStr"/>
      <c r="X155">
        <f>HYPERLINK("https://klasma.github.io/Logging_0885/kartor/A 26160-2024 karta.png", "A 26160-2024")</f>
        <v/>
      </c>
      <c r="Y155">
        <f>HYPERLINK("https://klasma.github.io/Logging_0885/kartor_geotiff/A 26160-2024 georefererad karta.tif", "A 26160-2024")</f>
        <v/>
      </c>
      <c r="AA155">
        <f>HYPERLINK("https://klasma.github.io/Logging_0885/klagomål/A 26160-2024 FSC-klagomål.docx", "A 26160-2024")</f>
        <v/>
      </c>
      <c r="AB155">
        <f>HYPERLINK("https://klasma.github.io/Logging_0885/klagomålsmail/A 26160-2024 FSC-klagomål mail.docx", "A 26160-2024")</f>
        <v/>
      </c>
      <c r="AC155">
        <f>HYPERLINK("https://klasma.github.io/Logging_0885/tillsyn/A 26160-2024 tillsynsbegäran.docx", "A 26160-2024")</f>
        <v/>
      </c>
      <c r="AD155">
        <f>HYPERLINK("https://klasma.github.io/Logging_0885/tillsynsmail/A 26160-2024 tillsynsbegäran mail.docx", "A 26160-2024")</f>
        <v/>
      </c>
    </row>
    <row r="156" ht="15" customHeight="1">
      <c r="A156" t="inlineStr">
        <is>
          <t>A 63075-2023</t>
        </is>
      </c>
      <c r="B156" t="inlineStr">
        <is>
          <t>avverkningsanmälan</t>
        </is>
      </c>
      <c r="C156" t="inlineStr">
        <is>
          <t>Avverkning för annat ändamål</t>
        </is>
      </c>
      <c r="D156" s="1" t="n">
        <v>45273</v>
      </c>
      <c r="E156" s="1" t="n">
        <v>46230</v>
      </c>
      <c r="F156" t="inlineStr">
        <is>
          <t>KALMAR LÄN</t>
        </is>
      </c>
      <c r="G156" t="inlineStr">
        <is>
          <t>BORGHOLM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22785-2025</t>
        </is>
      </c>
      <c r="B157" t="inlineStr">
        <is>
          <t>avverkningsanmälan</t>
        </is>
      </c>
      <c r="C157" t="inlineStr">
        <is>
          <t>Föryngringsavverkning</t>
        </is>
      </c>
      <c r="D157" s="1" t="n">
        <v>45789</v>
      </c>
      <c r="E157" s="1" t="n">
        <v>46230</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40339-2023</t>
        </is>
      </c>
      <c r="B158" t="inlineStr">
        <is>
          <t>avverkningsanmälan</t>
        </is>
      </c>
      <c r="C158" t="inlineStr">
        <is>
          <t>Föryngringsavverkning</t>
        </is>
      </c>
      <c r="D158" s="1" t="n">
        <v>45169</v>
      </c>
      <c r="E158" s="1" t="n">
        <v>46230</v>
      </c>
      <c r="F158" t="inlineStr">
        <is>
          <t>KALMAR LÄN</t>
        </is>
      </c>
      <c r="G158" t="inlineStr">
        <is>
          <t>BORGHOLM</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26190-2025</t>
        </is>
      </c>
      <c r="B159" t="inlineStr">
        <is>
          <t>avverkningsanmälan</t>
        </is>
      </c>
      <c r="C159" t="inlineStr">
        <is>
          <t>Föryngringsavverkning</t>
        </is>
      </c>
      <c r="D159" s="1" t="n">
        <v>45805</v>
      </c>
      <c r="E159" s="1" t="n">
        <v>46230</v>
      </c>
      <c r="F159" t="inlineStr">
        <is>
          <t>KALMAR LÄN</t>
        </is>
      </c>
      <c r="G159" t="inlineStr">
        <is>
          <t>BORGHOLM</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36269-2025</t>
        </is>
      </c>
      <c r="B160" t="inlineStr">
        <is>
          <t>avverkningsanmälan</t>
        </is>
      </c>
      <c r="C160" t="inlineStr">
        <is>
          <t>Föryngringsavverkning</t>
        </is>
      </c>
      <c r="D160" s="1" t="n">
        <v>45867</v>
      </c>
      <c r="E160" s="1" t="n">
        <v>46230</v>
      </c>
      <c r="F160" t="inlineStr">
        <is>
          <t>KALMAR LÄN</t>
        </is>
      </c>
      <c r="G160" t="inlineStr">
        <is>
          <t>BORGHOLM</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46230</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46230</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46230</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46230</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46230</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46230</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46230</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46230</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46230</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46230</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46230</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46230</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46230</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46230</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46230</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46230</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2026-07-27T01:52:14Z</dcterms:created>
  <dcterms:modified xmlns:dcterms="http://purl.org/dc/terms/" xmlns:xsi="http://www.w3.org/2001/XMLSchema-instance" xsi:type="dcterms:W3CDTF">2026-07-27T01:52:14Z</dcterms:modified>
</cp:coreProperties>
</file>