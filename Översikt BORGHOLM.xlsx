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45970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45970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45970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45970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45970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45970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45970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45970</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45970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45970</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45970</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45970</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38860-2025</t>
        </is>
      </c>
      <c r="B21" s="1" t="n">
        <v>45887.5609375</v>
      </c>
      <c r="C21" s="1" t="n">
        <v>45970</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45970</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44008-2022</t>
        </is>
      </c>
      <c r="B23" s="1" t="n">
        <v>44838</v>
      </c>
      <c r="C23" s="1" t="n">
        <v>45970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13556-2025</t>
        </is>
      </c>
      <c r="B24" s="1" t="n">
        <v>45736.54759259259</v>
      </c>
      <c r="C24" s="1" t="n">
        <v>45970</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45970</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34944-2022</t>
        </is>
      </c>
      <c r="B26" s="1" t="n">
        <v>44796</v>
      </c>
      <c r="C26" s="1" t="n">
        <v>45970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45970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45970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45970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45970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45970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45970</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14789-2021</t>
        </is>
      </c>
      <c r="B33" s="1" t="n">
        <v>44280</v>
      </c>
      <c r="C33" s="1" t="n">
        <v>45970</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13558-2025</t>
        </is>
      </c>
      <c r="B34" s="1" t="n">
        <v>45736.54974537037</v>
      </c>
      <c r="C34" s="1" t="n">
        <v>45970</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9745-2023</t>
        </is>
      </c>
      <c r="B35" s="1" t="n">
        <v>44984</v>
      </c>
      <c r="C35" s="1" t="n">
        <v>45970</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24701-2023</t>
        </is>
      </c>
      <c r="B36" s="1" t="n">
        <v>45084</v>
      </c>
      <c r="C36" s="1" t="n">
        <v>45970</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45970</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12785-2021</t>
        </is>
      </c>
      <c r="B38" s="1" t="n">
        <v>44270</v>
      </c>
      <c r="C38" s="1" t="n">
        <v>45970</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24704-2023</t>
        </is>
      </c>
      <c r="B39" s="1" t="n">
        <v>45084</v>
      </c>
      <c r="C39" s="1" t="n">
        <v>45970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24048-2025</t>
        </is>
      </c>
      <c r="B40" s="1" t="n">
        <v>45796.4959375</v>
      </c>
      <c r="C40" s="1" t="n">
        <v>45970</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45970</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45970</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45970</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45970</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45693-2025</t>
        </is>
      </c>
      <c r="B45" s="1" t="n">
        <v>45923</v>
      </c>
      <c r="C45" s="1" t="n">
        <v>45970</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58113-2020</t>
        </is>
      </c>
      <c r="B46" s="1" t="n">
        <v>44144</v>
      </c>
      <c r="C46" s="1" t="n">
        <v>45970</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45970</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45970</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45970</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45970</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45970</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45970</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45970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45970</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45970</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45970</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45970</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45970</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45970</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58253-2020</t>
        </is>
      </c>
      <c r="B60" s="1" t="n">
        <v>44144</v>
      </c>
      <c r="C60" s="1" t="n">
        <v>45970</v>
      </c>
      <c r="D60" t="inlineStr">
        <is>
          <t>KALMAR LÄN</t>
        </is>
      </c>
      <c r="E60" t="inlineStr">
        <is>
          <t>BORGHOLM</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32180-2022</t>
        </is>
      </c>
      <c r="B61" s="1" t="n">
        <v>44781</v>
      </c>
      <c r="C61" s="1" t="n">
        <v>45970</v>
      </c>
      <c r="D61" t="inlineStr">
        <is>
          <t>KALMAR LÄN</t>
        </is>
      </c>
      <c r="E61" t="inlineStr">
        <is>
          <t>BORGHOLM</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27437-2022</t>
        </is>
      </c>
      <c r="B62" s="1" t="n">
        <v>44742.55567129629</v>
      </c>
      <c r="C62" s="1" t="n">
        <v>45970</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62631-2021</t>
        </is>
      </c>
      <c r="B63" s="1" t="n">
        <v>44503</v>
      </c>
      <c r="C63" s="1" t="n">
        <v>45970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45970</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45970</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45970</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13383-2023</t>
        </is>
      </c>
      <c r="B67" s="1" t="n">
        <v>45005</v>
      </c>
      <c r="C67" s="1" t="n">
        <v>45970</v>
      </c>
      <c r="D67" t="inlineStr">
        <is>
          <t>KALMAR LÄN</t>
        </is>
      </c>
      <c r="E67" t="inlineStr">
        <is>
          <t>BORGHOLM</t>
        </is>
      </c>
      <c r="G67" t="n">
        <v>0.8</v>
      </c>
      <c r="H67" t="n">
        <v>0</v>
      </c>
      <c r="I67" t="n">
        <v>0</v>
      </c>
      <c r="J67" t="n">
        <v>0</v>
      </c>
      <c r="K67" t="n">
        <v>0</v>
      </c>
      <c r="L67" t="n">
        <v>0</v>
      </c>
      <c r="M67" t="n">
        <v>0</v>
      </c>
      <c r="N67" t="n">
        <v>0</v>
      </c>
      <c r="O67" t="n">
        <v>0</v>
      </c>
      <c r="P67" t="n">
        <v>0</v>
      </c>
      <c r="Q67" t="n">
        <v>0</v>
      </c>
      <c r="R67" s="2" t="inlineStr"/>
    </row>
    <row r="68" ht="15" customHeight="1">
      <c r="A68" t="inlineStr">
        <is>
          <t>A 42785-2021</t>
        </is>
      </c>
      <c r="B68" s="1" t="n">
        <v>44428</v>
      </c>
      <c r="C68" s="1" t="n">
        <v>45970</v>
      </c>
      <c r="D68" t="inlineStr">
        <is>
          <t>KALMAR LÄN</t>
        </is>
      </c>
      <c r="E68" t="inlineStr">
        <is>
          <t>BORGHOLM</t>
        </is>
      </c>
      <c r="G68" t="n">
        <v>2.8</v>
      </c>
      <c r="H68" t="n">
        <v>0</v>
      </c>
      <c r="I68" t="n">
        <v>0</v>
      </c>
      <c r="J68" t="n">
        <v>0</v>
      </c>
      <c r="K68" t="n">
        <v>0</v>
      </c>
      <c r="L68" t="n">
        <v>0</v>
      </c>
      <c r="M68" t="n">
        <v>0</v>
      </c>
      <c r="N68" t="n">
        <v>0</v>
      </c>
      <c r="O68" t="n">
        <v>0</v>
      </c>
      <c r="P68" t="n">
        <v>0</v>
      </c>
      <c r="Q68" t="n">
        <v>0</v>
      </c>
      <c r="R68" s="2" t="inlineStr"/>
    </row>
    <row r="69" ht="15" customHeight="1">
      <c r="A69" t="inlineStr">
        <is>
          <t>A 13548-2025</t>
        </is>
      </c>
      <c r="B69" s="1" t="n">
        <v>45736.53827546296</v>
      </c>
      <c r="C69" s="1" t="n">
        <v>45970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45970</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45970</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26160-2024</t>
        </is>
      </c>
      <c r="B72" s="1" t="n">
        <v>45468</v>
      </c>
      <c r="C72" s="1" t="n">
        <v>45970</v>
      </c>
      <c r="D72" t="inlineStr">
        <is>
          <t>KALMAR LÄN</t>
        </is>
      </c>
      <c r="E72" t="inlineStr">
        <is>
          <t>BORGHOLM</t>
        </is>
      </c>
      <c r="G72" t="n">
        <v>0.4</v>
      </c>
      <c r="H72" t="n">
        <v>0</v>
      </c>
      <c r="I72" t="n">
        <v>0</v>
      </c>
      <c r="J72" t="n">
        <v>0</v>
      </c>
      <c r="K72" t="n">
        <v>0</v>
      </c>
      <c r="L72" t="n">
        <v>0</v>
      </c>
      <c r="M72" t="n">
        <v>0</v>
      </c>
      <c r="N72" t="n">
        <v>0</v>
      </c>
      <c r="O72" t="n">
        <v>0</v>
      </c>
      <c r="P72" t="n">
        <v>0</v>
      </c>
      <c r="Q72" t="n">
        <v>0</v>
      </c>
      <c r="R72" s="2" t="inlineStr"/>
      <c r="T72">
        <f>HYPERLINK("https://klasma.github.io/Logging_0885/kartor/A 26160-2024 karta.png", "A 26160-2024")</f>
        <v/>
      </c>
      <c r="V72">
        <f>HYPERLINK("https://klasma.github.io/Logging_0885/klagomål/A 26160-2024 FSC-klagomål.docx", "A 26160-2024")</f>
        <v/>
      </c>
      <c r="W72">
        <f>HYPERLINK("https://klasma.github.io/Logging_0885/klagomålsmail/A 26160-2024 FSC-klagomål mail.docx", "A 26160-2024")</f>
        <v/>
      </c>
      <c r="X72">
        <f>HYPERLINK("https://klasma.github.io/Logging_0885/tillsyn/A 26160-2024 tillsynsbegäran.docx", "A 26160-2024")</f>
        <v/>
      </c>
      <c r="Y72">
        <f>HYPERLINK("https://klasma.github.io/Logging_0885/tillsynsmail/A 26160-2024 tillsynsbegäran mail.docx", "A 26160-2024")</f>
        <v/>
      </c>
    </row>
    <row r="73" ht="15" customHeight="1">
      <c r="A73" t="inlineStr">
        <is>
          <t>A 31840-2021</t>
        </is>
      </c>
      <c r="B73" s="1" t="n">
        <v>44370</v>
      </c>
      <c r="C73" s="1" t="n">
        <v>45970</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7960-2023</t>
        </is>
      </c>
      <c r="B74" s="1" t="n">
        <v>44973</v>
      </c>
      <c r="C74" s="1" t="n">
        <v>45970</v>
      </c>
      <c r="D74" t="inlineStr">
        <is>
          <t>KALMAR LÄN</t>
        </is>
      </c>
      <c r="E74" t="inlineStr">
        <is>
          <t>BORGHOLM</t>
        </is>
      </c>
      <c r="G74" t="n">
        <v>2.1</v>
      </c>
      <c r="H74" t="n">
        <v>0</v>
      </c>
      <c r="I74" t="n">
        <v>0</v>
      </c>
      <c r="J74" t="n">
        <v>0</v>
      </c>
      <c r="K74" t="n">
        <v>0</v>
      </c>
      <c r="L74" t="n">
        <v>0</v>
      </c>
      <c r="M74" t="n">
        <v>0</v>
      </c>
      <c r="N74" t="n">
        <v>0</v>
      </c>
      <c r="O74" t="n">
        <v>0</v>
      </c>
      <c r="P74" t="n">
        <v>0</v>
      </c>
      <c r="Q74" t="n">
        <v>0</v>
      </c>
      <c r="R74" s="2" t="inlineStr"/>
    </row>
    <row r="75" ht="15" customHeight="1">
      <c r="A75" t="inlineStr">
        <is>
          <t>A 44678-2022</t>
        </is>
      </c>
      <c r="B75" s="1" t="n">
        <v>44840.65100694444</v>
      </c>
      <c r="C75" s="1" t="n">
        <v>45970</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45970</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20878-2024</t>
        </is>
      </c>
      <c r="B77" s="1" t="n">
        <v>45439.44748842593</v>
      </c>
      <c r="C77" s="1" t="n">
        <v>45970</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45970</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45970</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45970</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45970</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45970</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44547-2021</t>
        </is>
      </c>
      <c r="B83" s="1" t="n">
        <v>44435</v>
      </c>
      <c r="C83" s="1" t="n">
        <v>45970</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45970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45970</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45970</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45970</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50129-2021</t>
        </is>
      </c>
      <c r="B88" s="1" t="n">
        <v>44456</v>
      </c>
      <c r="C88" s="1" t="n">
        <v>45970</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31720-2022</t>
        </is>
      </c>
      <c r="B89" s="1" t="n">
        <v>44776</v>
      </c>
      <c r="C89" s="1" t="n">
        <v>45970</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45970</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13043-2024</t>
        </is>
      </c>
      <c r="B91" s="1" t="n">
        <v>45385.60111111111</v>
      </c>
      <c r="C91" s="1" t="n">
        <v>45970</v>
      </c>
      <c r="D91" t="inlineStr">
        <is>
          <t>KALMAR LÄN</t>
        </is>
      </c>
      <c r="E91" t="inlineStr">
        <is>
          <t>BORGHOLM</t>
        </is>
      </c>
      <c r="G91" t="n">
        <v>0.4</v>
      </c>
      <c r="H91" t="n">
        <v>0</v>
      </c>
      <c r="I91" t="n">
        <v>0</v>
      </c>
      <c r="J91" t="n">
        <v>0</v>
      </c>
      <c r="K91" t="n">
        <v>0</v>
      </c>
      <c r="L91" t="n">
        <v>0</v>
      </c>
      <c r="M91" t="n">
        <v>0</v>
      </c>
      <c r="N91" t="n">
        <v>0</v>
      </c>
      <c r="O91" t="n">
        <v>0</v>
      </c>
      <c r="P91" t="n">
        <v>0</v>
      </c>
      <c r="Q91" t="n">
        <v>0</v>
      </c>
      <c r="R91" s="2" t="inlineStr"/>
    </row>
    <row r="92" ht="15" customHeight="1">
      <c r="A92" t="inlineStr">
        <is>
          <t>A 17978-2021</t>
        </is>
      </c>
      <c r="B92" s="1" t="n">
        <v>44301</v>
      </c>
      <c r="C92" s="1" t="n">
        <v>45970</v>
      </c>
      <c r="D92" t="inlineStr">
        <is>
          <t>KALMAR LÄN</t>
        </is>
      </c>
      <c r="E92" t="inlineStr">
        <is>
          <t>BORGHOLM</t>
        </is>
      </c>
      <c r="G92" t="n">
        <v>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45970</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45970</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45970</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46845-2025</t>
        </is>
      </c>
      <c r="B96" s="1" t="n">
        <v>45928</v>
      </c>
      <c r="C96" s="1" t="n">
        <v>45970</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45970</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45970</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45970</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45970</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45970</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41831-2025</t>
        </is>
      </c>
      <c r="B102" s="1" t="n">
        <v>45902.67887731481</v>
      </c>
      <c r="C102" s="1" t="n">
        <v>45970</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45970</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45970</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42232-2025</t>
        </is>
      </c>
      <c r="B105" s="1" t="n">
        <v>45904.55591435185</v>
      </c>
      <c r="C105" s="1" t="n">
        <v>45970</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45970</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41950-2025</t>
        </is>
      </c>
      <c r="B107" s="1" t="n">
        <v>45903.45767361111</v>
      </c>
      <c r="C107" s="1" t="n">
        <v>45970</v>
      </c>
      <c r="D107" t="inlineStr">
        <is>
          <t>KALMAR LÄN</t>
        </is>
      </c>
      <c r="E107" t="inlineStr">
        <is>
          <t>BORGHOLM</t>
        </is>
      </c>
      <c r="G107" t="n">
        <v>1.8</v>
      </c>
      <c r="H107" t="n">
        <v>0</v>
      </c>
      <c r="I107" t="n">
        <v>0</v>
      </c>
      <c r="J107" t="n">
        <v>0</v>
      </c>
      <c r="K107" t="n">
        <v>0</v>
      </c>
      <c r="L107" t="n">
        <v>0</v>
      </c>
      <c r="M107" t="n">
        <v>0</v>
      </c>
      <c r="N107" t="n">
        <v>0</v>
      </c>
      <c r="O107" t="n">
        <v>0</v>
      </c>
      <c r="P107" t="n">
        <v>0</v>
      </c>
      <c r="Q107" t="n">
        <v>0</v>
      </c>
      <c r="R107" s="2" t="inlineStr"/>
    </row>
    <row r="108" ht="15" customHeight="1">
      <c r="A108" t="inlineStr">
        <is>
          <t>A 26160-2025</t>
        </is>
      </c>
      <c r="B108" s="1" t="n">
        <v>45805.4490162037</v>
      </c>
      <c r="C108" s="1" t="n">
        <v>45970</v>
      </c>
      <c r="D108" t="inlineStr">
        <is>
          <t>KALMAR LÄN</t>
        </is>
      </c>
      <c r="E108" t="inlineStr">
        <is>
          <t>BORGHOLM</t>
        </is>
      </c>
      <c r="G108" t="n">
        <v>3.7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45970</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27357-2025</t>
        </is>
      </c>
      <c r="B110" s="1" t="n">
        <v>45812.63650462963</v>
      </c>
      <c r="C110" s="1" t="n">
        <v>45970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45970</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32919-2023</t>
        </is>
      </c>
      <c r="B112" s="1" t="n">
        <v>45125</v>
      </c>
      <c r="C112" s="1" t="n">
        <v>45970</v>
      </c>
      <c r="D112" t="inlineStr">
        <is>
          <t>KALMAR LÄN</t>
        </is>
      </c>
      <c r="E112" t="inlineStr">
        <is>
          <t>BORGHOLM</t>
        </is>
      </c>
      <c r="G112" t="n">
        <v>2.7</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45970</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45970</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45970</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45970</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44224-2025</t>
        </is>
      </c>
      <c r="B117" s="1" t="n">
        <v>45915</v>
      </c>
      <c r="C117" s="1" t="n">
        <v>45970</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45970</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9034-2025</t>
        </is>
      </c>
      <c r="B119" s="1" t="n">
        <v>45713</v>
      </c>
      <c r="C119" s="1" t="n">
        <v>45970</v>
      </c>
      <c r="D119" t="inlineStr">
        <is>
          <t>KALMAR LÄN</t>
        </is>
      </c>
      <c r="E119" t="inlineStr">
        <is>
          <t>BORGHOLM</t>
        </is>
      </c>
      <c r="F119" t="inlineStr">
        <is>
          <t>Sveaskog</t>
        </is>
      </c>
      <c r="G119" t="n">
        <v>6.8</v>
      </c>
      <c r="H119" t="n">
        <v>0</v>
      </c>
      <c r="I119" t="n">
        <v>0</v>
      </c>
      <c r="J119" t="n">
        <v>0</v>
      </c>
      <c r="K119" t="n">
        <v>0</v>
      </c>
      <c r="L119" t="n">
        <v>0</v>
      </c>
      <c r="M119" t="n">
        <v>0</v>
      </c>
      <c r="N119" t="n">
        <v>0</v>
      </c>
      <c r="O119" t="n">
        <v>0</v>
      </c>
      <c r="P119" t="n">
        <v>0</v>
      </c>
      <c r="Q119" t="n">
        <v>0</v>
      </c>
      <c r="R119" s="2" t="inlineStr"/>
    </row>
    <row r="120" ht="15" customHeight="1">
      <c r="A120" t="inlineStr">
        <is>
          <t>A 5175-2024</t>
        </is>
      </c>
      <c r="B120" s="1" t="n">
        <v>45330</v>
      </c>
      <c r="C120" s="1" t="n">
        <v>45970</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36269-2025</t>
        </is>
      </c>
      <c r="B121" s="1" t="n">
        <v>45867.61736111111</v>
      </c>
      <c r="C121" s="1" t="n">
        <v>45970</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45970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45734-2025</t>
        </is>
      </c>
      <c r="B123" s="1" t="n">
        <v>45923.46512731481</v>
      </c>
      <c r="C123" s="1" t="n">
        <v>45970</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45869-2025</t>
        </is>
      </c>
      <c r="B124" s="1" t="n">
        <v>45923.65313657407</v>
      </c>
      <c r="C124" s="1" t="n">
        <v>45970</v>
      </c>
      <c r="D124" t="inlineStr">
        <is>
          <t>KALMAR LÄN</t>
        </is>
      </c>
      <c r="E124" t="inlineStr">
        <is>
          <t>BORGHOLM</t>
        </is>
      </c>
      <c r="G124" t="n">
        <v>4.5</v>
      </c>
      <c r="H124" t="n">
        <v>0</v>
      </c>
      <c r="I124" t="n">
        <v>0</v>
      </c>
      <c r="J124" t="n">
        <v>0</v>
      </c>
      <c r="K124" t="n">
        <v>0</v>
      </c>
      <c r="L124" t="n">
        <v>0</v>
      </c>
      <c r="M124" t="n">
        <v>0</v>
      </c>
      <c r="N124" t="n">
        <v>0</v>
      </c>
      <c r="O124" t="n">
        <v>0</v>
      </c>
      <c r="P124" t="n">
        <v>0</v>
      </c>
      <c r="Q124" t="n">
        <v>0</v>
      </c>
      <c r="R124" s="2" t="inlineStr"/>
    </row>
    <row r="125">
      <c r="A125" t="inlineStr">
        <is>
          <t>A 19867-2024</t>
        </is>
      </c>
      <c r="B125" s="1" t="n">
        <v>45433</v>
      </c>
      <c r="C125" s="1" t="n">
        <v>45970</v>
      </c>
      <c r="D125" t="inlineStr">
        <is>
          <t>KALMAR LÄN</t>
        </is>
      </c>
      <c r="E125" t="inlineStr">
        <is>
          <t>BORGHOLM</t>
        </is>
      </c>
      <c r="G125" t="n">
        <v>3.9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2025-11-09T10:10:48Z</dcterms:created>
  <dcterms:modified xmlns:dcterms="http://purl.org/dc/terms/" xmlns:xsi="http://www.w3.org/2001/XMLSchema-instance" xsi:type="dcterms:W3CDTF">2025-11-09T10:10:48Z</dcterms:modified>
</cp:coreProperties>
</file>