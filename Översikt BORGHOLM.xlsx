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45908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45908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45908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45908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45908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45908</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45908</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45908</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45908</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45908</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45908</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45908</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45908</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45908</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45908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45908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45908</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32174-2022</t>
        </is>
      </c>
      <c r="B19" s="1" t="n">
        <v>44781</v>
      </c>
      <c r="C19" s="1" t="n">
        <v>45908</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45908</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28779-2025</t>
        </is>
      </c>
      <c r="B21" s="1" t="n">
        <v>45820.44920138889</v>
      </c>
      <c r="C21" s="1" t="n">
        <v>45908</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38860-2025</t>
        </is>
      </c>
      <c r="B22" s="1" t="n">
        <v>45887.5609375</v>
      </c>
      <c r="C22" s="1" t="n">
        <v>45908</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45908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4164-2023</t>
        </is>
      </c>
      <c r="B24" s="1" t="n">
        <v>44953</v>
      </c>
      <c r="C24" s="1" t="n">
        <v>45908</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34944-2022</t>
        </is>
      </c>
      <c r="B25" s="1" t="n">
        <v>44796</v>
      </c>
      <c r="C25" s="1" t="n">
        <v>45908</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3871-2021</t>
        </is>
      </c>
      <c r="B26" s="1" t="n">
        <v>44222</v>
      </c>
      <c r="C26" s="1" t="n">
        <v>45908</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45908</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45908</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14789-2021</t>
        </is>
      </c>
      <c r="B29" s="1" t="n">
        <v>44280</v>
      </c>
      <c r="C29" s="1" t="n">
        <v>45908</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13558-2025</t>
        </is>
      </c>
      <c r="B30" s="1" t="n">
        <v>45736.54974537037</v>
      </c>
      <c r="C30" s="1" t="n">
        <v>45908</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24701-2023</t>
        </is>
      </c>
      <c r="B31" s="1" t="n">
        <v>45084</v>
      </c>
      <c r="C31" s="1" t="n">
        <v>45908</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24048-2025</t>
        </is>
      </c>
      <c r="B32" s="1" t="n">
        <v>45796.4959375</v>
      </c>
      <c r="C32" s="1" t="n">
        <v>45908</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45908</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45908</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45908</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45908</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45908</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12785-2021</t>
        </is>
      </c>
      <c r="B38" s="1" t="n">
        <v>44270</v>
      </c>
      <c r="C38" s="1" t="n">
        <v>45908</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9745-2023</t>
        </is>
      </c>
      <c r="B39" s="1" t="n">
        <v>44984</v>
      </c>
      <c r="C39" s="1" t="n">
        <v>45908</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45908</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56499-2020</t>
        </is>
      </c>
      <c r="B41" s="1" t="n">
        <v>44137</v>
      </c>
      <c r="C41" s="1" t="n">
        <v>45908</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45908</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45908</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45908</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45908</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45908</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45908</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45908</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45908</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45908</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45908</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45908</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45908</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45908</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45908</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45908</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45908</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45908</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45908</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45908</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45908</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45908</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45908</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45908</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45908</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45908</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45908</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45908</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45908</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9034-2025</t>
        </is>
      </c>
      <c r="B70" s="1" t="n">
        <v>45713</v>
      </c>
      <c r="C70" s="1" t="n">
        <v>45908</v>
      </c>
      <c r="D70" t="inlineStr">
        <is>
          <t>KALMAR LÄN</t>
        </is>
      </c>
      <c r="E70" t="inlineStr">
        <is>
          <t>BORGHOLM</t>
        </is>
      </c>
      <c r="F70" t="inlineStr">
        <is>
          <t>Sveaskog</t>
        </is>
      </c>
      <c r="G70" t="n">
        <v>6.8</v>
      </c>
      <c r="H70" t="n">
        <v>0</v>
      </c>
      <c r="I70" t="n">
        <v>0</v>
      </c>
      <c r="J70" t="n">
        <v>0</v>
      </c>
      <c r="K70" t="n">
        <v>0</v>
      </c>
      <c r="L70" t="n">
        <v>0</v>
      </c>
      <c r="M70" t="n">
        <v>0</v>
      </c>
      <c r="N70" t="n">
        <v>0</v>
      </c>
      <c r="O70" t="n">
        <v>0</v>
      </c>
      <c r="P70" t="n">
        <v>0</v>
      </c>
      <c r="Q70" t="n">
        <v>0</v>
      </c>
      <c r="R70" s="2" t="inlineStr"/>
    </row>
    <row r="71" ht="15" customHeight="1">
      <c r="A71" t="inlineStr">
        <is>
          <t>A 13548-2025</t>
        </is>
      </c>
      <c r="B71" s="1" t="n">
        <v>45736.53827546296</v>
      </c>
      <c r="C71" s="1" t="n">
        <v>45908</v>
      </c>
      <c r="D71" t="inlineStr">
        <is>
          <t>KALMAR LÄN</t>
        </is>
      </c>
      <c r="E71" t="inlineStr">
        <is>
          <t>BORGHOLM</t>
        </is>
      </c>
      <c r="G71" t="n">
        <v>1</v>
      </c>
      <c r="H71" t="n">
        <v>0</v>
      </c>
      <c r="I71" t="n">
        <v>0</v>
      </c>
      <c r="J71" t="n">
        <v>0</v>
      </c>
      <c r="K71" t="n">
        <v>0</v>
      </c>
      <c r="L71" t="n">
        <v>0</v>
      </c>
      <c r="M71" t="n">
        <v>0</v>
      </c>
      <c r="N71" t="n">
        <v>0</v>
      </c>
      <c r="O71" t="n">
        <v>0</v>
      </c>
      <c r="P71" t="n">
        <v>0</v>
      </c>
      <c r="Q71" t="n">
        <v>0</v>
      </c>
      <c r="R71" s="2" t="inlineStr"/>
    </row>
    <row r="72" ht="15" customHeight="1">
      <c r="A72" t="inlineStr">
        <is>
          <t>A 3878-2023</t>
        </is>
      </c>
      <c r="B72" s="1" t="n">
        <v>44951</v>
      </c>
      <c r="C72" s="1" t="n">
        <v>45908</v>
      </c>
      <c r="D72" t="inlineStr">
        <is>
          <t>KALMAR LÄN</t>
        </is>
      </c>
      <c r="E72" t="inlineStr">
        <is>
          <t>BORGHOLM</t>
        </is>
      </c>
      <c r="G72" t="n">
        <v>1.7</v>
      </c>
      <c r="H72" t="n">
        <v>0</v>
      </c>
      <c r="I72" t="n">
        <v>0</v>
      </c>
      <c r="J72" t="n">
        <v>0</v>
      </c>
      <c r="K72" t="n">
        <v>0</v>
      </c>
      <c r="L72" t="n">
        <v>0</v>
      </c>
      <c r="M72" t="n">
        <v>0</v>
      </c>
      <c r="N72" t="n">
        <v>0</v>
      </c>
      <c r="O72" t="n">
        <v>0</v>
      </c>
      <c r="P72" t="n">
        <v>0</v>
      </c>
      <c r="Q72" t="n">
        <v>0</v>
      </c>
      <c r="R72" s="2" t="inlineStr"/>
    </row>
    <row r="73" ht="15" customHeight="1">
      <c r="A73" t="inlineStr">
        <is>
          <t>A 31840-2021</t>
        </is>
      </c>
      <c r="B73" s="1" t="n">
        <v>44370</v>
      </c>
      <c r="C73" s="1" t="n">
        <v>45908</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17978-2021</t>
        </is>
      </c>
      <c r="B74" s="1" t="n">
        <v>44301</v>
      </c>
      <c r="C74" s="1" t="n">
        <v>45908</v>
      </c>
      <c r="D74" t="inlineStr">
        <is>
          <t>KALMAR LÄN</t>
        </is>
      </c>
      <c r="E74" t="inlineStr">
        <is>
          <t>BORGHOLM</t>
        </is>
      </c>
      <c r="G74" t="n">
        <v>6</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45908</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22785-2025</t>
        </is>
      </c>
      <c r="B76" s="1" t="n">
        <v>45789.64186342592</v>
      </c>
      <c r="C76" s="1" t="n">
        <v>45908</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12534-2022</t>
        </is>
      </c>
      <c r="B77" s="1" t="n">
        <v>44638</v>
      </c>
      <c r="C77" s="1" t="n">
        <v>45908</v>
      </c>
      <c r="D77" t="inlineStr">
        <is>
          <t>KALMAR LÄN</t>
        </is>
      </c>
      <c r="E77" t="inlineStr">
        <is>
          <t>BORGHOLM</t>
        </is>
      </c>
      <c r="G77" t="n">
        <v>8.6</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45908</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40339-2023</t>
        </is>
      </c>
      <c r="B79" s="1" t="n">
        <v>45169.62733796296</v>
      </c>
      <c r="C79" s="1" t="n">
        <v>45908</v>
      </c>
      <c r="D79" t="inlineStr">
        <is>
          <t>KALMAR LÄN</t>
        </is>
      </c>
      <c r="E79" t="inlineStr">
        <is>
          <t>BORGHOLM</t>
        </is>
      </c>
      <c r="G79" t="n">
        <v>3.8</v>
      </c>
      <c r="H79" t="n">
        <v>0</v>
      </c>
      <c r="I79" t="n">
        <v>0</v>
      </c>
      <c r="J79" t="n">
        <v>0</v>
      </c>
      <c r="K79" t="n">
        <v>0</v>
      </c>
      <c r="L79" t="n">
        <v>0</v>
      </c>
      <c r="M79" t="n">
        <v>0</v>
      </c>
      <c r="N79" t="n">
        <v>0</v>
      </c>
      <c r="O79" t="n">
        <v>0</v>
      </c>
      <c r="P79" t="n">
        <v>0</v>
      </c>
      <c r="Q79" t="n">
        <v>0</v>
      </c>
      <c r="R79" s="2" t="inlineStr"/>
    </row>
    <row r="80" ht="15" customHeight="1">
      <c r="A80" t="inlineStr">
        <is>
          <t>A 24166-2022</t>
        </is>
      </c>
      <c r="B80" s="1" t="n">
        <v>44725</v>
      </c>
      <c r="C80" s="1" t="n">
        <v>45908</v>
      </c>
      <c r="D80" t="inlineStr">
        <is>
          <t>KALMAR LÄN</t>
        </is>
      </c>
      <c r="E80" t="inlineStr">
        <is>
          <t>BORGHOLM</t>
        </is>
      </c>
      <c r="G80" t="n">
        <v>10.7</v>
      </c>
      <c r="H80" t="n">
        <v>0</v>
      </c>
      <c r="I80" t="n">
        <v>0</v>
      </c>
      <c r="J80" t="n">
        <v>0</v>
      </c>
      <c r="K80" t="n">
        <v>0</v>
      </c>
      <c r="L80" t="n">
        <v>0</v>
      </c>
      <c r="M80" t="n">
        <v>0</v>
      </c>
      <c r="N80" t="n">
        <v>0</v>
      </c>
      <c r="O80" t="n">
        <v>0</v>
      </c>
      <c r="P80" t="n">
        <v>0</v>
      </c>
      <c r="Q80" t="n">
        <v>0</v>
      </c>
      <c r="R80" s="2" t="inlineStr"/>
    </row>
    <row r="81" ht="15" customHeight="1">
      <c r="A81" t="inlineStr">
        <is>
          <t>A 32919-2023</t>
        </is>
      </c>
      <c r="B81" s="1" t="n">
        <v>45125</v>
      </c>
      <c r="C81" s="1" t="n">
        <v>45908</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45908</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44678-2022</t>
        </is>
      </c>
      <c r="B83" s="1" t="n">
        <v>44840.65100694444</v>
      </c>
      <c r="C83" s="1" t="n">
        <v>45908</v>
      </c>
      <c r="D83" t="inlineStr">
        <is>
          <t>KALMAR LÄN</t>
        </is>
      </c>
      <c r="E83" t="inlineStr">
        <is>
          <t>BORGHOLM</t>
        </is>
      </c>
      <c r="G83" t="n">
        <v>2.4</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45908</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45908</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31720-2022</t>
        </is>
      </c>
      <c r="B86" s="1" t="n">
        <v>44776</v>
      </c>
      <c r="C86" s="1" t="n">
        <v>45908</v>
      </c>
      <c r="D86" t="inlineStr">
        <is>
          <t>KALMAR LÄN</t>
        </is>
      </c>
      <c r="E86" t="inlineStr">
        <is>
          <t>BORGHOLM</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45908</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45908</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5175-2024</t>
        </is>
      </c>
      <c r="B89" s="1" t="n">
        <v>45330</v>
      </c>
      <c r="C89" s="1" t="n">
        <v>45908</v>
      </c>
      <c r="D89" t="inlineStr">
        <is>
          <t>KALMAR LÄN</t>
        </is>
      </c>
      <c r="E89" t="inlineStr">
        <is>
          <t>BORGHOLM</t>
        </is>
      </c>
      <c r="G89" t="n">
        <v>1.5</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45908</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19867-2024</t>
        </is>
      </c>
      <c r="B91" s="1" t="n">
        <v>45433</v>
      </c>
      <c r="C91" s="1" t="n">
        <v>45908</v>
      </c>
      <c r="D91" t="inlineStr">
        <is>
          <t>KALMAR LÄN</t>
        </is>
      </c>
      <c r="E91" t="inlineStr">
        <is>
          <t>BORGHOLM</t>
        </is>
      </c>
      <c r="G91" t="n">
        <v>3.9</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45908</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45908</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45908</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13383-2023</t>
        </is>
      </c>
      <c r="B95" s="1" t="n">
        <v>45005</v>
      </c>
      <c r="C95" s="1" t="n">
        <v>45908</v>
      </c>
      <c r="D95" t="inlineStr">
        <is>
          <t>KALMAR LÄN</t>
        </is>
      </c>
      <c r="E95" t="inlineStr">
        <is>
          <t>BORGHOLM</t>
        </is>
      </c>
      <c r="G95" t="n">
        <v>0.8</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45908</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45908</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61438-2023</t>
        </is>
      </c>
      <c r="B98" s="1" t="n">
        <v>45264</v>
      </c>
      <c r="C98" s="1" t="n">
        <v>45908</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13041-2024</t>
        </is>
      </c>
      <c r="B99" s="1" t="n">
        <v>45385.60065972222</v>
      </c>
      <c r="C99" s="1" t="n">
        <v>45908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45908</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45908</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36269-2025</t>
        </is>
      </c>
      <c r="B102" s="1" t="n">
        <v>45867.61736111111</v>
      </c>
      <c r="C102" s="1" t="n">
        <v>45908</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27326-2025</t>
        </is>
      </c>
      <c r="B103" s="1" t="n">
        <v>45812</v>
      </c>
      <c r="C103" s="1" t="n">
        <v>45908</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4159-2024</t>
        </is>
      </c>
      <c r="B104" s="1" t="n">
        <v>45323</v>
      </c>
      <c r="C104" s="1" t="n">
        <v>45908</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50129-2021</t>
        </is>
      </c>
      <c r="B105" s="1" t="n">
        <v>44456</v>
      </c>
      <c r="C105" s="1" t="n">
        <v>45908</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41831-2025</t>
        </is>
      </c>
      <c r="B106" s="1" t="n">
        <v>45902.67887731481</v>
      </c>
      <c r="C106" s="1" t="n">
        <v>45908</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45908</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41950-2025</t>
        </is>
      </c>
      <c r="B108" s="1" t="n">
        <v>45903.45767361111</v>
      </c>
      <c r="C108" s="1" t="n">
        <v>45908</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45908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12481-2025</t>
        </is>
      </c>
      <c r="B110" s="1" t="n">
        <v>45730.57878472222</v>
      </c>
      <c r="C110" s="1" t="n">
        <v>45908</v>
      </c>
      <c r="D110" t="inlineStr">
        <is>
          <t>KALMAR LÄN</t>
        </is>
      </c>
      <c r="E110" t="inlineStr">
        <is>
          <t>BORGHOLM</t>
        </is>
      </c>
      <c r="G110" t="n">
        <v>7.2</v>
      </c>
      <c r="H110" t="n">
        <v>0</v>
      </c>
      <c r="I110" t="n">
        <v>0</v>
      </c>
      <c r="J110" t="n">
        <v>0</v>
      </c>
      <c r="K110" t="n">
        <v>0</v>
      </c>
      <c r="L110" t="n">
        <v>0</v>
      </c>
      <c r="M110" t="n">
        <v>0</v>
      </c>
      <c r="N110" t="n">
        <v>0</v>
      </c>
      <c r="O110" t="n">
        <v>0</v>
      </c>
      <c r="P110" t="n">
        <v>0</v>
      </c>
      <c r="Q110" t="n">
        <v>0</v>
      </c>
      <c r="R110" s="2" t="inlineStr"/>
    </row>
    <row r="111" ht="15" customHeight="1">
      <c r="A111" t="inlineStr">
        <is>
          <t>A 42232-2025</t>
        </is>
      </c>
      <c r="B111" s="1" t="n">
        <v>45904.55591435185</v>
      </c>
      <c r="C111" s="1" t="n">
        <v>45908</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45908</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1614-2025</t>
        </is>
      </c>
      <c r="B113" s="1" t="n">
        <v>45670.60094907408</v>
      </c>
      <c r="C113" s="1" t="n">
        <v>45908</v>
      </c>
      <c r="D113" t="inlineStr">
        <is>
          <t>KALMAR LÄN</t>
        </is>
      </c>
      <c r="E113" t="inlineStr">
        <is>
          <t>BORGHOLM</t>
        </is>
      </c>
      <c r="G113" t="n">
        <v>1.4</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45908</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45908</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9076-2025</t>
        </is>
      </c>
      <c r="B116" s="1" t="n">
        <v>45713.6596875</v>
      </c>
      <c r="C116" s="1" t="n">
        <v>45908</v>
      </c>
      <c r="D116" t="inlineStr">
        <is>
          <t>KALMAR LÄN</t>
        </is>
      </c>
      <c r="E116" t="inlineStr">
        <is>
          <t>BORGHOLM</t>
        </is>
      </c>
      <c r="F116" t="inlineStr">
        <is>
          <t>Sveaskog</t>
        </is>
      </c>
      <c r="G116" t="n">
        <v>4.2</v>
      </c>
      <c r="H116" t="n">
        <v>0</v>
      </c>
      <c r="I116" t="n">
        <v>0</v>
      </c>
      <c r="J116" t="n">
        <v>0</v>
      </c>
      <c r="K116" t="n">
        <v>0</v>
      </c>
      <c r="L116" t="n">
        <v>0</v>
      </c>
      <c r="M116" t="n">
        <v>0</v>
      </c>
      <c r="N116" t="n">
        <v>0</v>
      </c>
      <c r="O116" t="n">
        <v>0</v>
      </c>
      <c r="P116" t="n">
        <v>0</v>
      </c>
      <c r="Q116" t="n">
        <v>0</v>
      </c>
      <c r="R116" s="2" t="inlineStr"/>
    </row>
    <row r="117" ht="15" customHeight="1">
      <c r="A117" t="inlineStr">
        <is>
          <t>A 1757-2025</t>
        </is>
      </c>
      <c r="B117" s="1" t="n">
        <v>45671.42195601852</v>
      </c>
      <c r="C117" s="1" t="n">
        <v>45908</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45908</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45908</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20878-2024</t>
        </is>
      </c>
      <c r="B120" s="1" t="n">
        <v>45439.44748842593</v>
      </c>
      <c r="C120" s="1" t="n">
        <v>45908</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45908</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20287-2025</t>
        </is>
      </c>
      <c r="B122" s="1" t="n">
        <v>45774.60741898148</v>
      </c>
      <c r="C122" s="1" t="n">
        <v>45908</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45908</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26160-2024</t>
        </is>
      </c>
      <c r="B124" s="1" t="n">
        <v>45468</v>
      </c>
      <c r="C124" s="1" t="n">
        <v>45908</v>
      </c>
      <c r="D124" t="inlineStr">
        <is>
          <t>KALMAR LÄN</t>
        </is>
      </c>
      <c r="E124" t="inlineStr">
        <is>
          <t>BORGHOLM</t>
        </is>
      </c>
      <c r="G124" t="n">
        <v>0.4</v>
      </c>
      <c r="H124" t="n">
        <v>0</v>
      </c>
      <c r="I124" t="n">
        <v>0</v>
      </c>
      <c r="J124" t="n">
        <v>0</v>
      </c>
      <c r="K124" t="n">
        <v>0</v>
      </c>
      <c r="L124" t="n">
        <v>0</v>
      </c>
      <c r="M124" t="n">
        <v>0</v>
      </c>
      <c r="N124" t="n">
        <v>0</v>
      </c>
      <c r="O124" t="n">
        <v>0</v>
      </c>
      <c r="P124" t="n">
        <v>0</v>
      </c>
      <c r="Q124" t="n">
        <v>0</v>
      </c>
      <c r="R124" s="2" t="inlineStr"/>
      <c r="T124">
        <f>HYPERLINK("https://klasma.github.io/Logging_0885/kartor/A 26160-2024 karta.png", "A 26160-2024")</f>
        <v/>
      </c>
      <c r="V124">
        <f>HYPERLINK("https://klasma.github.io/Logging_0885/klagomål/A 26160-2024 FSC-klagomål.docx", "A 26160-2024")</f>
        <v/>
      </c>
      <c r="W124">
        <f>HYPERLINK("https://klasma.github.io/Logging_0885/klagomålsmail/A 26160-2024 FSC-klagomål mail.docx", "A 26160-2024")</f>
        <v/>
      </c>
      <c r="X124">
        <f>HYPERLINK("https://klasma.github.io/Logging_0885/tillsyn/A 26160-2024 tillsynsbegäran.docx", "A 26160-2024")</f>
        <v/>
      </c>
      <c r="Y124">
        <f>HYPERLINK("https://klasma.github.io/Logging_0885/tillsynsmail/A 26160-2024 tillsynsbegäran mail.docx", "A 26160-2024")</f>
        <v/>
      </c>
    </row>
    <row r="125" ht="15" customHeight="1">
      <c r="A125" t="inlineStr">
        <is>
          <t>A 9050-2025</t>
        </is>
      </c>
      <c r="B125" s="1" t="n">
        <v>45713.63512731482</v>
      </c>
      <c r="C125" s="1" t="n">
        <v>45908</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9028-2025</t>
        </is>
      </c>
      <c r="B126" s="1" t="n">
        <v>45713</v>
      </c>
      <c r="C126" s="1" t="n">
        <v>45908</v>
      </c>
      <c r="D126" t="inlineStr">
        <is>
          <t>KALMAR LÄN</t>
        </is>
      </c>
      <c r="E126" t="inlineStr">
        <is>
          <t>BORGHOLM</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63075-2023</t>
        </is>
      </c>
      <c r="B127" s="1" t="n">
        <v>45273</v>
      </c>
      <c r="C127" s="1" t="n">
        <v>45908</v>
      </c>
      <c r="D127" t="inlineStr">
        <is>
          <t>KALMAR LÄN</t>
        </is>
      </c>
      <c r="E127" t="inlineStr">
        <is>
          <t>BORGHOLM</t>
        </is>
      </c>
      <c r="G127" t="n">
        <v>1.1</v>
      </c>
      <c r="H127" t="n">
        <v>0</v>
      </c>
      <c r="I127" t="n">
        <v>0</v>
      </c>
      <c r="J127" t="n">
        <v>0</v>
      </c>
      <c r="K127" t="n">
        <v>0</v>
      </c>
      <c r="L127" t="n">
        <v>0</v>
      </c>
      <c r="M127" t="n">
        <v>0</v>
      </c>
      <c r="N127" t="n">
        <v>0</v>
      </c>
      <c r="O127" t="n">
        <v>0</v>
      </c>
      <c r="P127" t="n">
        <v>0</v>
      </c>
      <c r="Q127" t="n">
        <v>0</v>
      </c>
      <c r="R127" s="2" t="inlineStr"/>
    </row>
    <row r="128">
      <c r="A128" t="inlineStr">
        <is>
          <t>A 7669-2024</t>
        </is>
      </c>
      <c r="B128" s="1" t="n">
        <v>45348.82498842593</v>
      </c>
      <c r="C128" s="1" t="n">
        <v>45908</v>
      </c>
      <c r="D128" t="inlineStr">
        <is>
          <t>KALMAR LÄN</t>
        </is>
      </c>
      <c r="E128" t="inlineStr">
        <is>
          <t>BORGHOLM</t>
        </is>
      </c>
      <c r="G128" t="n">
        <v>2.3</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2025-09-08T08:56:31Z</dcterms:created>
  <dcterms:modified xmlns:dcterms="http://purl.org/dc/terms/" xmlns:xsi="http://www.w3.org/2001/XMLSchema-instance" xsi:type="dcterms:W3CDTF">2025-09-08T08:56:31Z</dcterms:modified>
</cp:coreProperties>
</file>