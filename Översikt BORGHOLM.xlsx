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46031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46031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46031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46031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46031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46031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46031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46031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46031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46031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46031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46031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46031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46031</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46031</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46031</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46031</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46031</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46031</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46031</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60140-2025</t>
        </is>
      </c>
      <c r="B22" s="1" t="n">
        <v>45994.36274305556</v>
      </c>
      <c r="C22" s="1" t="n">
        <v>46031</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32174-2022</t>
        </is>
      </c>
      <c r="B23" s="1" t="n">
        <v>44781</v>
      </c>
      <c r="C23" s="1" t="n">
        <v>46031</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46031</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34944-2022</t>
        </is>
      </c>
      <c r="B25" s="1" t="n">
        <v>44796</v>
      </c>
      <c r="C25" s="1" t="n">
        <v>46031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46031</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46031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46031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46031</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46031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46031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46031</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24048-2025</t>
        </is>
      </c>
      <c r="B33" s="1" t="n">
        <v>45796.4959375</v>
      </c>
      <c r="C33" s="1" t="n">
        <v>46031</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9745-2023</t>
        </is>
      </c>
      <c r="B34" s="1" t="n">
        <v>44984</v>
      </c>
      <c r="C34" s="1" t="n">
        <v>46031</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41640-2023</t>
        </is>
      </c>
      <c r="B35" s="1" t="n">
        <v>45175</v>
      </c>
      <c r="C35" s="1" t="n">
        <v>46031</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46031</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45693-2025</t>
        </is>
      </c>
      <c r="B37" s="1" t="n">
        <v>45923</v>
      </c>
      <c r="C37" s="1" t="n">
        <v>46031</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29962-2025</t>
        </is>
      </c>
      <c r="B38" s="1" t="n">
        <v>45826.48184027777</v>
      </c>
      <c r="C38" s="1" t="n">
        <v>46031</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12785-2021</t>
        </is>
      </c>
      <c r="B39" s="1" t="n">
        <v>44270</v>
      </c>
      <c r="C39" s="1" t="n">
        <v>46031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13558-2025</t>
        </is>
      </c>
      <c r="B40" s="1" t="n">
        <v>45736.54974537037</v>
      </c>
      <c r="C40" s="1" t="n">
        <v>46031</v>
      </c>
      <c r="D40" t="inlineStr">
        <is>
          <t>KALMAR LÄN</t>
        </is>
      </c>
      <c r="E40" t="inlineStr">
        <is>
          <t>BORGHOLM</t>
        </is>
      </c>
      <c r="G40" t="n">
        <v>0.7</v>
      </c>
      <c r="H40" t="n">
        <v>0</v>
      </c>
      <c r="I40" t="n">
        <v>0</v>
      </c>
      <c r="J40" t="n">
        <v>1</v>
      </c>
      <c r="K40" t="n">
        <v>0</v>
      </c>
      <c r="L40" t="n">
        <v>0</v>
      </c>
      <c r="M40" t="n">
        <v>0</v>
      </c>
      <c r="N40" t="n">
        <v>0</v>
      </c>
      <c r="O40" t="n">
        <v>1</v>
      </c>
      <c r="P40" t="n">
        <v>0</v>
      </c>
      <c r="Q40" t="n">
        <v>1</v>
      </c>
      <c r="R40" s="2" t="inlineStr">
        <is>
          <t>Backruta</t>
        </is>
      </c>
      <c r="S40">
        <f>HYPERLINK("https://klasma.github.io/Logging_0885/artfynd/A 13558-2025 artfynd.xlsx", "A 13558-2025")</f>
        <v/>
      </c>
      <c r="T40">
        <f>HYPERLINK("https://klasma.github.io/Logging_0885/kartor/A 13558-2025 karta.png", "A 13558-2025")</f>
        <v/>
      </c>
      <c r="V40">
        <f>HYPERLINK("https://klasma.github.io/Logging_0885/klagomål/A 13558-2025 FSC-klagomål.docx", "A 13558-2025")</f>
        <v/>
      </c>
      <c r="W40">
        <f>HYPERLINK("https://klasma.github.io/Logging_0885/klagomålsmail/A 13558-2025 FSC-klagomål mail.docx", "A 13558-2025")</f>
        <v/>
      </c>
      <c r="X40">
        <f>HYPERLINK("https://klasma.github.io/Logging_0885/tillsyn/A 13558-2025 tillsynsbegäran.docx", "A 13558-2025")</f>
        <v/>
      </c>
      <c r="Y40">
        <f>HYPERLINK("https://klasma.github.io/Logging_0885/tillsynsmail/A 13558-2025 tillsynsbegäran mail.docx", "A 13558-2025")</f>
        <v/>
      </c>
    </row>
    <row r="41" ht="15" customHeight="1">
      <c r="A41" t="inlineStr">
        <is>
          <t>A 34885-2025</t>
        </is>
      </c>
      <c r="B41" s="1" t="n">
        <v>45849.47128472223</v>
      </c>
      <c r="C41" s="1" t="n">
        <v>46031</v>
      </c>
      <c r="D41" t="inlineStr">
        <is>
          <t>KALMAR LÄN</t>
        </is>
      </c>
      <c r="E41" t="inlineStr">
        <is>
          <t>BORGHOLM</t>
        </is>
      </c>
      <c r="G41" t="n">
        <v>4.4</v>
      </c>
      <c r="H41" t="n">
        <v>0</v>
      </c>
      <c r="I41" t="n">
        <v>0</v>
      </c>
      <c r="J41" t="n">
        <v>1</v>
      </c>
      <c r="K41" t="n">
        <v>0</v>
      </c>
      <c r="L41" t="n">
        <v>0</v>
      </c>
      <c r="M41" t="n">
        <v>0</v>
      </c>
      <c r="N41" t="n">
        <v>0</v>
      </c>
      <c r="O41" t="n">
        <v>1</v>
      </c>
      <c r="P41" t="n">
        <v>0</v>
      </c>
      <c r="Q41" t="n">
        <v>1</v>
      </c>
      <c r="R41" s="2" t="inlineStr">
        <is>
          <t>Backfryle</t>
        </is>
      </c>
      <c r="S41">
        <f>HYPERLINK("https://klasma.github.io/Logging_0885/artfynd/A 34885-2025 artfynd.xlsx", "A 34885-2025")</f>
        <v/>
      </c>
      <c r="T41">
        <f>HYPERLINK("https://klasma.github.io/Logging_0885/kartor/A 34885-2025 karta.png", "A 34885-2025")</f>
        <v/>
      </c>
      <c r="V41">
        <f>HYPERLINK("https://klasma.github.io/Logging_0885/klagomål/A 34885-2025 FSC-klagomål.docx", "A 34885-2025")</f>
        <v/>
      </c>
      <c r="W41">
        <f>HYPERLINK("https://klasma.github.io/Logging_0885/klagomålsmail/A 34885-2025 FSC-klagomål mail.docx", "A 34885-2025")</f>
        <v/>
      </c>
      <c r="X41">
        <f>HYPERLINK("https://klasma.github.io/Logging_0885/tillsyn/A 34885-2025 tillsynsbegäran.docx", "A 34885-2025")</f>
        <v/>
      </c>
      <c r="Y41">
        <f>HYPERLINK("https://klasma.github.io/Logging_0885/tillsynsmail/A 34885-2025 tillsynsbegäran mail.docx", "A 34885-2025")</f>
        <v/>
      </c>
    </row>
    <row r="42" ht="15" customHeight="1">
      <c r="A42" t="inlineStr">
        <is>
          <t>A 24701-2023</t>
        </is>
      </c>
      <c r="B42" s="1" t="n">
        <v>45084</v>
      </c>
      <c r="C42" s="1" t="n">
        <v>46031</v>
      </c>
      <c r="D42" t="inlineStr">
        <is>
          <t>KALMAR LÄN</t>
        </is>
      </c>
      <c r="E42" t="inlineStr">
        <is>
          <t>BORGHOLM</t>
        </is>
      </c>
      <c r="G42" t="n">
        <v>3</v>
      </c>
      <c r="H42" t="n">
        <v>0</v>
      </c>
      <c r="I42" t="n">
        <v>0</v>
      </c>
      <c r="J42" t="n">
        <v>0</v>
      </c>
      <c r="K42" t="n">
        <v>0</v>
      </c>
      <c r="L42" t="n">
        <v>1</v>
      </c>
      <c r="M42" t="n">
        <v>0</v>
      </c>
      <c r="N42" t="n">
        <v>0</v>
      </c>
      <c r="O42" t="n">
        <v>1</v>
      </c>
      <c r="P42" t="n">
        <v>1</v>
      </c>
      <c r="Q42" t="n">
        <v>1</v>
      </c>
      <c r="R42" s="2" t="inlineStr">
        <is>
          <t>Ask</t>
        </is>
      </c>
      <c r="S42">
        <f>HYPERLINK("https://klasma.github.io/Logging_0885/artfynd/A 24701-2023 artfynd.xlsx", "A 24701-2023")</f>
        <v/>
      </c>
      <c r="T42">
        <f>HYPERLINK("https://klasma.github.io/Logging_0885/kartor/A 24701-2023 karta.png", "A 24701-2023")</f>
        <v/>
      </c>
      <c r="V42">
        <f>HYPERLINK("https://klasma.github.io/Logging_0885/klagomål/A 24701-2023 FSC-klagomål.docx", "A 24701-2023")</f>
        <v/>
      </c>
      <c r="W42">
        <f>HYPERLINK("https://klasma.github.io/Logging_0885/klagomålsmail/A 24701-2023 FSC-klagomål mail.docx", "A 24701-2023")</f>
        <v/>
      </c>
      <c r="X42">
        <f>HYPERLINK("https://klasma.github.io/Logging_0885/tillsyn/A 24701-2023 tillsynsbegäran.docx", "A 24701-2023")</f>
        <v/>
      </c>
      <c r="Y42">
        <f>HYPERLINK("https://klasma.github.io/Logging_0885/tillsynsmail/A 24701-2023 tillsynsbegäran mail.docx", "A 24701-2023")</f>
        <v/>
      </c>
    </row>
    <row r="43" ht="15" customHeight="1">
      <c r="A43" t="inlineStr">
        <is>
          <t>A 43603-2024</t>
        </is>
      </c>
      <c r="B43" s="1" t="n">
        <v>45569.44700231482</v>
      </c>
      <c r="C43" s="1" t="n">
        <v>46031</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24704-2023</t>
        </is>
      </c>
      <c r="B44" s="1" t="n">
        <v>45084</v>
      </c>
      <c r="C44" s="1" t="n">
        <v>46031</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12711-2021</t>
        </is>
      </c>
      <c r="B45" s="1" t="n">
        <v>44270</v>
      </c>
      <c r="C45" s="1" t="n">
        <v>46031</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46031</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46031</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46031</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46031</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46031</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46031</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46031</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46031</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46031</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46031</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46031</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46031</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46031</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46031</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46031</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46031</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22785-2025</t>
        </is>
      </c>
      <c r="B62" s="1" t="n">
        <v>45789.64186342592</v>
      </c>
      <c r="C62" s="1" t="n">
        <v>46031</v>
      </c>
      <c r="D62" t="inlineStr">
        <is>
          <t>KALMAR LÄN</t>
        </is>
      </c>
      <c r="E62" t="inlineStr">
        <is>
          <t>BORGHOLM</t>
        </is>
      </c>
      <c r="G62" t="n">
        <v>0.6</v>
      </c>
      <c r="H62" t="n">
        <v>0</v>
      </c>
      <c r="I62" t="n">
        <v>0</v>
      </c>
      <c r="J62" t="n">
        <v>0</v>
      </c>
      <c r="K62" t="n">
        <v>0</v>
      </c>
      <c r="L62" t="n">
        <v>0</v>
      </c>
      <c r="M62" t="n">
        <v>0</v>
      </c>
      <c r="N62" t="n">
        <v>0</v>
      </c>
      <c r="O62" t="n">
        <v>0</v>
      </c>
      <c r="P62" t="n">
        <v>0</v>
      </c>
      <c r="Q62" t="n">
        <v>0</v>
      </c>
      <c r="R62" s="2" t="inlineStr"/>
    </row>
    <row r="63" ht="15" customHeight="1">
      <c r="A63" t="inlineStr">
        <is>
          <t>A 26160-2024</t>
        </is>
      </c>
      <c r="B63" s="1" t="n">
        <v>45468</v>
      </c>
      <c r="C63" s="1" t="n">
        <v>46031</v>
      </c>
      <c r="D63" t="inlineStr">
        <is>
          <t>KALMAR LÄN</t>
        </is>
      </c>
      <c r="E63" t="inlineStr">
        <is>
          <t>BORGHOLM</t>
        </is>
      </c>
      <c r="G63" t="n">
        <v>0.4</v>
      </c>
      <c r="H63" t="n">
        <v>0</v>
      </c>
      <c r="I63" t="n">
        <v>0</v>
      </c>
      <c r="J63" t="n">
        <v>0</v>
      </c>
      <c r="K63" t="n">
        <v>0</v>
      </c>
      <c r="L63" t="n">
        <v>0</v>
      </c>
      <c r="M63" t="n">
        <v>0</v>
      </c>
      <c r="N63" t="n">
        <v>0</v>
      </c>
      <c r="O63" t="n">
        <v>0</v>
      </c>
      <c r="P63" t="n">
        <v>0</v>
      </c>
      <c r="Q63" t="n">
        <v>0</v>
      </c>
      <c r="R63" s="2" t="inlineStr"/>
      <c r="T63">
        <f>HYPERLINK("https://klasma.github.io/Logging_0885/kartor/A 26160-2024 karta.png", "A 26160-2024")</f>
        <v/>
      </c>
      <c r="V63">
        <f>HYPERLINK("https://klasma.github.io/Logging_0885/klagomål/A 26160-2024 FSC-klagomål.docx", "A 26160-2024")</f>
        <v/>
      </c>
      <c r="W63">
        <f>HYPERLINK("https://klasma.github.io/Logging_0885/klagomålsmail/A 26160-2024 FSC-klagomål mail.docx", "A 26160-2024")</f>
        <v/>
      </c>
      <c r="X63">
        <f>HYPERLINK("https://klasma.github.io/Logging_0885/tillsyn/A 26160-2024 tillsynsbegäran.docx", "A 26160-2024")</f>
        <v/>
      </c>
      <c r="Y63">
        <f>HYPERLINK("https://klasma.github.io/Logging_0885/tillsynsmail/A 26160-2024 tillsynsbegäran mail.docx", "A 26160-2024")</f>
        <v/>
      </c>
    </row>
    <row r="64" ht="15" customHeight="1">
      <c r="A64" t="inlineStr">
        <is>
          <t>A 12534-2022</t>
        </is>
      </c>
      <c r="B64" s="1" t="n">
        <v>44638</v>
      </c>
      <c r="C64" s="1" t="n">
        <v>46031</v>
      </c>
      <c r="D64" t="inlineStr">
        <is>
          <t>KALMAR LÄN</t>
        </is>
      </c>
      <c r="E64" t="inlineStr">
        <is>
          <t>BORGHOLM</t>
        </is>
      </c>
      <c r="G64" t="n">
        <v>8.6</v>
      </c>
      <c r="H64" t="n">
        <v>0</v>
      </c>
      <c r="I64" t="n">
        <v>0</v>
      </c>
      <c r="J64" t="n">
        <v>0</v>
      </c>
      <c r="K64" t="n">
        <v>0</v>
      </c>
      <c r="L64" t="n">
        <v>0</v>
      </c>
      <c r="M64" t="n">
        <v>0</v>
      </c>
      <c r="N64" t="n">
        <v>0</v>
      </c>
      <c r="O64" t="n">
        <v>0</v>
      </c>
      <c r="P64" t="n">
        <v>0</v>
      </c>
      <c r="Q64" t="n">
        <v>0</v>
      </c>
      <c r="R64" s="2" t="inlineStr"/>
    </row>
    <row r="65" ht="15" customHeight="1">
      <c r="A65" t="inlineStr">
        <is>
          <t>A 41831-2025</t>
        </is>
      </c>
      <c r="B65" s="1" t="n">
        <v>45902.67887731481</v>
      </c>
      <c r="C65" s="1" t="n">
        <v>46031</v>
      </c>
      <c r="D65" t="inlineStr">
        <is>
          <t>KALMAR LÄN</t>
        </is>
      </c>
      <c r="E65" t="inlineStr">
        <is>
          <t>BORGHOLM</t>
        </is>
      </c>
      <c r="G65" t="n">
        <v>1.5</v>
      </c>
      <c r="H65" t="n">
        <v>0</v>
      </c>
      <c r="I65" t="n">
        <v>0</v>
      </c>
      <c r="J65" t="n">
        <v>0</v>
      </c>
      <c r="K65" t="n">
        <v>0</v>
      </c>
      <c r="L65" t="n">
        <v>0</v>
      </c>
      <c r="M65" t="n">
        <v>0</v>
      </c>
      <c r="N65" t="n">
        <v>0</v>
      </c>
      <c r="O65" t="n">
        <v>0</v>
      </c>
      <c r="P65" t="n">
        <v>0</v>
      </c>
      <c r="Q65" t="n">
        <v>0</v>
      </c>
      <c r="R65" s="2" t="inlineStr"/>
    </row>
    <row r="66" ht="15" customHeight="1">
      <c r="A66" t="inlineStr">
        <is>
          <t>A 42232-2025</t>
        </is>
      </c>
      <c r="B66" s="1" t="n">
        <v>45904.55591435185</v>
      </c>
      <c r="C66" s="1" t="n">
        <v>46031</v>
      </c>
      <c r="D66" t="inlineStr">
        <is>
          <t>KALMAR LÄN</t>
        </is>
      </c>
      <c r="E66" t="inlineStr">
        <is>
          <t>BORGHOLM</t>
        </is>
      </c>
      <c r="F66" t="inlineStr">
        <is>
          <t>Sveaskog</t>
        </is>
      </c>
      <c r="G66" t="n">
        <v>1.7</v>
      </c>
      <c r="H66" t="n">
        <v>0</v>
      </c>
      <c r="I66" t="n">
        <v>0</v>
      </c>
      <c r="J66" t="n">
        <v>0</v>
      </c>
      <c r="K66" t="n">
        <v>0</v>
      </c>
      <c r="L66" t="n">
        <v>0</v>
      </c>
      <c r="M66" t="n">
        <v>0</v>
      </c>
      <c r="N66" t="n">
        <v>0</v>
      </c>
      <c r="O66" t="n">
        <v>0</v>
      </c>
      <c r="P66" t="n">
        <v>0</v>
      </c>
      <c r="Q66" t="n">
        <v>0</v>
      </c>
      <c r="R66" s="2" t="inlineStr"/>
    </row>
    <row r="67" ht="15" customHeight="1">
      <c r="A67" t="inlineStr">
        <is>
          <t>A 41950-2025</t>
        </is>
      </c>
      <c r="B67" s="1" t="n">
        <v>45903.45767361111</v>
      </c>
      <c r="C67" s="1" t="n">
        <v>46031</v>
      </c>
      <c r="D67" t="inlineStr">
        <is>
          <t>KALMAR LÄN</t>
        </is>
      </c>
      <c r="E67" t="inlineStr">
        <is>
          <t>BORGHOLM</t>
        </is>
      </c>
      <c r="G67" t="n">
        <v>1.8</v>
      </c>
      <c r="H67" t="n">
        <v>0</v>
      </c>
      <c r="I67" t="n">
        <v>0</v>
      </c>
      <c r="J67" t="n">
        <v>0</v>
      </c>
      <c r="K67" t="n">
        <v>0</v>
      </c>
      <c r="L67" t="n">
        <v>0</v>
      </c>
      <c r="M67" t="n">
        <v>0</v>
      </c>
      <c r="N67" t="n">
        <v>0</v>
      </c>
      <c r="O67" t="n">
        <v>0</v>
      </c>
      <c r="P67" t="n">
        <v>0</v>
      </c>
      <c r="Q67" t="n">
        <v>0</v>
      </c>
      <c r="R67" s="2" t="inlineStr"/>
    </row>
    <row r="68" ht="15" customHeight="1">
      <c r="A68" t="inlineStr">
        <is>
          <t>A 40339-2023</t>
        </is>
      </c>
      <c r="B68" s="1" t="n">
        <v>45169.62733796296</v>
      </c>
      <c r="C68" s="1" t="n">
        <v>46031</v>
      </c>
      <c r="D68" t="inlineStr">
        <is>
          <t>KALMAR LÄN</t>
        </is>
      </c>
      <c r="E68" t="inlineStr">
        <is>
          <t>BORGHOLM</t>
        </is>
      </c>
      <c r="G68" t="n">
        <v>3.8</v>
      </c>
      <c r="H68" t="n">
        <v>0</v>
      </c>
      <c r="I68" t="n">
        <v>0</v>
      </c>
      <c r="J68" t="n">
        <v>0</v>
      </c>
      <c r="K68" t="n">
        <v>0</v>
      </c>
      <c r="L68" t="n">
        <v>0</v>
      </c>
      <c r="M68" t="n">
        <v>0</v>
      </c>
      <c r="N68" t="n">
        <v>0</v>
      </c>
      <c r="O68" t="n">
        <v>0</v>
      </c>
      <c r="P68" t="n">
        <v>0</v>
      </c>
      <c r="Q68" t="n">
        <v>0</v>
      </c>
      <c r="R68" s="2" t="inlineStr"/>
    </row>
    <row r="69" ht="15" customHeight="1">
      <c r="A69" t="inlineStr">
        <is>
          <t>A 20878-2024</t>
        </is>
      </c>
      <c r="B69" s="1" t="n">
        <v>45439.44748842593</v>
      </c>
      <c r="C69" s="1" t="n">
        <v>46031</v>
      </c>
      <c r="D69" t="inlineStr">
        <is>
          <t>KALMAR LÄN</t>
        </is>
      </c>
      <c r="E69" t="inlineStr">
        <is>
          <t>BORGHOLM</t>
        </is>
      </c>
      <c r="G69" t="n">
        <v>1.9</v>
      </c>
      <c r="H69" t="n">
        <v>0</v>
      </c>
      <c r="I69" t="n">
        <v>0</v>
      </c>
      <c r="J69" t="n">
        <v>0</v>
      </c>
      <c r="K69" t="n">
        <v>0</v>
      </c>
      <c r="L69" t="n">
        <v>0</v>
      </c>
      <c r="M69" t="n">
        <v>0</v>
      </c>
      <c r="N69" t="n">
        <v>0</v>
      </c>
      <c r="O69" t="n">
        <v>0</v>
      </c>
      <c r="P69" t="n">
        <v>0</v>
      </c>
      <c r="Q69" t="n">
        <v>0</v>
      </c>
      <c r="R69" s="2" t="inlineStr"/>
    </row>
    <row r="70" ht="15" customHeight="1">
      <c r="A70" t="inlineStr">
        <is>
          <t>A 24166-2022</t>
        </is>
      </c>
      <c r="B70" s="1" t="n">
        <v>44725</v>
      </c>
      <c r="C70" s="1" t="n">
        <v>46031</v>
      </c>
      <c r="D70" t="inlineStr">
        <is>
          <t>KALMAR LÄN</t>
        </is>
      </c>
      <c r="E70" t="inlineStr">
        <is>
          <t>BORGHOLM</t>
        </is>
      </c>
      <c r="G70" t="n">
        <v>10.7</v>
      </c>
      <c r="H70" t="n">
        <v>0</v>
      </c>
      <c r="I70" t="n">
        <v>0</v>
      </c>
      <c r="J70" t="n">
        <v>0</v>
      </c>
      <c r="K70" t="n">
        <v>0</v>
      </c>
      <c r="L70" t="n">
        <v>0</v>
      </c>
      <c r="M70" t="n">
        <v>0</v>
      </c>
      <c r="N70" t="n">
        <v>0</v>
      </c>
      <c r="O70" t="n">
        <v>0</v>
      </c>
      <c r="P70" t="n">
        <v>0</v>
      </c>
      <c r="Q70" t="n">
        <v>0</v>
      </c>
      <c r="R70" s="2" t="inlineStr"/>
    </row>
    <row r="71" ht="15" customHeight="1">
      <c r="A71" t="inlineStr">
        <is>
          <t>A 26160-2025</t>
        </is>
      </c>
      <c r="B71" s="1" t="n">
        <v>45805.4490162037</v>
      </c>
      <c r="C71" s="1" t="n">
        <v>46031</v>
      </c>
      <c r="D71" t="inlineStr">
        <is>
          <t>KALMAR LÄN</t>
        </is>
      </c>
      <c r="E71" t="inlineStr">
        <is>
          <t>BORGHOLM</t>
        </is>
      </c>
      <c r="G71" t="n">
        <v>3.7</v>
      </c>
      <c r="H71" t="n">
        <v>0</v>
      </c>
      <c r="I71" t="n">
        <v>0</v>
      </c>
      <c r="J71" t="n">
        <v>0</v>
      </c>
      <c r="K71" t="n">
        <v>0</v>
      </c>
      <c r="L71" t="n">
        <v>0</v>
      </c>
      <c r="M71" t="n">
        <v>0</v>
      </c>
      <c r="N71" t="n">
        <v>0</v>
      </c>
      <c r="O71" t="n">
        <v>0</v>
      </c>
      <c r="P71" t="n">
        <v>0</v>
      </c>
      <c r="Q71" t="n">
        <v>0</v>
      </c>
      <c r="R71" s="2" t="inlineStr"/>
    </row>
    <row r="72" ht="15" customHeight="1">
      <c r="A72" t="inlineStr">
        <is>
          <t>A 43542-2025</t>
        </is>
      </c>
      <c r="B72" s="1" t="n">
        <v>45911.61123842592</v>
      </c>
      <c r="C72" s="1" t="n">
        <v>46031</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26190-2025</t>
        </is>
      </c>
      <c r="B73" s="1" t="n">
        <v>45805.48349537037</v>
      </c>
      <c r="C73" s="1" t="n">
        <v>46031</v>
      </c>
      <c r="D73" t="inlineStr">
        <is>
          <t>KALMAR LÄN</t>
        </is>
      </c>
      <c r="E73" t="inlineStr">
        <is>
          <t>BORGHOLM</t>
        </is>
      </c>
      <c r="G73" t="n">
        <v>3.2</v>
      </c>
      <c r="H73" t="n">
        <v>0</v>
      </c>
      <c r="I73" t="n">
        <v>0</v>
      </c>
      <c r="J73" t="n">
        <v>0</v>
      </c>
      <c r="K73" t="n">
        <v>0</v>
      </c>
      <c r="L73" t="n">
        <v>0</v>
      </c>
      <c r="M73" t="n">
        <v>0</v>
      </c>
      <c r="N73" t="n">
        <v>0</v>
      </c>
      <c r="O73" t="n">
        <v>0</v>
      </c>
      <c r="P73" t="n">
        <v>0</v>
      </c>
      <c r="Q73" t="n">
        <v>0</v>
      </c>
      <c r="R73" s="2" t="inlineStr"/>
    </row>
    <row r="74" ht="15" customHeight="1">
      <c r="A74" t="inlineStr">
        <is>
          <t>A 44224-2025</t>
        </is>
      </c>
      <c r="B74" s="1" t="n">
        <v>45915</v>
      </c>
      <c r="C74" s="1" t="n">
        <v>46031</v>
      </c>
      <c r="D74" t="inlineStr">
        <is>
          <t>KALMAR LÄN</t>
        </is>
      </c>
      <c r="E74" t="inlineStr">
        <is>
          <t>BORGHOLM</t>
        </is>
      </c>
      <c r="G74" t="n">
        <v>1.3</v>
      </c>
      <c r="H74" t="n">
        <v>0</v>
      </c>
      <c r="I74" t="n">
        <v>0</v>
      </c>
      <c r="J74" t="n">
        <v>0</v>
      </c>
      <c r="K74" t="n">
        <v>0</v>
      </c>
      <c r="L74" t="n">
        <v>0</v>
      </c>
      <c r="M74" t="n">
        <v>0</v>
      </c>
      <c r="N74" t="n">
        <v>0</v>
      </c>
      <c r="O74" t="n">
        <v>0</v>
      </c>
      <c r="P74" t="n">
        <v>0</v>
      </c>
      <c r="Q74" t="n">
        <v>0</v>
      </c>
      <c r="R74" s="2" t="inlineStr"/>
    </row>
    <row r="75" ht="15" customHeight="1">
      <c r="A75" t="inlineStr">
        <is>
          <t>A 27357-2025</t>
        </is>
      </c>
      <c r="B75" s="1" t="n">
        <v>45812.63650462963</v>
      </c>
      <c r="C75" s="1" t="n">
        <v>46031</v>
      </c>
      <c r="D75" t="inlineStr">
        <is>
          <t>KALMAR LÄN</t>
        </is>
      </c>
      <c r="E75" t="inlineStr">
        <is>
          <t>BORGHOLM</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4159-2024</t>
        </is>
      </c>
      <c r="B76" s="1" t="n">
        <v>45323</v>
      </c>
      <c r="C76" s="1" t="n">
        <v>46031</v>
      </c>
      <c r="D76" t="inlineStr">
        <is>
          <t>KALMAR LÄN</t>
        </is>
      </c>
      <c r="E76" t="inlineStr">
        <is>
          <t>BORGHOLM</t>
        </is>
      </c>
      <c r="G76" t="n">
        <v>0.5</v>
      </c>
      <c r="H76" t="n">
        <v>0</v>
      </c>
      <c r="I76" t="n">
        <v>0</v>
      </c>
      <c r="J76" t="n">
        <v>0</v>
      </c>
      <c r="K76" t="n">
        <v>0</v>
      </c>
      <c r="L76" t="n">
        <v>0</v>
      </c>
      <c r="M76" t="n">
        <v>0</v>
      </c>
      <c r="N76" t="n">
        <v>0</v>
      </c>
      <c r="O76" t="n">
        <v>0</v>
      </c>
      <c r="P76" t="n">
        <v>0</v>
      </c>
      <c r="Q76" t="n">
        <v>0</v>
      </c>
      <c r="R76" s="2" t="inlineStr"/>
    </row>
    <row r="77" ht="15" customHeight="1">
      <c r="A77" t="inlineStr">
        <is>
          <t>A 27366-2025</t>
        </is>
      </c>
      <c r="B77" s="1" t="n">
        <v>45812.64475694444</v>
      </c>
      <c r="C77" s="1" t="n">
        <v>46031</v>
      </c>
      <c r="D77" t="inlineStr">
        <is>
          <t>KALMAR LÄN</t>
        </is>
      </c>
      <c r="E77" t="inlineStr">
        <is>
          <t>BORGHOLM</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46031</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46031</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46031</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53050-2021</t>
        </is>
      </c>
      <c r="B81" s="1" t="n">
        <v>44467</v>
      </c>
      <c r="C81" s="1" t="n">
        <v>46031</v>
      </c>
      <c r="D81" t="inlineStr">
        <is>
          <t>KALMAR LÄN</t>
        </is>
      </c>
      <c r="E81" t="inlineStr">
        <is>
          <t>BORGHOLM</t>
        </is>
      </c>
      <c r="G81" t="n">
        <v>3.6</v>
      </c>
      <c r="H81" t="n">
        <v>0</v>
      </c>
      <c r="I81" t="n">
        <v>0</v>
      </c>
      <c r="J81" t="n">
        <v>0</v>
      </c>
      <c r="K81" t="n">
        <v>0</v>
      </c>
      <c r="L81" t="n">
        <v>0</v>
      </c>
      <c r="M81" t="n">
        <v>0</v>
      </c>
      <c r="N81" t="n">
        <v>0</v>
      </c>
      <c r="O81" t="n">
        <v>0</v>
      </c>
      <c r="P81" t="n">
        <v>0</v>
      </c>
      <c r="Q81" t="n">
        <v>0</v>
      </c>
      <c r="R81" s="2" t="inlineStr"/>
    </row>
    <row r="82" ht="15" customHeight="1">
      <c r="A82" t="inlineStr">
        <is>
          <t>A 28782-2025</t>
        </is>
      </c>
      <c r="B82" s="1" t="n">
        <v>45820.45572916666</v>
      </c>
      <c r="C82" s="1" t="n">
        <v>46031</v>
      </c>
      <c r="D82" t="inlineStr">
        <is>
          <t>KALMAR LÄN</t>
        </is>
      </c>
      <c r="E82" t="inlineStr">
        <is>
          <t>BORGHOLM</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31720-2022</t>
        </is>
      </c>
      <c r="B83" s="1" t="n">
        <v>44776</v>
      </c>
      <c r="C83" s="1" t="n">
        <v>46031</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46031</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4165-2023</t>
        </is>
      </c>
      <c r="B85" s="1" t="n">
        <v>44953</v>
      </c>
      <c r="C85" s="1" t="n">
        <v>46031</v>
      </c>
      <c r="D85" t="inlineStr">
        <is>
          <t>KALMAR LÄN</t>
        </is>
      </c>
      <c r="E85" t="inlineStr">
        <is>
          <t>BORGHOLM</t>
        </is>
      </c>
      <c r="G85" t="n">
        <v>0.6</v>
      </c>
      <c r="H85" t="n">
        <v>0</v>
      </c>
      <c r="I85" t="n">
        <v>0</v>
      </c>
      <c r="J85" t="n">
        <v>0</v>
      </c>
      <c r="K85" t="n">
        <v>0</v>
      </c>
      <c r="L85" t="n">
        <v>0</v>
      </c>
      <c r="M85" t="n">
        <v>0</v>
      </c>
      <c r="N85" t="n">
        <v>0</v>
      </c>
      <c r="O85" t="n">
        <v>0</v>
      </c>
      <c r="P85" t="n">
        <v>0</v>
      </c>
      <c r="Q85" t="n">
        <v>0</v>
      </c>
      <c r="R85" s="2" t="inlineStr"/>
    </row>
    <row r="86" ht="15" customHeight="1">
      <c r="A86" t="inlineStr">
        <is>
          <t>A 60141-2025</t>
        </is>
      </c>
      <c r="B86" s="1" t="n">
        <v>45994.36873842592</v>
      </c>
      <c r="C86" s="1" t="n">
        <v>46031</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13548-2025</t>
        </is>
      </c>
      <c r="B87" s="1" t="n">
        <v>45736.53827546296</v>
      </c>
      <c r="C87" s="1" t="n">
        <v>46031</v>
      </c>
      <c r="D87" t="inlineStr">
        <is>
          <t>KALMAR LÄN</t>
        </is>
      </c>
      <c r="E87" t="inlineStr">
        <is>
          <t>BORGHOLM</t>
        </is>
      </c>
      <c r="G87" t="n">
        <v>1</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46031</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46031</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46031</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44678-2022</t>
        </is>
      </c>
      <c r="B91" s="1" t="n">
        <v>44840.65100694444</v>
      </c>
      <c r="C91" s="1" t="n">
        <v>46031</v>
      </c>
      <c r="D91" t="inlineStr">
        <is>
          <t>KALMAR LÄN</t>
        </is>
      </c>
      <c r="E91" t="inlineStr">
        <is>
          <t>BORGHOLM</t>
        </is>
      </c>
      <c r="G91" t="n">
        <v>2.4</v>
      </c>
      <c r="H91" t="n">
        <v>0</v>
      </c>
      <c r="I91" t="n">
        <v>0</v>
      </c>
      <c r="J91" t="n">
        <v>0</v>
      </c>
      <c r="K91" t="n">
        <v>0</v>
      </c>
      <c r="L91" t="n">
        <v>0</v>
      </c>
      <c r="M91" t="n">
        <v>0</v>
      </c>
      <c r="N91" t="n">
        <v>0</v>
      </c>
      <c r="O91" t="n">
        <v>0</v>
      </c>
      <c r="P91" t="n">
        <v>0</v>
      </c>
      <c r="Q91" t="n">
        <v>0</v>
      </c>
      <c r="R91" s="2" t="inlineStr"/>
    </row>
    <row r="92" ht="15" customHeight="1">
      <c r="A92" t="inlineStr">
        <is>
          <t>A 36269-2025</t>
        </is>
      </c>
      <c r="B92" s="1" t="n">
        <v>45867.61736111111</v>
      </c>
      <c r="C92" s="1" t="n">
        <v>46031</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64303-2023</t>
        </is>
      </c>
      <c r="B93" s="1" t="n">
        <v>45280</v>
      </c>
      <c r="C93" s="1" t="n">
        <v>46031</v>
      </c>
      <c r="D93" t="inlineStr">
        <is>
          <t>KALMAR LÄN</t>
        </is>
      </c>
      <c r="E93" t="inlineStr">
        <is>
          <t>BORGHOLM</t>
        </is>
      </c>
      <c r="G93" t="n">
        <v>1.2</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46031</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63075-2023</t>
        </is>
      </c>
      <c r="B95" s="1" t="n">
        <v>45273</v>
      </c>
      <c r="C95" s="1" t="n">
        <v>46031</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46031</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46031</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17699-2025</t>
        </is>
      </c>
      <c r="B98" s="1" t="n">
        <v>45758.41846064815</v>
      </c>
      <c r="C98" s="1" t="n">
        <v>46031</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46031</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46031</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55367-2024</t>
        </is>
      </c>
      <c r="B101" s="1" t="n">
        <v>45621.87075231481</v>
      </c>
      <c r="C101" s="1" t="n">
        <v>46031</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20287-2025</t>
        </is>
      </c>
      <c r="B102" s="1" t="n">
        <v>45774.60741898148</v>
      </c>
      <c r="C102" s="1" t="n">
        <v>46031</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46031</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32919-2023</t>
        </is>
      </c>
      <c r="B104" s="1" t="n">
        <v>45125</v>
      </c>
      <c r="C104" s="1" t="n">
        <v>46031</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46031</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4878-2021</t>
        </is>
      </c>
      <c r="B106" s="1" t="n">
        <v>44225</v>
      </c>
      <c r="C106" s="1" t="n">
        <v>46031</v>
      </c>
      <c r="D106" t="inlineStr">
        <is>
          <t>KALMAR LÄN</t>
        </is>
      </c>
      <c r="E106" t="inlineStr">
        <is>
          <t>BORGHOLM</t>
        </is>
      </c>
      <c r="G106" t="n">
        <v>3</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46031</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9034-2025</t>
        </is>
      </c>
      <c r="B108" s="1" t="n">
        <v>45713</v>
      </c>
      <c r="C108" s="1" t="n">
        <v>46031</v>
      </c>
      <c r="D108" t="inlineStr">
        <is>
          <t>KALMAR LÄN</t>
        </is>
      </c>
      <c r="E108" t="inlineStr">
        <is>
          <t>BORGHOLM</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5175-2024</t>
        </is>
      </c>
      <c r="B109" s="1" t="n">
        <v>45330</v>
      </c>
      <c r="C109" s="1" t="n">
        <v>46031</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46031</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19867-2024</t>
        </is>
      </c>
      <c r="B111" s="1" t="n">
        <v>45433</v>
      </c>
      <c r="C111" s="1" t="n">
        <v>46031</v>
      </c>
      <c r="D111" t="inlineStr">
        <is>
          <t>KALMAR LÄN</t>
        </is>
      </c>
      <c r="E111" t="inlineStr">
        <is>
          <t>BORGHOLM</t>
        </is>
      </c>
      <c r="G111" t="n">
        <v>3.9</v>
      </c>
      <c r="H111" t="n">
        <v>0</v>
      </c>
      <c r="I111" t="n">
        <v>0</v>
      </c>
      <c r="J111" t="n">
        <v>0</v>
      </c>
      <c r="K111" t="n">
        <v>0</v>
      </c>
      <c r="L111" t="n">
        <v>0</v>
      </c>
      <c r="M111" t="n">
        <v>0</v>
      </c>
      <c r="N111" t="n">
        <v>0</v>
      </c>
      <c r="O111" t="n">
        <v>0</v>
      </c>
      <c r="P111" t="n">
        <v>0</v>
      </c>
      <c r="Q111" t="n">
        <v>0</v>
      </c>
      <c r="R111" s="2" t="inlineStr"/>
    </row>
    <row r="112" ht="15" customHeight="1">
      <c r="A112" t="inlineStr">
        <is>
          <t>A 13383-2023</t>
        </is>
      </c>
      <c r="B112" s="1" t="n">
        <v>45005</v>
      </c>
      <c r="C112" s="1" t="n">
        <v>46031</v>
      </c>
      <c r="D112" t="inlineStr">
        <is>
          <t>KALMAR LÄN</t>
        </is>
      </c>
      <c r="E112" t="inlineStr">
        <is>
          <t>BORGHOLM</t>
        </is>
      </c>
      <c r="G112" t="n">
        <v>0.8</v>
      </c>
      <c r="H112" t="n">
        <v>0</v>
      </c>
      <c r="I112" t="n">
        <v>0</v>
      </c>
      <c r="J112" t="n">
        <v>0</v>
      </c>
      <c r="K112" t="n">
        <v>0</v>
      </c>
      <c r="L112" t="n">
        <v>0</v>
      </c>
      <c r="M112" t="n">
        <v>0</v>
      </c>
      <c r="N112" t="n">
        <v>0</v>
      </c>
      <c r="O112" t="n">
        <v>0</v>
      </c>
      <c r="P112" t="n">
        <v>0</v>
      </c>
      <c r="Q112" t="n">
        <v>0</v>
      </c>
      <c r="R112" s="2" t="inlineStr"/>
    </row>
    <row r="113" ht="15" customHeight="1">
      <c r="A113" t="inlineStr">
        <is>
          <t>A 12937-2022</t>
        </is>
      </c>
      <c r="B113" s="1" t="n">
        <v>44642</v>
      </c>
      <c r="C113" s="1" t="n">
        <v>46031</v>
      </c>
      <c r="D113" t="inlineStr">
        <is>
          <t>KALMAR LÄN</t>
        </is>
      </c>
      <c r="E113" t="inlineStr">
        <is>
          <t>BORGHOLM</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46031</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46031</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45385.60065972222</v>
      </c>
      <c r="C116" s="1" t="n">
        <v>46031</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46031</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63276-2023</t>
        </is>
      </c>
      <c r="B118" s="1" t="n">
        <v>45273.82195601852</v>
      </c>
      <c r="C118" s="1" t="n">
        <v>46031</v>
      </c>
      <c r="D118" t="inlineStr">
        <is>
          <t>KALMAR LÄN</t>
        </is>
      </c>
      <c r="E118" t="inlineStr">
        <is>
          <t>BORGHOLM</t>
        </is>
      </c>
      <c r="G118" t="n">
        <v>5</v>
      </c>
      <c r="H118" t="n">
        <v>0</v>
      </c>
      <c r="I118" t="n">
        <v>0</v>
      </c>
      <c r="J118" t="n">
        <v>0</v>
      </c>
      <c r="K118" t="n">
        <v>0</v>
      </c>
      <c r="L118" t="n">
        <v>0</v>
      </c>
      <c r="M118" t="n">
        <v>0</v>
      </c>
      <c r="N118" t="n">
        <v>0</v>
      </c>
      <c r="O118" t="n">
        <v>0</v>
      </c>
      <c r="P118" t="n">
        <v>0</v>
      </c>
      <c r="Q118" t="n">
        <v>0</v>
      </c>
      <c r="R118" s="2" t="inlineStr"/>
    </row>
    <row r="119" ht="15" customHeight="1">
      <c r="A119" t="inlineStr">
        <is>
          <t>A 9050-2025</t>
        </is>
      </c>
      <c r="B119" s="1" t="n">
        <v>45713.63512731482</v>
      </c>
      <c r="C119" s="1" t="n">
        <v>46031</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13043-2024</t>
        </is>
      </c>
      <c r="B120" s="1" t="n">
        <v>45385.60111111111</v>
      </c>
      <c r="C120" s="1" t="n">
        <v>46031</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row>
    <row r="121">
      <c r="A121" t="inlineStr">
        <is>
          <t>A 17978-2021</t>
        </is>
      </c>
      <c r="B121" s="1" t="n">
        <v>44301</v>
      </c>
      <c r="C121" s="1" t="n">
        <v>46031</v>
      </c>
      <c r="D121" t="inlineStr">
        <is>
          <t>KALMAR LÄN</t>
        </is>
      </c>
      <c r="E121" t="inlineStr">
        <is>
          <t>BORGHOLM</t>
        </is>
      </c>
      <c r="G121" t="n">
        <v>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2026-01-09T10:53:51Z</dcterms:created>
  <dcterms:modified xmlns:dcterms="http://purl.org/dc/terms/" xmlns:xsi="http://www.w3.org/2001/XMLSchema-instance" xsi:type="dcterms:W3CDTF">2026-01-09T10:53:51Z</dcterms:modified>
</cp:coreProperties>
</file>