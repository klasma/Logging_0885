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46270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46270</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46270</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46270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46270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46270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46270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46270</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46270</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46270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46270</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46270</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46270</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46270</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46270</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46270</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46270</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46270</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46270</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46270</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46270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46270</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46270</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46270</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46270</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46270</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46270</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46270</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46270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46270</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46270</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46270</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16171-2023</t>
        </is>
      </c>
      <c r="B34" t="inlineStr">
        <is>
          <t>avverkningsanmälan</t>
        </is>
      </c>
      <c r="C34" t="inlineStr">
        <is>
          <t>Föryngringsavverkning</t>
        </is>
      </c>
      <c r="D34" s="1" t="n">
        <v>45027</v>
      </c>
      <c r="E34" s="1" t="n">
        <v>46270</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31558-2026</t>
        </is>
      </c>
      <c r="B35" t="inlineStr">
        <is>
          <t>avverkningsanmälan</t>
        </is>
      </c>
      <c r="C35" t="inlineStr">
        <is>
          <t>Avverkning för att bevara och utveckla /försöksver</t>
        </is>
      </c>
      <c r="D35" s="1" t="n">
        <v>46224</v>
      </c>
      <c r="E35" s="1" t="n">
        <v>46270</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46270</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46270</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46270</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46270</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46270</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46270</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46270</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46270</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46270</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46270</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46270</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46270</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46270</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46270</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24048-2025</t>
        </is>
      </c>
      <c r="B50" t="inlineStr">
        <is>
          <t>avverkningsanmälan</t>
        </is>
      </c>
      <c r="C50" t="inlineStr">
        <is>
          <t>Föryngringsavverkning</t>
        </is>
      </c>
      <c r="D50" s="1" t="n">
        <v>45796</v>
      </c>
      <c r="E50" s="1" t="n">
        <v>46270</v>
      </c>
      <c r="F50" t="inlineStr">
        <is>
          <t>KALMAR LÄN</t>
        </is>
      </c>
      <c r="G50" t="inlineStr">
        <is>
          <t>BORGHOLM</t>
        </is>
      </c>
      <c r="I50" t="n">
        <v>2</v>
      </c>
      <c r="J50" t="n">
        <v>1</v>
      </c>
      <c r="K50" t="n">
        <v>0</v>
      </c>
      <c r="L50" t="n">
        <v>2</v>
      </c>
      <c r="M50" t="n">
        <v>0</v>
      </c>
      <c r="N50" t="n">
        <v>0</v>
      </c>
      <c r="O50" t="n">
        <v>0</v>
      </c>
      <c r="P50" t="n">
        <v>0</v>
      </c>
      <c r="Q50" t="n">
        <v>2</v>
      </c>
      <c r="R50" t="n">
        <v>0</v>
      </c>
      <c r="S50" t="n">
        <v>3</v>
      </c>
      <c r="T50" t="n">
        <v>5</v>
      </c>
      <c r="U50" t="n">
        <v>0</v>
      </c>
      <c r="V50" s="2" t="inlineStr">
        <is>
          <t>Loppstarr
Ängsstarr
Kärrknipprot</t>
        </is>
      </c>
      <c r="W50">
        <f>HYPERLINK("https://klasma.github.io/Logging_0885/artfynd/A 24048-2025 artfynd.xlsx", "A 24048-2025")</f>
        <v/>
      </c>
      <c r="X50">
        <f>HYPERLINK("https://klasma.github.io/Logging_0885/kartor/A 24048-2025 karta.png", "A 24048-2025")</f>
        <v/>
      </c>
      <c r="Y50">
        <f>HYPERLINK("https://klasma.github.io/Logging_0885/kartor_geotiff/A 24048-2025 georefererad karta.tif", "A 24048-2025")</f>
        <v/>
      </c>
      <c r="AA50">
        <f>HYPERLINK("https://klasma.github.io/Logging_0885/klagomål/A 24048-2025 FSC-klagomål.docx", "A 24048-2025")</f>
        <v/>
      </c>
      <c r="AB50">
        <f>HYPERLINK("https://klasma.github.io/Logging_0885/klagomålsmail/A 24048-2025 FSC-klagomål mail.docx", "A 24048-2025")</f>
        <v/>
      </c>
      <c r="AC50">
        <f>HYPERLINK("https://klasma.github.io/Logging_0885/tillsyn/A 24048-2025 tillsynsbegäran.docx", "A 24048-2025")</f>
        <v/>
      </c>
      <c r="AD50">
        <f>HYPERLINK("https://klasma.github.io/Logging_0885/tillsynsmail/A 24048-2025 tillsynsbegäran mail.docx", "A 24048-2025")</f>
        <v/>
      </c>
    </row>
    <row r="51" ht="15" customHeight="1">
      <c r="A51" t="inlineStr">
        <is>
          <t>A 38860-2025</t>
        </is>
      </c>
      <c r="B51" t="inlineStr">
        <is>
          <t>avverkningsanmälan</t>
        </is>
      </c>
      <c r="C51" t="inlineStr">
        <is>
          <t>Föryngringsavverkning</t>
        </is>
      </c>
      <c r="D51" s="1" t="n">
        <v>45887</v>
      </c>
      <c r="E51" s="1" t="n">
        <v>46270</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46270</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15285-2026</t>
        </is>
      </c>
      <c r="B53" t="inlineStr">
        <is>
          <t>avverkningsanmälan</t>
        </is>
      </c>
      <c r="C53" t="inlineStr">
        <is>
          <t>Avverkning för att bevara och utveckla /försöksver</t>
        </is>
      </c>
      <c r="D53" s="1" t="n">
        <v>46105</v>
      </c>
      <c r="E53" s="1" t="n">
        <v>46270</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32174-2022</t>
        </is>
      </c>
      <c r="B54" t="inlineStr">
        <is>
          <t>avverkningsanmälan</t>
        </is>
      </c>
      <c r="C54" t="inlineStr">
        <is>
          <t>Avverkning för att bevara och utveckla /försöksver</t>
        </is>
      </c>
      <c r="D54" s="1" t="n">
        <v>44781</v>
      </c>
      <c r="E54" s="1" t="n">
        <v>46270</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46270</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27283-2026</t>
        </is>
      </c>
      <c r="B56" t="inlineStr">
        <is>
          <t>avverkningsanmälan</t>
        </is>
      </c>
      <c r="C56" t="inlineStr">
        <is>
          <t>Avverkning för att bevara och utveckla /försöksver</t>
        </is>
      </c>
      <c r="D56" s="1" t="n">
        <v>46188</v>
      </c>
      <c r="E56" s="1" t="n">
        <v>46270</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46270</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31520-2026</t>
        </is>
      </c>
      <c r="B58" t="inlineStr">
        <is>
          <t>avverkningsanmälan</t>
        </is>
      </c>
      <c r="C58" t="inlineStr">
        <is>
          <t>Avverkning för att bevara och utveckla /försöksver</t>
        </is>
      </c>
      <c r="D58" s="1" t="n">
        <v>46223</v>
      </c>
      <c r="E58" s="1" t="n">
        <v>46270</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S 846-2026</t>
        </is>
      </c>
      <c r="B59" t="inlineStr">
        <is>
          <t>samrådsanmälan</t>
        </is>
      </c>
      <c r="C59" t="inlineStr">
        <is>
          <t>Annan skogsbruksåtgärd</t>
        </is>
      </c>
      <c r="D59" s="1" t="n">
        <v>46105</v>
      </c>
      <c r="E59" s="1" t="n">
        <v>46270</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46270</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46270</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46270</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46270</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21908-2022</t>
        </is>
      </c>
      <c r="B64" t="inlineStr">
        <is>
          <t>avverkningsanmälan</t>
        </is>
      </c>
      <c r="C64" t="inlineStr">
        <is>
          <t>Föryngringsavverkning</t>
        </is>
      </c>
      <c r="D64" s="1" t="n">
        <v>44711</v>
      </c>
      <c r="E64" s="1" t="n">
        <v>46270</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9253-2026</t>
        </is>
      </c>
      <c r="B65" t="inlineStr">
        <is>
          <t>avverkningsanmälan</t>
        </is>
      </c>
      <c r="C65" t="inlineStr">
        <is>
          <t>Föryngringsavverkning</t>
        </is>
      </c>
      <c r="D65" s="1" t="n">
        <v>46070</v>
      </c>
      <c r="E65" s="1" t="n">
        <v>46270</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46270</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46270</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46270</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50129-2021</t>
        </is>
      </c>
      <c r="B69" t="inlineStr">
        <is>
          <t>avverkningsanmälan</t>
        </is>
      </c>
      <c r="C69" t="inlineStr">
        <is>
          <t>Avverkning för annat ändamål</t>
        </is>
      </c>
      <c r="D69" s="1" t="n">
        <v>44456</v>
      </c>
      <c r="E69" s="1" t="n">
        <v>46270</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24322-2026</t>
        </is>
      </c>
      <c r="B70" t="inlineStr">
        <is>
          <t>avverkningsanmälan</t>
        </is>
      </c>
      <c r="C70" t="inlineStr">
        <is>
          <t>Föryngringsavverkning</t>
        </is>
      </c>
      <c r="D70" s="1" t="n">
        <v>46169</v>
      </c>
      <c r="E70" s="1" t="n">
        <v>46270</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17699-2025</t>
        </is>
      </c>
      <c r="B71" t="inlineStr">
        <is>
          <t>avverkningsanmälan</t>
        </is>
      </c>
      <c r="C71" t="inlineStr">
        <is>
          <t>Föryngringsavverkning</t>
        </is>
      </c>
      <c r="D71" s="1" t="n">
        <v>45758</v>
      </c>
      <c r="E71" s="1" t="n">
        <v>46270</v>
      </c>
      <c r="F71" t="inlineStr">
        <is>
          <t>KALMAR LÄN</t>
        </is>
      </c>
      <c r="G71" t="inlineStr">
        <is>
          <t>BORGHOLM</t>
        </is>
      </c>
      <c r="I71" t="n">
        <v>0.7</v>
      </c>
      <c r="J71" t="n">
        <v>0</v>
      </c>
      <c r="K71" t="n">
        <v>0</v>
      </c>
      <c r="L71" t="n">
        <v>2</v>
      </c>
      <c r="M71" t="n">
        <v>0</v>
      </c>
      <c r="N71" t="n">
        <v>0</v>
      </c>
      <c r="O71" t="n">
        <v>0</v>
      </c>
      <c r="P71" t="n">
        <v>0</v>
      </c>
      <c r="Q71" t="n">
        <v>2</v>
      </c>
      <c r="R71" t="n">
        <v>0</v>
      </c>
      <c r="S71" t="n">
        <v>2</v>
      </c>
      <c r="T71" t="n">
        <v>2</v>
      </c>
      <c r="U71" t="n">
        <v>2</v>
      </c>
      <c r="V71" s="2" t="inlineStr">
        <is>
          <t>Backtimjan
Klibbveronika</t>
        </is>
      </c>
      <c r="W71">
        <f>HYPERLINK("https://klasma.github.io/Logging_0885/artfynd/A 17699-2025 artfynd.xlsx", "A 17699-2025")</f>
        <v/>
      </c>
      <c r="X71">
        <f>HYPERLINK("https://klasma.github.io/Logging_0885/kartor/A 17699-2025 karta.png", "A 17699-2025")</f>
        <v/>
      </c>
      <c r="Y71">
        <f>HYPERLINK("https://klasma.github.io/Logging_0885/kartor_geotiff/A 17699-2025 georefererad karta.tif", "A 17699-2025")</f>
        <v/>
      </c>
      <c r="AA71">
        <f>HYPERLINK("https://klasma.github.io/Logging_0885/klagomål/A 17699-2025 FSC-klagomål.docx", "A 17699-2025")</f>
        <v/>
      </c>
      <c r="AB71">
        <f>HYPERLINK("https://klasma.github.io/Logging_0885/klagomålsmail/A 17699-2025 FSC-klagomål mail.docx", "A 17699-2025")</f>
        <v/>
      </c>
      <c r="AC71">
        <f>HYPERLINK("https://klasma.github.io/Logging_0885/tillsyn/A 17699-2025 tillsynsbegäran.docx", "A 17699-2025")</f>
        <v/>
      </c>
      <c r="AD71">
        <f>HYPERLINK("https://klasma.github.io/Logging_0885/tillsynsmail/A 17699-2025 tillsynsbegäran mail.docx", "A 17699-2025")</f>
        <v/>
      </c>
    </row>
    <row r="72" ht="15" customHeight="1">
      <c r="A72" t="inlineStr">
        <is>
          <t>A 29411-2026</t>
        </is>
      </c>
      <c r="B72" t="inlineStr">
        <is>
          <t>avverkningsanmälan</t>
        </is>
      </c>
      <c r="C72" t="inlineStr">
        <is>
          <t>Avverkning för att bevara och utveckla /försöksver</t>
        </is>
      </c>
      <c r="D72" s="1" t="n">
        <v>46203</v>
      </c>
      <c r="E72" s="1" t="n">
        <v>46270</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46270</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6144-2022</t>
        </is>
      </c>
      <c r="B74" t="inlineStr">
        <is>
          <t>samrådsanmälan</t>
        </is>
      </c>
      <c r="C74" t="inlineStr">
        <is>
          <t>Annan skogsbruksåtgärd</t>
        </is>
      </c>
      <c r="D74" s="1" t="n">
        <v>44865</v>
      </c>
      <c r="E74" s="1" t="n">
        <v>46270</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46270</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46270</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46270</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46270</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46270</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46270</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28785-2025</t>
        </is>
      </c>
      <c r="B81" t="inlineStr">
        <is>
          <t>avverkningsanmälan</t>
        </is>
      </c>
      <c r="C81" t="inlineStr">
        <is>
          <t>Avverkning för att bevara och utveckla /försöksver</t>
        </is>
      </c>
      <c r="D81" s="1" t="n">
        <v>45820</v>
      </c>
      <c r="E81" s="1" t="n">
        <v>46270</v>
      </c>
      <c r="F81" t="inlineStr">
        <is>
          <t>KALMAR LÄN</t>
        </is>
      </c>
      <c r="G81" t="inlineStr">
        <is>
          <t>BORGHOLM</t>
        </is>
      </c>
      <c r="H81" t="inlineStr">
        <is>
          <t>Sveaskog</t>
        </is>
      </c>
      <c r="I81" t="n">
        <v>2.3</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HYPERLINK("https://klasma.github.io/Logging_0885/artfynd/A 28785-2025 artfynd.xlsx", "A 28785-2025")</f>
        <v/>
      </c>
      <c r="X81">
        <f>HYPERLINK("https://klasma.github.io/Logging_0885/kartor/A 28785-2025 karta.png", "A 28785-2025")</f>
        <v/>
      </c>
      <c r="Y81">
        <f>HYPERLINK("https://klasma.github.io/Logging_0885/kartor_geotiff/A 28785-2025 georefererad karta.tif", "A 28785-2025")</f>
        <v/>
      </c>
      <c r="AA81">
        <f>HYPERLINK("https://klasma.github.io/Logging_0885/klagomål/A 28785-2025 FSC-klagomål.docx", "A 28785-2025")</f>
        <v/>
      </c>
      <c r="AB81">
        <f>HYPERLINK("https://klasma.github.io/Logging_0885/klagomålsmail/A 28785-2025 FSC-klagomål mail.docx", "A 28785-2025")</f>
        <v/>
      </c>
      <c r="AC81">
        <f>HYPERLINK("https://klasma.github.io/Logging_0885/tillsyn/A 28785-2025 tillsynsbegäran.docx", "A 28785-2025")</f>
        <v/>
      </c>
      <c r="AD81">
        <f>HYPERLINK("https://klasma.github.io/Logging_0885/tillsynsmail/A 28785-2025 tillsynsbegäran mail.docx", "A 28785-2025")</f>
        <v/>
      </c>
      <c r="AE81">
        <f>HYPERLINK("https://klasma.github.io/Logging_0885/fåglar/A 28785-2025 prioriterade fågelarter.docx", "A 28785-2025")</f>
        <v/>
      </c>
    </row>
    <row r="82" ht="15" customHeight="1">
      <c r="A82" t="inlineStr">
        <is>
          <t>A 28782-2025</t>
        </is>
      </c>
      <c r="B82" t="inlineStr">
        <is>
          <t>avverkningsanmälan</t>
        </is>
      </c>
      <c r="C82" t="inlineStr">
        <is>
          <t>Avverkning för att bevara och utveckla /försöksver</t>
        </is>
      </c>
      <c r="D82" s="1" t="n">
        <v>45820</v>
      </c>
      <c r="E82" s="1" t="n">
        <v>46270</v>
      </c>
      <c r="F82" t="inlineStr">
        <is>
          <t>KALMAR LÄN</t>
        </is>
      </c>
      <c r="G82" t="inlineStr">
        <is>
          <t>BORGHOLM</t>
        </is>
      </c>
      <c r="H82" t="inlineStr">
        <is>
          <t>Sveaskog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28782-2025 artfynd.xlsx", "A 28782-2025")</f>
        <v/>
      </c>
      <c r="X82">
        <f>HYPERLINK("https://klasma.github.io/Logging_0885/kartor/A 28782-2025 karta.png", "A 28782-2025")</f>
        <v/>
      </c>
      <c r="Y82">
        <f>HYPERLINK("https://klasma.github.io/Logging_0885/kartor_geotiff/A 28782-2025 georefererad karta.tif", "A 28782-2025")</f>
        <v/>
      </c>
      <c r="AA82">
        <f>HYPERLINK("https://klasma.github.io/Logging_0885/klagomål/A 28782-2025 FSC-klagomål.docx", "A 28782-2025")</f>
        <v/>
      </c>
      <c r="AB82">
        <f>HYPERLINK("https://klasma.github.io/Logging_0885/klagomålsmail/A 28782-2025 FSC-klagomål mail.docx", "A 28782-2025")</f>
        <v/>
      </c>
      <c r="AC82">
        <f>HYPERLINK("https://klasma.github.io/Logging_0885/tillsyn/A 28782-2025 tillsynsbegäran.docx", "A 28782-2025")</f>
        <v/>
      </c>
      <c r="AD82">
        <f>HYPERLINK("https://klasma.github.io/Logging_0885/tillsynsmail/A 28782-2025 tillsynsbegäran mail.docx", "A 28782-2025")</f>
        <v/>
      </c>
      <c r="AE82">
        <f>HYPERLINK("https://klasma.github.io/Logging_0885/fåglar/A 28782-2025 prioriterade fågelarter.docx", "A 28782-2025")</f>
        <v/>
      </c>
    </row>
    <row r="83" ht="15" customHeight="1">
      <c r="A83" t="inlineStr">
        <is>
          <t>A 41831-2025</t>
        </is>
      </c>
      <c r="B83" t="inlineStr">
        <is>
          <t>avverkningsanmälan</t>
        </is>
      </c>
      <c r="C83" t="inlineStr">
        <is>
          <t>Föryngringsavverkning</t>
        </is>
      </c>
      <c r="D83" s="1" t="n">
        <v>45902</v>
      </c>
      <c r="E83" s="1" t="n">
        <v>46270</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63276-2023</t>
        </is>
      </c>
      <c r="B84" t="inlineStr">
        <is>
          <t>avverkningsanmälan</t>
        </is>
      </c>
      <c r="C84" t="inlineStr">
        <is>
          <t>Föryngringsavverkning</t>
        </is>
      </c>
      <c r="D84" s="1" t="n">
        <v>45273</v>
      </c>
      <c r="E84" s="1" t="n">
        <v>46270</v>
      </c>
      <c r="F84" t="inlineStr">
        <is>
          <t>KALMAR LÄN</t>
        </is>
      </c>
      <c r="G84" t="inlineStr">
        <is>
          <t>BORGHOLM</t>
        </is>
      </c>
      <c r="I84" t="n">
        <v>5</v>
      </c>
      <c r="J84" t="n">
        <v>0</v>
      </c>
      <c r="K84" t="n">
        <v>0</v>
      </c>
      <c r="L84" t="n">
        <v>0</v>
      </c>
      <c r="M84" t="n">
        <v>1</v>
      </c>
      <c r="N84" t="n">
        <v>0</v>
      </c>
      <c r="O84" t="n">
        <v>0</v>
      </c>
      <c r="P84" t="n">
        <v>0</v>
      </c>
      <c r="Q84" t="n">
        <v>1</v>
      </c>
      <c r="R84" t="n">
        <v>1</v>
      </c>
      <c r="S84" t="n">
        <v>1</v>
      </c>
      <c r="T84" t="n">
        <v>1</v>
      </c>
      <c r="U84" t="n">
        <v>0</v>
      </c>
      <c r="V84" s="2" t="inlineStr">
        <is>
          <t>Elaphomyces barrioi</t>
        </is>
      </c>
      <c r="W84">
        <f>HYPERLINK("https://klasma.github.io/Logging_0885/artfynd/A 63276-2023 artfynd.xlsx", "A 63276-2023")</f>
        <v/>
      </c>
      <c r="X84">
        <f>HYPERLINK("https://klasma.github.io/Logging_0885/kartor/A 63276-2023 karta.png", "A 63276-2023")</f>
        <v/>
      </c>
      <c r="Y84">
        <f>HYPERLINK("https://klasma.github.io/Logging_0885/kartor_geotiff/A 63276-2023 georefererad karta.tif", "A 63276-2023")</f>
        <v/>
      </c>
      <c r="AA84">
        <f>HYPERLINK("https://klasma.github.io/Logging_0885/klagomål/A 63276-2023 FSC-klagomål.docx", "A 63276-2023")</f>
        <v/>
      </c>
      <c r="AB84">
        <f>HYPERLINK("https://klasma.github.io/Logging_0885/klagomålsmail/A 63276-2023 FSC-klagomål mail.docx", "A 63276-2023")</f>
        <v/>
      </c>
      <c r="AC84">
        <f>HYPERLINK("https://klasma.github.io/Logging_0885/tillsyn/A 63276-2023 tillsynsbegäran.docx", "A 63276-2023")</f>
        <v/>
      </c>
      <c r="AD84">
        <f>HYPERLINK("https://klasma.github.io/Logging_0885/tillsynsmail/A 63276-2023 tillsynsbegäran mail.docx", "A 63276-2023")</f>
        <v/>
      </c>
    </row>
    <row r="85" ht="15" customHeight="1">
      <c r="A85" t="inlineStr">
        <is>
          <t>A 3302-2026</t>
        </is>
      </c>
      <c r="B85" t="inlineStr">
        <is>
          <t>avverkningsanmälan</t>
        </is>
      </c>
      <c r="C85" t="inlineStr">
        <is>
          <t>Avverkning för annat ändamål</t>
        </is>
      </c>
      <c r="D85" s="1" t="n">
        <v>46041</v>
      </c>
      <c r="E85" s="1" t="n">
        <v>46270</v>
      </c>
      <c r="F85" t="inlineStr">
        <is>
          <t>KALMAR LÄN</t>
        </is>
      </c>
      <c r="G85" t="inlineStr">
        <is>
          <t>BORGHOLM</t>
        </is>
      </c>
      <c r="I85" t="n">
        <v>3.9</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HYPERLINK("https://klasma.github.io/Logging_0885/artfynd/A 3302-2026 artfynd.xlsx", "A 3302-2026")</f>
        <v/>
      </c>
      <c r="X85">
        <f>HYPERLINK("https://klasma.github.io/Logging_0885/kartor/A 3302-2026 karta.png", "A 3302-2026")</f>
        <v/>
      </c>
      <c r="Y85">
        <f>HYPERLINK("https://klasma.github.io/Logging_0885/kartor_geotiff/A 3302-2026 georefererad karta.tif", "A 3302-2026")</f>
        <v/>
      </c>
      <c r="AA85">
        <f>HYPERLINK("https://klasma.github.io/Logging_0885/klagomål/A 3302-2026 FSC-klagomål.docx", "A 3302-2026")</f>
        <v/>
      </c>
      <c r="AB85">
        <f>HYPERLINK("https://klasma.github.io/Logging_0885/klagomålsmail/A 3302-2026 FSC-klagomål mail.docx", "A 3302-2026")</f>
        <v/>
      </c>
      <c r="AC85">
        <f>HYPERLINK("https://klasma.github.io/Logging_0885/tillsyn/A 3302-2026 tillsynsbegäran.docx", "A 3302-2026")</f>
        <v/>
      </c>
      <c r="AD85">
        <f>HYPERLINK("https://klasma.github.io/Logging_0885/tillsynsmail/A 3302-2026 tillsynsbegäran mail.docx", "A 3302-2026")</f>
        <v/>
      </c>
    </row>
    <row r="86" ht="15" customHeight="1">
      <c r="A86" t="inlineStr">
        <is>
          <t>A 24704-2023</t>
        </is>
      </c>
      <c r="B86" t="inlineStr">
        <is>
          <t>avverkningsanmälan</t>
        </is>
      </c>
      <c r="C86" t="inlineStr">
        <is>
          <t>Föryngringsavverkning</t>
        </is>
      </c>
      <c r="D86" s="1" t="n">
        <v>45084</v>
      </c>
      <c r="E86" s="1" t="n">
        <v>46270</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7481-2026</t>
        </is>
      </c>
      <c r="B87" t="inlineStr">
        <is>
          <t>avverkningsanmälan</t>
        </is>
      </c>
      <c r="C87" t="inlineStr">
        <is>
          <t>Föryngringsavverkning</t>
        </is>
      </c>
      <c r="D87" s="1" t="n">
        <v>46059</v>
      </c>
      <c r="E87" s="1" t="n">
        <v>46270</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46270</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46270</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9745-2023</t>
        </is>
      </c>
      <c r="B90" t="inlineStr">
        <is>
          <t>avverkningsanmälan</t>
        </is>
      </c>
      <c r="C90" t="inlineStr">
        <is>
          <t>Föryngringsavverkning</t>
        </is>
      </c>
      <c r="D90" s="1" t="n">
        <v>44984</v>
      </c>
      <c r="E90" s="1" t="n">
        <v>46270</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31720-2022</t>
        </is>
      </c>
      <c r="B91" t="inlineStr">
        <is>
          <t>avverkningsanmälan</t>
        </is>
      </c>
      <c r="C91" t="inlineStr">
        <is>
          <t>Föryngringsavverkning</t>
        </is>
      </c>
      <c r="D91" s="1" t="n">
        <v>44776</v>
      </c>
      <c r="E91" s="1" t="n">
        <v>46270</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46270</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13043-2024</t>
        </is>
      </c>
      <c r="B93" t="inlineStr">
        <is>
          <t>avverkningsanmälan</t>
        </is>
      </c>
      <c r="C93" t="inlineStr">
        <is>
          <t>Föryngringsavverkning</t>
        </is>
      </c>
      <c r="D93" s="1" t="n">
        <v>45385</v>
      </c>
      <c r="E93" s="1" t="n">
        <v>46270</v>
      </c>
      <c r="F93" t="inlineStr">
        <is>
          <t>KALMAR LÄN</t>
        </is>
      </c>
      <c r="G93" t="inlineStr">
        <is>
          <t>BORGHOLM</t>
        </is>
      </c>
      <c r="I93" t="n">
        <v>0.4</v>
      </c>
      <c r="J93" t="n">
        <v>1</v>
      </c>
      <c r="K93" t="n">
        <v>1</v>
      </c>
      <c r="L93" t="n">
        <v>0</v>
      </c>
      <c r="M93" t="n">
        <v>0</v>
      </c>
      <c r="N93" t="n">
        <v>0</v>
      </c>
      <c r="O93" t="n">
        <v>0</v>
      </c>
      <c r="P93" t="n">
        <v>0</v>
      </c>
      <c r="Q93" t="n">
        <v>0</v>
      </c>
      <c r="R93" t="n">
        <v>0</v>
      </c>
      <c r="S93" t="n">
        <v>1</v>
      </c>
      <c r="T93" t="n">
        <v>1</v>
      </c>
      <c r="U93" t="n">
        <v>0</v>
      </c>
      <c r="V93" s="2" t="inlineStr">
        <is>
          <t>Ekoxe</t>
        </is>
      </c>
      <c r="W93">
        <f>HYPERLINK("https://klasma.github.io/Logging_0885/artfynd/A 13043-2024 artfynd.xlsx", "A 13043-2024")</f>
        <v/>
      </c>
      <c r="X93">
        <f>HYPERLINK("https://klasma.github.io/Logging_0885/kartor/A 13043-2024 karta.png", "A 13043-2024")</f>
        <v/>
      </c>
      <c r="Y93">
        <f>HYPERLINK("https://klasma.github.io/Logging_0885/kartor_geotiff/A 13043-2024 georefererad karta.tif", "A 13043-2024")</f>
        <v/>
      </c>
      <c r="AA93">
        <f>HYPERLINK("https://klasma.github.io/Logging_0885/klagomål/A 13043-2024 FSC-klagomål.docx", "A 13043-2024")</f>
        <v/>
      </c>
      <c r="AB93">
        <f>HYPERLINK("https://klasma.github.io/Logging_0885/klagomålsmail/A 13043-2024 FSC-klagomål mail.docx", "A 13043-2024")</f>
        <v/>
      </c>
      <c r="AC93">
        <f>HYPERLINK("https://klasma.github.io/Logging_0885/tillsyn/A 13043-2024 tillsynsbegäran.docx", "A 13043-2024")</f>
        <v/>
      </c>
      <c r="AD93">
        <f>HYPERLINK("https://klasma.github.io/Logging_0885/tillsynsmail/A 13043-2024 tillsynsbegäran mail.docx", "A 13043-2024")</f>
        <v/>
      </c>
    </row>
    <row r="94" ht="15" customHeight="1">
      <c r="A94" t="inlineStr">
        <is>
          <t>A 26840-2026</t>
        </is>
      </c>
      <c r="B94" t="inlineStr">
        <is>
          <t>avverkningsanmälan</t>
        </is>
      </c>
      <c r="C94" t="inlineStr">
        <is>
          <t>Avverkning för att bevara och utveckla /försöksver</t>
        </is>
      </c>
      <c r="D94" s="1" t="n">
        <v>46185</v>
      </c>
      <c r="E94" s="1" t="n">
        <v>46270</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28374-2026</t>
        </is>
      </c>
      <c r="B95" t="inlineStr">
        <is>
          <t>avverkningsanmälan</t>
        </is>
      </c>
      <c r="C95" t="inlineStr">
        <is>
          <t>Avverkning för att bevara och utveckla /försöksver</t>
        </is>
      </c>
      <c r="D95" s="1" t="n">
        <v>46196</v>
      </c>
      <c r="E95" s="1" t="n">
        <v>46270</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28430-2026</t>
        </is>
      </c>
      <c r="B96" t="inlineStr">
        <is>
          <t>avverkningsanmälan</t>
        </is>
      </c>
      <c r="C96" t="inlineStr">
        <is>
          <t>Avverkning för att bevara och utveckla /försöksver</t>
        </is>
      </c>
      <c r="D96" s="1" t="n">
        <v>46197</v>
      </c>
      <c r="E96" s="1" t="n">
        <v>46270</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20878-2024</t>
        </is>
      </c>
      <c r="B97" t="inlineStr">
        <is>
          <t>avverkningsanmälan</t>
        </is>
      </c>
      <c r="C97" t="inlineStr">
        <is>
          <t>Föryngringsavverkning</t>
        </is>
      </c>
      <c r="D97" s="1" t="n">
        <v>45439</v>
      </c>
      <c r="E97" s="1" t="n">
        <v>46270</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20878-2024 artfynd.xlsx", "A 20878-2024")</f>
        <v/>
      </c>
      <c r="X97">
        <f>HYPERLINK("https://klasma.github.io/Logging_0885/kartor/A 20878-2024 karta.png", "A 20878-2024")</f>
        <v/>
      </c>
      <c r="Y97">
        <f>HYPERLINK("https://klasma.github.io/Logging_0885/kartor_geotiff/A 20878-2024 georefererad karta.tif", "A 20878-2024")</f>
        <v/>
      </c>
      <c r="AA97">
        <f>HYPERLINK("https://klasma.github.io/Logging_0885/klagomål/A 20878-2024 FSC-klagomål.docx", "A 20878-2024")</f>
        <v/>
      </c>
      <c r="AB97">
        <f>HYPERLINK("https://klasma.github.io/Logging_0885/klagomålsmail/A 20878-2024 FSC-klagomål mail.docx", "A 20878-2024")</f>
        <v/>
      </c>
      <c r="AC97">
        <f>HYPERLINK("https://klasma.github.io/Logging_0885/tillsyn/A 20878-2024 tillsynsbegäran.docx", "A 20878-2024")</f>
        <v/>
      </c>
      <c r="AD97">
        <f>HYPERLINK("https://klasma.github.io/Logging_0885/tillsynsmail/A 20878-2024 tillsynsbegäran mail.docx", "A 20878-2024")</f>
        <v/>
      </c>
    </row>
    <row r="98" ht="15" customHeight="1">
      <c r="A98" t="inlineStr">
        <is>
          <t>A 33293-2026</t>
        </is>
      </c>
      <c r="B98" t="inlineStr">
        <is>
          <t>avverkningsanmälan</t>
        </is>
      </c>
      <c r="C98" t="inlineStr">
        <is>
          <t>Avverkning för att bevara och utveckla /försöksver</t>
        </is>
      </c>
      <c r="D98" s="1" t="n">
        <v>46246</v>
      </c>
      <c r="E98" s="1" t="n">
        <v>46270</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46270</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46270</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46270</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46270</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46270</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46270</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46270</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46270</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46270</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46270</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46270</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46270</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46270</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46270</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46270</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46270</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64303-2023</t>
        </is>
      </c>
      <c r="B115" t="inlineStr">
        <is>
          <t>avverkningsanmälan</t>
        </is>
      </c>
      <c r="C115" t="inlineStr">
        <is>
          <t>Avverkning för annat ändamål</t>
        </is>
      </c>
      <c r="D115" s="1" t="n">
        <v>45280</v>
      </c>
      <c r="E115" s="1" t="n">
        <v>46270</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40339-2023</t>
        </is>
      </c>
      <c r="B116" t="inlineStr">
        <is>
          <t>avverkningsanmälan</t>
        </is>
      </c>
      <c r="C116" t="inlineStr">
        <is>
          <t>Föryngringsavverkning</t>
        </is>
      </c>
      <c r="D116" s="1" t="n">
        <v>45169</v>
      </c>
      <c r="E116" s="1" t="n">
        <v>46270</v>
      </c>
      <c r="F116" t="inlineStr">
        <is>
          <t>KALMAR LÄN</t>
        </is>
      </c>
      <c r="G116" t="inlineStr">
        <is>
          <t>BORGHOLM</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26190-2025</t>
        </is>
      </c>
      <c r="B117" t="inlineStr">
        <is>
          <t>avverkningsanmälan</t>
        </is>
      </c>
      <c r="C117" t="inlineStr">
        <is>
          <t>Föryngringsavverkning</t>
        </is>
      </c>
      <c r="D117" s="1" t="n">
        <v>45805</v>
      </c>
      <c r="E117" s="1" t="n">
        <v>46270</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55367-2024</t>
        </is>
      </c>
      <c r="B118" t="inlineStr">
        <is>
          <t>avverkningsanmälan</t>
        </is>
      </c>
      <c r="C118" t="inlineStr">
        <is>
          <t>Föryngringsavverkning</t>
        </is>
      </c>
      <c r="D118" s="1" t="n">
        <v>45621</v>
      </c>
      <c r="E118" s="1" t="n">
        <v>46270</v>
      </c>
      <c r="F118" t="inlineStr">
        <is>
          <t>KALMAR LÄN</t>
        </is>
      </c>
      <c r="G118" t="inlineStr">
        <is>
          <t>BORGHOLM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41950-2025</t>
        </is>
      </c>
      <c r="B119" t="inlineStr">
        <is>
          <t>avverkningsanmälan</t>
        </is>
      </c>
      <c r="C119" t="inlineStr">
        <is>
          <t>Föryngringsavverkning</t>
        </is>
      </c>
      <c r="D119" s="1" t="n">
        <v>45903</v>
      </c>
      <c r="E119" s="1" t="n">
        <v>46270</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4159-2024</t>
        </is>
      </c>
      <c r="B120" t="inlineStr">
        <is>
          <t>avverkningsanmälan</t>
        </is>
      </c>
      <c r="C120" t="inlineStr">
        <is>
          <t>Föryngringsavverkning</t>
        </is>
      </c>
      <c r="D120" s="1" t="n">
        <v>45323</v>
      </c>
      <c r="E120" s="1" t="n">
        <v>46270</v>
      </c>
      <c r="F120" t="inlineStr">
        <is>
          <t>KALMAR LÄN</t>
        </is>
      </c>
      <c r="G120" t="inlineStr">
        <is>
          <t>BORGHOLM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46270</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46845-2025</t>
        </is>
      </c>
      <c r="B122" t="inlineStr">
        <is>
          <t>avverkningsanmälan</t>
        </is>
      </c>
      <c r="C122" t="inlineStr">
        <is>
          <t>Avverkning för annat ändamål</t>
        </is>
      </c>
      <c r="D122" s="1" t="n">
        <v>45928</v>
      </c>
      <c r="E122" s="1" t="n">
        <v>46270</v>
      </c>
      <c r="F122" t="inlineStr">
        <is>
          <t>KALMAR LÄN</t>
        </is>
      </c>
      <c r="G122" t="inlineStr">
        <is>
          <t>BORGHOLM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32921-2023</t>
        </is>
      </c>
      <c r="B123" t="inlineStr">
        <is>
          <t>avverkningsanmälan</t>
        </is>
      </c>
      <c r="C123" t="inlineStr">
        <is>
          <t>Föryngringsavverkning</t>
        </is>
      </c>
      <c r="D123" s="1" t="n">
        <v>45125</v>
      </c>
      <c r="E123" s="1" t="n">
        <v>46270</v>
      </c>
      <c r="F123" t="inlineStr">
        <is>
          <t>KALMAR LÄN</t>
        </is>
      </c>
      <c r="G123" t="inlineStr">
        <is>
          <t>BORGHOLM</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31699-2022</t>
        </is>
      </c>
      <c r="B124" t="inlineStr">
        <is>
          <t>avverkningsanmälan</t>
        </is>
      </c>
      <c r="C124" t="inlineStr">
        <is>
          <t>Föryngringsavverkning</t>
        </is>
      </c>
      <c r="D124" s="1" t="n">
        <v>44776</v>
      </c>
      <c r="E124" s="1" t="n">
        <v>46270</v>
      </c>
      <c r="F124" t="inlineStr">
        <is>
          <t>KALMAR LÄN</t>
        </is>
      </c>
      <c r="G124" t="inlineStr">
        <is>
          <t>BORGHOLM</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36269-2025</t>
        </is>
      </c>
      <c r="B125" t="inlineStr">
        <is>
          <t>avverkningsanmälan</t>
        </is>
      </c>
      <c r="C125" t="inlineStr">
        <is>
          <t>Föryngringsavverkning</t>
        </is>
      </c>
      <c r="D125" s="1" t="n">
        <v>45867</v>
      </c>
      <c r="E125" s="1" t="n">
        <v>46270</v>
      </c>
      <c r="F125" t="inlineStr">
        <is>
          <t>KALMAR LÄN</t>
        </is>
      </c>
      <c r="G125" t="inlineStr">
        <is>
          <t>BORGHOLM</t>
        </is>
      </c>
      <c r="H125" t="inlineStr">
        <is>
          <t>Sveaskog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1614-2025</t>
        </is>
      </c>
      <c r="B126" t="inlineStr">
        <is>
          <t>avverkningsanmälan</t>
        </is>
      </c>
      <c r="C126" t="inlineStr">
        <is>
          <t>Föryngringsavverkning</t>
        </is>
      </c>
      <c r="D126" s="1" t="n">
        <v>45670</v>
      </c>
      <c r="E126" s="1" t="n">
        <v>46270</v>
      </c>
      <c r="F126" t="inlineStr">
        <is>
          <t>KALMAR LÄN</t>
        </is>
      </c>
      <c r="G126" t="inlineStr">
        <is>
          <t>BORGHOLM</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9259-2026</t>
        </is>
      </c>
      <c r="B127" t="inlineStr">
        <is>
          <t>avverkningsanmälan</t>
        </is>
      </c>
      <c r="C127" t="inlineStr">
        <is>
          <t>Föryngringsavverkning</t>
        </is>
      </c>
      <c r="D127" s="1" t="n">
        <v>46070</v>
      </c>
      <c r="E127" s="1" t="n">
        <v>46270</v>
      </c>
      <c r="F127" t="inlineStr">
        <is>
          <t>KALMAR LÄN</t>
        </is>
      </c>
      <c r="G127" t="inlineStr">
        <is>
          <t>BORGHOLM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9076-2025</t>
        </is>
      </c>
      <c r="B128" t="inlineStr">
        <is>
          <t>avverkningsanmälan</t>
        </is>
      </c>
      <c r="C128" t="inlineStr">
        <is>
          <t>Föryngringsavverkning</t>
        </is>
      </c>
      <c r="D128" s="1" t="n">
        <v>45713</v>
      </c>
      <c r="E128" s="1" t="n">
        <v>46270</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1757-2025</t>
        </is>
      </c>
      <c r="B129" t="inlineStr">
        <is>
          <t>avverkningsanmälan</t>
        </is>
      </c>
      <c r="C129" t="inlineStr">
        <is>
          <t>Föryngringsavverkning</t>
        </is>
      </c>
      <c r="D129" s="1" t="n">
        <v>45671</v>
      </c>
      <c r="E129" s="1" t="n">
        <v>46270</v>
      </c>
      <c r="F129" t="inlineStr">
        <is>
          <t>KALMAR LÄN</t>
        </is>
      </c>
      <c r="G129" t="inlineStr">
        <is>
          <t>BORGHOLM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9050-2025</t>
        </is>
      </c>
      <c r="B130" t="inlineStr">
        <is>
          <t>avverkningsanmälan</t>
        </is>
      </c>
      <c r="C130" t="inlineStr">
        <is>
          <t>Avverkning för att bevara och utveckla /försöksver</t>
        </is>
      </c>
      <c r="D130" s="1" t="n">
        <v>45713</v>
      </c>
      <c r="E130" s="1" t="n">
        <v>46270</v>
      </c>
      <c r="F130" t="inlineStr">
        <is>
          <t>KALMAR LÄN</t>
        </is>
      </c>
      <c r="G130" t="inlineStr">
        <is>
          <t>BORGHOLM</t>
        </is>
      </c>
      <c r="H130" t="inlineStr">
        <is>
          <t>Sveaskog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15272-2026</t>
        </is>
      </c>
      <c r="B131" t="inlineStr">
        <is>
          <t>avverkningsanmälan</t>
        </is>
      </c>
      <c r="C131" t="inlineStr">
        <is>
          <t>Avverkning för att bevara och utveckla /försöksver</t>
        </is>
      </c>
      <c r="D131" s="1" t="n">
        <v>46105</v>
      </c>
      <c r="E131" s="1" t="n">
        <v>46270</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15279-2026</t>
        </is>
      </c>
      <c r="B132" t="inlineStr">
        <is>
          <t>avverkningsanmälan</t>
        </is>
      </c>
      <c r="C132" t="inlineStr">
        <is>
          <t>Avverkning för att bevara och utveckla /försöksver</t>
        </is>
      </c>
      <c r="D132" s="1" t="n">
        <v>46105</v>
      </c>
      <c r="E132" s="1" t="n">
        <v>46270</v>
      </c>
      <c r="F132" t="inlineStr">
        <is>
          <t>KALMAR LÄN</t>
        </is>
      </c>
      <c r="G132" t="inlineStr">
        <is>
          <t>BORGHOLM</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15264-2026</t>
        </is>
      </c>
      <c r="B133" t="inlineStr">
        <is>
          <t>avverkningsanmälan</t>
        </is>
      </c>
      <c r="C133" t="inlineStr">
        <is>
          <t>Avverkning för att bevara och utveckla /försöksver</t>
        </is>
      </c>
      <c r="D133" s="1" t="n">
        <v>46105</v>
      </c>
      <c r="E133" s="1" t="n">
        <v>46270</v>
      </c>
      <c r="F133" t="inlineStr">
        <is>
          <t>KALMAR LÄN</t>
        </is>
      </c>
      <c r="G133" t="inlineStr">
        <is>
          <t>BORGHOLM</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43603-2024</t>
        </is>
      </c>
      <c r="B134" t="inlineStr">
        <is>
          <t>avverkningsanmälan</t>
        </is>
      </c>
      <c r="C134" t="inlineStr">
        <is>
          <t>Föryngringsavverkning</t>
        </is>
      </c>
      <c r="D134" s="1" t="n">
        <v>45569</v>
      </c>
      <c r="E134" s="1" t="n">
        <v>46270</v>
      </c>
      <c r="F134" t="inlineStr">
        <is>
          <t>KALMAR LÄN</t>
        </is>
      </c>
      <c r="G134" t="inlineStr">
        <is>
          <t>BORGHOLM</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32919-2023</t>
        </is>
      </c>
      <c r="B135" t="inlineStr">
        <is>
          <t>avverkningsanmälan</t>
        </is>
      </c>
      <c r="C135" t="inlineStr">
        <is>
          <t>Föryngringsavverkning</t>
        </is>
      </c>
      <c r="D135" s="1" t="n">
        <v>45125</v>
      </c>
      <c r="E135" s="1" t="n">
        <v>46270</v>
      </c>
      <c r="F135" t="inlineStr">
        <is>
          <t>KALMAR LÄN</t>
        </is>
      </c>
      <c r="G135" t="inlineStr">
        <is>
          <t>BORGHOLM</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5175-2024</t>
        </is>
      </c>
      <c r="B136" t="inlineStr">
        <is>
          <t>avverkningsanmälan</t>
        </is>
      </c>
      <c r="C136" t="inlineStr">
        <is>
          <t>Föryngringsavverkning</t>
        </is>
      </c>
      <c r="D136" s="1" t="n">
        <v>45330</v>
      </c>
      <c r="E136" s="1" t="n">
        <v>46270</v>
      </c>
      <c r="F136" t="inlineStr">
        <is>
          <t>KALMAR LÄN</t>
        </is>
      </c>
      <c r="G136" t="inlineStr">
        <is>
          <t>BORGHOLM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34951-2022</t>
        </is>
      </c>
      <c r="B137" t="inlineStr">
        <is>
          <t>avverkningsanmälan</t>
        </is>
      </c>
      <c r="C137" t="inlineStr">
        <is>
          <t>Avverkning för att bevara och utveckla /försöksver</t>
        </is>
      </c>
      <c r="D137" s="1" t="n">
        <v>44796</v>
      </c>
      <c r="E137" s="1" t="n">
        <v>46270</v>
      </c>
      <c r="F137" t="inlineStr">
        <is>
          <t>KALMAR LÄN</t>
        </is>
      </c>
      <c r="G137" t="inlineStr">
        <is>
          <t>BORGHOLM</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46270</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46270</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46270</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53050-2021</t>
        </is>
      </c>
      <c r="B141" t="inlineStr">
        <is>
          <t>avverkningsanmälan</t>
        </is>
      </c>
      <c r="C141" t="inlineStr">
        <is>
          <t>Föryngringsavverkning</t>
        </is>
      </c>
      <c r="D141" s="1" t="n">
        <v>44467</v>
      </c>
      <c r="E141" s="1" t="n">
        <v>46270</v>
      </c>
      <c r="F141" t="inlineStr">
        <is>
          <t>KALMAR LÄN</t>
        </is>
      </c>
      <c r="G141" t="inlineStr">
        <is>
          <t>BORGHOLM</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4165-2023</t>
        </is>
      </c>
      <c r="B142" t="inlineStr">
        <is>
          <t>avverkningsanmälan</t>
        </is>
      </c>
      <c r="C142" t="inlineStr">
        <is>
          <t>Föryngringsavverkning</t>
        </is>
      </c>
      <c r="D142" s="1" t="n">
        <v>44953</v>
      </c>
      <c r="E142" s="1" t="n">
        <v>46270</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27357-2025</t>
        </is>
      </c>
      <c r="B143" t="inlineStr">
        <is>
          <t>avverkningsanmälan</t>
        </is>
      </c>
      <c r="C143" t="inlineStr">
        <is>
          <t>Avverkning för att bevara och utveckla /försöksver</t>
        </is>
      </c>
      <c r="D143" s="1" t="n">
        <v>45812</v>
      </c>
      <c r="E143" s="1" t="n">
        <v>46270</v>
      </c>
      <c r="F143" t="inlineStr">
        <is>
          <t>KALMAR LÄN</t>
        </is>
      </c>
      <c r="G143" t="inlineStr">
        <is>
          <t>BORGHOLM</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7669-2024</t>
        </is>
      </c>
      <c r="B144" t="inlineStr">
        <is>
          <t>avverkningsanmälan</t>
        </is>
      </c>
      <c r="C144" t="inlineStr">
        <is>
          <t>Föryngringsavverkning</t>
        </is>
      </c>
      <c r="D144" s="1" t="n">
        <v>45348</v>
      </c>
      <c r="E144" s="1" t="n">
        <v>46270</v>
      </c>
      <c r="F144" t="inlineStr">
        <is>
          <t>KALMAR LÄN</t>
        </is>
      </c>
      <c r="G144" t="inlineStr">
        <is>
          <t>BORGHOLM</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24323-2026</t>
        </is>
      </c>
      <c r="B145" t="inlineStr">
        <is>
          <t>avverkningsanmälan</t>
        </is>
      </c>
      <c r="C145" t="inlineStr">
        <is>
          <t>Föryngringsavverkning</t>
        </is>
      </c>
      <c r="D145" s="1" t="n">
        <v>46169</v>
      </c>
      <c r="E145" s="1" t="n">
        <v>46270</v>
      </c>
      <c r="F145" t="inlineStr">
        <is>
          <t>KALMAR LÄN</t>
        </is>
      </c>
      <c r="G145" t="inlineStr">
        <is>
          <t>BORGHOLM</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24345-2026</t>
        </is>
      </c>
      <c r="B146" t="inlineStr">
        <is>
          <t>avverkningsanmälan</t>
        </is>
      </c>
      <c r="C146" t="inlineStr">
        <is>
          <t>Avverkning för att bevara och utveckla /försöksver</t>
        </is>
      </c>
      <c r="D146" s="1" t="n">
        <v>46169</v>
      </c>
      <c r="E146" s="1" t="n">
        <v>46270</v>
      </c>
      <c r="F146" t="inlineStr">
        <is>
          <t>KALMAR LÄN</t>
        </is>
      </c>
      <c r="G146" t="inlineStr">
        <is>
          <t>BORGHOLM</t>
        </is>
      </c>
      <c r="H146" t="inlineStr">
        <is>
          <t>Sveaskog</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24338-2026</t>
        </is>
      </c>
      <c r="B147" t="inlineStr">
        <is>
          <t>avverkningsanmälan</t>
        </is>
      </c>
      <c r="C147" t="inlineStr">
        <is>
          <t>Avverkning för att bevara och utveckla /försöksver</t>
        </is>
      </c>
      <c r="D147" s="1" t="n">
        <v>46169</v>
      </c>
      <c r="E147" s="1" t="n">
        <v>46270</v>
      </c>
      <c r="F147" t="inlineStr">
        <is>
          <t>KALMAR LÄN</t>
        </is>
      </c>
      <c r="G147" t="inlineStr">
        <is>
          <t>BORGHOLM</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46270</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28381-2026</t>
        </is>
      </c>
      <c r="B149" t="inlineStr">
        <is>
          <t>avverkningsanmälan</t>
        </is>
      </c>
      <c r="C149" t="inlineStr">
        <is>
          <t>Avverkning för att bevara och utveckla /försöksver</t>
        </is>
      </c>
      <c r="D149" s="1" t="n">
        <v>46196</v>
      </c>
      <c r="E149" s="1" t="n">
        <v>46270</v>
      </c>
      <c r="F149" t="inlineStr">
        <is>
          <t>KALMAR LÄN</t>
        </is>
      </c>
      <c r="G149" t="inlineStr">
        <is>
          <t>BORGHOLM</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28380-2026</t>
        </is>
      </c>
      <c r="B150" t="inlineStr">
        <is>
          <t>avverkningsanmälan</t>
        </is>
      </c>
      <c r="C150" t="inlineStr">
        <is>
          <t>Avverkning för att bevara och utveckla /försöksver</t>
        </is>
      </c>
      <c r="D150" s="1" t="n">
        <v>46196</v>
      </c>
      <c r="E150" s="1" t="n">
        <v>46270</v>
      </c>
      <c r="F150" t="inlineStr">
        <is>
          <t>KALMAR LÄN</t>
        </is>
      </c>
      <c r="G150" t="inlineStr">
        <is>
          <t>BORGHOLM</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28411-2026</t>
        </is>
      </c>
      <c r="B151" t="inlineStr">
        <is>
          <t>avverkningsanmälan</t>
        </is>
      </c>
      <c r="C151" t="inlineStr">
        <is>
          <t>Avverkning för att bevara och utveckla /försöksver</t>
        </is>
      </c>
      <c r="D151" s="1" t="n">
        <v>46197</v>
      </c>
      <c r="E151" s="1" t="n">
        <v>46270</v>
      </c>
      <c r="F151" t="inlineStr">
        <is>
          <t>KALMAR LÄN</t>
        </is>
      </c>
      <c r="G151" t="inlineStr">
        <is>
          <t>BORGHOLM</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20287-2025</t>
        </is>
      </c>
      <c r="B152" t="inlineStr">
        <is>
          <t>avverkningsanmälan</t>
        </is>
      </c>
      <c r="C152" t="inlineStr">
        <is>
          <t>Avverkning för att bevara och utveckla /försöksver</t>
        </is>
      </c>
      <c r="D152" s="1" t="n">
        <v>45774</v>
      </c>
      <c r="E152" s="1" t="n">
        <v>46270</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26160-2024</t>
        </is>
      </c>
      <c r="B153" t="inlineStr">
        <is>
          <t>avverkningsanmälan</t>
        </is>
      </c>
      <c r="C153" t="inlineStr">
        <is>
          <t>Avverkning för annat ändamål</t>
        </is>
      </c>
      <c r="D153" s="1" t="n">
        <v>45468</v>
      </c>
      <c r="E153" s="1" t="n">
        <v>46270</v>
      </c>
      <c r="F153" t="inlineStr">
        <is>
          <t>KALMAR LÄN</t>
        </is>
      </c>
      <c r="G153" t="inlineStr">
        <is>
          <t>BORGHOLM</t>
        </is>
      </c>
      <c r="I153" t="n">
        <v>0.4</v>
      </c>
      <c r="J153" t="n">
        <v>0</v>
      </c>
      <c r="K153" t="n">
        <v>0</v>
      </c>
      <c r="L153" t="n">
        <v>0</v>
      </c>
      <c r="M153" t="n">
        <v>0</v>
      </c>
      <c r="N153" t="n">
        <v>0</v>
      </c>
      <c r="O153" t="n">
        <v>0</v>
      </c>
      <c r="P153" t="n">
        <v>0</v>
      </c>
      <c r="Q153" t="n">
        <v>0</v>
      </c>
      <c r="R153" t="n">
        <v>0</v>
      </c>
      <c r="S153" t="n">
        <v>0</v>
      </c>
      <c r="T153" t="n">
        <v>0</v>
      </c>
      <c r="U153" t="n">
        <v>0</v>
      </c>
      <c r="V153" s="2" t="inlineStr"/>
      <c r="X153">
        <f>HYPERLINK("https://klasma.github.io/Logging_0885/kartor/A 26160-2024 karta.png", "A 26160-2024")</f>
        <v/>
      </c>
      <c r="Y153">
        <f>HYPERLINK("https://klasma.github.io/Logging_0885/kartor_geotiff/A 26160-2024 georefererad karta.tif", "A 26160-2024")</f>
        <v/>
      </c>
      <c r="AA153">
        <f>HYPERLINK("https://klasma.github.io/Logging_0885/klagomål/A 26160-2024 FSC-klagomål.docx", "A 26160-2024")</f>
        <v/>
      </c>
      <c r="AB153">
        <f>HYPERLINK("https://klasma.github.io/Logging_0885/klagomålsmail/A 26160-2024 FSC-klagomål mail.docx", "A 26160-2024")</f>
        <v/>
      </c>
      <c r="AC153">
        <f>HYPERLINK("https://klasma.github.io/Logging_0885/tillsyn/A 26160-2024 tillsynsbegäran.docx", "A 26160-2024")</f>
        <v/>
      </c>
      <c r="AD153">
        <f>HYPERLINK("https://klasma.github.io/Logging_0885/tillsynsmail/A 26160-2024 tillsynsbegäran mail.docx", "A 26160-2024")</f>
        <v/>
      </c>
    </row>
    <row r="154" ht="15" customHeight="1">
      <c r="A154" t="inlineStr">
        <is>
          <t>A 29413-2026</t>
        </is>
      </c>
      <c r="B154" t="inlineStr">
        <is>
          <t>avverkningsanmälan</t>
        </is>
      </c>
      <c r="C154" t="inlineStr">
        <is>
          <t>Avverkning för att bevara och utveckla /försöksver</t>
        </is>
      </c>
      <c r="D154" s="1" t="n">
        <v>46203</v>
      </c>
      <c r="E154" s="1" t="n">
        <v>46270</v>
      </c>
      <c r="F154" t="inlineStr">
        <is>
          <t>KALMAR LÄN</t>
        </is>
      </c>
      <c r="G154" t="inlineStr">
        <is>
          <t>BORGHOLM</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29414-2026</t>
        </is>
      </c>
      <c r="B155" t="inlineStr">
        <is>
          <t>avverkningsanmälan</t>
        </is>
      </c>
      <c r="C155" t="inlineStr">
        <is>
          <t>Avverkning för att bevara och utveckla /försöksver</t>
        </is>
      </c>
      <c r="D155" s="1" t="n">
        <v>46203</v>
      </c>
      <c r="E155" s="1" t="n">
        <v>46270</v>
      </c>
      <c r="F155" t="inlineStr">
        <is>
          <t>KALMAR LÄN</t>
        </is>
      </c>
      <c r="G155" t="inlineStr">
        <is>
          <t>BORGHOLM</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29431-2026</t>
        </is>
      </c>
      <c r="B156" t="inlineStr">
        <is>
          <t>avverkningsanmälan</t>
        </is>
      </c>
      <c r="C156" t="inlineStr">
        <is>
          <t>Avverkning för att bevara och utveckla /försöksver</t>
        </is>
      </c>
      <c r="D156" s="1" t="n">
        <v>46203</v>
      </c>
      <c r="E156" s="1" t="n">
        <v>46270</v>
      </c>
      <c r="F156" t="inlineStr">
        <is>
          <t>KALMAR LÄN</t>
        </is>
      </c>
      <c r="G156" t="inlineStr">
        <is>
          <t>BORGHOLM</t>
        </is>
      </c>
      <c r="H156" t="inlineStr">
        <is>
          <t>Sveaskog</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29410-2026</t>
        </is>
      </c>
      <c r="B157" t="inlineStr">
        <is>
          <t>avverkningsanmälan</t>
        </is>
      </c>
      <c r="C157" t="inlineStr">
        <is>
          <t>Avverkning för att bevara och utveckla /försöksver</t>
        </is>
      </c>
      <c r="D157" s="1" t="n">
        <v>46203</v>
      </c>
      <c r="E157" s="1" t="n">
        <v>46270</v>
      </c>
      <c r="F157" t="inlineStr">
        <is>
          <t>KALMAR LÄN</t>
        </is>
      </c>
      <c r="G157" t="inlineStr">
        <is>
          <t>BORGHOLM</t>
        </is>
      </c>
      <c r="H157" t="inlineStr">
        <is>
          <t>Sveaskog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63075-2023</t>
        </is>
      </c>
      <c r="B158" t="inlineStr">
        <is>
          <t>avverkningsanmälan</t>
        </is>
      </c>
      <c r="C158" t="inlineStr">
        <is>
          <t>Avverkning för annat ändamål</t>
        </is>
      </c>
      <c r="D158" s="1" t="n">
        <v>45273</v>
      </c>
      <c r="E158" s="1" t="n">
        <v>46270</v>
      </c>
      <c r="F158" t="inlineStr">
        <is>
          <t>KALMAR LÄN</t>
        </is>
      </c>
      <c r="G158" t="inlineStr">
        <is>
          <t>BORGHOLM</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22785-2025</t>
        </is>
      </c>
      <c r="B159" t="inlineStr">
        <is>
          <t>avverkningsanmälan</t>
        </is>
      </c>
      <c r="C159" t="inlineStr">
        <is>
          <t>Föryngringsavverkning</t>
        </is>
      </c>
      <c r="D159" s="1" t="n">
        <v>45789</v>
      </c>
      <c r="E159" s="1" t="n">
        <v>46270</v>
      </c>
      <c r="F159" t="inlineStr">
        <is>
          <t>KALMAR LÄN</t>
        </is>
      </c>
      <c r="G159" t="inlineStr">
        <is>
          <t>BORGHOLM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46270</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46270</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46270</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46270</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46270</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46270</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46270</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46270</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1557-2026</t>
        </is>
      </c>
      <c r="B168" t="inlineStr">
        <is>
          <t>samrådsanmälan</t>
        </is>
      </c>
      <c r="C168" t="inlineStr">
        <is>
          <t>Annan skogsbruksåtgärd</t>
        </is>
      </c>
      <c r="D168" s="1" t="n">
        <v>46169</v>
      </c>
      <c r="E168" s="1" t="n">
        <v>46270</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1806-2026</t>
        </is>
      </c>
      <c r="B169" t="inlineStr">
        <is>
          <t>samrådsanmälan</t>
        </is>
      </c>
      <c r="C169" t="inlineStr">
        <is>
          <t>Annan skogsbruksåtgärd</t>
        </is>
      </c>
      <c r="D169" s="1" t="n">
        <v>46196</v>
      </c>
      <c r="E169" s="1" t="n">
        <v>46270</v>
      </c>
      <c r="F169" t="inlineStr">
        <is>
          <t>KALMAR LÄN</t>
        </is>
      </c>
      <c r="G169" t="inlineStr">
        <is>
          <t>BORGHOLM</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46270</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1812-2026</t>
        </is>
      </c>
      <c r="B171" t="inlineStr">
        <is>
          <t>samrådsanmälan</t>
        </is>
      </c>
      <c r="C171" t="inlineStr">
        <is>
          <t>Annan skogsbruksåtgärd</t>
        </is>
      </c>
      <c r="D171" s="1" t="n">
        <v>46197</v>
      </c>
      <c r="E171" s="1" t="n">
        <v>46270</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46270</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46270</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46270</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46270</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2026-09-05T02:04:08Z</dcterms:created>
  <dcterms:modified xmlns:dcterms="http://purl.org/dc/terms/" xmlns:xsi="http://www.w3.org/2001/XMLSchema-instance" xsi:type="dcterms:W3CDTF">2026-09-05T02:04:08Z</dcterms:modified>
</cp:coreProperties>
</file>