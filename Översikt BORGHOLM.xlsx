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46101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46101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46101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46101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46101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46101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46101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46101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46101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46101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46101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46101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46101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46101</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46101</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46101</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46101</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46101</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32174-2022</t>
        </is>
      </c>
      <c r="B20" s="1" t="n">
        <v>44781</v>
      </c>
      <c r="C20" s="1" t="n">
        <v>46101</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46101</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60140-2025</t>
        </is>
      </c>
      <c r="B22" s="1" t="n">
        <v>45994.36274305556</v>
      </c>
      <c r="C22" s="1" t="n">
        <v>46101</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9253-2026</t>
        </is>
      </c>
      <c r="B23" s="1" t="n">
        <v>46070.51003472223</v>
      </c>
      <c r="C23" s="1" t="n">
        <v>46101</v>
      </c>
      <c r="D23" t="inlineStr">
        <is>
          <t>KALMAR LÄN</t>
        </is>
      </c>
      <c r="E23" t="inlineStr">
        <is>
          <t>BORGHOLM</t>
        </is>
      </c>
      <c r="G23" t="n">
        <v>1.1</v>
      </c>
      <c r="H23" t="n">
        <v>1</v>
      </c>
      <c r="I23" t="n">
        <v>1</v>
      </c>
      <c r="J23" t="n">
        <v>0</v>
      </c>
      <c r="K23" t="n">
        <v>0</v>
      </c>
      <c r="L23" t="n">
        <v>0</v>
      </c>
      <c r="M23" t="n">
        <v>0</v>
      </c>
      <c r="N23" t="n">
        <v>0</v>
      </c>
      <c r="O23" t="n">
        <v>0</v>
      </c>
      <c r="P23" t="n">
        <v>0</v>
      </c>
      <c r="Q23" t="n">
        <v>2</v>
      </c>
      <c r="R23" s="2" t="inlineStr">
        <is>
          <t>Murgröna
Gullviva</t>
        </is>
      </c>
      <c r="S23">
        <f>HYPERLINK("https://klasma.github.io/Logging_0885/artfynd/A 9253-2026 artfynd.xlsx", "A 9253-2026")</f>
        <v/>
      </c>
      <c r="T23">
        <f>HYPERLINK("https://klasma.github.io/Logging_0885/kartor/A 9253-2026 karta.png", "A 9253-2026")</f>
        <v/>
      </c>
      <c r="V23">
        <f>HYPERLINK("https://klasma.github.io/Logging_0885/klagomål/A 9253-2026 FSC-klagomål.docx", "A 9253-2026")</f>
        <v/>
      </c>
      <c r="W23">
        <f>HYPERLINK("https://klasma.github.io/Logging_0885/klagomålsmail/A 9253-2026 FSC-klagomål mail.docx", "A 9253-2026")</f>
        <v/>
      </c>
      <c r="X23">
        <f>HYPERLINK("https://klasma.github.io/Logging_0885/tillsyn/A 9253-2026 tillsynsbegäran.docx", "A 9253-2026")</f>
        <v/>
      </c>
      <c r="Y23">
        <f>HYPERLINK("https://klasma.github.io/Logging_0885/tillsynsmail/A 9253-2026 tillsynsbegäran mail.docx", "A 9253-2026")</f>
        <v/>
      </c>
    </row>
    <row r="24" ht="15" customHeight="1">
      <c r="A24" t="inlineStr">
        <is>
          <t>A 34944-2022</t>
        </is>
      </c>
      <c r="B24" s="1" t="n">
        <v>44796</v>
      </c>
      <c r="C24" s="1" t="n">
        <v>46101</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46101</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46101</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46101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28779-2025</t>
        </is>
      </c>
      <c r="B28" s="1" t="n">
        <v>45820.44920138889</v>
      </c>
      <c r="C28" s="1" t="n">
        <v>46101</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31790-2021</t>
        </is>
      </c>
      <c r="B29" s="1" t="n">
        <v>44370</v>
      </c>
      <c r="C29" s="1" t="n">
        <v>46101</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46101</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46101</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9745-2023</t>
        </is>
      </c>
      <c r="B32" s="1" t="n">
        <v>44984</v>
      </c>
      <c r="C32" s="1" t="n">
        <v>46101</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13558-2025</t>
        </is>
      </c>
      <c r="B33" s="1" t="n">
        <v>45736.54974537037</v>
      </c>
      <c r="C33" s="1" t="n">
        <v>46101</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24701-2023</t>
        </is>
      </c>
      <c r="B34" s="1" t="n">
        <v>45084</v>
      </c>
      <c r="C34" s="1" t="n">
        <v>46101</v>
      </c>
      <c r="D34" t="inlineStr">
        <is>
          <t>KALMAR LÄN</t>
        </is>
      </c>
      <c r="E34" t="inlineStr">
        <is>
          <t>BORGHOLM</t>
        </is>
      </c>
      <c r="G34" t="n">
        <v>3</v>
      </c>
      <c r="H34" t="n">
        <v>0</v>
      </c>
      <c r="I34" t="n">
        <v>0</v>
      </c>
      <c r="J34" t="n">
        <v>0</v>
      </c>
      <c r="K34" t="n">
        <v>0</v>
      </c>
      <c r="L34" t="n">
        <v>1</v>
      </c>
      <c r="M34" t="n">
        <v>0</v>
      </c>
      <c r="N34" t="n">
        <v>0</v>
      </c>
      <c r="O34" t="n">
        <v>1</v>
      </c>
      <c r="P34" t="n">
        <v>1</v>
      </c>
      <c r="Q34" t="n">
        <v>1</v>
      </c>
      <c r="R34" s="2" t="inlineStr">
        <is>
          <t>Ask</t>
        </is>
      </c>
      <c r="S34">
        <f>HYPERLINK("https://klasma.github.io/Logging_0885/artfynd/A 24701-2023 artfynd.xlsx", "A 24701-2023")</f>
        <v/>
      </c>
      <c r="T34">
        <f>HYPERLINK("https://klasma.github.io/Logging_0885/kartor/A 24701-2023 karta.png", "A 24701-2023")</f>
        <v/>
      </c>
      <c r="V34">
        <f>HYPERLINK("https://klasma.github.io/Logging_0885/klagomål/A 24701-2023 FSC-klagomål.docx", "A 24701-2023")</f>
        <v/>
      </c>
      <c r="W34">
        <f>HYPERLINK("https://klasma.github.io/Logging_0885/klagomålsmail/A 24701-2023 FSC-klagomål mail.docx", "A 24701-2023")</f>
        <v/>
      </c>
      <c r="X34">
        <f>HYPERLINK("https://klasma.github.io/Logging_0885/tillsyn/A 24701-2023 tillsynsbegäran.docx", "A 24701-2023")</f>
        <v/>
      </c>
      <c r="Y34">
        <f>HYPERLINK("https://klasma.github.io/Logging_0885/tillsynsmail/A 24701-2023 tillsynsbegäran mail.docx", "A 24701-2023")</f>
        <v/>
      </c>
    </row>
    <row r="35" ht="15" customHeight="1">
      <c r="A35" t="inlineStr">
        <is>
          <t>A 45693-2025</t>
        </is>
      </c>
      <c r="B35" s="1" t="n">
        <v>45923</v>
      </c>
      <c r="C35" s="1" t="n">
        <v>46101</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43603-2024</t>
        </is>
      </c>
      <c r="B36" s="1" t="n">
        <v>45569.44700231482</v>
      </c>
      <c r="C36" s="1" t="n">
        <v>46101</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24704-2023</t>
        </is>
      </c>
      <c r="B37" s="1" t="n">
        <v>45084</v>
      </c>
      <c r="C37" s="1" t="n">
        <v>46101</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3302-2026</t>
        </is>
      </c>
      <c r="B38" s="1" t="n">
        <v>46041</v>
      </c>
      <c r="C38" s="1" t="n">
        <v>46101</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24048-2025</t>
        </is>
      </c>
      <c r="B39" s="1" t="n">
        <v>45796.4959375</v>
      </c>
      <c r="C39" s="1" t="n">
        <v>46101</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46101</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46101</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46101</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46101</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42761-2021</t>
        </is>
      </c>
      <c r="B44" s="1" t="n">
        <v>44428</v>
      </c>
      <c r="C44" s="1" t="n">
        <v>46101</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46101</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46101</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46101</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46101</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46101</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46101</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46101</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46101</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46101</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46101</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46101</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46101</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46101</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46101</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46101</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20878-2024</t>
        </is>
      </c>
      <c r="B60" s="1" t="n">
        <v>45439.44748842593</v>
      </c>
      <c r="C60" s="1" t="n">
        <v>46101</v>
      </c>
      <c r="D60" t="inlineStr">
        <is>
          <t>KALMAR LÄN</t>
        </is>
      </c>
      <c r="E60" t="inlineStr">
        <is>
          <t>BORGHOLM</t>
        </is>
      </c>
      <c r="G60" t="n">
        <v>1.9</v>
      </c>
      <c r="H60" t="n">
        <v>0</v>
      </c>
      <c r="I60" t="n">
        <v>0</v>
      </c>
      <c r="J60" t="n">
        <v>0</v>
      </c>
      <c r="K60" t="n">
        <v>0</v>
      </c>
      <c r="L60" t="n">
        <v>0</v>
      </c>
      <c r="M60" t="n">
        <v>0</v>
      </c>
      <c r="N60" t="n">
        <v>0</v>
      </c>
      <c r="O60" t="n">
        <v>0</v>
      </c>
      <c r="P60" t="n">
        <v>0</v>
      </c>
      <c r="Q60" t="n">
        <v>0</v>
      </c>
      <c r="R60" s="2" t="inlineStr"/>
    </row>
    <row r="61" ht="15" customHeight="1">
      <c r="A61" t="inlineStr">
        <is>
          <t>A 4159-2024</t>
        </is>
      </c>
      <c r="B61" s="1" t="n">
        <v>45323</v>
      </c>
      <c r="C61" s="1" t="n">
        <v>46101</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53050-2021</t>
        </is>
      </c>
      <c r="B62" s="1" t="n">
        <v>44467</v>
      </c>
      <c r="C62" s="1" t="n">
        <v>46101</v>
      </c>
      <c r="D62" t="inlineStr">
        <is>
          <t>KALMAR LÄN</t>
        </is>
      </c>
      <c r="E62" t="inlineStr">
        <is>
          <t>BORGHOLM</t>
        </is>
      </c>
      <c r="G62" t="n">
        <v>3.6</v>
      </c>
      <c r="H62" t="n">
        <v>0</v>
      </c>
      <c r="I62" t="n">
        <v>0</v>
      </c>
      <c r="J62" t="n">
        <v>0</v>
      </c>
      <c r="K62" t="n">
        <v>0</v>
      </c>
      <c r="L62" t="n">
        <v>0</v>
      </c>
      <c r="M62" t="n">
        <v>0</v>
      </c>
      <c r="N62" t="n">
        <v>0</v>
      </c>
      <c r="O62" t="n">
        <v>0</v>
      </c>
      <c r="P62" t="n">
        <v>0</v>
      </c>
      <c r="Q62" t="n">
        <v>0</v>
      </c>
      <c r="R62" s="2" t="inlineStr"/>
    </row>
    <row r="63" ht="15" customHeight="1">
      <c r="A63" t="inlineStr">
        <is>
          <t>A 36269-2025</t>
        </is>
      </c>
      <c r="B63" s="1" t="n">
        <v>45867.61736111111</v>
      </c>
      <c r="C63" s="1" t="n">
        <v>46101</v>
      </c>
      <c r="D63" t="inlineStr">
        <is>
          <t>KALMAR LÄN</t>
        </is>
      </c>
      <c r="E63" t="inlineStr">
        <is>
          <t>BORGHOLM</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31720-2022</t>
        </is>
      </c>
      <c r="B64" s="1" t="n">
        <v>44776</v>
      </c>
      <c r="C64" s="1" t="n">
        <v>46101</v>
      </c>
      <c r="D64" t="inlineStr">
        <is>
          <t>KALMAR LÄN</t>
        </is>
      </c>
      <c r="E64" t="inlineStr">
        <is>
          <t>BORGHOLM</t>
        </is>
      </c>
      <c r="F64" t="inlineStr">
        <is>
          <t>Sveaskog</t>
        </is>
      </c>
      <c r="G64" t="n">
        <v>4.5</v>
      </c>
      <c r="H64" t="n">
        <v>0</v>
      </c>
      <c r="I64" t="n">
        <v>0</v>
      </c>
      <c r="J64" t="n">
        <v>0</v>
      </c>
      <c r="K64" t="n">
        <v>0</v>
      </c>
      <c r="L64" t="n">
        <v>0</v>
      </c>
      <c r="M64" t="n">
        <v>0</v>
      </c>
      <c r="N64" t="n">
        <v>0</v>
      </c>
      <c r="O64" t="n">
        <v>0</v>
      </c>
      <c r="P64" t="n">
        <v>0</v>
      </c>
      <c r="Q64" t="n">
        <v>0</v>
      </c>
      <c r="R64" s="2" t="inlineStr"/>
    </row>
    <row r="65" ht="15" customHeight="1">
      <c r="A65" t="inlineStr">
        <is>
          <t>A 29656-2023</t>
        </is>
      </c>
      <c r="B65" s="1" t="n">
        <v>45107</v>
      </c>
      <c r="C65" s="1" t="n">
        <v>46101</v>
      </c>
      <c r="D65" t="inlineStr">
        <is>
          <t>KALMAR LÄN</t>
        </is>
      </c>
      <c r="E65" t="inlineStr">
        <is>
          <t>BORGHOLM</t>
        </is>
      </c>
      <c r="G65" t="n">
        <v>4.1</v>
      </c>
      <c r="H65" t="n">
        <v>0</v>
      </c>
      <c r="I65" t="n">
        <v>0</v>
      </c>
      <c r="J65" t="n">
        <v>0</v>
      </c>
      <c r="K65" t="n">
        <v>0</v>
      </c>
      <c r="L65" t="n">
        <v>0</v>
      </c>
      <c r="M65" t="n">
        <v>0</v>
      </c>
      <c r="N65" t="n">
        <v>0</v>
      </c>
      <c r="O65" t="n">
        <v>0</v>
      </c>
      <c r="P65" t="n">
        <v>0</v>
      </c>
      <c r="Q65" t="n">
        <v>0</v>
      </c>
      <c r="R65" s="2" t="inlineStr"/>
    </row>
    <row r="66" ht="15" customHeight="1">
      <c r="A66" t="inlineStr">
        <is>
          <t>A 4165-2023</t>
        </is>
      </c>
      <c r="B66" s="1" t="n">
        <v>44953</v>
      </c>
      <c r="C66" s="1" t="n">
        <v>46101</v>
      </c>
      <c r="D66" t="inlineStr">
        <is>
          <t>KALMAR LÄN</t>
        </is>
      </c>
      <c r="E66" t="inlineStr">
        <is>
          <t>BORGHOLM</t>
        </is>
      </c>
      <c r="G66" t="n">
        <v>0.6</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46101</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46101</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46101</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43542-2025</t>
        </is>
      </c>
      <c r="B70" s="1" t="n">
        <v>45911.61123842592</v>
      </c>
      <c r="C70" s="1" t="n">
        <v>46101</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13548-2025</t>
        </is>
      </c>
      <c r="B71" s="1" t="n">
        <v>45736.53827546296</v>
      </c>
      <c r="C71" s="1" t="n">
        <v>46101</v>
      </c>
      <c r="D71" t="inlineStr">
        <is>
          <t>KALMAR LÄN</t>
        </is>
      </c>
      <c r="E71" t="inlineStr">
        <is>
          <t>BORGHOLM</t>
        </is>
      </c>
      <c r="G71" t="n">
        <v>1</v>
      </c>
      <c r="H71" t="n">
        <v>0</v>
      </c>
      <c r="I71" t="n">
        <v>0</v>
      </c>
      <c r="J71" t="n">
        <v>0</v>
      </c>
      <c r="K71" t="n">
        <v>0</v>
      </c>
      <c r="L71" t="n">
        <v>0</v>
      </c>
      <c r="M71" t="n">
        <v>0</v>
      </c>
      <c r="N71" t="n">
        <v>0</v>
      </c>
      <c r="O71" t="n">
        <v>0</v>
      </c>
      <c r="P71" t="n">
        <v>0</v>
      </c>
      <c r="Q71" t="n">
        <v>0</v>
      </c>
      <c r="R71" s="2" t="inlineStr"/>
    </row>
    <row r="72" ht="15" customHeight="1">
      <c r="A72" t="inlineStr">
        <is>
          <t>A 32921-2023</t>
        </is>
      </c>
      <c r="B72" s="1" t="n">
        <v>45125</v>
      </c>
      <c r="C72" s="1" t="n">
        <v>46101</v>
      </c>
      <c r="D72" t="inlineStr">
        <is>
          <t>KALMAR LÄN</t>
        </is>
      </c>
      <c r="E72" t="inlineStr">
        <is>
          <t>BORGHOLM</t>
        </is>
      </c>
      <c r="G72" t="n">
        <v>2.9</v>
      </c>
      <c r="H72" t="n">
        <v>0</v>
      </c>
      <c r="I72" t="n">
        <v>0</v>
      </c>
      <c r="J72" t="n">
        <v>0</v>
      </c>
      <c r="K72" t="n">
        <v>0</v>
      </c>
      <c r="L72" t="n">
        <v>0</v>
      </c>
      <c r="M72" t="n">
        <v>0</v>
      </c>
      <c r="N72" t="n">
        <v>0</v>
      </c>
      <c r="O72" t="n">
        <v>0</v>
      </c>
      <c r="P72" t="n">
        <v>0</v>
      </c>
      <c r="Q72" t="n">
        <v>0</v>
      </c>
      <c r="R72" s="2" t="inlineStr"/>
    </row>
    <row r="73" ht="15" customHeight="1">
      <c r="A73" t="inlineStr">
        <is>
          <t>A 45734-2025</t>
        </is>
      </c>
      <c r="B73" s="1" t="n">
        <v>45923.46512731481</v>
      </c>
      <c r="C73" s="1" t="n">
        <v>46101</v>
      </c>
      <c r="D73" t="inlineStr">
        <is>
          <t>KALMAR LÄN</t>
        </is>
      </c>
      <c r="E73" t="inlineStr">
        <is>
          <t>BORGHOLM</t>
        </is>
      </c>
      <c r="G73" t="n">
        <v>5</v>
      </c>
      <c r="H73" t="n">
        <v>0</v>
      </c>
      <c r="I73" t="n">
        <v>0</v>
      </c>
      <c r="J73" t="n">
        <v>0</v>
      </c>
      <c r="K73" t="n">
        <v>0</v>
      </c>
      <c r="L73" t="n">
        <v>0</v>
      </c>
      <c r="M73" t="n">
        <v>0</v>
      </c>
      <c r="N73" t="n">
        <v>0</v>
      </c>
      <c r="O73" t="n">
        <v>0</v>
      </c>
      <c r="P73" t="n">
        <v>0</v>
      </c>
      <c r="Q73" t="n">
        <v>0</v>
      </c>
      <c r="R73" s="2" t="inlineStr"/>
    </row>
    <row r="74" ht="15" customHeight="1">
      <c r="A74" t="inlineStr">
        <is>
          <t>A 31840-2021</t>
        </is>
      </c>
      <c r="B74" s="1" t="n">
        <v>44370</v>
      </c>
      <c r="C74" s="1" t="n">
        <v>46101</v>
      </c>
      <c r="D74" t="inlineStr">
        <is>
          <t>KALMAR LÄN</t>
        </is>
      </c>
      <c r="E74" t="inlineStr">
        <is>
          <t>BORGHOLM</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46101</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46845-2025</t>
        </is>
      </c>
      <c r="B76" s="1" t="n">
        <v>45928</v>
      </c>
      <c r="C76" s="1" t="n">
        <v>46101</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44678-2022</t>
        </is>
      </c>
      <c r="B77" s="1" t="n">
        <v>44840.65100694444</v>
      </c>
      <c r="C77" s="1" t="n">
        <v>46101</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64303-2023</t>
        </is>
      </c>
      <c r="B78" s="1" t="n">
        <v>45280</v>
      </c>
      <c r="C78" s="1" t="n">
        <v>46101</v>
      </c>
      <c r="D78" t="inlineStr">
        <is>
          <t>KALMAR LÄN</t>
        </is>
      </c>
      <c r="E78" t="inlineStr">
        <is>
          <t>BORGHOLM</t>
        </is>
      </c>
      <c r="G78" t="n">
        <v>1.2</v>
      </c>
      <c r="H78" t="n">
        <v>0</v>
      </c>
      <c r="I78" t="n">
        <v>0</v>
      </c>
      <c r="J78" t="n">
        <v>0</v>
      </c>
      <c r="K78" t="n">
        <v>0</v>
      </c>
      <c r="L78" t="n">
        <v>0</v>
      </c>
      <c r="M78" t="n">
        <v>0</v>
      </c>
      <c r="N78" t="n">
        <v>0</v>
      </c>
      <c r="O78" t="n">
        <v>0</v>
      </c>
      <c r="P78" t="n">
        <v>0</v>
      </c>
      <c r="Q78" t="n">
        <v>0</v>
      </c>
      <c r="R78" s="2" t="inlineStr"/>
    </row>
    <row r="79" ht="15" customHeight="1">
      <c r="A79" t="inlineStr">
        <is>
          <t>A 44547-2021</t>
        </is>
      </c>
      <c r="B79" s="1" t="n">
        <v>44435</v>
      </c>
      <c r="C79" s="1" t="n">
        <v>46101</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63075-2023</t>
        </is>
      </c>
      <c r="B80" s="1" t="n">
        <v>45273</v>
      </c>
      <c r="C80" s="1" t="n">
        <v>46101</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50129-2021</t>
        </is>
      </c>
      <c r="B81" s="1" t="n">
        <v>44456</v>
      </c>
      <c r="C81" s="1" t="n">
        <v>46101</v>
      </c>
      <c r="D81" t="inlineStr">
        <is>
          <t>KALMAR LÄN</t>
        </is>
      </c>
      <c r="E81" t="inlineStr">
        <is>
          <t>BORGHOLM</t>
        </is>
      </c>
      <c r="G81" t="n">
        <v>1.6</v>
      </c>
      <c r="H81" t="n">
        <v>0</v>
      </c>
      <c r="I81" t="n">
        <v>0</v>
      </c>
      <c r="J81" t="n">
        <v>0</v>
      </c>
      <c r="K81" t="n">
        <v>0</v>
      </c>
      <c r="L81" t="n">
        <v>0</v>
      </c>
      <c r="M81" t="n">
        <v>0</v>
      </c>
      <c r="N81" t="n">
        <v>0</v>
      </c>
      <c r="O81" t="n">
        <v>0</v>
      </c>
      <c r="P81" t="n">
        <v>0</v>
      </c>
      <c r="Q81" t="n">
        <v>0</v>
      </c>
      <c r="R81" s="2" t="inlineStr"/>
    </row>
    <row r="82" ht="15" customHeight="1">
      <c r="A82" t="inlineStr">
        <is>
          <t>A 1757-2025</t>
        </is>
      </c>
      <c r="B82" s="1" t="n">
        <v>45671.42195601852</v>
      </c>
      <c r="C82" s="1" t="n">
        <v>46101</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17699-2025</t>
        </is>
      </c>
      <c r="B83" s="1" t="n">
        <v>45758.41846064815</v>
      </c>
      <c r="C83" s="1" t="n">
        <v>46101</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7669-2024</t>
        </is>
      </c>
      <c r="B84" s="1" t="n">
        <v>45348.82498842593</v>
      </c>
      <c r="C84" s="1" t="n">
        <v>46101</v>
      </c>
      <c r="D84" t="inlineStr">
        <is>
          <t>KALMAR LÄN</t>
        </is>
      </c>
      <c r="E84" t="inlineStr">
        <is>
          <t>BORGHOLM</t>
        </is>
      </c>
      <c r="G84" t="n">
        <v>2.3</v>
      </c>
      <c r="H84" t="n">
        <v>0</v>
      </c>
      <c r="I84" t="n">
        <v>0</v>
      </c>
      <c r="J84" t="n">
        <v>0</v>
      </c>
      <c r="K84" t="n">
        <v>0</v>
      </c>
      <c r="L84" t="n">
        <v>0</v>
      </c>
      <c r="M84" t="n">
        <v>0</v>
      </c>
      <c r="N84" t="n">
        <v>0</v>
      </c>
      <c r="O84" t="n">
        <v>0</v>
      </c>
      <c r="P84" t="n">
        <v>0</v>
      </c>
      <c r="Q84" t="n">
        <v>0</v>
      </c>
      <c r="R84" s="2" t="inlineStr"/>
    </row>
    <row r="85" ht="15" customHeight="1">
      <c r="A85" t="inlineStr">
        <is>
          <t>A 34780-2022</t>
        </is>
      </c>
      <c r="B85" s="1" t="n">
        <v>44795</v>
      </c>
      <c r="C85" s="1" t="n">
        <v>46101</v>
      </c>
      <c r="D85" t="inlineStr">
        <is>
          <t>KALMAR LÄN</t>
        </is>
      </c>
      <c r="E85" t="inlineStr">
        <is>
          <t>BORGHOLM</t>
        </is>
      </c>
      <c r="F85" t="inlineStr">
        <is>
          <t>Sveaskog</t>
        </is>
      </c>
      <c r="G85" t="n">
        <v>6.7</v>
      </c>
      <c r="H85" t="n">
        <v>0</v>
      </c>
      <c r="I85" t="n">
        <v>0</v>
      </c>
      <c r="J85" t="n">
        <v>0</v>
      </c>
      <c r="K85" t="n">
        <v>0</v>
      </c>
      <c r="L85" t="n">
        <v>0</v>
      </c>
      <c r="M85" t="n">
        <v>0</v>
      </c>
      <c r="N85" t="n">
        <v>0</v>
      </c>
      <c r="O85" t="n">
        <v>0</v>
      </c>
      <c r="P85" t="n">
        <v>0</v>
      </c>
      <c r="Q85" t="n">
        <v>0</v>
      </c>
      <c r="R85" s="2" t="inlineStr"/>
    </row>
    <row r="86" ht="15" customHeight="1">
      <c r="A86" t="inlineStr">
        <is>
          <t>A 55367-2024</t>
        </is>
      </c>
      <c r="B86" s="1" t="n">
        <v>45621.87075231481</v>
      </c>
      <c r="C86" s="1" t="n">
        <v>46101</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20287-2025</t>
        </is>
      </c>
      <c r="B87" s="1" t="n">
        <v>45774.60741898148</v>
      </c>
      <c r="C87" s="1" t="n">
        <v>46101</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60141-2025</t>
        </is>
      </c>
      <c r="B88" s="1" t="n">
        <v>45994.36873842592</v>
      </c>
      <c r="C88" s="1" t="n">
        <v>46101</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9076-2025</t>
        </is>
      </c>
      <c r="B89" s="1" t="n">
        <v>45713.6596875</v>
      </c>
      <c r="C89" s="1" t="n">
        <v>46101</v>
      </c>
      <c r="D89" t="inlineStr">
        <is>
          <t>KALMAR LÄN</t>
        </is>
      </c>
      <c r="E89" t="inlineStr">
        <is>
          <t>BORGHOLM</t>
        </is>
      </c>
      <c r="F89" t="inlineStr">
        <is>
          <t>Sveaskog</t>
        </is>
      </c>
      <c r="G89" t="n">
        <v>4.2</v>
      </c>
      <c r="H89" t="n">
        <v>0</v>
      </c>
      <c r="I89" t="n">
        <v>0</v>
      </c>
      <c r="J89" t="n">
        <v>0</v>
      </c>
      <c r="K89" t="n">
        <v>0</v>
      </c>
      <c r="L89" t="n">
        <v>0</v>
      </c>
      <c r="M89" t="n">
        <v>0</v>
      </c>
      <c r="N89" t="n">
        <v>0</v>
      </c>
      <c r="O89" t="n">
        <v>0</v>
      </c>
      <c r="P89" t="n">
        <v>0</v>
      </c>
      <c r="Q89" t="n">
        <v>0</v>
      </c>
      <c r="R89" s="2" t="inlineStr"/>
    </row>
    <row r="90" ht="15" customHeight="1">
      <c r="A90" t="inlineStr">
        <is>
          <t>A 61723-2025</t>
        </is>
      </c>
      <c r="B90" s="1" t="n">
        <v>46002.58388888889</v>
      </c>
      <c r="C90" s="1" t="n">
        <v>46101</v>
      </c>
      <c r="D90" t="inlineStr">
        <is>
          <t>KALMAR LÄN</t>
        </is>
      </c>
      <c r="E90" t="inlineStr">
        <is>
          <t>BORGHOLM</t>
        </is>
      </c>
      <c r="G90" t="n">
        <v>1.1</v>
      </c>
      <c r="H90" t="n">
        <v>0</v>
      </c>
      <c r="I90" t="n">
        <v>0</v>
      </c>
      <c r="J90" t="n">
        <v>0</v>
      </c>
      <c r="K90" t="n">
        <v>0</v>
      </c>
      <c r="L90" t="n">
        <v>0</v>
      </c>
      <c r="M90" t="n">
        <v>0</v>
      </c>
      <c r="N90" t="n">
        <v>0</v>
      </c>
      <c r="O90" t="n">
        <v>0</v>
      </c>
      <c r="P90" t="n">
        <v>0</v>
      </c>
      <c r="Q90" t="n">
        <v>0</v>
      </c>
      <c r="R90" s="2" t="inlineStr"/>
    </row>
    <row r="91" ht="15" customHeight="1">
      <c r="A91" t="inlineStr">
        <is>
          <t>A 32919-2023</t>
        </is>
      </c>
      <c r="B91" s="1" t="n">
        <v>45125</v>
      </c>
      <c r="C91" s="1" t="n">
        <v>46101</v>
      </c>
      <c r="D91" t="inlineStr">
        <is>
          <t>KALMAR LÄN</t>
        </is>
      </c>
      <c r="E91" t="inlineStr">
        <is>
          <t>BORGHOLM</t>
        </is>
      </c>
      <c r="G91" t="n">
        <v>2.7</v>
      </c>
      <c r="H91" t="n">
        <v>0</v>
      </c>
      <c r="I91" t="n">
        <v>0</v>
      </c>
      <c r="J91" t="n">
        <v>0</v>
      </c>
      <c r="K91" t="n">
        <v>0</v>
      </c>
      <c r="L91" t="n">
        <v>0</v>
      </c>
      <c r="M91" t="n">
        <v>0</v>
      </c>
      <c r="N91" t="n">
        <v>0</v>
      </c>
      <c r="O91" t="n">
        <v>0</v>
      </c>
      <c r="P91" t="n">
        <v>0</v>
      </c>
      <c r="Q91" t="n">
        <v>0</v>
      </c>
      <c r="R91" s="2" t="inlineStr"/>
    </row>
    <row r="92" ht="15" customHeight="1">
      <c r="A92" t="inlineStr">
        <is>
          <t>A 7481-2026</t>
        </is>
      </c>
      <c r="B92" s="1" t="n">
        <v>46059.51359953704</v>
      </c>
      <c r="C92" s="1" t="n">
        <v>46101</v>
      </c>
      <c r="D92" t="inlineStr">
        <is>
          <t>KALMAR LÄN</t>
        </is>
      </c>
      <c r="E92" t="inlineStr">
        <is>
          <t>BORGHOLM</t>
        </is>
      </c>
      <c r="G92" t="n">
        <v>1.9</v>
      </c>
      <c r="H92" t="n">
        <v>0</v>
      </c>
      <c r="I92" t="n">
        <v>0</v>
      </c>
      <c r="J92" t="n">
        <v>0</v>
      </c>
      <c r="K92" t="n">
        <v>0</v>
      </c>
      <c r="L92" t="n">
        <v>0</v>
      </c>
      <c r="M92" t="n">
        <v>0</v>
      </c>
      <c r="N92" t="n">
        <v>0</v>
      </c>
      <c r="O92" t="n">
        <v>0</v>
      </c>
      <c r="P92" t="n">
        <v>0</v>
      </c>
      <c r="Q92" t="n">
        <v>0</v>
      </c>
      <c r="R92" s="2" t="inlineStr"/>
    </row>
    <row r="93" ht="15" customHeight="1">
      <c r="A93" t="inlineStr">
        <is>
          <t>A 9259-2026</t>
        </is>
      </c>
      <c r="B93" s="1" t="n">
        <v>46070.51917824074</v>
      </c>
      <c r="C93" s="1" t="n">
        <v>46101</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9104-2026</t>
        </is>
      </c>
      <c r="B94" s="1" t="n">
        <v>46069</v>
      </c>
      <c r="C94" s="1" t="n">
        <v>46101</v>
      </c>
      <c r="D94" t="inlineStr">
        <is>
          <t>KALMAR LÄN</t>
        </is>
      </c>
      <c r="E94" t="inlineStr">
        <is>
          <t>BORGHOLM</t>
        </is>
      </c>
      <c r="G94" t="n">
        <v>1.3</v>
      </c>
      <c r="H94" t="n">
        <v>0</v>
      </c>
      <c r="I94" t="n">
        <v>0</v>
      </c>
      <c r="J94" t="n">
        <v>0</v>
      </c>
      <c r="K94" t="n">
        <v>0</v>
      </c>
      <c r="L94" t="n">
        <v>0</v>
      </c>
      <c r="M94" t="n">
        <v>0</v>
      </c>
      <c r="N94" t="n">
        <v>0</v>
      </c>
      <c r="O94" t="n">
        <v>0</v>
      </c>
      <c r="P94" t="n">
        <v>0</v>
      </c>
      <c r="Q94" t="n">
        <v>0</v>
      </c>
      <c r="R94" s="2" t="inlineStr"/>
    </row>
    <row r="95" ht="15" customHeight="1">
      <c r="A95" t="inlineStr">
        <is>
          <t>A 21908-2022</t>
        </is>
      </c>
      <c r="B95" s="1" t="n">
        <v>44711</v>
      </c>
      <c r="C95" s="1" t="n">
        <v>46101</v>
      </c>
      <c r="D95" t="inlineStr">
        <is>
          <t>KALMAR LÄN</t>
        </is>
      </c>
      <c r="E95" t="inlineStr">
        <is>
          <t>BORGHOLM</t>
        </is>
      </c>
      <c r="G95" t="n">
        <v>4.7</v>
      </c>
      <c r="H95" t="n">
        <v>0</v>
      </c>
      <c r="I95" t="n">
        <v>0</v>
      </c>
      <c r="J95" t="n">
        <v>0</v>
      </c>
      <c r="K95" t="n">
        <v>0</v>
      </c>
      <c r="L95" t="n">
        <v>0</v>
      </c>
      <c r="M95" t="n">
        <v>0</v>
      </c>
      <c r="N95" t="n">
        <v>0</v>
      </c>
      <c r="O95" t="n">
        <v>0</v>
      </c>
      <c r="P95" t="n">
        <v>0</v>
      </c>
      <c r="Q95" t="n">
        <v>0</v>
      </c>
      <c r="R95" s="2" t="inlineStr"/>
    </row>
    <row r="96" ht="15" customHeight="1">
      <c r="A96" t="inlineStr">
        <is>
          <t>A 9905-2026</t>
        </is>
      </c>
      <c r="B96" s="1" t="n">
        <v>46073.4108912037</v>
      </c>
      <c r="C96" s="1" t="n">
        <v>46101</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34951-2022</t>
        </is>
      </c>
      <c r="B97" s="1" t="n">
        <v>44796</v>
      </c>
      <c r="C97" s="1" t="n">
        <v>46101</v>
      </c>
      <c r="D97" t="inlineStr">
        <is>
          <t>KALMAR LÄN</t>
        </is>
      </c>
      <c r="E97" t="inlineStr">
        <is>
          <t>BORGHOLM</t>
        </is>
      </c>
      <c r="F97" t="inlineStr">
        <is>
          <t>Sveaskog</t>
        </is>
      </c>
      <c r="G97" t="n">
        <v>4.6</v>
      </c>
      <c r="H97" t="n">
        <v>0</v>
      </c>
      <c r="I97" t="n">
        <v>0</v>
      </c>
      <c r="J97" t="n">
        <v>0</v>
      </c>
      <c r="K97" t="n">
        <v>0</v>
      </c>
      <c r="L97" t="n">
        <v>0</v>
      </c>
      <c r="M97" t="n">
        <v>0</v>
      </c>
      <c r="N97" t="n">
        <v>0</v>
      </c>
      <c r="O97" t="n">
        <v>0</v>
      </c>
      <c r="P97" t="n">
        <v>0</v>
      </c>
      <c r="Q97" t="n">
        <v>0</v>
      </c>
      <c r="R97" s="2" t="inlineStr"/>
    </row>
    <row r="98" ht="15" customHeight="1">
      <c r="A98" t="inlineStr">
        <is>
          <t>A 9034-2025</t>
        </is>
      </c>
      <c r="B98" s="1" t="n">
        <v>45713</v>
      </c>
      <c r="C98" s="1" t="n">
        <v>46101</v>
      </c>
      <c r="D98" t="inlineStr">
        <is>
          <t>KALMAR LÄN</t>
        </is>
      </c>
      <c r="E98" t="inlineStr">
        <is>
          <t>BORGHOLM</t>
        </is>
      </c>
      <c r="F98" t="inlineStr">
        <is>
          <t>Sveaskog</t>
        </is>
      </c>
      <c r="G98" t="n">
        <v>6.8</v>
      </c>
      <c r="H98" t="n">
        <v>0</v>
      </c>
      <c r="I98" t="n">
        <v>0</v>
      </c>
      <c r="J98" t="n">
        <v>0</v>
      </c>
      <c r="K98" t="n">
        <v>0</v>
      </c>
      <c r="L98" t="n">
        <v>0</v>
      </c>
      <c r="M98" t="n">
        <v>0</v>
      </c>
      <c r="N98" t="n">
        <v>0</v>
      </c>
      <c r="O98" t="n">
        <v>0</v>
      </c>
      <c r="P98" t="n">
        <v>0</v>
      </c>
      <c r="Q98" t="n">
        <v>0</v>
      </c>
      <c r="R98" s="2" t="inlineStr"/>
    </row>
    <row r="99" ht="15" customHeight="1">
      <c r="A99" t="inlineStr">
        <is>
          <t>A 5175-2024</t>
        </is>
      </c>
      <c r="B99" s="1" t="n">
        <v>45330</v>
      </c>
      <c r="C99" s="1" t="n">
        <v>46101</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3878-2023</t>
        </is>
      </c>
      <c r="B100" s="1" t="n">
        <v>44951</v>
      </c>
      <c r="C100" s="1" t="n">
        <v>46101</v>
      </c>
      <c r="D100" t="inlineStr">
        <is>
          <t>KALMAR LÄN</t>
        </is>
      </c>
      <c r="E100" t="inlineStr">
        <is>
          <t>BORGHOLM</t>
        </is>
      </c>
      <c r="G100" t="n">
        <v>1.7</v>
      </c>
      <c r="H100" t="n">
        <v>0</v>
      </c>
      <c r="I100" t="n">
        <v>0</v>
      </c>
      <c r="J100" t="n">
        <v>0</v>
      </c>
      <c r="K100" t="n">
        <v>0</v>
      </c>
      <c r="L100" t="n">
        <v>0</v>
      </c>
      <c r="M100" t="n">
        <v>0</v>
      </c>
      <c r="N100" t="n">
        <v>0</v>
      </c>
      <c r="O100" t="n">
        <v>0</v>
      </c>
      <c r="P100" t="n">
        <v>0</v>
      </c>
      <c r="Q100" t="n">
        <v>0</v>
      </c>
      <c r="R100" s="2" t="inlineStr"/>
    </row>
    <row r="101" ht="15" customHeight="1">
      <c r="A101" t="inlineStr">
        <is>
          <t>A 19867-2024</t>
        </is>
      </c>
      <c r="B101" s="1" t="n">
        <v>45433</v>
      </c>
      <c r="C101" s="1" t="n">
        <v>46101</v>
      </c>
      <c r="D101" t="inlineStr">
        <is>
          <t>KALMAR LÄN</t>
        </is>
      </c>
      <c r="E101" t="inlineStr">
        <is>
          <t>BORGHOLM</t>
        </is>
      </c>
      <c r="G101" t="n">
        <v>3.9</v>
      </c>
      <c r="H101" t="n">
        <v>0</v>
      </c>
      <c r="I101" t="n">
        <v>0</v>
      </c>
      <c r="J101" t="n">
        <v>0</v>
      </c>
      <c r="K101" t="n">
        <v>0</v>
      </c>
      <c r="L101" t="n">
        <v>0</v>
      </c>
      <c r="M101" t="n">
        <v>0</v>
      </c>
      <c r="N101" t="n">
        <v>0</v>
      </c>
      <c r="O101" t="n">
        <v>0</v>
      </c>
      <c r="P101" t="n">
        <v>0</v>
      </c>
      <c r="Q101" t="n">
        <v>0</v>
      </c>
      <c r="R101" s="2" t="inlineStr"/>
    </row>
    <row r="102" ht="15" customHeight="1">
      <c r="A102" t="inlineStr">
        <is>
          <t>A 13383-2023</t>
        </is>
      </c>
      <c r="B102" s="1" t="n">
        <v>45005</v>
      </c>
      <c r="C102" s="1" t="n">
        <v>46101</v>
      </c>
      <c r="D102" t="inlineStr">
        <is>
          <t>KALMAR LÄN</t>
        </is>
      </c>
      <c r="E102" t="inlineStr">
        <is>
          <t>BORGHOLM</t>
        </is>
      </c>
      <c r="G102" t="n">
        <v>0.8</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46101</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7960-2023</t>
        </is>
      </c>
      <c r="B104" s="1" t="n">
        <v>44973</v>
      </c>
      <c r="C104" s="1" t="n">
        <v>46101</v>
      </c>
      <c r="D104" t="inlineStr">
        <is>
          <t>KALMAR LÄN</t>
        </is>
      </c>
      <c r="E104" t="inlineStr">
        <is>
          <t>BORGHOLM</t>
        </is>
      </c>
      <c r="G104" t="n">
        <v>2.1</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46101</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46101</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1614-2025</t>
        </is>
      </c>
      <c r="B107" s="1" t="n">
        <v>45670.60094907408</v>
      </c>
      <c r="C107" s="1" t="n">
        <v>46101</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63276-2023</t>
        </is>
      </c>
      <c r="B108" s="1" t="n">
        <v>45273.82195601852</v>
      </c>
      <c r="C108" s="1" t="n">
        <v>46101</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9050-2025</t>
        </is>
      </c>
      <c r="B109" s="1" t="n">
        <v>45713.63512731482</v>
      </c>
      <c r="C109" s="1" t="n">
        <v>46101</v>
      </c>
      <c r="D109" t="inlineStr">
        <is>
          <t>KALMAR LÄN</t>
        </is>
      </c>
      <c r="E109" t="inlineStr">
        <is>
          <t>BORGHOLM</t>
        </is>
      </c>
      <c r="F109" t="inlineStr">
        <is>
          <t>Sveaskog</t>
        </is>
      </c>
      <c r="G109" t="n">
        <v>2.5</v>
      </c>
      <c r="H109" t="n">
        <v>0</v>
      </c>
      <c r="I109" t="n">
        <v>0</v>
      </c>
      <c r="J109" t="n">
        <v>0</v>
      </c>
      <c r="K109" t="n">
        <v>0</v>
      </c>
      <c r="L109" t="n">
        <v>0</v>
      </c>
      <c r="M109" t="n">
        <v>0</v>
      </c>
      <c r="N109" t="n">
        <v>0</v>
      </c>
      <c r="O109" t="n">
        <v>0</v>
      </c>
      <c r="P109" t="n">
        <v>0</v>
      </c>
      <c r="Q109" t="n">
        <v>0</v>
      </c>
      <c r="R109" s="2" t="inlineStr"/>
    </row>
    <row r="110" ht="15" customHeight="1">
      <c r="A110" t="inlineStr">
        <is>
          <t>A 13043-2024</t>
        </is>
      </c>
      <c r="B110" s="1" t="n">
        <v>45385.60111111111</v>
      </c>
      <c r="C110" s="1" t="n">
        <v>46101</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17978-2021</t>
        </is>
      </c>
      <c r="B111" s="1" t="n">
        <v>44301</v>
      </c>
      <c r="C111" s="1" t="n">
        <v>46101</v>
      </c>
      <c r="D111" t="inlineStr">
        <is>
          <t>KALMAR LÄN</t>
        </is>
      </c>
      <c r="E111" t="inlineStr">
        <is>
          <t>BORGHOLM</t>
        </is>
      </c>
      <c r="G111" t="n">
        <v>6</v>
      </c>
      <c r="H111" t="n">
        <v>0</v>
      </c>
      <c r="I111" t="n">
        <v>0</v>
      </c>
      <c r="J111" t="n">
        <v>0</v>
      </c>
      <c r="K111" t="n">
        <v>0</v>
      </c>
      <c r="L111" t="n">
        <v>0</v>
      </c>
      <c r="M111" t="n">
        <v>0</v>
      </c>
      <c r="N111" t="n">
        <v>0</v>
      </c>
      <c r="O111" t="n">
        <v>0</v>
      </c>
      <c r="P111" t="n">
        <v>0</v>
      </c>
      <c r="Q111" t="n">
        <v>0</v>
      </c>
      <c r="R111" s="2" t="inlineStr"/>
    </row>
    <row r="112" ht="15" customHeight="1">
      <c r="A112" t="inlineStr">
        <is>
          <t>A 22785-2025</t>
        </is>
      </c>
      <c r="B112" s="1" t="n">
        <v>45789.64186342592</v>
      </c>
      <c r="C112" s="1" t="n">
        <v>46101</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46101</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40339-2023</t>
        </is>
      </c>
      <c r="B114" s="1" t="n">
        <v>45169.62733796296</v>
      </c>
      <c r="C114" s="1" t="n">
        <v>46101</v>
      </c>
      <c r="D114" t="inlineStr">
        <is>
          <t>KALMAR LÄN</t>
        </is>
      </c>
      <c r="E114" t="inlineStr">
        <is>
          <t>BORGHOLM</t>
        </is>
      </c>
      <c r="G114" t="n">
        <v>3.8</v>
      </c>
      <c r="H114" t="n">
        <v>0</v>
      </c>
      <c r="I114" t="n">
        <v>0</v>
      </c>
      <c r="J114" t="n">
        <v>0</v>
      </c>
      <c r="K114" t="n">
        <v>0</v>
      </c>
      <c r="L114" t="n">
        <v>0</v>
      </c>
      <c r="M114" t="n">
        <v>0</v>
      </c>
      <c r="N114" t="n">
        <v>0</v>
      </c>
      <c r="O114" t="n">
        <v>0</v>
      </c>
      <c r="P114" t="n">
        <v>0</v>
      </c>
      <c r="Q114" t="n">
        <v>0</v>
      </c>
      <c r="R114" s="2" t="inlineStr"/>
    </row>
    <row r="115" ht="15" customHeight="1">
      <c r="A115" t="inlineStr">
        <is>
          <t>A 24166-2022</t>
        </is>
      </c>
      <c r="B115" s="1" t="n">
        <v>44725</v>
      </c>
      <c r="C115" s="1" t="n">
        <v>46101</v>
      </c>
      <c r="D115" t="inlineStr">
        <is>
          <t>KALMAR LÄN</t>
        </is>
      </c>
      <c r="E115" t="inlineStr">
        <is>
          <t>BORGHOLM</t>
        </is>
      </c>
      <c r="G115" t="n">
        <v>10.7</v>
      </c>
      <c r="H115" t="n">
        <v>0</v>
      </c>
      <c r="I115" t="n">
        <v>0</v>
      </c>
      <c r="J115" t="n">
        <v>0</v>
      </c>
      <c r="K115" t="n">
        <v>0</v>
      </c>
      <c r="L115" t="n">
        <v>0</v>
      </c>
      <c r="M115" t="n">
        <v>0</v>
      </c>
      <c r="N115" t="n">
        <v>0</v>
      </c>
      <c r="O115" t="n">
        <v>0</v>
      </c>
      <c r="P115" t="n">
        <v>0</v>
      </c>
      <c r="Q115" t="n">
        <v>0</v>
      </c>
      <c r="R115" s="2" t="inlineStr"/>
    </row>
    <row r="116" ht="15" customHeight="1">
      <c r="A116" t="inlineStr">
        <is>
          <t>A 26160-2025</t>
        </is>
      </c>
      <c r="B116" s="1" t="n">
        <v>45805.4490162037</v>
      </c>
      <c r="C116" s="1" t="n">
        <v>46101</v>
      </c>
      <c r="D116" t="inlineStr">
        <is>
          <t>KALMAR LÄN</t>
        </is>
      </c>
      <c r="E116" t="inlineStr">
        <is>
          <t>BORGHOLM</t>
        </is>
      </c>
      <c r="G116" t="n">
        <v>3.7</v>
      </c>
      <c r="H116" t="n">
        <v>0</v>
      </c>
      <c r="I116" t="n">
        <v>0</v>
      </c>
      <c r="J116" t="n">
        <v>0</v>
      </c>
      <c r="K116" t="n">
        <v>0</v>
      </c>
      <c r="L116" t="n">
        <v>0</v>
      </c>
      <c r="M116" t="n">
        <v>0</v>
      </c>
      <c r="N116" t="n">
        <v>0</v>
      </c>
      <c r="O116" t="n">
        <v>0</v>
      </c>
      <c r="P116" t="n">
        <v>0</v>
      </c>
      <c r="Q116" t="n">
        <v>0</v>
      </c>
      <c r="R116" s="2" t="inlineStr"/>
    </row>
    <row r="117" ht="15" customHeight="1">
      <c r="A117" t="inlineStr">
        <is>
          <t>A 26190-2025</t>
        </is>
      </c>
      <c r="B117" s="1" t="n">
        <v>45805.48349537037</v>
      </c>
      <c r="C117" s="1" t="n">
        <v>46101</v>
      </c>
      <c r="D117" t="inlineStr">
        <is>
          <t>KALMAR LÄN</t>
        </is>
      </c>
      <c r="E117" t="inlineStr">
        <is>
          <t>BORGHOLM</t>
        </is>
      </c>
      <c r="G117" t="n">
        <v>3.2</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45812.63650462963</v>
      </c>
      <c r="C118" s="1" t="n">
        <v>46101</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27366-2025</t>
        </is>
      </c>
      <c r="B119" s="1" t="n">
        <v>45812.64475694444</v>
      </c>
      <c r="C119" s="1" t="n">
        <v>46101</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c r="A120" t="inlineStr">
        <is>
          <t>A 28782-2025</t>
        </is>
      </c>
      <c r="B120" s="1" t="n">
        <v>45820.45572916666</v>
      </c>
      <c r="C120" s="1" t="n">
        <v>46101</v>
      </c>
      <c r="D120" t="inlineStr">
        <is>
          <t>KALMAR LÄN</t>
        </is>
      </c>
      <c r="E120" t="inlineStr">
        <is>
          <t>BORGHOLM</t>
        </is>
      </c>
      <c r="F120" t="inlineStr">
        <is>
          <t>Sveaskog</t>
        </is>
      </c>
      <c r="G120" t="n">
        <v>0.8</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2026-03-20T11:33:10Z</dcterms:created>
  <dcterms:modified xmlns:dcterms="http://purl.org/dc/terms/" xmlns:xsi="http://www.w3.org/2001/XMLSchema-instance" xsi:type="dcterms:W3CDTF">2026-03-20T11:33:10Z</dcterms:modified>
</cp:coreProperties>
</file>