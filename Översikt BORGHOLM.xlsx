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46060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46060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46060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46060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46060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46060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46060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46060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46060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46060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46060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46060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46060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46060</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46060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46060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46060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46060</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46060</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46060</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46060</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46060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46060</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46060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46060</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46060</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31790-2021</t>
        </is>
      </c>
      <c r="B28" s="1" t="n">
        <v>44370</v>
      </c>
      <c r="C28" s="1" t="n">
        <v>46060</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46060</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24701-2023</t>
        </is>
      </c>
      <c r="B30" s="1" t="n">
        <v>45084</v>
      </c>
      <c r="C30" s="1" t="n">
        <v>46060</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13558-2025</t>
        </is>
      </c>
      <c r="B31" s="1" t="n">
        <v>45736.54974537037</v>
      </c>
      <c r="C31" s="1" t="n">
        <v>46060</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41640-2023</t>
        </is>
      </c>
      <c r="B32" s="1" t="n">
        <v>45175</v>
      </c>
      <c r="C32" s="1" t="n">
        <v>46060</v>
      </c>
      <c r="D32" t="inlineStr">
        <is>
          <t>KALMAR LÄN</t>
        </is>
      </c>
      <c r="E32" t="inlineStr">
        <is>
          <t>BORGHOLM</t>
        </is>
      </c>
      <c r="G32" t="n">
        <v>5</v>
      </c>
      <c r="H32" t="n">
        <v>1</v>
      </c>
      <c r="I32" t="n">
        <v>0</v>
      </c>
      <c r="J32" t="n">
        <v>0</v>
      </c>
      <c r="K32" t="n">
        <v>0</v>
      </c>
      <c r="L32" t="n">
        <v>0</v>
      </c>
      <c r="M32" t="n">
        <v>0</v>
      </c>
      <c r="N32" t="n">
        <v>0</v>
      </c>
      <c r="O32" t="n">
        <v>0</v>
      </c>
      <c r="P32" t="n">
        <v>0</v>
      </c>
      <c r="Q32" t="n">
        <v>1</v>
      </c>
      <c r="R32" s="2" t="inlineStr">
        <is>
          <t>Johannesnycklar</t>
        </is>
      </c>
      <c r="S32">
        <f>HYPERLINK("https://klasma.github.io/Logging_0885/artfynd/A 41640-2023 artfynd.xlsx", "A 41640-2023")</f>
        <v/>
      </c>
      <c r="T32">
        <f>HYPERLINK("https://klasma.github.io/Logging_0885/kartor/A 41640-2023 karta.png", "A 41640-2023")</f>
        <v/>
      </c>
      <c r="V32">
        <f>HYPERLINK("https://klasma.github.io/Logging_0885/klagomål/A 41640-2023 FSC-klagomål.docx", "A 41640-2023")</f>
        <v/>
      </c>
      <c r="W32">
        <f>HYPERLINK("https://klasma.github.io/Logging_0885/klagomålsmail/A 41640-2023 FSC-klagomål mail.docx", "A 41640-2023")</f>
        <v/>
      </c>
      <c r="X32">
        <f>HYPERLINK("https://klasma.github.io/Logging_0885/tillsyn/A 41640-2023 tillsynsbegäran.docx", "A 41640-2023")</f>
        <v/>
      </c>
      <c r="Y32">
        <f>HYPERLINK("https://klasma.github.io/Logging_0885/tillsynsmail/A 41640-2023 tillsynsbegäran mail.docx", "A 41640-2023")</f>
        <v/>
      </c>
    </row>
    <row r="33" ht="15" customHeight="1">
      <c r="A33" t="inlineStr">
        <is>
          <t>A 28785-2025</t>
        </is>
      </c>
      <c r="B33" s="1" t="n">
        <v>45820.46159722222</v>
      </c>
      <c r="C33" s="1" t="n">
        <v>46060</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46060</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24704-2023</t>
        </is>
      </c>
      <c r="B35" s="1" t="n">
        <v>45084</v>
      </c>
      <c r="C35" s="1" t="n">
        <v>46060</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45693-2025</t>
        </is>
      </c>
      <c r="B36" s="1" t="n">
        <v>45923</v>
      </c>
      <c r="C36" s="1" t="n">
        <v>46060</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34885-2025</t>
        </is>
      </c>
      <c r="B37" s="1" t="n">
        <v>45849.47128472223</v>
      </c>
      <c r="C37" s="1" t="n">
        <v>46060</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9745-2023</t>
        </is>
      </c>
      <c r="B38" s="1" t="n">
        <v>44984</v>
      </c>
      <c r="C38" s="1" t="n">
        <v>46060</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43603-2024</t>
        </is>
      </c>
      <c r="B39" s="1" t="n">
        <v>45569.44700231482</v>
      </c>
      <c r="C39" s="1" t="n">
        <v>46060</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14789-2021</t>
        </is>
      </c>
      <c r="B40" s="1" t="n">
        <v>44280</v>
      </c>
      <c r="C40" s="1" t="n">
        <v>46060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3302-2026</t>
        </is>
      </c>
      <c r="B41" s="1" t="n">
        <v>46041</v>
      </c>
      <c r="C41" s="1" t="n">
        <v>46060</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12785-2021</t>
        </is>
      </c>
      <c r="B42" s="1" t="n">
        <v>44270</v>
      </c>
      <c r="C42" s="1" t="n">
        <v>46060</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24048-2025</t>
        </is>
      </c>
      <c r="B43" s="1" t="n">
        <v>45796.4959375</v>
      </c>
      <c r="C43" s="1" t="n">
        <v>46060</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12711-2021</t>
        </is>
      </c>
      <c r="B44" s="1" t="n">
        <v>44270</v>
      </c>
      <c r="C44" s="1" t="n">
        <v>46060</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46060</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46060</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46060</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28345-2022</t>
        </is>
      </c>
      <c r="B48" s="1" t="n">
        <v>44747</v>
      </c>
      <c r="C48" s="1" t="n">
        <v>46060</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46060</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46060</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46060</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46060</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46060</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46060</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46060</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62631-2021</t>
        </is>
      </c>
      <c r="B56" s="1" t="n">
        <v>44503</v>
      </c>
      <c r="C56" s="1" t="n">
        <v>46060</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46060</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46060</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46060</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46060</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46060</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46060</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64303-2023</t>
        </is>
      </c>
      <c r="B63" s="1" t="n">
        <v>45280</v>
      </c>
      <c r="C63" s="1" t="n">
        <v>46060</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46060</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46060</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21908-2022</t>
        </is>
      </c>
      <c r="B66" s="1" t="n">
        <v>44711</v>
      </c>
      <c r="C66" s="1" t="n">
        <v>46060</v>
      </c>
      <c r="D66" t="inlineStr">
        <is>
          <t>KALMAR LÄN</t>
        </is>
      </c>
      <c r="E66" t="inlineStr">
        <is>
          <t>BORGHOLM</t>
        </is>
      </c>
      <c r="G66" t="n">
        <v>4.7</v>
      </c>
      <c r="H66" t="n">
        <v>0</v>
      </c>
      <c r="I66" t="n">
        <v>0</v>
      </c>
      <c r="J66" t="n">
        <v>0</v>
      </c>
      <c r="K66" t="n">
        <v>0</v>
      </c>
      <c r="L66" t="n">
        <v>0</v>
      </c>
      <c r="M66" t="n">
        <v>0</v>
      </c>
      <c r="N66" t="n">
        <v>0</v>
      </c>
      <c r="O66" t="n">
        <v>0</v>
      </c>
      <c r="P66" t="n">
        <v>0</v>
      </c>
      <c r="Q66" t="n">
        <v>0</v>
      </c>
      <c r="R66" s="2" t="inlineStr"/>
    </row>
    <row r="67" ht="15" customHeight="1">
      <c r="A67" t="inlineStr">
        <is>
          <t>A 55367-2024</t>
        </is>
      </c>
      <c r="B67" s="1" t="n">
        <v>45621.87075231481</v>
      </c>
      <c r="C67" s="1" t="n">
        <v>46060</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46060</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46060</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27357-2025</t>
        </is>
      </c>
      <c r="B70" s="1" t="n">
        <v>45812.63650462963</v>
      </c>
      <c r="C70" s="1" t="n">
        <v>46060</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27366-2025</t>
        </is>
      </c>
      <c r="B71" s="1" t="n">
        <v>45812.64475694444</v>
      </c>
      <c r="C71" s="1" t="n">
        <v>46060</v>
      </c>
      <c r="D71" t="inlineStr">
        <is>
          <t>KALMAR LÄN</t>
        </is>
      </c>
      <c r="E71" t="inlineStr">
        <is>
          <t>BORGHOLM</t>
        </is>
      </c>
      <c r="F71" t="inlineStr">
        <is>
          <t>Sveaskog</t>
        </is>
      </c>
      <c r="G71" t="n">
        <v>2.5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46060</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28782-2025</t>
        </is>
      </c>
      <c r="B73" s="1" t="n">
        <v>45820.45572916666</v>
      </c>
      <c r="C73" s="1" t="n">
        <v>46060</v>
      </c>
      <c r="D73" t="inlineStr">
        <is>
          <t>KALMAR LÄN</t>
        </is>
      </c>
      <c r="E73" t="inlineStr">
        <is>
          <t>BORGHOLM</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46060</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4159-2024</t>
        </is>
      </c>
      <c r="B75" s="1" t="n">
        <v>45323</v>
      </c>
      <c r="C75" s="1" t="n">
        <v>46060</v>
      </c>
      <c r="D75" t="inlineStr">
        <is>
          <t>KALMAR LÄN</t>
        </is>
      </c>
      <c r="E75" t="inlineStr">
        <is>
          <t>BORGHOLM</t>
        </is>
      </c>
      <c r="G75" t="n">
        <v>0.5</v>
      </c>
      <c r="H75" t="n">
        <v>0</v>
      </c>
      <c r="I75" t="n">
        <v>0</v>
      </c>
      <c r="J75" t="n">
        <v>0</v>
      </c>
      <c r="K75" t="n">
        <v>0</v>
      </c>
      <c r="L75" t="n">
        <v>0</v>
      </c>
      <c r="M75" t="n">
        <v>0</v>
      </c>
      <c r="N75" t="n">
        <v>0</v>
      </c>
      <c r="O75" t="n">
        <v>0</v>
      </c>
      <c r="P75" t="n">
        <v>0</v>
      </c>
      <c r="Q75" t="n">
        <v>0</v>
      </c>
      <c r="R75" s="2" t="inlineStr"/>
    </row>
    <row r="76" ht="15" customHeight="1">
      <c r="A76" t="inlineStr">
        <is>
          <t>A 42232-2025</t>
        </is>
      </c>
      <c r="B76" s="1" t="n">
        <v>45904.55591435185</v>
      </c>
      <c r="C76" s="1" t="n">
        <v>46060</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46060</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32921-2023</t>
        </is>
      </c>
      <c r="B78" s="1" t="n">
        <v>45125</v>
      </c>
      <c r="C78" s="1" t="n">
        <v>46060</v>
      </c>
      <c r="D78" t="inlineStr">
        <is>
          <t>KALMAR LÄN</t>
        </is>
      </c>
      <c r="E78" t="inlineStr">
        <is>
          <t>BORGHOLM</t>
        </is>
      </c>
      <c r="G78" t="n">
        <v>2.9</v>
      </c>
      <c r="H78" t="n">
        <v>0</v>
      </c>
      <c r="I78" t="n">
        <v>0</v>
      </c>
      <c r="J78" t="n">
        <v>0</v>
      </c>
      <c r="K78" t="n">
        <v>0</v>
      </c>
      <c r="L78" t="n">
        <v>0</v>
      </c>
      <c r="M78" t="n">
        <v>0</v>
      </c>
      <c r="N78" t="n">
        <v>0</v>
      </c>
      <c r="O78" t="n">
        <v>0</v>
      </c>
      <c r="P78" t="n">
        <v>0</v>
      </c>
      <c r="Q78" t="n">
        <v>0</v>
      </c>
      <c r="R78" s="2" t="inlineStr"/>
    </row>
    <row r="79" ht="15" customHeight="1">
      <c r="A79" t="inlineStr">
        <is>
          <t>A 31699-2022</t>
        </is>
      </c>
      <c r="B79" s="1" t="n">
        <v>44776</v>
      </c>
      <c r="C79" s="1" t="n">
        <v>46060</v>
      </c>
      <c r="D79" t="inlineStr">
        <is>
          <t>KALMAR LÄN</t>
        </is>
      </c>
      <c r="E79" t="inlineStr">
        <is>
          <t>BORGHOLM</t>
        </is>
      </c>
      <c r="F79" t="inlineStr">
        <is>
          <t>Sveaskog</t>
        </is>
      </c>
      <c r="G79" t="n">
        <v>1.6</v>
      </c>
      <c r="H79" t="n">
        <v>0</v>
      </c>
      <c r="I79" t="n">
        <v>0</v>
      </c>
      <c r="J79" t="n">
        <v>0</v>
      </c>
      <c r="K79" t="n">
        <v>0</v>
      </c>
      <c r="L79" t="n">
        <v>0</v>
      </c>
      <c r="M79" t="n">
        <v>0</v>
      </c>
      <c r="N79" t="n">
        <v>0</v>
      </c>
      <c r="O79" t="n">
        <v>0</v>
      </c>
      <c r="P79" t="n">
        <v>0</v>
      </c>
      <c r="Q79" t="n">
        <v>0</v>
      </c>
      <c r="R79" s="2" t="inlineStr"/>
    </row>
    <row r="80" ht="15" customHeight="1">
      <c r="A80" t="inlineStr">
        <is>
          <t>A 45734-2025</t>
        </is>
      </c>
      <c r="B80" s="1" t="n">
        <v>45923.46512731481</v>
      </c>
      <c r="C80" s="1" t="n">
        <v>46060</v>
      </c>
      <c r="D80" t="inlineStr">
        <is>
          <t>KALMAR LÄN</t>
        </is>
      </c>
      <c r="E80" t="inlineStr">
        <is>
          <t>BORGHOLM</t>
        </is>
      </c>
      <c r="G80" t="n">
        <v>5</v>
      </c>
      <c r="H80" t="n">
        <v>0</v>
      </c>
      <c r="I80" t="n">
        <v>0</v>
      </c>
      <c r="J80" t="n">
        <v>0</v>
      </c>
      <c r="K80" t="n">
        <v>0</v>
      </c>
      <c r="L80" t="n">
        <v>0</v>
      </c>
      <c r="M80" t="n">
        <v>0</v>
      </c>
      <c r="N80" t="n">
        <v>0</v>
      </c>
      <c r="O80" t="n">
        <v>0</v>
      </c>
      <c r="P80" t="n">
        <v>0</v>
      </c>
      <c r="Q80" t="n">
        <v>0</v>
      </c>
      <c r="R80" s="2" t="inlineStr"/>
    </row>
    <row r="81" ht="15" customHeight="1">
      <c r="A81" t="inlineStr">
        <is>
          <t>A 45869-2025</t>
        </is>
      </c>
      <c r="B81" s="1" t="n">
        <v>45923.65313657407</v>
      </c>
      <c r="C81" s="1" t="n">
        <v>46060</v>
      </c>
      <c r="D81" t="inlineStr">
        <is>
          <t>KALMAR LÄN</t>
        </is>
      </c>
      <c r="E81" t="inlineStr">
        <is>
          <t>BORGHOLM</t>
        </is>
      </c>
      <c r="G81" t="n">
        <v>4.5</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46060</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46845-2025</t>
        </is>
      </c>
      <c r="B83" s="1" t="n">
        <v>45928</v>
      </c>
      <c r="C83" s="1" t="n">
        <v>46060</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1614-2025</t>
        </is>
      </c>
      <c r="B84" s="1" t="n">
        <v>45670.60094907408</v>
      </c>
      <c r="C84" s="1" t="n">
        <v>46060</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46060</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9076-2025</t>
        </is>
      </c>
      <c r="B86" s="1" t="n">
        <v>45713.6596875</v>
      </c>
      <c r="C86" s="1" t="n">
        <v>46060</v>
      </c>
      <c r="D86" t="inlineStr">
        <is>
          <t>KALMAR LÄN</t>
        </is>
      </c>
      <c r="E86" t="inlineStr">
        <is>
          <t>BORGHOLM</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46060</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7960-2023</t>
        </is>
      </c>
      <c r="B88" s="1" t="n">
        <v>44973</v>
      </c>
      <c r="C88" s="1" t="n">
        <v>46060</v>
      </c>
      <c r="D88" t="inlineStr">
        <is>
          <t>KALMAR LÄN</t>
        </is>
      </c>
      <c r="E88" t="inlineStr">
        <is>
          <t>BORGHOLM</t>
        </is>
      </c>
      <c r="G88" t="n">
        <v>2.1</v>
      </c>
      <c r="H88" t="n">
        <v>0</v>
      </c>
      <c r="I88" t="n">
        <v>0</v>
      </c>
      <c r="J88" t="n">
        <v>0</v>
      </c>
      <c r="K88" t="n">
        <v>0</v>
      </c>
      <c r="L88" t="n">
        <v>0</v>
      </c>
      <c r="M88" t="n">
        <v>0</v>
      </c>
      <c r="N88" t="n">
        <v>0</v>
      </c>
      <c r="O88" t="n">
        <v>0</v>
      </c>
      <c r="P88" t="n">
        <v>0</v>
      </c>
      <c r="Q88" t="n">
        <v>0</v>
      </c>
      <c r="R88" s="2" t="inlineStr"/>
    </row>
    <row r="89" ht="15" customHeight="1">
      <c r="A89" t="inlineStr">
        <is>
          <t>A 29656-2023</t>
        </is>
      </c>
      <c r="B89" s="1" t="n">
        <v>45107</v>
      </c>
      <c r="C89" s="1" t="n">
        <v>46060</v>
      </c>
      <c r="D89" t="inlineStr">
        <is>
          <t>KALMAR LÄN</t>
        </is>
      </c>
      <c r="E89" t="inlineStr">
        <is>
          <t>BORGHOLM</t>
        </is>
      </c>
      <c r="G89" t="n">
        <v>4.1</v>
      </c>
      <c r="H89" t="n">
        <v>0</v>
      </c>
      <c r="I89" t="n">
        <v>0</v>
      </c>
      <c r="J89" t="n">
        <v>0</v>
      </c>
      <c r="K89" t="n">
        <v>0</v>
      </c>
      <c r="L89" t="n">
        <v>0</v>
      </c>
      <c r="M89" t="n">
        <v>0</v>
      </c>
      <c r="N89" t="n">
        <v>0</v>
      </c>
      <c r="O89" t="n">
        <v>0</v>
      </c>
      <c r="P89" t="n">
        <v>0</v>
      </c>
      <c r="Q89" t="n">
        <v>0</v>
      </c>
      <c r="R89" s="2" t="inlineStr"/>
    </row>
    <row r="90" ht="15" customHeight="1">
      <c r="A90" t="inlineStr">
        <is>
          <t>A 9050-2025</t>
        </is>
      </c>
      <c r="B90" s="1" t="n">
        <v>45713.63512731482</v>
      </c>
      <c r="C90" s="1" t="n">
        <v>46060</v>
      </c>
      <c r="D90" t="inlineStr">
        <is>
          <t>KALMAR LÄN</t>
        </is>
      </c>
      <c r="E90" t="inlineStr">
        <is>
          <t>BORGHOLM</t>
        </is>
      </c>
      <c r="F90" t="inlineStr">
        <is>
          <t>Sveaskog</t>
        </is>
      </c>
      <c r="G90" t="n">
        <v>2.5</v>
      </c>
      <c r="H90" t="n">
        <v>0</v>
      </c>
      <c r="I90" t="n">
        <v>0</v>
      </c>
      <c r="J90" t="n">
        <v>0</v>
      </c>
      <c r="K90" t="n">
        <v>0</v>
      </c>
      <c r="L90" t="n">
        <v>0</v>
      </c>
      <c r="M90" t="n">
        <v>0</v>
      </c>
      <c r="N90" t="n">
        <v>0</v>
      </c>
      <c r="O90" t="n">
        <v>0</v>
      </c>
      <c r="P90" t="n">
        <v>0</v>
      </c>
      <c r="Q90" t="n">
        <v>0</v>
      </c>
      <c r="R90" s="2" t="inlineStr"/>
    </row>
    <row r="91" ht="15" customHeight="1">
      <c r="A91" t="inlineStr">
        <is>
          <t>A 7669-2024</t>
        </is>
      </c>
      <c r="B91" s="1" t="n">
        <v>45348.82498842593</v>
      </c>
      <c r="C91" s="1" t="n">
        <v>46060</v>
      </c>
      <c r="D91" t="inlineStr">
        <is>
          <t>KALMAR LÄN</t>
        </is>
      </c>
      <c r="E91" t="inlineStr">
        <is>
          <t>BORGHOLM</t>
        </is>
      </c>
      <c r="G91" t="n">
        <v>2.3</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46060</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46060</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46060</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32919-2023</t>
        </is>
      </c>
      <c r="B95" s="1" t="n">
        <v>45125</v>
      </c>
      <c r="C95" s="1" t="n">
        <v>46060</v>
      </c>
      <c r="D95" t="inlineStr">
        <is>
          <t>KALMAR LÄN</t>
        </is>
      </c>
      <c r="E95" t="inlineStr">
        <is>
          <t>BORGHOLM</t>
        </is>
      </c>
      <c r="G95" t="n">
        <v>2.7</v>
      </c>
      <c r="H95" t="n">
        <v>0</v>
      </c>
      <c r="I95" t="n">
        <v>0</v>
      </c>
      <c r="J95" t="n">
        <v>0</v>
      </c>
      <c r="K95" t="n">
        <v>0</v>
      </c>
      <c r="L95" t="n">
        <v>0</v>
      </c>
      <c r="M95" t="n">
        <v>0</v>
      </c>
      <c r="N95" t="n">
        <v>0</v>
      </c>
      <c r="O95" t="n">
        <v>0</v>
      </c>
      <c r="P95" t="n">
        <v>0</v>
      </c>
      <c r="Q95" t="n">
        <v>0</v>
      </c>
      <c r="R95" s="2" t="inlineStr"/>
    </row>
    <row r="96" ht="15" customHeight="1">
      <c r="A96" t="inlineStr">
        <is>
          <t>A 44678-2022</t>
        </is>
      </c>
      <c r="B96" s="1" t="n">
        <v>44840.65100694444</v>
      </c>
      <c r="C96" s="1" t="n">
        <v>46060</v>
      </c>
      <c r="D96" t="inlineStr">
        <is>
          <t>KALMAR LÄN</t>
        </is>
      </c>
      <c r="E96" t="inlineStr">
        <is>
          <t>BORGHOLM</t>
        </is>
      </c>
      <c r="G96" t="n">
        <v>2.4</v>
      </c>
      <c r="H96" t="n">
        <v>0</v>
      </c>
      <c r="I96" t="n">
        <v>0</v>
      </c>
      <c r="J96" t="n">
        <v>0</v>
      </c>
      <c r="K96" t="n">
        <v>0</v>
      </c>
      <c r="L96" t="n">
        <v>0</v>
      </c>
      <c r="M96" t="n">
        <v>0</v>
      </c>
      <c r="N96" t="n">
        <v>0</v>
      </c>
      <c r="O96" t="n">
        <v>0</v>
      </c>
      <c r="P96" t="n">
        <v>0</v>
      </c>
      <c r="Q96" t="n">
        <v>0</v>
      </c>
      <c r="R96" s="2" t="inlineStr"/>
    </row>
    <row r="97" ht="15" customHeight="1">
      <c r="A97" t="inlineStr">
        <is>
          <t>A 7481-2026</t>
        </is>
      </c>
      <c r="B97" s="1" t="n">
        <v>46059.51359953704</v>
      </c>
      <c r="C97" s="1" t="n">
        <v>46060</v>
      </c>
      <c r="D97" t="inlineStr">
        <is>
          <t>KALMAR LÄN</t>
        </is>
      </c>
      <c r="E97" t="inlineStr">
        <is>
          <t>BORGHOLM</t>
        </is>
      </c>
      <c r="G97" t="n">
        <v>1.9</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46060</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46060</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5175-2024</t>
        </is>
      </c>
      <c r="B100" s="1" t="n">
        <v>45330</v>
      </c>
      <c r="C100" s="1" t="n">
        <v>46060</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34951-2022</t>
        </is>
      </c>
      <c r="B101" s="1" t="n">
        <v>44796</v>
      </c>
      <c r="C101" s="1" t="n">
        <v>46060</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19867-2024</t>
        </is>
      </c>
      <c r="B102" s="1" t="n">
        <v>45433</v>
      </c>
      <c r="C102" s="1" t="n">
        <v>46060</v>
      </c>
      <c r="D102" t="inlineStr">
        <is>
          <t>KALMAR LÄN</t>
        </is>
      </c>
      <c r="E102" t="inlineStr">
        <is>
          <t>BORGHOLM</t>
        </is>
      </c>
      <c r="G102" t="n">
        <v>3.9</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46060</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61438-2023</t>
        </is>
      </c>
      <c r="B104" s="1" t="n">
        <v>45264</v>
      </c>
      <c r="C104" s="1" t="n">
        <v>46060</v>
      </c>
      <c r="D104" t="inlineStr">
        <is>
          <t>KALMAR LÄN</t>
        </is>
      </c>
      <c r="E104" t="inlineStr">
        <is>
          <t>BORGHOLM</t>
        </is>
      </c>
      <c r="G104" t="n">
        <v>1.1</v>
      </c>
      <c r="H104" t="n">
        <v>0</v>
      </c>
      <c r="I104" t="n">
        <v>0</v>
      </c>
      <c r="J104" t="n">
        <v>0</v>
      </c>
      <c r="K104" t="n">
        <v>0</v>
      </c>
      <c r="L104" t="n">
        <v>0</v>
      </c>
      <c r="M104" t="n">
        <v>0</v>
      </c>
      <c r="N104" t="n">
        <v>0</v>
      </c>
      <c r="O104" t="n">
        <v>0</v>
      </c>
      <c r="P104" t="n">
        <v>0</v>
      </c>
      <c r="Q104" t="n">
        <v>0</v>
      </c>
      <c r="R104" s="2" t="inlineStr"/>
    </row>
    <row r="105" ht="15" customHeight="1">
      <c r="A105" t="inlineStr">
        <is>
          <t>A 13041-2024</t>
        </is>
      </c>
      <c r="B105" s="1" t="n">
        <v>45385.60065972222</v>
      </c>
      <c r="C105" s="1" t="n">
        <v>46060</v>
      </c>
      <c r="D105" t="inlineStr">
        <is>
          <t>KALMAR LÄN</t>
        </is>
      </c>
      <c r="E105" t="inlineStr">
        <is>
          <t>BORGHOLM</t>
        </is>
      </c>
      <c r="G105" t="n">
        <v>0.5</v>
      </c>
      <c r="H105" t="n">
        <v>0</v>
      </c>
      <c r="I105" t="n">
        <v>0</v>
      </c>
      <c r="J105" t="n">
        <v>0</v>
      </c>
      <c r="K105" t="n">
        <v>0</v>
      </c>
      <c r="L105" t="n">
        <v>0</v>
      </c>
      <c r="M105" t="n">
        <v>0</v>
      </c>
      <c r="N105" t="n">
        <v>0</v>
      </c>
      <c r="O105" t="n">
        <v>0</v>
      </c>
      <c r="P105" t="n">
        <v>0</v>
      </c>
      <c r="Q105" t="n">
        <v>0</v>
      </c>
      <c r="R105" s="2" t="inlineStr"/>
    </row>
    <row r="106" ht="15" customHeight="1">
      <c r="A106" t="inlineStr">
        <is>
          <t>A 53050-2021</t>
        </is>
      </c>
      <c r="B106" s="1" t="n">
        <v>44467</v>
      </c>
      <c r="C106" s="1" t="n">
        <v>46060</v>
      </c>
      <c r="D106" t="inlineStr">
        <is>
          <t>KALMAR LÄN</t>
        </is>
      </c>
      <c r="E106" t="inlineStr">
        <is>
          <t>BORGHOLM</t>
        </is>
      </c>
      <c r="G106" t="n">
        <v>3.6</v>
      </c>
      <c r="H106" t="n">
        <v>0</v>
      </c>
      <c r="I106" t="n">
        <v>0</v>
      </c>
      <c r="J106" t="n">
        <v>0</v>
      </c>
      <c r="K106" t="n">
        <v>0</v>
      </c>
      <c r="L106" t="n">
        <v>0</v>
      </c>
      <c r="M106" t="n">
        <v>0</v>
      </c>
      <c r="N106" t="n">
        <v>0</v>
      </c>
      <c r="O106" t="n">
        <v>0</v>
      </c>
      <c r="P106" t="n">
        <v>0</v>
      </c>
      <c r="Q106" t="n">
        <v>0</v>
      </c>
      <c r="R106" s="2" t="inlineStr"/>
    </row>
    <row r="107" ht="15" customHeight="1">
      <c r="A107" t="inlineStr">
        <is>
          <t>A 4165-2023</t>
        </is>
      </c>
      <c r="B107" s="1" t="n">
        <v>44953</v>
      </c>
      <c r="C107" s="1" t="n">
        <v>46060</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50129-2021</t>
        </is>
      </c>
      <c r="B108" s="1" t="n">
        <v>44456</v>
      </c>
      <c r="C108" s="1" t="n">
        <v>46060</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13043-2024</t>
        </is>
      </c>
      <c r="B109" s="1" t="n">
        <v>45385.60111111111</v>
      </c>
      <c r="C109" s="1" t="n">
        <v>46060</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34780-2022</t>
        </is>
      </c>
      <c r="B110" s="1" t="n">
        <v>44795</v>
      </c>
      <c r="C110" s="1" t="n">
        <v>46060</v>
      </c>
      <c r="D110" t="inlineStr">
        <is>
          <t>KALMAR LÄN</t>
        </is>
      </c>
      <c r="E110" t="inlineStr">
        <is>
          <t>BORGHOLM</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9044-2025</t>
        </is>
      </c>
      <c r="B111" s="1" t="n">
        <v>45713.6275</v>
      </c>
      <c r="C111" s="1" t="n">
        <v>46060</v>
      </c>
      <c r="D111" t="inlineStr">
        <is>
          <t>KALMAR LÄN</t>
        </is>
      </c>
      <c r="E111" t="inlineStr">
        <is>
          <t>BORGHOLM</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20878-2024</t>
        </is>
      </c>
      <c r="B112" s="1" t="n">
        <v>45439.44748842593</v>
      </c>
      <c r="C112" s="1" t="n">
        <v>46060</v>
      </c>
      <c r="D112" t="inlineStr">
        <is>
          <t>KALMAR LÄN</t>
        </is>
      </c>
      <c r="E112" t="inlineStr">
        <is>
          <t>BORGHOLM</t>
        </is>
      </c>
      <c r="G112" t="n">
        <v>1.9</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46060</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46060</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46060</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63075-2023</t>
        </is>
      </c>
      <c r="B116" s="1" t="n">
        <v>45273</v>
      </c>
      <c r="C116" s="1" t="n">
        <v>46060</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17978-2021</t>
        </is>
      </c>
      <c r="B117" s="1" t="n">
        <v>44301</v>
      </c>
      <c r="C117" s="1" t="n">
        <v>46060</v>
      </c>
      <c r="D117" t="inlineStr">
        <is>
          <t>KALMAR LÄN</t>
        </is>
      </c>
      <c r="E117" t="inlineStr">
        <is>
          <t>BORGHOLM</t>
        </is>
      </c>
      <c r="G117" t="n">
        <v>6</v>
      </c>
      <c r="H117" t="n">
        <v>0</v>
      </c>
      <c r="I117" t="n">
        <v>0</v>
      </c>
      <c r="J117" t="n">
        <v>0</v>
      </c>
      <c r="K117" t="n">
        <v>0</v>
      </c>
      <c r="L117" t="n">
        <v>0</v>
      </c>
      <c r="M117" t="n">
        <v>0</v>
      </c>
      <c r="N117" t="n">
        <v>0</v>
      </c>
      <c r="O117" t="n">
        <v>0</v>
      </c>
      <c r="P117" t="n">
        <v>0</v>
      </c>
      <c r="Q117" t="n">
        <v>0</v>
      </c>
      <c r="R117" s="2" t="inlineStr"/>
    </row>
    <row r="118" ht="15" customHeight="1">
      <c r="A118" t="inlineStr">
        <is>
          <t>A 22785-2025</t>
        </is>
      </c>
      <c r="B118" s="1" t="n">
        <v>45789.64186342592</v>
      </c>
      <c r="C118" s="1" t="n">
        <v>46060</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c r="A119" t="inlineStr">
        <is>
          <t>A 12534-2022</t>
        </is>
      </c>
      <c r="B119" s="1" t="n">
        <v>44638</v>
      </c>
      <c r="C119" s="1" t="n">
        <v>46060</v>
      </c>
      <c r="D119" t="inlineStr">
        <is>
          <t>KALMAR LÄN</t>
        </is>
      </c>
      <c r="E119" t="inlineStr">
        <is>
          <t>BORGHOLM</t>
        </is>
      </c>
      <c r="G119" t="n">
        <v>8.6</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2026-02-07T13:50:18Z</dcterms:created>
  <dcterms:modified xmlns:dcterms="http://purl.org/dc/terms/" xmlns:xsi="http://www.w3.org/2001/XMLSchema-instance" xsi:type="dcterms:W3CDTF">2026-02-07T13:50:18Z</dcterms:modified>
</cp:coreProperties>
</file>