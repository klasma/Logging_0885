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46315</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46315</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46315</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46315</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46315</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46315</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46315</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46315</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46315</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46315</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46315</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46315</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46315</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46315</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46315</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46315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46315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46315</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A 12534-2022</t>
        </is>
      </c>
      <c r="B28" t="inlineStr">
        <is>
          <t>avverkningsanmälan</t>
        </is>
      </c>
      <c r="C28" t="inlineStr">
        <is>
          <t>Föryngringsavverkning</t>
        </is>
      </c>
      <c r="D28" s="1" t="n">
        <v>44638</v>
      </c>
      <c r="E28" s="1" t="n">
        <v>46315</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46315</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46315</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46315</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46315</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16171-2023</t>
        </is>
      </c>
      <c r="B34" t="inlineStr">
        <is>
          <t>avverkningsanmälan</t>
        </is>
      </c>
      <c r="C34" t="inlineStr">
        <is>
          <t>Föryngringsavverkning</t>
        </is>
      </c>
      <c r="D34" s="1" t="n">
        <v>45027</v>
      </c>
      <c r="E34" s="1" t="n">
        <v>46315</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27298-2026</t>
        </is>
      </c>
      <c r="B35" t="inlineStr">
        <is>
          <t>avverkningsanmälan</t>
        </is>
      </c>
      <c r="C35" t="inlineStr">
        <is>
          <t>Avverkning för att bevara och utveckla /försöksver</t>
        </is>
      </c>
      <c r="D35" s="1" t="n">
        <v>46188</v>
      </c>
      <c r="E35" s="1" t="n">
        <v>46315</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A 31558-2026</t>
        </is>
      </c>
      <c r="B36" t="inlineStr">
        <is>
          <t>avverkningsanmälan</t>
        </is>
      </c>
      <c r="C36" t="inlineStr">
        <is>
          <t>Avverkning för att bevara och utveckla /försöksver</t>
        </is>
      </c>
      <c r="D36" s="1" t="n">
        <v>46224</v>
      </c>
      <c r="E36" s="1" t="n">
        <v>46315</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46315</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46315</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46315</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46315</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46315</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46315</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46315</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46315</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21797-2024</t>
        </is>
      </c>
      <c r="B45" t="inlineStr">
        <is>
          <t>avverkningsanmälan</t>
        </is>
      </c>
      <c r="C45" t="inlineStr">
        <is>
          <t>Föryngringsavverkning</t>
        </is>
      </c>
      <c r="D45" s="1" t="n">
        <v>45442</v>
      </c>
      <c r="E45" s="1" t="n">
        <v>46315</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46315</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46315</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7960-2023</t>
        </is>
      </c>
      <c r="B48" t="inlineStr">
        <is>
          <t>avverkningsanmälan</t>
        </is>
      </c>
      <c r="C48" t="inlineStr">
        <is>
          <t>Föryngringsavverkning</t>
        </is>
      </c>
      <c r="D48" s="1" t="n">
        <v>44973</v>
      </c>
      <c r="E48" s="1" t="n">
        <v>46315</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46315</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46315</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46315</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46315</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32174-2022</t>
        </is>
      </c>
      <c r="B53" t="inlineStr">
        <is>
          <t>avverkningsanmälan</t>
        </is>
      </c>
      <c r="C53" t="inlineStr">
        <is>
          <t>Avverkning för att bevara och utveckla /försöksver</t>
        </is>
      </c>
      <c r="D53" s="1" t="n">
        <v>44781</v>
      </c>
      <c r="E53" s="1" t="n">
        <v>46315</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43542-2025</t>
        </is>
      </c>
      <c r="B54" t="inlineStr">
        <is>
          <t>avverkningsanmälan</t>
        </is>
      </c>
      <c r="C54" t="inlineStr">
        <is>
          <t>Föryngringsavverkning</t>
        </is>
      </c>
      <c r="D54" s="1" t="n">
        <v>45911</v>
      </c>
      <c r="E54" s="1" t="n">
        <v>46315</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26849-2026</t>
        </is>
      </c>
      <c r="B55" t="inlineStr">
        <is>
          <t>avverkningsanmälan</t>
        </is>
      </c>
      <c r="C55" t="inlineStr">
        <is>
          <t>Föryngringsavverkning</t>
        </is>
      </c>
      <c r="D55" s="1" t="n">
        <v>46185</v>
      </c>
      <c r="E55" s="1" t="n">
        <v>46315</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46315</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15285-2026</t>
        </is>
      </c>
      <c r="B57" t="inlineStr">
        <is>
          <t>avverkningsanmälan</t>
        </is>
      </c>
      <c r="C57" t="inlineStr">
        <is>
          <t>Avverkning för att bevara och utveckla /försöksver</t>
        </is>
      </c>
      <c r="D57" s="1" t="n">
        <v>46105</v>
      </c>
      <c r="E57" s="1" t="n">
        <v>46315</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43756-2022</t>
        </is>
      </c>
      <c r="B58" t="inlineStr">
        <is>
          <t>avverkningsanmälan</t>
        </is>
      </c>
      <c r="C58" t="inlineStr">
        <is>
          <t>Föryngringsavverkning</t>
        </is>
      </c>
      <c r="D58" s="1" t="n">
        <v>44837</v>
      </c>
      <c r="E58" s="1" t="n">
        <v>46315</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A 31520-2026</t>
        </is>
      </c>
      <c r="B59" t="inlineStr">
        <is>
          <t>avverkningsanmälan</t>
        </is>
      </c>
      <c r="C59" t="inlineStr">
        <is>
          <t>Avverkning för att bevara och utveckla /försöksver</t>
        </is>
      </c>
      <c r="D59" s="1" t="n">
        <v>46223</v>
      </c>
      <c r="E59" s="1" t="n">
        <v>46315</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46315</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46315</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46315</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46315</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46315</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44678-2022</t>
        </is>
      </c>
      <c r="B65" t="inlineStr">
        <is>
          <t>avverkningsanmälan</t>
        </is>
      </c>
      <c r="C65" t="inlineStr">
        <is>
          <t>Föryngringsavverkning</t>
        </is>
      </c>
      <c r="D65" s="1" t="n">
        <v>44840</v>
      </c>
      <c r="E65" s="1" t="n">
        <v>46315</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60141-2025</t>
        </is>
      </c>
      <c r="B66" t="inlineStr">
        <is>
          <t>avverkningsanmälan</t>
        </is>
      </c>
      <c r="C66" t="inlineStr">
        <is>
          <t>Föryngringsavverkning</t>
        </is>
      </c>
      <c r="D66" s="1" t="n">
        <v>45994</v>
      </c>
      <c r="E66" s="1" t="n">
        <v>46315</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46315</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46315</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17699-2025</t>
        </is>
      </c>
      <c r="B69" t="inlineStr">
        <is>
          <t>avverkningsanmälan</t>
        </is>
      </c>
      <c r="C69" t="inlineStr">
        <is>
          <t>Föryngringsavverkning</t>
        </is>
      </c>
      <c r="D69" s="1" t="n">
        <v>45758</v>
      </c>
      <c r="E69" s="1" t="n">
        <v>46315</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9253-2026</t>
        </is>
      </c>
      <c r="B70" t="inlineStr">
        <is>
          <t>avverkningsanmälan</t>
        </is>
      </c>
      <c r="C70" t="inlineStr">
        <is>
          <t>Föryngringsavverkning</t>
        </is>
      </c>
      <c r="D70" s="1" t="n">
        <v>46070</v>
      </c>
      <c r="E70" s="1" t="n">
        <v>46315</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21908-2022</t>
        </is>
      </c>
      <c r="B71" t="inlineStr">
        <is>
          <t>avverkningsanmälan</t>
        </is>
      </c>
      <c r="C71" t="inlineStr">
        <is>
          <t>Föryngringsavverkning</t>
        </is>
      </c>
      <c r="D71" s="1" t="n">
        <v>44711</v>
      </c>
      <c r="E71" s="1" t="n">
        <v>46315</v>
      </c>
      <c r="F71" t="inlineStr">
        <is>
          <t>KALMAR LÄN</t>
        </is>
      </c>
      <c r="G71" t="inlineStr">
        <is>
          <t>BORGHOLM</t>
        </is>
      </c>
      <c r="I71" t="n">
        <v>4.7</v>
      </c>
      <c r="J71" t="n">
        <v>1</v>
      </c>
      <c r="K71" t="n">
        <v>2</v>
      </c>
      <c r="L71" t="n">
        <v>0</v>
      </c>
      <c r="M71" t="n">
        <v>0</v>
      </c>
      <c r="N71" t="n">
        <v>0</v>
      </c>
      <c r="O71" t="n">
        <v>0</v>
      </c>
      <c r="P71" t="n">
        <v>0</v>
      </c>
      <c r="Q71" t="n">
        <v>0</v>
      </c>
      <c r="R71" t="n">
        <v>0</v>
      </c>
      <c r="S71" t="n">
        <v>2</v>
      </c>
      <c r="T71" t="n">
        <v>2</v>
      </c>
      <c r="U71" t="n">
        <v>2</v>
      </c>
      <c r="V71" s="2" t="inlineStr">
        <is>
          <t>Myskmadra
Skogsknipprot</t>
        </is>
      </c>
      <c r="W71">
        <f>HYPERLINK("https://klasma.github.io/Logging_0885/artfynd/A 21908-2022 artfynd.xlsx", "A 21908-2022")</f>
        <v/>
      </c>
      <c r="X71">
        <f>HYPERLINK("https://klasma.github.io/Logging_0885/kartor/A 21908-2022 karta.png", "A 21908-2022")</f>
        <v/>
      </c>
      <c r="Y71">
        <f>HYPERLINK("https://klasma.github.io/Logging_0885/kartor_geotiff/A 21908-2022 georefererad karta.tif", "A 21908-2022")</f>
        <v/>
      </c>
      <c r="AA71">
        <f>HYPERLINK("https://klasma.github.io/Logging_0885/klagomål/A 21908-2022 FSC-klagomål.docx", "A 21908-2022")</f>
        <v/>
      </c>
      <c r="AB71">
        <f>HYPERLINK("https://klasma.github.io/Logging_0885/klagomålsmail/A 21908-2022 FSC-klagomål mail.docx", "A 21908-2022")</f>
        <v/>
      </c>
      <c r="AC71">
        <f>HYPERLINK("https://klasma.github.io/Logging_0885/tillsyn/A 21908-2022 tillsynsbegäran.docx", "A 21908-2022")</f>
        <v/>
      </c>
      <c r="AD71">
        <f>HYPERLINK("https://klasma.github.io/Logging_0885/tillsynsmail/A 21908-2022 tillsynsbegäran mail.docx", "A 21908-2022")</f>
        <v/>
      </c>
    </row>
    <row r="72" ht="15" customHeight="1">
      <c r="A72" t="inlineStr">
        <is>
          <t>A 29411-2026</t>
        </is>
      </c>
      <c r="B72" t="inlineStr">
        <is>
          <t>avverkningsanmälan</t>
        </is>
      </c>
      <c r="C72" t="inlineStr">
        <is>
          <t>Avverkning för att bevara och utveckla /försöksver</t>
        </is>
      </c>
      <c r="D72" s="1" t="n">
        <v>46203</v>
      </c>
      <c r="E72" s="1" t="n">
        <v>46315</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24166-2022</t>
        </is>
      </c>
      <c r="B73" t="inlineStr">
        <is>
          <t>avverkningsanmälan</t>
        </is>
      </c>
      <c r="C73" t="inlineStr">
        <is>
          <t>Avverkning för annat ändamål</t>
        </is>
      </c>
      <c r="D73" s="1" t="n">
        <v>44725</v>
      </c>
      <c r="E73" s="1" t="n">
        <v>46315</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A 29434-2026</t>
        </is>
      </c>
      <c r="B74" t="inlineStr">
        <is>
          <t>avverkningsanmälan</t>
        </is>
      </c>
      <c r="C74" t="inlineStr">
        <is>
          <t>Avverkning för att bevara och utveckla /försöksver</t>
        </is>
      </c>
      <c r="D74" s="1" t="n">
        <v>46203</v>
      </c>
      <c r="E74" s="1" t="n">
        <v>46315</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46315</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46315</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46315</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46315</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46315</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46315</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20878-2024</t>
        </is>
      </c>
      <c r="B81" t="inlineStr">
        <is>
          <t>avverkningsanmälan</t>
        </is>
      </c>
      <c r="C81" t="inlineStr">
        <is>
          <t>Föryngringsavverkning</t>
        </is>
      </c>
      <c r="D81" s="1" t="n">
        <v>45439</v>
      </c>
      <c r="E81" s="1" t="n">
        <v>46315</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9745-2023</t>
        </is>
      </c>
      <c r="B82" t="inlineStr">
        <is>
          <t>avverkningsanmälan</t>
        </is>
      </c>
      <c r="C82" t="inlineStr">
        <is>
          <t>Föryngringsavverkning</t>
        </is>
      </c>
      <c r="D82" s="1" t="n">
        <v>44984</v>
      </c>
      <c r="E82" s="1" t="n">
        <v>46315</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31720-2022</t>
        </is>
      </c>
      <c r="B83" t="inlineStr">
        <is>
          <t>avverkningsanmälan</t>
        </is>
      </c>
      <c r="C83" t="inlineStr">
        <is>
          <t>Föryngringsavverkning</t>
        </is>
      </c>
      <c r="D83" s="1" t="n">
        <v>44776</v>
      </c>
      <c r="E83" s="1" t="n">
        <v>46315</v>
      </c>
      <c r="F83" t="inlineStr">
        <is>
          <t>KALMAR LÄN</t>
        </is>
      </c>
      <c r="G83" t="inlineStr">
        <is>
          <t>BORGHOLM</t>
        </is>
      </c>
      <c r="H83" t="inlineStr">
        <is>
          <t>Sveaskog</t>
        </is>
      </c>
      <c r="I83" t="n">
        <v>4.5</v>
      </c>
      <c r="J83" t="n">
        <v>1</v>
      </c>
      <c r="K83" t="n">
        <v>1</v>
      </c>
      <c r="L83" t="n">
        <v>0</v>
      </c>
      <c r="M83" t="n">
        <v>0</v>
      </c>
      <c r="N83" t="n">
        <v>0</v>
      </c>
      <c r="O83" t="n">
        <v>0</v>
      </c>
      <c r="P83" t="n">
        <v>0</v>
      </c>
      <c r="Q83" t="n">
        <v>0</v>
      </c>
      <c r="R83" t="n">
        <v>0</v>
      </c>
      <c r="S83" t="n">
        <v>1</v>
      </c>
      <c r="T83" t="n">
        <v>1</v>
      </c>
      <c r="U83" t="n">
        <v>1</v>
      </c>
      <c r="V83" s="2" t="inlineStr">
        <is>
          <t>Tvåblad</t>
        </is>
      </c>
      <c r="W83">
        <f>HYPERLINK("https://klasma.github.io/Logging_0885/artfynd/A 31720-2022 artfynd.xlsx", "A 31720-2022")</f>
        <v/>
      </c>
      <c r="X83">
        <f>HYPERLINK("https://klasma.github.io/Logging_0885/kartor/A 31720-2022 karta.png", "A 31720-2022")</f>
        <v/>
      </c>
      <c r="Y83">
        <f>HYPERLINK("https://klasma.github.io/Logging_0885/kartor_geotiff/A 31720-2022 georefererad karta.tif", "A 31720-2022")</f>
        <v/>
      </c>
      <c r="AA83">
        <f>HYPERLINK("https://klasma.github.io/Logging_0885/klagomål/A 31720-2022 FSC-klagomål.docx", "A 31720-2022")</f>
        <v/>
      </c>
      <c r="AB83">
        <f>HYPERLINK("https://klasma.github.io/Logging_0885/klagomålsmail/A 31720-2022 FSC-klagomål mail.docx", "A 31720-2022")</f>
        <v/>
      </c>
      <c r="AC83">
        <f>HYPERLINK("https://klasma.github.io/Logging_0885/tillsyn/A 31720-2022 tillsynsbegäran.docx", "A 31720-2022")</f>
        <v/>
      </c>
      <c r="AD83">
        <f>HYPERLINK("https://klasma.github.io/Logging_0885/tillsynsmail/A 31720-2022 tillsynsbegäran mail.docx", "A 31720-2022")</f>
        <v/>
      </c>
    </row>
    <row r="84" ht="15" customHeight="1">
      <c r="A84" t="inlineStr">
        <is>
          <t>A 41831-2025</t>
        </is>
      </c>
      <c r="B84" t="inlineStr">
        <is>
          <t>avverkningsanmälan</t>
        </is>
      </c>
      <c r="C84" t="inlineStr">
        <is>
          <t>Föryngringsavverkning</t>
        </is>
      </c>
      <c r="D84" s="1" t="n">
        <v>45902</v>
      </c>
      <c r="E84" s="1" t="n">
        <v>46315</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24701-2023</t>
        </is>
      </c>
      <c r="B85" t="inlineStr">
        <is>
          <t>avverkningsanmälan</t>
        </is>
      </c>
      <c r="C85" t="inlineStr">
        <is>
          <t>Föryngringsavverkning</t>
        </is>
      </c>
      <c r="D85" s="1" t="n">
        <v>45084</v>
      </c>
      <c r="E85" s="1" t="n">
        <v>46315</v>
      </c>
      <c r="F85" t="inlineStr">
        <is>
          <t>KALMAR LÄN</t>
        </is>
      </c>
      <c r="G85" t="inlineStr">
        <is>
          <t>BORGHOLM</t>
        </is>
      </c>
      <c r="I85" t="n">
        <v>3</v>
      </c>
      <c r="J85" t="n">
        <v>0</v>
      </c>
      <c r="K85" t="n">
        <v>0</v>
      </c>
      <c r="L85" t="n">
        <v>0</v>
      </c>
      <c r="M85" t="n">
        <v>0</v>
      </c>
      <c r="N85" t="n">
        <v>1</v>
      </c>
      <c r="O85" t="n">
        <v>0</v>
      </c>
      <c r="P85" t="n">
        <v>0</v>
      </c>
      <c r="Q85" t="n">
        <v>1</v>
      </c>
      <c r="R85" t="n">
        <v>1</v>
      </c>
      <c r="S85" t="n">
        <v>1</v>
      </c>
      <c r="T85" t="n">
        <v>3</v>
      </c>
      <c r="U85" t="n">
        <v>0</v>
      </c>
      <c r="V85" s="2" t="inlineStr">
        <is>
          <t>Ask</t>
        </is>
      </c>
      <c r="W85">
        <f>HYPERLINK("https://klasma.github.io/Logging_0885/artfynd/A 24701-2023 artfynd.xlsx", "A 24701-2023")</f>
        <v/>
      </c>
      <c r="X85">
        <f>HYPERLINK("https://klasma.github.io/Logging_0885/kartor/A 24701-2023 karta.png", "A 24701-2023")</f>
        <v/>
      </c>
      <c r="Y85">
        <f>HYPERLINK("https://klasma.github.io/Logging_0885/kartor_geotiff/A 24701-2023 georefererad karta.tif", "A 24701-2023")</f>
        <v/>
      </c>
      <c r="AA85">
        <f>HYPERLINK("https://klasma.github.io/Logging_0885/klagomål/A 24701-2023 FSC-klagomål.docx", "A 24701-2023")</f>
        <v/>
      </c>
      <c r="AB85">
        <f>HYPERLINK("https://klasma.github.io/Logging_0885/klagomålsmail/A 24701-2023 FSC-klagomål mail.docx", "A 24701-2023")</f>
        <v/>
      </c>
      <c r="AC85">
        <f>HYPERLINK("https://klasma.github.io/Logging_0885/tillsyn/A 24701-2023 tillsynsbegäran.docx", "A 24701-2023")</f>
        <v/>
      </c>
      <c r="AD85">
        <f>HYPERLINK("https://klasma.github.io/Logging_0885/tillsynsmail/A 24701-2023 tillsynsbegäran mail.docx", "A 24701-2023")</f>
        <v/>
      </c>
    </row>
    <row r="86" ht="15" customHeight="1">
      <c r="A86" t="inlineStr">
        <is>
          <t>A 24704-2023</t>
        </is>
      </c>
      <c r="B86" t="inlineStr">
        <is>
          <t>avverkningsanmälan</t>
        </is>
      </c>
      <c r="C86" t="inlineStr">
        <is>
          <t>Föryngringsavverkning</t>
        </is>
      </c>
      <c r="D86" s="1" t="n">
        <v>45084</v>
      </c>
      <c r="E86" s="1" t="n">
        <v>46315</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3302-2026</t>
        </is>
      </c>
      <c r="B87" t="inlineStr">
        <is>
          <t>avverkningsanmälan</t>
        </is>
      </c>
      <c r="C87" t="inlineStr">
        <is>
          <t>Avverkning för annat ändamål</t>
        </is>
      </c>
      <c r="D87" s="1" t="n">
        <v>46041</v>
      </c>
      <c r="E87" s="1" t="n">
        <v>46315</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7481-2026</t>
        </is>
      </c>
      <c r="B88" t="inlineStr">
        <is>
          <t>avverkningsanmälan</t>
        </is>
      </c>
      <c r="C88" t="inlineStr">
        <is>
          <t>Föryngringsavverkning</t>
        </is>
      </c>
      <c r="D88" s="1" t="n">
        <v>46059</v>
      </c>
      <c r="E88" s="1" t="n">
        <v>46315</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46315</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26840-2026</t>
        </is>
      </c>
      <c r="B90" t="inlineStr">
        <is>
          <t>avverkningsanmälan</t>
        </is>
      </c>
      <c r="C90" t="inlineStr">
        <is>
          <t>Avverkning för att bevara och utveckla /försöksver</t>
        </is>
      </c>
      <c r="D90" s="1" t="n">
        <v>46185</v>
      </c>
      <c r="E90" s="1" t="n">
        <v>46315</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9905-2026</t>
        </is>
      </c>
      <c r="B91" t="inlineStr">
        <is>
          <t>avverkningsanmälan</t>
        </is>
      </c>
      <c r="C91" t="inlineStr">
        <is>
          <t>Föryngringsavverkning</t>
        </is>
      </c>
      <c r="D91" s="1" t="n">
        <v>46073</v>
      </c>
      <c r="E91" s="1" t="n">
        <v>46315</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28430-2026</t>
        </is>
      </c>
      <c r="B92" t="inlineStr">
        <is>
          <t>avverkningsanmälan</t>
        </is>
      </c>
      <c r="C92" t="inlineStr">
        <is>
          <t>Avverkning för att bevara och utveckla /försöksver</t>
        </is>
      </c>
      <c r="D92" s="1" t="n">
        <v>46197</v>
      </c>
      <c r="E92" s="1" t="n">
        <v>46315</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46315</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19867-2024</t>
        </is>
      </c>
      <c r="B94" t="inlineStr">
        <is>
          <t>avverkningsanmälan</t>
        </is>
      </c>
      <c r="C94" t="inlineStr">
        <is>
          <t>Föryngringsavverkning</t>
        </is>
      </c>
      <c r="D94" s="1" t="n">
        <v>45433</v>
      </c>
      <c r="E94" s="1" t="n">
        <v>46315</v>
      </c>
      <c r="F94" t="inlineStr">
        <is>
          <t>KALMAR LÄN</t>
        </is>
      </c>
      <c r="G94" t="inlineStr">
        <is>
          <t>BORGHOLM</t>
        </is>
      </c>
      <c r="I94" t="n">
        <v>3.9</v>
      </c>
      <c r="J94" t="n">
        <v>0</v>
      </c>
      <c r="K94" t="n">
        <v>0</v>
      </c>
      <c r="L94" t="n">
        <v>1</v>
      </c>
      <c r="M94" t="n">
        <v>0</v>
      </c>
      <c r="N94" t="n">
        <v>0</v>
      </c>
      <c r="O94" t="n">
        <v>0</v>
      </c>
      <c r="P94" t="n">
        <v>0</v>
      </c>
      <c r="Q94" t="n">
        <v>1</v>
      </c>
      <c r="R94" t="n">
        <v>0</v>
      </c>
      <c r="S94" t="n">
        <v>1</v>
      </c>
      <c r="T94" t="n">
        <v>1</v>
      </c>
      <c r="U94" t="n">
        <v>1</v>
      </c>
      <c r="V94" s="2" t="inlineStr">
        <is>
          <t>Åkerkulla</t>
        </is>
      </c>
      <c r="W94">
        <f>HYPERLINK("https://klasma.github.io/Logging_0885/artfynd/A 19867-2024 artfynd.xlsx", "A 19867-2024")</f>
        <v/>
      </c>
      <c r="X94">
        <f>HYPERLINK("https://klasma.github.io/Logging_0885/kartor/A 19867-2024 karta.png", "A 19867-2024")</f>
        <v/>
      </c>
      <c r="Y94">
        <f>HYPERLINK("https://klasma.github.io/Logging_0885/kartor_geotiff/A 19867-2024 georefererad karta.tif", "A 19867-2024")</f>
        <v/>
      </c>
      <c r="AA94">
        <f>HYPERLINK("https://klasma.github.io/Logging_0885/klagomål/A 19867-2024 FSC-klagomål.docx", "A 19867-2024")</f>
        <v/>
      </c>
      <c r="AB94">
        <f>HYPERLINK("https://klasma.github.io/Logging_0885/klagomålsmail/A 19867-2024 FSC-klagomål mail.docx", "A 19867-2024")</f>
        <v/>
      </c>
      <c r="AC94">
        <f>HYPERLINK("https://klasma.github.io/Logging_0885/tillsyn/A 19867-2024 tillsynsbegäran.docx", "A 19867-2024")</f>
        <v/>
      </c>
      <c r="AD94">
        <f>HYPERLINK("https://klasma.github.io/Logging_0885/tillsynsmail/A 19867-2024 tillsynsbegäran mail.docx", "A 19867-2024")</f>
        <v/>
      </c>
    </row>
    <row r="95" ht="15" customHeight="1">
      <c r="A95" t="inlineStr">
        <is>
          <t>A 63276-2023</t>
        </is>
      </c>
      <c r="B95" t="inlineStr">
        <is>
          <t>avverkningsanmälan</t>
        </is>
      </c>
      <c r="C95" t="inlineStr">
        <is>
          <t>Föryngringsavverkning</t>
        </is>
      </c>
      <c r="D95" s="1" t="n">
        <v>45273</v>
      </c>
      <c r="E95" s="1" t="n">
        <v>46315</v>
      </c>
      <c r="F95" t="inlineStr">
        <is>
          <t>KALMAR LÄN</t>
        </is>
      </c>
      <c r="G95" t="inlineStr">
        <is>
          <t>BORGHOLM</t>
        </is>
      </c>
      <c r="I95" t="n">
        <v>5</v>
      </c>
      <c r="J95" t="n">
        <v>0</v>
      </c>
      <c r="K95" t="n">
        <v>0</v>
      </c>
      <c r="L95" t="n">
        <v>0</v>
      </c>
      <c r="M95" t="n">
        <v>1</v>
      </c>
      <c r="N95" t="n">
        <v>0</v>
      </c>
      <c r="O95" t="n">
        <v>0</v>
      </c>
      <c r="P95" t="n">
        <v>0</v>
      </c>
      <c r="Q95" t="n">
        <v>1</v>
      </c>
      <c r="R95" t="n">
        <v>1</v>
      </c>
      <c r="S95" t="n">
        <v>1</v>
      </c>
      <c r="T95" t="n">
        <v>1</v>
      </c>
      <c r="U95" t="n">
        <v>0</v>
      </c>
      <c r="V95" s="2" t="inlineStr">
        <is>
          <t>Elaphomyces barrioi</t>
        </is>
      </c>
      <c r="W95">
        <f>HYPERLINK("https://klasma.github.io/Logging_0885/artfynd/A 63276-2023 artfynd.xlsx", "A 63276-2023")</f>
        <v/>
      </c>
      <c r="X95">
        <f>HYPERLINK("https://klasma.github.io/Logging_0885/kartor/A 63276-2023 karta.png", "A 63276-2023")</f>
        <v/>
      </c>
      <c r="Y95">
        <f>HYPERLINK("https://klasma.github.io/Logging_0885/kartor_geotiff/A 63276-2023 georefererad karta.tif", "A 63276-2023")</f>
        <v/>
      </c>
      <c r="AA95">
        <f>HYPERLINK("https://klasma.github.io/Logging_0885/klagomål/A 63276-2023 FSC-klagomål.docx", "A 63276-2023")</f>
        <v/>
      </c>
      <c r="AB95">
        <f>HYPERLINK("https://klasma.github.io/Logging_0885/klagomålsmail/A 63276-2023 FSC-klagomål mail.docx", "A 63276-2023")</f>
        <v/>
      </c>
      <c r="AC95">
        <f>HYPERLINK("https://klasma.github.io/Logging_0885/tillsyn/A 63276-2023 tillsynsbegäran.docx", "A 63276-2023")</f>
        <v/>
      </c>
      <c r="AD95">
        <f>HYPERLINK("https://klasma.github.io/Logging_0885/tillsynsmail/A 63276-2023 tillsynsbegäran mail.docx", "A 63276-2023")</f>
        <v/>
      </c>
    </row>
    <row r="96" ht="15" customHeight="1">
      <c r="A96" t="inlineStr">
        <is>
          <t>A 33293-2026</t>
        </is>
      </c>
      <c r="B96" t="inlineStr">
        <is>
          <t>avverkningsanmälan</t>
        </is>
      </c>
      <c r="C96" t="inlineStr">
        <is>
          <t>Avverkning för att bevara och utveckla /försöksver</t>
        </is>
      </c>
      <c r="D96" s="1" t="n">
        <v>46246</v>
      </c>
      <c r="E96" s="1" t="n">
        <v>46315</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46315</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28782-2025</t>
        </is>
      </c>
      <c r="B98" t="inlineStr">
        <is>
          <t>avverkningsanmälan</t>
        </is>
      </c>
      <c r="C98" t="inlineStr">
        <is>
          <t>Avverkning för att bevara och utveckla /försöksver</t>
        </is>
      </c>
      <c r="D98" s="1" t="n">
        <v>45820</v>
      </c>
      <c r="E98" s="1" t="n">
        <v>46315</v>
      </c>
      <c r="F98" t="inlineStr">
        <is>
          <t>KALMAR LÄN</t>
        </is>
      </c>
      <c r="G98" t="inlineStr">
        <is>
          <t>BORGHOLM</t>
        </is>
      </c>
      <c r="H98" t="inlineStr">
        <is>
          <t>Sveaskog</t>
        </is>
      </c>
      <c r="I98" t="n">
        <v>0.8</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28782-2025 artfynd.xlsx", "A 28782-2025")</f>
        <v/>
      </c>
      <c r="X98">
        <f>HYPERLINK("https://klasma.github.io/Logging_0885/kartor/A 28782-2025 karta.png", "A 28782-2025")</f>
        <v/>
      </c>
      <c r="Y98">
        <f>HYPERLINK("https://klasma.github.io/Logging_0885/kartor_geotiff/A 28782-2025 georefererad karta.tif", "A 28782-2025")</f>
        <v/>
      </c>
      <c r="AA98">
        <f>HYPERLINK("https://klasma.github.io/Logging_0885/klagomål/A 28782-2025 FSC-klagomål.docx", "A 28782-2025")</f>
        <v/>
      </c>
      <c r="AB98">
        <f>HYPERLINK("https://klasma.github.io/Logging_0885/klagomålsmail/A 28782-2025 FSC-klagomål mail.docx", "A 28782-2025")</f>
        <v/>
      </c>
      <c r="AC98">
        <f>HYPERLINK("https://klasma.github.io/Logging_0885/tillsyn/A 28782-2025 tillsynsbegäran.docx", "A 28782-2025")</f>
        <v/>
      </c>
      <c r="AD98">
        <f>HYPERLINK("https://klasma.github.io/Logging_0885/tillsynsmail/A 28782-2025 tillsynsbegäran mail.docx", "A 28782-2025")</f>
        <v/>
      </c>
      <c r="AE98">
        <f>HYPERLINK("https://klasma.github.io/Logging_0885/fåglar/A 28782-2025 prioriterade fågelarter.docx", "A 28782-2025")</f>
        <v/>
      </c>
    </row>
    <row r="99" ht="15" customHeight="1">
      <c r="A99" t="inlineStr">
        <is>
          <t>A 28785-2025</t>
        </is>
      </c>
      <c r="B99" t="inlineStr">
        <is>
          <t>avverkningsanmälan</t>
        </is>
      </c>
      <c r="C99" t="inlineStr">
        <is>
          <t>Avverkning för att bevara och utveckla /försöksver</t>
        </is>
      </c>
      <c r="D99" s="1" t="n">
        <v>45820</v>
      </c>
      <c r="E99" s="1" t="n">
        <v>46315</v>
      </c>
      <c r="F99" t="inlineStr">
        <is>
          <t>KALMAR LÄN</t>
        </is>
      </c>
      <c r="G99" t="inlineStr">
        <is>
          <t>BORGHOLM</t>
        </is>
      </c>
      <c r="H99" t="inlineStr">
        <is>
          <t>Sveaskog</t>
        </is>
      </c>
      <c r="I99" t="n">
        <v>2.3</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28785-2025 artfynd.xlsx", "A 28785-2025")</f>
        <v/>
      </c>
      <c r="X99">
        <f>HYPERLINK("https://klasma.github.io/Logging_0885/kartor/A 28785-2025 karta.png", "A 28785-2025")</f>
        <v/>
      </c>
      <c r="Y99">
        <f>HYPERLINK("https://klasma.github.io/Logging_0885/kartor_geotiff/A 28785-2025 georefererad karta.tif", "A 28785-2025")</f>
        <v/>
      </c>
      <c r="AA99">
        <f>HYPERLINK("https://klasma.github.io/Logging_0885/klagomål/A 28785-2025 FSC-klagomål.docx", "A 28785-2025")</f>
        <v/>
      </c>
      <c r="AB99">
        <f>HYPERLINK("https://klasma.github.io/Logging_0885/klagomålsmail/A 28785-2025 FSC-klagomål mail.docx", "A 28785-2025")</f>
        <v/>
      </c>
      <c r="AC99">
        <f>HYPERLINK("https://klasma.github.io/Logging_0885/tillsyn/A 28785-2025 tillsynsbegäran.docx", "A 28785-2025")</f>
        <v/>
      </c>
      <c r="AD99">
        <f>HYPERLINK("https://klasma.github.io/Logging_0885/tillsynsmail/A 28785-2025 tillsynsbegäran mail.docx", "A 28785-2025")</f>
        <v/>
      </c>
      <c r="AE99">
        <f>HYPERLINK("https://klasma.github.io/Logging_0885/fåglar/A 28785-2025 prioriterade fågelarter.docx", "A 28785-2025")</f>
        <v/>
      </c>
    </row>
    <row r="100" ht="15" customHeight="1">
      <c r="A100" t="inlineStr">
        <is>
          <t>S 2390-2023</t>
        </is>
      </c>
      <c r="B100" t="inlineStr">
        <is>
          <t>samrådsanmälan</t>
        </is>
      </c>
      <c r="C100" t="inlineStr">
        <is>
          <t>Annan skogsbruksåtgärd</t>
        </is>
      </c>
      <c r="D100" s="1" t="n">
        <v>45111</v>
      </c>
      <c r="E100" s="1" t="n">
        <v>46315</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46315</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46315</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46315</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46315</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46315</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46315</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46315</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46315</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46315</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46315</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46315</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46315</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46315</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46315</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4159-2024</t>
        </is>
      </c>
      <c r="B115" t="inlineStr">
        <is>
          <t>avverkningsanmälan</t>
        </is>
      </c>
      <c r="C115" t="inlineStr">
        <is>
          <t>Föryngringsavverkning</t>
        </is>
      </c>
      <c r="D115" s="1" t="n">
        <v>45323</v>
      </c>
      <c r="E115" s="1" t="n">
        <v>46315</v>
      </c>
      <c r="F115" t="inlineStr">
        <is>
          <t>KALMAR LÄN</t>
        </is>
      </c>
      <c r="G115" t="inlineStr">
        <is>
          <t>BORGHOLM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4165-2023</t>
        </is>
      </c>
      <c r="B116" t="inlineStr">
        <is>
          <t>avverkningsanmälan</t>
        </is>
      </c>
      <c r="C116" t="inlineStr">
        <is>
          <t>Föryngringsavverkning</t>
        </is>
      </c>
      <c r="D116" s="1" t="n">
        <v>44953</v>
      </c>
      <c r="E116" s="1" t="n">
        <v>46315</v>
      </c>
      <c r="F116" t="inlineStr">
        <is>
          <t>KALMAR LÄN</t>
        </is>
      </c>
      <c r="G116" t="inlineStr">
        <is>
          <t>BORGHOLM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46315</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46315</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46315</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46315</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43603-2024</t>
        </is>
      </c>
      <c r="B121" t="inlineStr">
        <is>
          <t>avverkningsanmälan</t>
        </is>
      </c>
      <c r="C121" t="inlineStr">
        <is>
          <t>Föryngringsavverkning</t>
        </is>
      </c>
      <c r="D121" s="1" t="n">
        <v>45569</v>
      </c>
      <c r="E121" s="1" t="n">
        <v>46315</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63075-2023</t>
        </is>
      </c>
      <c r="B122" t="inlineStr">
        <is>
          <t>avverkningsanmälan</t>
        </is>
      </c>
      <c r="C122" t="inlineStr">
        <is>
          <t>Avverkning för annat ändamål</t>
        </is>
      </c>
      <c r="D122" s="1" t="n">
        <v>45273</v>
      </c>
      <c r="E122" s="1" t="n">
        <v>46315</v>
      </c>
      <c r="F122" t="inlineStr">
        <is>
          <t>KALMAR LÄN</t>
        </is>
      </c>
      <c r="G122" t="inlineStr">
        <is>
          <t>BORGHOLM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27357-2025</t>
        </is>
      </c>
      <c r="B123" t="inlineStr">
        <is>
          <t>avverkningsanmälan</t>
        </is>
      </c>
      <c r="C123" t="inlineStr">
        <is>
          <t>Avverkning för att bevara och utveckla /försöksver</t>
        </is>
      </c>
      <c r="D123" s="1" t="n">
        <v>45812</v>
      </c>
      <c r="E123" s="1" t="n">
        <v>46315</v>
      </c>
      <c r="F123" t="inlineStr">
        <is>
          <t>KALMAR LÄN</t>
        </is>
      </c>
      <c r="G123" t="inlineStr">
        <is>
          <t>BORGHOLM</t>
        </is>
      </c>
      <c r="H123" t="inlineStr">
        <is>
          <t>Sveaskog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7669-2024</t>
        </is>
      </c>
      <c r="B124" t="inlineStr">
        <is>
          <t>avverkningsanmälan</t>
        </is>
      </c>
      <c r="C124" t="inlineStr">
        <is>
          <t>Föryngringsavverkning</t>
        </is>
      </c>
      <c r="D124" s="1" t="n">
        <v>45348</v>
      </c>
      <c r="E124" s="1" t="n">
        <v>46315</v>
      </c>
      <c r="F124" t="inlineStr">
        <is>
          <t>KALMAR LÄN</t>
        </is>
      </c>
      <c r="G124" t="inlineStr">
        <is>
          <t>BORGHOLM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46315</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24323-2026</t>
        </is>
      </c>
      <c r="B126" t="inlineStr">
        <is>
          <t>avverkningsanmälan</t>
        </is>
      </c>
      <c r="C126" t="inlineStr">
        <is>
          <t>Föryngringsavverkning</t>
        </is>
      </c>
      <c r="D126" s="1" t="n">
        <v>46169</v>
      </c>
      <c r="E126" s="1" t="n">
        <v>46315</v>
      </c>
      <c r="F126" t="inlineStr">
        <is>
          <t>KALMAR LÄN</t>
        </is>
      </c>
      <c r="G126" t="inlineStr">
        <is>
          <t>BORGHOLM</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34780-2022</t>
        </is>
      </c>
      <c r="B127" t="inlineStr">
        <is>
          <t>avverkningsanmälan</t>
        </is>
      </c>
      <c r="C127" t="inlineStr">
        <is>
          <t>Föryngringsavverkning</t>
        </is>
      </c>
      <c r="D127" s="1" t="n">
        <v>44795</v>
      </c>
      <c r="E127" s="1" t="n">
        <v>46315</v>
      </c>
      <c r="F127" t="inlineStr">
        <is>
          <t>KALMAR LÄN</t>
        </is>
      </c>
      <c r="G127" t="inlineStr">
        <is>
          <t>BORGHOLM</t>
        </is>
      </c>
      <c r="H127" t="inlineStr">
        <is>
          <t>Sveaskog</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55367-2024</t>
        </is>
      </c>
      <c r="B128" t="inlineStr">
        <is>
          <t>avverkningsanmälan</t>
        </is>
      </c>
      <c r="C128" t="inlineStr">
        <is>
          <t>Föryngringsavverkning</t>
        </is>
      </c>
      <c r="D128" s="1" t="n">
        <v>45621</v>
      </c>
      <c r="E128" s="1" t="n">
        <v>46315</v>
      </c>
      <c r="F128" t="inlineStr">
        <is>
          <t>KALMAR LÄN</t>
        </is>
      </c>
      <c r="G128" t="inlineStr">
        <is>
          <t>BORGHOLM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20287-2025</t>
        </is>
      </c>
      <c r="B129" t="inlineStr">
        <is>
          <t>avverkningsanmälan</t>
        </is>
      </c>
      <c r="C129" t="inlineStr">
        <is>
          <t>Avverkning för att bevara och utveckla /försöksver</t>
        </is>
      </c>
      <c r="D129" s="1" t="n">
        <v>45774</v>
      </c>
      <c r="E129" s="1" t="n">
        <v>46315</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46315</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32919-2023</t>
        </is>
      </c>
      <c r="B131" t="inlineStr">
        <is>
          <t>avverkningsanmälan</t>
        </is>
      </c>
      <c r="C131" t="inlineStr">
        <is>
          <t>Föryngringsavverkning</t>
        </is>
      </c>
      <c r="D131" s="1" t="n">
        <v>45125</v>
      </c>
      <c r="E131" s="1" t="n">
        <v>46315</v>
      </c>
      <c r="F131" t="inlineStr">
        <is>
          <t>KALMAR LÄN</t>
        </is>
      </c>
      <c r="G131" t="inlineStr">
        <is>
          <t>BORGHOLM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9259-2026</t>
        </is>
      </c>
      <c r="B132" t="inlineStr">
        <is>
          <t>avverkningsanmälan</t>
        </is>
      </c>
      <c r="C132" t="inlineStr">
        <is>
          <t>Föryngringsavverkning</t>
        </is>
      </c>
      <c r="D132" s="1" t="n">
        <v>46070</v>
      </c>
      <c r="E132" s="1" t="n">
        <v>46315</v>
      </c>
      <c r="F132" t="inlineStr">
        <is>
          <t>KALMAR LÄN</t>
        </is>
      </c>
      <c r="G132" t="inlineStr">
        <is>
          <t>BORGHOLM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34951-2022</t>
        </is>
      </c>
      <c r="B133" t="inlineStr">
        <is>
          <t>avverkningsanmälan</t>
        </is>
      </c>
      <c r="C133" t="inlineStr">
        <is>
          <t>Avverkning för att bevara och utveckla /försöksver</t>
        </is>
      </c>
      <c r="D133" s="1" t="n">
        <v>44796</v>
      </c>
      <c r="E133" s="1" t="n">
        <v>46315</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46315</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28380-2026</t>
        </is>
      </c>
      <c r="B135" t="inlineStr">
        <is>
          <t>avverkningsanmälan</t>
        </is>
      </c>
      <c r="C135" t="inlineStr">
        <is>
          <t>Avverkning för att bevara och utveckla /försöksver</t>
        </is>
      </c>
      <c r="D135" s="1" t="n">
        <v>46196</v>
      </c>
      <c r="E135" s="1" t="n">
        <v>46315</v>
      </c>
      <c r="F135" t="inlineStr">
        <is>
          <t>KALMAR LÄN</t>
        </is>
      </c>
      <c r="G135" t="inlineStr">
        <is>
          <t>BORGHOLM</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15272-2026</t>
        </is>
      </c>
      <c r="B136" t="inlineStr">
        <is>
          <t>avverkningsanmälan</t>
        </is>
      </c>
      <c r="C136" t="inlineStr">
        <is>
          <t>Avverkning för att bevara och utveckla /försöksver</t>
        </is>
      </c>
      <c r="D136" s="1" t="n">
        <v>46105</v>
      </c>
      <c r="E136" s="1" t="n">
        <v>46315</v>
      </c>
      <c r="F136" t="inlineStr">
        <is>
          <t>KALMAR LÄN</t>
        </is>
      </c>
      <c r="G136" t="inlineStr">
        <is>
          <t>BORGHOLM</t>
        </is>
      </c>
      <c r="H136" t="inlineStr">
        <is>
          <t>Sveaskog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15264-2026</t>
        </is>
      </c>
      <c r="B137" t="inlineStr">
        <is>
          <t>avverkningsanmälan</t>
        </is>
      </c>
      <c r="C137" t="inlineStr">
        <is>
          <t>Avverkning för att bevara och utveckla /försöksver</t>
        </is>
      </c>
      <c r="D137" s="1" t="n">
        <v>46105</v>
      </c>
      <c r="E137" s="1" t="n">
        <v>46315</v>
      </c>
      <c r="F137" t="inlineStr">
        <is>
          <t>KALMAR LÄN</t>
        </is>
      </c>
      <c r="G137" t="inlineStr">
        <is>
          <t>BORGHOLM</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28381-2026</t>
        </is>
      </c>
      <c r="B138" t="inlineStr">
        <is>
          <t>avverkningsanmälan</t>
        </is>
      </c>
      <c r="C138" t="inlineStr">
        <is>
          <t>Avverkning för att bevara och utveckla /försöksver</t>
        </is>
      </c>
      <c r="D138" s="1" t="n">
        <v>46196</v>
      </c>
      <c r="E138" s="1" t="n">
        <v>46315</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28411-2026</t>
        </is>
      </c>
      <c r="B139" t="inlineStr">
        <is>
          <t>avverkningsanmälan</t>
        </is>
      </c>
      <c r="C139" t="inlineStr">
        <is>
          <t>Avverkning för att bevara och utveckla /försöksver</t>
        </is>
      </c>
      <c r="D139" s="1" t="n">
        <v>46197</v>
      </c>
      <c r="E139" s="1" t="n">
        <v>46315</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29413-2026</t>
        </is>
      </c>
      <c r="B140" t="inlineStr">
        <is>
          <t>avverkningsanmälan</t>
        </is>
      </c>
      <c r="C140" t="inlineStr">
        <is>
          <t>Avverkning för att bevara och utveckla /försöksver</t>
        </is>
      </c>
      <c r="D140" s="1" t="n">
        <v>46203</v>
      </c>
      <c r="E140" s="1" t="n">
        <v>46315</v>
      </c>
      <c r="F140" t="inlineStr">
        <is>
          <t>KALMAR LÄN</t>
        </is>
      </c>
      <c r="G140" t="inlineStr">
        <is>
          <t>BORGHOLM</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29414-2026</t>
        </is>
      </c>
      <c r="B141" t="inlineStr">
        <is>
          <t>avverkningsanmälan</t>
        </is>
      </c>
      <c r="C141" t="inlineStr">
        <is>
          <t>Avverkning för att bevara och utveckla /försöksver</t>
        </is>
      </c>
      <c r="D141" s="1" t="n">
        <v>46203</v>
      </c>
      <c r="E141" s="1" t="n">
        <v>46315</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29431-2026</t>
        </is>
      </c>
      <c r="B142" t="inlineStr">
        <is>
          <t>avverkningsanmälan</t>
        </is>
      </c>
      <c r="C142" t="inlineStr">
        <is>
          <t>Avverkning för att bevara och utveckla /försöksver</t>
        </is>
      </c>
      <c r="D142" s="1" t="n">
        <v>46203</v>
      </c>
      <c r="E142" s="1" t="n">
        <v>46315</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29410-2026</t>
        </is>
      </c>
      <c r="B143" t="inlineStr">
        <is>
          <t>avverkningsanmälan</t>
        </is>
      </c>
      <c r="C143" t="inlineStr">
        <is>
          <t>Avverkning för att bevara och utveckla /försöksver</t>
        </is>
      </c>
      <c r="D143" s="1" t="n">
        <v>46203</v>
      </c>
      <c r="E143" s="1" t="n">
        <v>46315</v>
      </c>
      <c r="F143" t="inlineStr">
        <is>
          <t>KALMAR LÄN</t>
        </is>
      </c>
      <c r="G143" t="inlineStr">
        <is>
          <t>BORGHOLM</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3878-2023</t>
        </is>
      </c>
      <c r="B144" t="inlineStr">
        <is>
          <t>avverkningsanmälan</t>
        </is>
      </c>
      <c r="C144" t="inlineStr">
        <is>
          <t>Föryngringsavverkning</t>
        </is>
      </c>
      <c r="D144" s="1" t="n">
        <v>44951</v>
      </c>
      <c r="E144" s="1" t="n">
        <v>46315</v>
      </c>
      <c r="F144" t="inlineStr">
        <is>
          <t>KALMAR LÄN</t>
        </is>
      </c>
      <c r="G144" t="inlineStr">
        <is>
          <t>BORGHOLM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46315</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12937-2022</t>
        </is>
      </c>
      <c r="B146" t="inlineStr">
        <is>
          <t>avverkningsanmälan</t>
        </is>
      </c>
      <c r="C146" t="inlineStr">
        <is>
          <t>Föryngringsavverkning</t>
        </is>
      </c>
      <c r="D146" s="1" t="n">
        <v>44642</v>
      </c>
      <c r="E146" s="1" t="n">
        <v>46315</v>
      </c>
      <c r="F146" t="inlineStr">
        <is>
          <t>KALMAR LÄN</t>
        </is>
      </c>
      <c r="G146" t="inlineStr">
        <is>
          <t>BORGHOLM</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46315</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46315</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1614-2025</t>
        </is>
      </c>
      <c r="B149" t="inlineStr">
        <is>
          <t>avverkningsanmälan</t>
        </is>
      </c>
      <c r="C149" t="inlineStr">
        <is>
          <t>Föryngringsavverkning</t>
        </is>
      </c>
      <c r="D149" s="1" t="n">
        <v>45670</v>
      </c>
      <c r="E149" s="1" t="n">
        <v>46315</v>
      </c>
      <c r="F149" t="inlineStr">
        <is>
          <t>KALMAR LÄN</t>
        </is>
      </c>
      <c r="G149" t="inlineStr">
        <is>
          <t>BORGHOLM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9050-2025</t>
        </is>
      </c>
      <c r="B150" t="inlineStr">
        <is>
          <t>avverkningsanmälan</t>
        </is>
      </c>
      <c r="C150" t="inlineStr">
        <is>
          <t>Avverkning för att bevara och utveckla /försöksver</t>
        </is>
      </c>
      <c r="D150" s="1" t="n">
        <v>45713</v>
      </c>
      <c r="E150" s="1" t="n">
        <v>46315</v>
      </c>
      <c r="F150" t="inlineStr">
        <is>
          <t>KALMAR LÄN</t>
        </is>
      </c>
      <c r="G150" t="inlineStr">
        <is>
          <t>BORGHOLM</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24338-2026</t>
        </is>
      </c>
      <c r="B151" t="inlineStr">
        <is>
          <t>avverkningsanmälan</t>
        </is>
      </c>
      <c r="C151" t="inlineStr">
        <is>
          <t>Avverkning för att bevara och utveckla /försöksver</t>
        </is>
      </c>
      <c r="D151" s="1" t="n">
        <v>46169</v>
      </c>
      <c r="E151" s="1" t="n">
        <v>46315</v>
      </c>
      <c r="F151" t="inlineStr">
        <is>
          <t>KALMAR LÄN</t>
        </is>
      </c>
      <c r="G151" t="inlineStr">
        <is>
          <t>BORGHOLM</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22785-2025</t>
        </is>
      </c>
      <c r="B152" t="inlineStr">
        <is>
          <t>avverkningsanmälan</t>
        </is>
      </c>
      <c r="C152" t="inlineStr">
        <is>
          <t>Föryngringsavverkning</t>
        </is>
      </c>
      <c r="D152" s="1" t="n">
        <v>45789</v>
      </c>
      <c r="E152" s="1" t="n">
        <v>46315</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40339-2023</t>
        </is>
      </c>
      <c r="B153" t="inlineStr">
        <is>
          <t>avverkningsanmälan</t>
        </is>
      </c>
      <c r="C153" t="inlineStr">
        <is>
          <t>Föryngringsavverkning</t>
        </is>
      </c>
      <c r="D153" s="1" t="n">
        <v>45169</v>
      </c>
      <c r="E153" s="1" t="n">
        <v>46315</v>
      </c>
      <c r="F153" t="inlineStr">
        <is>
          <t>KALMAR LÄN</t>
        </is>
      </c>
      <c r="G153" t="inlineStr">
        <is>
          <t>BORGHOLM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26190-2025</t>
        </is>
      </c>
      <c r="B154" t="inlineStr">
        <is>
          <t>avverkningsanmälan</t>
        </is>
      </c>
      <c r="C154" t="inlineStr">
        <is>
          <t>Föryngringsavverkning</t>
        </is>
      </c>
      <c r="D154" s="1" t="n">
        <v>45805</v>
      </c>
      <c r="E154" s="1" t="n">
        <v>46315</v>
      </c>
      <c r="F154" t="inlineStr">
        <is>
          <t>KALMAR LÄN</t>
        </is>
      </c>
      <c r="G154" t="inlineStr">
        <is>
          <t>BORGHOLM</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36269-2025</t>
        </is>
      </c>
      <c r="B155" t="inlineStr">
        <is>
          <t>avverkningsanmälan</t>
        </is>
      </c>
      <c r="C155" t="inlineStr">
        <is>
          <t>Föryngringsavverkning</t>
        </is>
      </c>
      <c r="D155" s="1" t="n">
        <v>45867</v>
      </c>
      <c r="E155" s="1" t="n">
        <v>46315</v>
      </c>
      <c r="F155" t="inlineStr">
        <is>
          <t>KALMAR LÄN</t>
        </is>
      </c>
      <c r="G155" t="inlineStr">
        <is>
          <t>BORGHOLM</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46315</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46315</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46315</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46315</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46315</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46315</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46315</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46315</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46315</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46315</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46315</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46315</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46315</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46315</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46315</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2026-10-20T01:50:56Z</dcterms:created>
  <dcterms:modified xmlns:dcterms="http://purl.org/dc/terms/" xmlns:xsi="http://www.w3.org/2001/XMLSchema-instance" xsi:type="dcterms:W3CDTF">2026-10-20T01:50:56Z</dcterms:modified>
</cp:coreProperties>
</file>