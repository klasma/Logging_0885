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46128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46128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46128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46128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46128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46128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46128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46128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46128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46128</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46128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46128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46128</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46128</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46128</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46128</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46128</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46128</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32174-2022</t>
        </is>
      </c>
      <c r="B20" s="1" t="n">
        <v>44781</v>
      </c>
      <c r="C20" s="1" t="n">
        <v>46128</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46128</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46128</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60140-2025</t>
        </is>
      </c>
      <c r="B23" s="1" t="n">
        <v>45994.36274305556</v>
      </c>
      <c r="C23" s="1" t="n">
        <v>46128</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46128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46128</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46128</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46128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15285-2026</t>
        </is>
      </c>
      <c r="B28" s="1" t="n">
        <v>46105.6156712963</v>
      </c>
      <c r="C28" s="1" t="n">
        <v>46128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Havsörn
Talltita</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9253-2026</t>
        </is>
      </c>
      <c r="B29" s="1" t="n">
        <v>46070.51003472223</v>
      </c>
      <c r="C29" s="1" t="n">
        <v>46128</v>
      </c>
      <c r="D29" t="inlineStr">
        <is>
          <t>KALMAR LÄN</t>
        </is>
      </c>
      <c r="E29" t="inlineStr">
        <is>
          <t>BORGHOLM</t>
        </is>
      </c>
      <c r="G29" t="n">
        <v>1.1</v>
      </c>
      <c r="H29" t="n">
        <v>1</v>
      </c>
      <c r="I29" t="n">
        <v>1</v>
      </c>
      <c r="J29" t="n">
        <v>0</v>
      </c>
      <c r="K29" t="n">
        <v>0</v>
      </c>
      <c r="L29" t="n">
        <v>0</v>
      </c>
      <c r="M29" t="n">
        <v>0</v>
      </c>
      <c r="N29" t="n">
        <v>0</v>
      </c>
      <c r="O29" t="n">
        <v>0</v>
      </c>
      <c r="P29" t="n">
        <v>0</v>
      </c>
      <c r="Q29" t="n">
        <v>2</v>
      </c>
      <c r="R29" s="2" t="inlineStr">
        <is>
          <t>Murgröna
Gullviva</t>
        </is>
      </c>
      <c r="S29">
        <f>HYPERLINK("https://klasma.github.io/Logging_0885/artfynd/A 9253-2026 artfynd.xlsx", "A 9253-2026")</f>
        <v/>
      </c>
      <c r="T29">
        <f>HYPERLINK("https://klasma.github.io/Logging_0885/kartor/A 9253-2026 karta.png", "A 9253-2026")</f>
        <v/>
      </c>
      <c r="V29">
        <f>HYPERLINK("https://klasma.github.io/Logging_0885/klagomål/A 9253-2026 FSC-klagomål.docx", "A 9253-2026")</f>
        <v/>
      </c>
      <c r="W29">
        <f>HYPERLINK("https://klasma.github.io/Logging_0885/klagomålsmail/A 9253-2026 FSC-klagomål mail.docx", "A 9253-2026")</f>
        <v/>
      </c>
      <c r="X29">
        <f>HYPERLINK("https://klasma.github.io/Logging_0885/tillsyn/A 9253-2026 tillsynsbegäran.docx", "A 9253-2026")</f>
        <v/>
      </c>
      <c r="Y29">
        <f>HYPERLINK("https://klasma.github.io/Logging_0885/tillsynsmail/A 9253-2026 tillsynsbegäran mail.docx", "A 9253-2026")</f>
        <v/>
      </c>
    </row>
    <row r="30" ht="15" customHeight="1">
      <c r="A30" t="inlineStr">
        <is>
          <t>A 31790-2021</t>
        </is>
      </c>
      <c r="B30" s="1" t="n">
        <v>44370</v>
      </c>
      <c r="C30" s="1" t="n">
        <v>46128</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46128</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13558-2025</t>
        </is>
      </c>
      <c r="B32" s="1" t="n">
        <v>45736.54974537037</v>
      </c>
      <c r="C32" s="1" t="n">
        <v>46128</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24701-2023</t>
        </is>
      </c>
      <c r="B33" s="1" t="n">
        <v>45084</v>
      </c>
      <c r="C33" s="1" t="n">
        <v>46128</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24048-2025</t>
        </is>
      </c>
      <c r="B34" s="1" t="n">
        <v>45796.4959375</v>
      </c>
      <c r="C34" s="1" t="n">
        <v>46128</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46128</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43603-2024</t>
        </is>
      </c>
      <c r="B36" s="1" t="n">
        <v>45569.44700231482</v>
      </c>
      <c r="C36" s="1" t="n">
        <v>46128</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28785-2025</t>
        </is>
      </c>
      <c r="B37" s="1" t="n">
        <v>45820.46159722222</v>
      </c>
      <c r="C37" s="1" t="n">
        <v>46128</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45693-2025</t>
        </is>
      </c>
      <c r="B38" s="1" t="n">
        <v>45923</v>
      </c>
      <c r="C38" s="1" t="n">
        <v>46128</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29962-2025</t>
        </is>
      </c>
      <c r="B39" s="1" t="n">
        <v>45826.48184027777</v>
      </c>
      <c r="C39" s="1" t="n">
        <v>46128</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24704-2023</t>
        </is>
      </c>
      <c r="B40" s="1" t="n">
        <v>45084</v>
      </c>
      <c r="C40" s="1" t="n">
        <v>46128</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34885-2025</t>
        </is>
      </c>
      <c r="B41" s="1" t="n">
        <v>45849.47128472223</v>
      </c>
      <c r="C41" s="1" t="n">
        <v>46128</v>
      </c>
      <c r="D41" t="inlineStr">
        <is>
          <t>KALMAR LÄN</t>
        </is>
      </c>
      <c r="E41" t="inlineStr">
        <is>
          <t>BORGHOLM</t>
        </is>
      </c>
      <c r="G41" t="n">
        <v>4.4</v>
      </c>
      <c r="H41" t="n">
        <v>0</v>
      </c>
      <c r="I41" t="n">
        <v>0</v>
      </c>
      <c r="J41" t="n">
        <v>1</v>
      </c>
      <c r="K41" t="n">
        <v>0</v>
      </c>
      <c r="L41" t="n">
        <v>0</v>
      </c>
      <c r="M41" t="n">
        <v>0</v>
      </c>
      <c r="N41" t="n">
        <v>0</v>
      </c>
      <c r="O41" t="n">
        <v>1</v>
      </c>
      <c r="P41" t="n">
        <v>0</v>
      </c>
      <c r="Q41" t="n">
        <v>1</v>
      </c>
      <c r="R41" s="2" t="inlineStr">
        <is>
          <t>Backfryle</t>
        </is>
      </c>
      <c r="S41">
        <f>HYPERLINK("https://klasma.github.io/Logging_0885/artfynd/A 34885-2025 artfynd.xlsx", "A 34885-2025")</f>
        <v/>
      </c>
      <c r="T41">
        <f>HYPERLINK("https://klasma.github.io/Logging_0885/kartor/A 34885-2025 karta.png", "A 34885-2025")</f>
        <v/>
      </c>
      <c r="V41">
        <f>HYPERLINK("https://klasma.github.io/Logging_0885/klagomål/A 34885-2025 FSC-klagomål.docx", "A 34885-2025")</f>
        <v/>
      </c>
      <c r="W41">
        <f>HYPERLINK("https://klasma.github.io/Logging_0885/klagomålsmail/A 34885-2025 FSC-klagomål mail.docx", "A 34885-2025")</f>
        <v/>
      </c>
      <c r="X41">
        <f>HYPERLINK("https://klasma.github.io/Logging_0885/tillsyn/A 34885-2025 tillsynsbegäran.docx", "A 34885-2025")</f>
        <v/>
      </c>
      <c r="Y41">
        <f>HYPERLINK("https://klasma.github.io/Logging_0885/tillsynsmail/A 34885-2025 tillsynsbegäran mail.docx", "A 34885-2025")</f>
        <v/>
      </c>
    </row>
    <row r="42" ht="15" customHeight="1">
      <c r="A42" t="inlineStr">
        <is>
          <t>A 9745-2023</t>
        </is>
      </c>
      <c r="B42" s="1" t="n">
        <v>44984</v>
      </c>
      <c r="C42" s="1" t="n">
        <v>46128</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3302-2026</t>
        </is>
      </c>
      <c r="B43" s="1" t="n">
        <v>46041</v>
      </c>
      <c r="C43" s="1" t="n">
        <v>46128</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46128</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46128</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46128</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46128</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46128</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46128</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46128</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46128</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46128</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46128</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46128</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46128</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61438-2023</t>
        </is>
      </c>
      <c r="B56" s="1" t="n">
        <v>45264</v>
      </c>
      <c r="C56" s="1" t="n">
        <v>46128</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53050-2021</t>
        </is>
      </c>
      <c r="B57" s="1" t="n">
        <v>44467</v>
      </c>
      <c r="C57" s="1" t="n">
        <v>46128</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13041-2024</t>
        </is>
      </c>
      <c r="B58" s="1" t="n">
        <v>45385.60065972222</v>
      </c>
      <c r="C58" s="1" t="n">
        <v>46128</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46128</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31720-2022</t>
        </is>
      </c>
      <c r="B60" s="1" t="n">
        <v>44776</v>
      </c>
      <c r="C60" s="1" t="n">
        <v>46128</v>
      </c>
      <c r="D60" t="inlineStr">
        <is>
          <t>KALMAR LÄN</t>
        </is>
      </c>
      <c r="E60" t="inlineStr">
        <is>
          <t>BORGHOLM</t>
        </is>
      </c>
      <c r="F60" t="inlineStr">
        <is>
          <t>Sveaskog</t>
        </is>
      </c>
      <c r="G60" t="n">
        <v>4.5</v>
      </c>
      <c r="H60" t="n">
        <v>0</v>
      </c>
      <c r="I60" t="n">
        <v>0</v>
      </c>
      <c r="J60" t="n">
        <v>0</v>
      </c>
      <c r="K60" t="n">
        <v>0</v>
      </c>
      <c r="L60" t="n">
        <v>0</v>
      </c>
      <c r="M60" t="n">
        <v>0</v>
      </c>
      <c r="N60" t="n">
        <v>0</v>
      </c>
      <c r="O60" t="n">
        <v>0</v>
      </c>
      <c r="P60" t="n">
        <v>0</v>
      </c>
      <c r="Q60" t="n">
        <v>0</v>
      </c>
      <c r="R60" s="2" t="inlineStr"/>
    </row>
    <row r="61" ht="15" customHeight="1">
      <c r="A61" t="inlineStr">
        <is>
          <t>A 29656-2023</t>
        </is>
      </c>
      <c r="B61" s="1" t="n">
        <v>45107</v>
      </c>
      <c r="C61" s="1" t="n">
        <v>46128</v>
      </c>
      <c r="D61" t="inlineStr">
        <is>
          <t>KALMAR LÄN</t>
        </is>
      </c>
      <c r="E61" t="inlineStr">
        <is>
          <t>BORGHOLM</t>
        </is>
      </c>
      <c r="G61" t="n">
        <v>4.1</v>
      </c>
      <c r="H61" t="n">
        <v>0</v>
      </c>
      <c r="I61" t="n">
        <v>0</v>
      </c>
      <c r="J61" t="n">
        <v>0</v>
      </c>
      <c r="K61" t="n">
        <v>0</v>
      </c>
      <c r="L61" t="n">
        <v>0</v>
      </c>
      <c r="M61" t="n">
        <v>0</v>
      </c>
      <c r="N61" t="n">
        <v>0</v>
      </c>
      <c r="O61" t="n">
        <v>0</v>
      </c>
      <c r="P61" t="n">
        <v>0</v>
      </c>
      <c r="Q61" t="n">
        <v>0</v>
      </c>
      <c r="R61" s="2" t="inlineStr"/>
    </row>
    <row r="62" ht="15" customHeight="1">
      <c r="A62" t="inlineStr">
        <is>
          <t>A 1614-2025</t>
        </is>
      </c>
      <c r="B62" s="1" t="n">
        <v>45670.60094907408</v>
      </c>
      <c r="C62" s="1" t="n">
        <v>46128</v>
      </c>
      <c r="D62" t="inlineStr">
        <is>
          <t>KALMAR LÄN</t>
        </is>
      </c>
      <c r="E62" t="inlineStr">
        <is>
          <t>BORGHOLM</t>
        </is>
      </c>
      <c r="G62" t="n">
        <v>1.4</v>
      </c>
      <c r="H62" t="n">
        <v>0</v>
      </c>
      <c r="I62" t="n">
        <v>0</v>
      </c>
      <c r="J62" t="n">
        <v>0</v>
      </c>
      <c r="K62" t="n">
        <v>0</v>
      </c>
      <c r="L62" t="n">
        <v>0</v>
      </c>
      <c r="M62" t="n">
        <v>0</v>
      </c>
      <c r="N62" t="n">
        <v>0</v>
      </c>
      <c r="O62" t="n">
        <v>0</v>
      </c>
      <c r="P62" t="n">
        <v>0</v>
      </c>
      <c r="Q62" t="n">
        <v>0</v>
      </c>
      <c r="R62" s="2" t="inlineStr"/>
    </row>
    <row r="63" ht="15" customHeight="1">
      <c r="A63" t="inlineStr">
        <is>
          <t>A 63276-2023</t>
        </is>
      </c>
      <c r="B63" s="1" t="n">
        <v>45273.82195601852</v>
      </c>
      <c r="C63" s="1" t="n">
        <v>46128</v>
      </c>
      <c r="D63" t="inlineStr">
        <is>
          <t>KALMAR LÄN</t>
        </is>
      </c>
      <c r="E63" t="inlineStr">
        <is>
          <t>BORGHOLM</t>
        </is>
      </c>
      <c r="G63" t="n">
        <v>5</v>
      </c>
      <c r="H63" t="n">
        <v>0</v>
      </c>
      <c r="I63" t="n">
        <v>0</v>
      </c>
      <c r="J63" t="n">
        <v>0</v>
      </c>
      <c r="K63" t="n">
        <v>0</v>
      </c>
      <c r="L63" t="n">
        <v>0</v>
      </c>
      <c r="M63" t="n">
        <v>0</v>
      </c>
      <c r="N63" t="n">
        <v>0</v>
      </c>
      <c r="O63" t="n">
        <v>0</v>
      </c>
      <c r="P63" t="n">
        <v>0</v>
      </c>
      <c r="Q63" t="n">
        <v>0</v>
      </c>
      <c r="R63" s="2" t="inlineStr"/>
    </row>
    <row r="64" ht="15" customHeight="1">
      <c r="A64" t="inlineStr">
        <is>
          <t>A 4165-2023</t>
        </is>
      </c>
      <c r="B64" s="1" t="n">
        <v>44953</v>
      </c>
      <c r="C64" s="1" t="n">
        <v>46128</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31699-2022</t>
        </is>
      </c>
      <c r="B65" s="1" t="n">
        <v>44776</v>
      </c>
      <c r="C65" s="1" t="n">
        <v>46128</v>
      </c>
      <c r="D65" t="inlineStr">
        <is>
          <t>KALMAR LÄN</t>
        </is>
      </c>
      <c r="E65" t="inlineStr">
        <is>
          <t>BORGHOLM</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9044-2025</t>
        </is>
      </c>
      <c r="B66" s="1" t="n">
        <v>45713.6275</v>
      </c>
      <c r="C66" s="1" t="n">
        <v>46128</v>
      </c>
      <c r="D66" t="inlineStr">
        <is>
          <t>KALMAR LÄN</t>
        </is>
      </c>
      <c r="E66" t="inlineStr">
        <is>
          <t>BORGHOLM</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9050-2025</t>
        </is>
      </c>
      <c r="B67" s="1" t="n">
        <v>45713.63512731482</v>
      </c>
      <c r="C67" s="1" t="n">
        <v>46128</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13548-2025</t>
        </is>
      </c>
      <c r="B68" s="1" t="n">
        <v>45736.53827546296</v>
      </c>
      <c r="C68" s="1" t="n">
        <v>46128</v>
      </c>
      <c r="D68" t="inlineStr">
        <is>
          <t>KALMAR LÄN</t>
        </is>
      </c>
      <c r="E68" t="inlineStr">
        <is>
          <t>BORGHOLM</t>
        </is>
      </c>
      <c r="G68" t="n">
        <v>1</v>
      </c>
      <c r="H68" t="n">
        <v>0</v>
      </c>
      <c r="I68" t="n">
        <v>0</v>
      </c>
      <c r="J68" t="n">
        <v>0</v>
      </c>
      <c r="K68" t="n">
        <v>0</v>
      </c>
      <c r="L68" t="n">
        <v>0</v>
      </c>
      <c r="M68" t="n">
        <v>0</v>
      </c>
      <c r="N68" t="n">
        <v>0</v>
      </c>
      <c r="O68" t="n">
        <v>0</v>
      </c>
      <c r="P68" t="n">
        <v>0</v>
      </c>
      <c r="Q68" t="n">
        <v>0</v>
      </c>
      <c r="R68" s="2" t="inlineStr"/>
    </row>
    <row r="69" ht="15" customHeight="1">
      <c r="A69" t="inlineStr">
        <is>
          <t>A 13043-2024</t>
        </is>
      </c>
      <c r="B69" s="1" t="n">
        <v>45385.60111111111</v>
      </c>
      <c r="C69" s="1" t="n">
        <v>46128</v>
      </c>
      <c r="D69" t="inlineStr">
        <is>
          <t>KALMAR LÄN</t>
        </is>
      </c>
      <c r="E69" t="inlineStr">
        <is>
          <t>BORGHOLM</t>
        </is>
      </c>
      <c r="G69" t="n">
        <v>0.4</v>
      </c>
      <c r="H69" t="n">
        <v>0</v>
      </c>
      <c r="I69" t="n">
        <v>0</v>
      </c>
      <c r="J69" t="n">
        <v>0</v>
      </c>
      <c r="K69" t="n">
        <v>0</v>
      </c>
      <c r="L69" t="n">
        <v>0</v>
      </c>
      <c r="M69" t="n">
        <v>0</v>
      </c>
      <c r="N69" t="n">
        <v>0</v>
      </c>
      <c r="O69" t="n">
        <v>0</v>
      </c>
      <c r="P69" t="n">
        <v>0</v>
      </c>
      <c r="Q69" t="n">
        <v>0</v>
      </c>
      <c r="R69" s="2" t="inlineStr"/>
    </row>
    <row r="70" ht="15" customHeight="1">
      <c r="A70" t="inlineStr">
        <is>
          <t>A 32921-2023</t>
        </is>
      </c>
      <c r="B70" s="1" t="n">
        <v>45125</v>
      </c>
      <c r="C70" s="1" t="n">
        <v>46128</v>
      </c>
      <c r="D70" t="inlineStr">
        <is>
          <t>KALMAR LÄN</t>
        </is>
      </c>
      <c r="E70" t="inlineStr">
        <is>
          <t>BORGHOLM</t>
        </is>
      </c>
      <c r="G70" t="n">
        <v>2.9</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46128</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46128</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31840-2021</t>
        </is>
      </c>
      <c r="B73" s="1" t="n">
        <v>44370</v>
      </c>
      <c r="C73" s="1" t="n">
        <v>46128</v>
      </c>
      <c r="D73" t="inlineStr">
        <is>
          <t>KALMAR LÄN</t>
        </is>
      </c>
      <c r="E73" t="inlineStr">
        <is>
          <t>BORGHOLM</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46128</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44678-2022</t>
        </is>
      </c>
      <c r="B75" s="1" t="n">
        <v>44840.65100694444</v>
      </c>
      <c r="C75" s="1" t="n">
        <v>46128</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43542-2025</t>
        </is>
      </c>
      <c r="B76" s="1" t="n">
        <v>45911.61123842592</v>
      </c>
      <c r="C76" s="1" t="n">
        <v>46128</v>
      </c>
      <c r="D76" t="inlineStr">
        <is>
          <t>KALMAR LÄN</t>
        </is>
      </c>
      <c r="E76" t="inlineStr">
        <is>
          <t>BORGHOLM</t>
        </is>
      </c>
      <c r="G76" t="n">
        <v>2.4</v>
      </c>
      <c r="H76" t="n">
        <v>0</v>
      </c>
      <c r="I76" t="n">
        <v>0</v>
      </c>
      <c r="J76" t="n">
        <v>0</v>
      </c>
      <c r="K76" t="n">
        <v>0</v>
      </c>
      <c r="L76" t="n">
        <v>0</v>
      </c>
      <c r="M76" t="n">
        <v>0</v>
      </c>
      <c r="N76" t="n">
        <v>0</v>
      </c>
      <c r="O76" t="n">
        <v>0</v>
      </c>
      <c r="P76" t="n">
        <v>0</v>
      </c>
      <c r="Q76" t="n">
        <v>0</v>
      </c>
      <c r="R76" s="2" t="inlineStr"/>
    </row>
    <row r="77" ht="15" customHeight="1">
      <c r="A77" t="inlineStr">
        <is>
          <t>A 22785-2025</t>
        </is>
      </c>
      <c r="B77" s="1" t="n">
        <v>45789.64186342592</v>
      </c>
      <c r="C77" s="1" t="n">
        <v>46128</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12534-2022</t>
        </is>
      </c>
      <c r="B78" s="1" t="n">
        <v>44638</v>
      </c>
      <c r="C78" s="1" t="n">
        <v>46128</v>
      </c>
      <c r="D78" t="inlineStr">
        <is>
          <t>KALMAR LÄN</t>
        </is>
      </c>
      <c r="E78" t="inlineStr">
        <is>
          <t>BORGHOLM</t>
        </is>
      </c>
      <c r="G78" t="n">
        <v>8.6</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46128</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46128</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40339-2023</t>
        </is>
      </c>
      <c r="B81" s="1" t="n">
        <v>45169.62733796296</v>
      </c>
      <c r="C81" s="1" t="n">
        <v>46128</v>
      </c>
      <c r="D81" t="inlineStr">
        <is>
          <t>KALMAR LÄN</t>
        </is>
      </c>
      <c r="E81" t="inlineStr">
        <is>
          <t>BORGHOLM</t>
        </is>
      </c>
      <c r="G81" t="n">
        <v>3.8</v>
      </c>
      <c r="H81" t="n">
        <v>0</v>
      </c>
      <c r="I81" t="n">
        <v>0</v>
      </c>
      <c r="J81" t="n">
        <v>0</v>
      </c>
      <c r="K81" t="n">
        <v>0</v>
      </c>
      <c r="L81" t="n">
        <v>0</v>
      </c>
      <c r="M81" t="n">
        <v>0</v>
      </c>
      <c r="N81" t="n">
        <v>0</v>
      </c>
      <c r="O81" t="n">
        <v>0</v>
      </c>
      <c r="P81" t="n">
        <v>0</v>
      </c>
      <c r="Q81" t="n">
        <v>0</v>
      </c>
      <c r="R81" s="2" t="inlineStr"/>
    </row>
    <row r="82" ht="15" customHeight="1">
      <c r="A82" t="inlineStr">
        <is>
          <t>A 64303-2023</t>
        </is>
      </c>
      <c r="B82" s="1" t="n">
        <v>45280</v>
      </c>
      <c r="C82" s="1" t="n">
        <v>46128</v>
      </c>
      <c r="D82" t="inlineStr">
        <is>
          <t>KALMAR LÄN</t>
        </is>
      </c>
      <c r="E82" t="inlineStr">
        <is>
          <t>BORGHOLM</t>
        </is>
      </c>
      <c r="G82" t="n">
        <v>1.2</v>
      </c>
      <c r="H82" t="n">
        <v>0</v>
      </c>
      <c r="I82" t="n">
        <v>0</v>
      </c>
      <c r="J82" t="n">
        <v>0</v>
      </c>
      <c r="K82" t="n">
        <v>0</v>
      </c>
      <c r="L82" t="n">
        <v>0</v>
      </c>
      <c r="M82" t="n">
        <v>0</v>
      </c>
      <c r="N82" t="n">
        <v>0</v>
      </c>
      <c r="O82" t="n">
        <v>0</v>
      </c>
      <c r="P82" t="n">
        <v>0</v>
      </c>
      <c r="Q82" t="n">
        <v>0</v>
      </c>
      <c r="R82" s="2" t="inlineStr"/>
    </row>
    <row r="83" ht="15" customHeight="1">
      <c r="A83" t="inlineStr">
        <is>
          <t>A 24166-2022</t>
        </is>
      </c>
      <c r="B83" s="1" t="n">
        <v>44725</v>
      </c>
      <c r="C83" s="1" t="n">
        <v>46128</v>
      </c>
      <c r="D83" t="inlineStr">
        <is>
          <t>KALMAR LÄN</t>
        </is>
      </c>
      <c r="E83" t="inlineStr">
        <is>
          <t>BORGHOLM</t>
        </is>
      </c>
      <c r="G83" t="n">
        <v>10.7</v>
      </c>
      <c r="H83" t="n">
        <v>0</v>
      </c>
      <c r="I83" t="n">
        <v>0</v>
      </c>
      <c r="J83" t="n">
        <v>0</v>
      </c>
      <c r="K83" t="n">
        <v>0</v>
      </c>
      <c r="L83" t="n">
        <v>0</v>
      </c>
      <c r="M83" t="n">
        <v>0</v>
      </c>
      <c r="N83" t="n">
        <v>0</v>
      </c>
      <c r="O83" t="n">
        <v>0</v>
      </c>
      <c r="P83" t="n">
        <v>0</v>
      </c>
      <c r="Q83" t="n">
        <v>0</v>
      </c>
      <c r="R83" s="2" t="inlineStr"/>
    </row>
    <row r="84" ht="15" customHeight="1">
      <c r="A84" t="inlineStr">
        <is>
          <t>A 44547-2021</t>
        </is>
      </c>
      <c r="B84" s="1" t="n">
        <v>44435</v>
      </c>
      <c r="C84" s="1" t="n">
        <v>46128</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26160-2025</t>
        </is>
      </c>
      <c r="B85" s="1" t="n">
        <v>45805.4490162037</v>
      </c>
      <c r="C85" s="1" t="n">
        <v>46128</v>
      </c>
      <c r="D85" t="inlineStr">
        <is>
          <t>KALMAR LÄN</t>
        </is>
      </c>
      <c r="E85" t="inlineStr">
        <is>
          <t>BORGHOLM</t>
        </is>
      </c>
      <c r="G85" t="n">
        <v>3.7</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46128</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46845-2025</t>
        </is>
      </c>
      <c r="B87" s="1" t="n">
        <v>45928</v>
      </c>
      <c r="C87" s="1" t="n">
        <v>46128</v>
      </c>
      <c r="D87" t="inlineStr">
        <is>
          <t>KALMAR LÄN</t>
        </is>
      </c>
      <c r="E87" t="inlineStr">
        <is>
          <t>BORGHOLM</t>
        </is>
      </c>
      <c r="G87" t="n">
        <v>2.7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46128</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63075-2023</t>
        </is>
      </c>
      <c r="B89" s="1" t="n">
        <v>45273</v>
      </c>
      <c r="C89" s="1" t="n">
        <v>46128</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27366-2025</t>
        </is>
      </c>
      <c r="B90" s="1" t="n">
        <v>45812.64475694444</v>
      </c>
      <c r="C90" s="1" t="n">
        <v>46128</v>
      </c>
      <c r="D90" t="inlineStr">
        <is>
          <t>KALMAR LÄN</t>
        </is>
      </c>
      <c r="E90" t="inlineStr">
        <is>
          <t>BORGHOLM</t>
        </is>
      </c>
      <c r="F90" t="inlineStr">
        <is>
          <t>Sveaskog</t>
        </is>
      </c>
      <c r="G90" t="n">
        <v>2.5</v>
      </c>
      <c r="H90" t="n">
        <v>0</v>
      </c>
      <c r="I90" t="n">
        <v>0</v>
      </c>
      <c r="J90" t="n">
        <v>0</v>
      </c>
      <c r="K90" t="n">
        <v>0</v>
      </c>
      <c r="L90" t="n">
        <v>0</v>
      </c>
      <c r="M90" t="n">
        <v>0</v>
      </c>
      <c r="N90" t="n">
        <v>0</v>
      </c>
      <c r="O90" t="n">
        <v>0</v>
      </c>
      <c r="P90" t="n">
        <v>0</v>
      </c>
      <c r="Q90" t="n">
        <v>0</v>
      </c>
      <c r="R90" s="2" t="inlineStr"/>
    </row>
    <row r="91" ht="15" customHeight="1">
      <c r="A91" t="inlineStr">
        <is>
          <t>A 50129-2021</t>
        </is>
      </c>
      <c r="B91" s="1" t="n">
        <v>44456</v>
      </c>
      <c r="C91" s="1" t="n">
        <v>46128</v>
      </c>
      <c r="D91" t="inlineStr">
        <is>
          <t>KALMAR LÄN</t>
        </is>
      </c>
      <c r="E91" t="inlineStr">
        <is>
          <t>BORGHOLM</t>
        </is>
      </c>
      <c r="G91" t="n">
        <v>1.6</v>
      </c>
      <c r="H91" t="n">
        <v>0</v>
      </c>
      <c r="I91" t="n">
        <v>0</v>
      </c>
      <c r="J91" t="n">
        <v>0</v>
      </c>
      <c r="K91" t="n">
        <v>0</v>
      </c>
      <c r="L91" t="n">
        <v>0</v>
      </c>
      <c r="M91" t="n">
        <v>0</v>
      </c>
      <c r="N91" t="n">
        <v>0</v>
      </c>
      <c r="O91" t="n">
        <v>0</v>
      </c>
      <c r="P91" t="n">
        <v>0</v>
      </c>
      <c r="Q91" t="n">
        <v>0</v>
      </c>
      <c r="R91" s="2" t="inlineStr"/>
    </row>
    <row r="92" ht="15" customHeight="1">
      <c r="A92" t="inlineStr">
        <is>
          <t>A 28782-2025</t>
        </is>
      </c>
      <c r="B92" s="1" t="n">
        <v>45820.45572916666</v>
      </c>
      <c r="C92" s="1" t="n">
        <v>46128</v>
      </c>
      <c r="D92" t="inlineStr">
        <is>
          <t>KALMAR LÄN</t>
        </is>
      </c>
      <c r="E92" t="inlineStr">
        <is>
          <t>BORGHOLM</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26160-2024</t>
        </is>
      </c>
      <c r="B93" s="1" t="n">
        <v>45468</v>
      </c>
      <c r="C93" s="1" t="n">
        <v>46128</v>
      </c>
      <c r="D93" t="inlineStr">
        <is>
          <t>KALMAR LÄN</t>
        </is>
      </c>
      <c r="E93" t="inlineStr">
        <is>
          <t>BORGHOLM</t>
        </is>
      </c>
      <c r="G93" t="n">
        <v>0.4</v>
      </c>
      <c r="H93" t="n">
        <v>0</v>
      </c>
      <c r="I93" t="n">
        <v>0</v>
      </c>
      <c r="J93" t="n">
        <v>0</v>
      </c>
      <c r="K93" t="n">
        <v>0</v>
      </c>
      <c r="L93" t="n">
        <v>0</v>
      </c>
      <c r="M93" t="n">
        <v>0</v>
      </c>
      <c r="N93" t="n">
        <v>0</v>
      </c>
      <c r="O93" t="n">
        <v>0</v>
      </c>
      <c r="P93" t="n">
        <v>0</v>
      </c>
      <c r="Q93" t="n">
        <v>0</v>
      </c>
      <c r="R93" s="2" t="inlineStr"/>
      <c r="T93">
        <f>HYPERLINK("https://klasma.github.io/Logging_0885/kartor/A 26160-2024 karta.png", "A 26160-2024")</f>
        <v/>
      </c>
      <c r="V93">
        <f>HYPERLINK("https://klasma.github.io/Logging_0885/klagomål/A 26160-2024 FSC-klagomål.docx", "A 26160-2024")</f>
        <v/>
      </c>
      <c r="W93">
        <f>HYPERLINK("https://klasma.github.io/Logging_0885/klagomålsmail/A 26160-2024 FSC-klagomål mail.docx", "A 26160-2024")</f>
        <v/>
      </c>
      <c r="X93">
        <f>HYPERLINK("https://klasma.github.io/Logging_0885/tillsyn/A 26160-2024 tillsynsbegäran.docx", "A 26160-2024")</f>
        <v/>
      </c>
      <c r="Y93">
        <f>HYPERLINK("https://klasma.github.io/Logging_0885/tillsynsmail/A 26160-2024 tillsynsbegäran mail.docx", "A 26160-2024")</f>
        <v/>
      </c>
    </row>
    <row r="94" ht="15" customHeight="1">
      <c r="A94" t="inlineStr">
        <is>
          <t>A 1757-2025</t>
        </is>
      </c>
      <c r="B94" s="1" t="n">
        <v>45671.42195601852</v>
      </c>
      <c r="C94" s="1" t="n">
        <v>46128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17699-2025</t>
        </is>
      </c>
      <c r="B95" s="1" t="n">
        <v>45758.41846064815</v>
      </c>
      <c r="C95" s="1" t="n">
        <v>46128</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7669-2024</t>
        </is>
      </c>
      <c r="B96" s="1" t="n">
        <v>45348.82498842593</v>
      </c>
      <c r="C96" s="1" t="n">
        <v>46128</v>
      </c>
      <c r="D96" t="inlineStr">
        <is>
          <t>KALMAR LÄN</t>
        </is>
      </c>
      <c r="E96" t="inlineStr">
        <is>
          <t>BORGHOLM</t>
        </is>
      </c>
      <c r="G96" t="n">
        <v>2.3</v>
      </c>
      <c r="H96" t="n">
        <v>0</v>
      </c>
      <c r="I96" t="n">
        <v>0</v>
      </c>
      <c r="J96" t="n">
        <v>0</v>
      </c>
      <c r="K96" t="n">
        <v>0</v>
      </c>
      <c r="L96" t="n">
        <v>0</v>
      </c>
      <c r="M96" t="n">
        <v>0</v>
      </c>
      <c r="N96" t="n">
        <v>0</v>
      </c>
      <c r="O96" t="n">
        <v>0</v>
      </c>
      <c r="P96" t="n">
        <v>0</v>
      </c>
      <c r="Q96" t="n">
        <v>0</v>
      </c>
      <c r="R96" s="2" t="inlineStr"/>
    </row>
    <row r="97" ht="15" customHeight="1">
      <c r="A97" t="inlineStr">
        <is>
          <t>A 34780-2022</t>
        </is>
      </c>
      <c r="B97" s="1" t="n">
        <v>44795</v>
      </c>
      <c r="C97" s="1" t="n">
        <v>46128</v>
      </c>
      <c r="D97" t="inlineStr">
        <is>
          <t>KALMAR LÄN</t>
        </is>
      </c>
      <c r="E97" t="inlineStr">
        <is>
          <t>BORGHOLM</t>
        </is>
      </c>
      <c r="F97" t="inlineStr">
        <is>
          <t>Sveaskog</t>
        </is>
      </c>
      <c r="G97" t="n">
        <v>6.7</v>
      </c>
      <c r="H97" t="n">
        <v>0</v>
      </c>
      <c r="I97" t="n">
        <v>0</v>
      </c>
      <c r="J97" t="n">
        <v>0</v>
      </c>
      <c r="K97" t="n">
        <v>0</v>
      </c>
      <c r="L97" t="n">
        <v>0</v>
      </c>
      <c r="M97" t="n">
        <v>0</v>
      </c>
      <c r="N97" t="n">
        <v>0</v>
      </c>
      <c r="O97" t="n">
        <v>0</v>
      </c>
      <c r="P97" t="n">
        <v>0</v>
      </c>
      <c r="Q97" t="n">
        <v>0</v>
      </c>
      <c r="R97" s="2" t="inlineStr"/>
    </row>
    <row r="98" ht="15" customHeight="1">
      <c r="A98" t="inlineStr">
        <is>
          <t>A 55367-2024</t>
        </is>
      </c>
      <c r="B98" s="1" t="n">
        <v>45621.87075231481</v>
      </c>
      <c r="C98" s="1" t="n">
        <v>46128</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20287-2025</t>
        </is>
      </c>
      <c r="B99" s="1" t="n">
        <v>45774.60741898148</v>
      </c>
      <c r="C99" s="1" t="n">
        <v>46128</v>
      </c>
      <c r="D99" t="inlineStr">
        <is>
          <t>KALMAR LÄN</t>
        </is>
      </c>
      <c r="E99" t="inlineStr">
        <is>
          <t>BORGHOLM</t>
        </is>
      </c>
      <c r="G99" t="n">
        <v>0.6</v>
      </c>
      <c r="H99" t="n">
        <v>0</v>
      </c>
      <c r="I99" t="n">
        <v>0</v>
      </c>
      <c r="J99" t="n">
        <v>0</v>
      </c>
      <c r="K99" t="n">
        <v>0</v>
      </c>
      <c r="L99" t="n">
        <v>0</v>
      </c>
      <c r="M99" t="n">
        <v>0</v>
      </c>
      <c r="N99" t="n">
        <v>0</v>
      </c>
      <c r="O99" t="n">
        <v>0</v>
      </c>
      <c r="P99" t="n">
        <v>0</v>
      </c>
      <c r="Q99" t="n">
        <v>0</v>
      </c>
      <c r="R99" s="2" t="inlineStr"/>
    </row>
    <row r="100" ht="15" customHeight="1">
      <c r="A100" t="inlineStr">
        <is>
          <t>A 9076-2025</t>
        </is>
      </c>
      <c r="B100" s="1" t="n">
        <v>45713.6596875</v>
      </c>
      <c r="C100" s="1" t="n">
        <v>46128</v>
      </c>
      <c r="D100" t="inlineStr">
        <is>
          <t>KALMAR LÄN</t>
        </is>
      </c>
      <c r="E100" t="inlineStr">
        <is>
          <t>BORGHOLM</t>
        </is>
      </c>
      <c r="F100" t="inlineStr">
        <is>
          <t>Sveaskog</t>
        </is>
      </c>
      <c r="G100" t="n">
        <v>4.2</v>
      </c>
      <c r="H100" t="n">
        <v>0</v>
      </c>
      <c r="I100" t="n">
        <v>0</v>
      </c>
      <c r="J100" t="n">
        <v>0</v>
      </c>
      <c r="K100" t="n">
        <v>0</v>
      </c>
      <c r="L100" t="n">
        <v>0</v>
      </c>
      <c r="M100" t="n">
        <v>0</v>
      </c>
      <c r="N100" t="n">
        <v>0</v>
      </c>
      <c r="O100" t="n">
        <v>0</v>
      </c>
      <c r="P100" t="n">
        <v>0</v>
      </c>
      <c r="Q100" t="n">
        <v>0</v>
      </c>
      <c r="R100" s="2" t="inlineStr"/>
    </row>
    <row r="101" ht="15" customHeight="1">
      <c r="A101" t="inlineStr">
        <is>
          <t>A 36269-2025</t>
        </is>
      </c>
      <c r="B101" s="1" t="n">
        <v>45867.61736111111</v>
      </c>
      <c r="C101" s="1" t="n">
        <v>46128</v>
      </c>
      <c r="D101" t="inlineStr">
        <is>
          <t>KALMAR LÄN</t>
        </is>
      </c>
      <c r="E101" t="inlineStr">
        <is>
          <t>BORGHOLM</t>
        </is>
      </c>
      <c r="F101" t="inlineStr">
        <is>
          <t>Sveaskog</t>
        </is>
      </c>
      <c r="G101" t="n">
        <v>3.3</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46128</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60141-2025</t>
        </is>
      </c>
      <c r="B103" s="1" t="n">
        <v>45994.36873842592</v>
      </c>
      <c r="C103" s="1" t="n">
        <v>46128</v>
      </c>
      <c r="D103" t="inlineStr">
        <is>
          <t>KALMAR LÄN</t>
        </is>
      </c>
      <c r="E103" t="inlineStr">
        <is>
          <t>BORGHOLM</t>
        </is>
      </c>
      <c r="G103" t="n">
        <v>0.7</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46128</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61723-2025</t>
        </is>
      </c>
      <c r="B105" s="1" t="n">
        <v>46002.58388888889</v>
      </c>
      <c r="C105" s="1" t="n">
        <v>46128</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46128</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9034-2025</t>
        </is>
      </c>
      <c r="B107" s="1" t="n">
        <v>45713</v>
      </c>
      <c r="C107" s="1" t="n">
        <v>46128</v>
      </c>
      <c r="D107" t="inlineStr">
        <is>
          <t>KALMAR LÄN</t>
        </is>
      </c>
      <c r="E107" t="inlineStr">
        <is>
          <t>BORGHOLM</t>
        </is>
      </c>
      <c r="F107" t="inlineStr">
        <is>
          <t>Sveaskog</t>
        </is>
      </c>
      <c r="G107" t="n">
        <v>6.8</v>
      </c>
      <c r="H107" t="n">
        <v>0</v>
      </c>
      <c r="I107" t="n">
        <v>0</v>
      </c>
      <c r="J107" t="n">
        <v>0</v>
      </c>
      <c r="K107" t="n">
        <v>0</v>
      </c>
      <c r="L107" t="n">
        <v>0</v>
      </c>
      <c r="M107" t="n">
        <v>0</v>
      </c>
      <c r="N107" t="n">
        <v>0</v>
      </c>
      <c r="O107" t="n">
        <v>0</v>
      </c>
      <c r="P107" t="n">
        <v>0</v>
      </c>
      <c r="Q107" t="n">
        <v>0</v>
      </c>
      <c r="R107" s="2" t="inlineStr"/>
    </row>
    <row r="108" ht="15" customHeight="1">
      <c r="A108" t="inlineStr">
        <is>
          <t>A 5175-2024</t>
        </is>
      </c>
      <c r="B108" s="1" t="n">
        <v>45330</v>
      </c>
      <c r="C108" s="1" t="n">
        <v>46128</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20878-2024</t>
        </is>
      </c>
      <c r="B109" s="1" t="n">
        <v>45439.44748842593</v>
      </c>
      <c r="C109" s="1" t="n">
        <v>46128</v>
      </c>
      <c r="D109" t="inlineStr">
        <is>
          <t>KALMAR LÄN</t>
        </is>
      </c>
      <c r="E109" t="inlineStr">
        <is>
          <t>BORGHOLM</t>
        </is>
      </c>
      <c r="G109" t="n">
        <v>1.9</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46128</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4159-2024</t>
        </is>
      </c>
      <c r="B111" s="1" t="n">
        <v>45323</v>
      </c>
      <c r="C111" s="1" t="n">
        <v>46128</v>
      </c>
      <c r="D111" t="inlineStr">
        <is>
          <t>KALMAR LÄN</t>
        </is>
      </c>
      <c r="E111" t="inlineStr">
        <is>
          <t>BORGHOLM</t>
        </is>
      </c>
      <c r="G111" t="n">
        <v>0.5</v>
      </c>
      <c r="H111" t="n">
        <v>0</v>
      </c>
      <c r="I111" t="n">
        <v>0</v>
      </c>
      <c r="J111" t="n">
        <v>0</v>
      </c>
      <c r="K111" t="n">
        <v>0</v>
      </c>
      <c r="L111" t="n">
        <v>0</v>
      </c>
      <c r="M111" t="n">
        <v>0</v>
      </c>
      <c r="N111" t="n">
        <v>0</v>
      </c>
      <c r="O111" t="n">
        <v>0</v>
      </c>
      <c r="P111" t="n">
        <v>0</v>
      </c>
      <c r="Q111" t="n">
        <v>0</v>
      </c>
      <c r="R111" s="2" t="inlineStr"/>
    </row>
    <row r="112" ht="15" customHeight="1">
      <c r="A112" t="inlineStr">
        <is>
          <t>A 19867-2024</t>
        </is>
      </c>
      <c r="B112" s="1" t="n">
        <v>45433</v>
      </c>
      <c r="C112" s="1" t="n">
        <v>46128</v>
      </c>
      <c r="D112" t="inlineStr">
        <is>
          <t>KALMAR LÄN</t>
        </is>
      </c>
      <c r="E112" t="inlineStr">
        <is>
          <t>BORGHOLM</t>
        </is>
      </c>
      <c r="G112" t="n">
        <v>3.9</v>
      </c>
      <c r="H112" t="n">
        <v>0</v>
      </c>
      <c r="I112" t="n">
        <v>0</v>
      </c>
      <c r="J112" t="n">
        <v>0</v>
      </c>
      <c r="K112" t="n">
        <v>0</v>
      </c>
      <c r="L112" t="n">
        <v>0</v>
      </c>
      <c r="M112" t="n">
        <v>0</v>
      </c>
      <c r="N112" t="n">
        <v>0</v>
      </c>
      <c r="O112" t="n">
        <v>0</v>
      </c>
      <c r="P112" t="n">
        <v>0</v>
      </c>
      <c r="Q112" t="n">
        <v>0</v>
      </c>
      <c r="R112" s="2" t="inlineStr"/>
    </row>
    <row r="113" ht="15" customHeight="1">
      <c r="A113" t="inlineStr">
        <is>
          <t>A 13383-2023</t>
        </is>
      </c>
      <c r="B113" s="1" t="n">
        <v>45005</v>
      </c>
      <c r="C113" s="1" t="n">
        <v>46128</v>
      </c>
      <c r="D113" t="inlineStr">
        <is>
          <t>KALMAR LÄN</t>
        </is>
      </c>
      <c r="E113" t="inlineStr">
        <is>
          <t>BORGHOLM</t>
        </is>
      </c>
      <c r="G113" t="n">
        <v>0.8</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46128</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7481-2026</t>
        </is>
      </c>
      <c r="B115" s="1" t="n">
        <v>46059.51359953704</v>
      </c>
      <c r="C115" s="1" t="n">
        <v>46128</v>
      </c>
      <c r="D115" t="inlineStr">
        <is>
          <t>KALMAR LÄN</t>
        </is>
      </c>
      <c r="E115" t="inlineStr">
        <is>
          <t>BORGHOLM</t>
        </is>
      </c>
      <c r="G115" t="n">
        <v>1.9</v>
      </c>
      <c r="H115" t="n">
        <v>0</v>
      </c>
      <c r="I115" t="n">
        <v>0</v>
      </c>
      <c r="J115" t="n">
        <v>0</v>
      </c>
      <c r="K115" t="n">
        <v>0</v>
      </c>
      <c r="L115" t="n">
        <v>0</v>
      </c>
      <c r="M115" t="n">
        <v>0</v>
      </c>
      <c r="N115" t="n">
        <v>0</v>
      </c>
      <c r="O115" t="n">
        <v>0</v>
      </c>
      <c r="P115" t="n">
        <v>0</v>
      </c>
      <c r="Q115" t="n">
        <v>0</v>
      </c>
      <c r="R115" s="2" t="inlineStr"/>
    </row>
    <row r="116" ht="15" customHeight="1">
      <c r="A116" t="inlineStr">
        <is>
          <t>A 7960-2023</t>
        </is>
      </c>
      <c r="B116" s="1" t="n">
        <v>44973</v>
      </c>
      <c r="C116" s="1" t="n">
        <v>46128</v>
      </c>
      <c r="D116" t="inlineStr">
        <is>
          <t>KALMAR LÄN</t>
        </is>
      </c>
      <c r="E116" t="inlineStr">
        <is>
          <t>BORGHOLM</t>
        </is>
      </c>
      <c r="G116" t="n">
        <v>2.1</v>
      </c>
      <c r="H116" t="n">
        <v>0</v>
      </c>
      <c r="I116" t="n">
        <v>0</v>
      </c>
      <c r="J116" t="n">
        <v>0</v>
      </c>
      <c r="K116" t="n">
        <v>0</v>
      </c>
      <c r="L116" t="n">
        <v>0</v>
      </c>
      <c r="M116" t="n">
        <v>0</v>
      </c>
      <c r="N116" t="n">
        <v>0</v>
      </c>
      <c r="O116" t="n">
        <v>0</v>
      </c>
      <c r="P116" t="n">
        <v>0</v>
      </c>
      <c r="Q116" t="n">
        <v>0</v>
      </c>
      <c r="R116" s="2" t="inlineStr"/>
    </row>
    <row r="117" ht="15" customHeight="1">
      <c r="A117" t="inlineStr">
        <is>
          <t>A 15264-2026</t>
        </is>
      </c>
      <c r="B117" s="1" t="n">
        <v>46105.59372685185</v>
      </c>
      <c r="C117" s="1" t="n">
        <v>46128</v>
      </c>
      <c r="D117" t="inlineStr">
        <is>
          <t>KALMAR LÄN</t>
        </is>
      </c>
      <c r="E117" t="inlineStr">
        <is>
          <t>BORGHOLM</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15272-2026</t>
        </is>
      </c>
      <c r="B118" s="1" t="n">
        <v>46105.60017361111</v>
      </c>
      <c r="C118" s="1" t="n">
        <v>46128</v>
      </c>
      <c r="D118" t="inlineStr">
        <is>
          <t>KALMAR LÄN</t>
        </is>
      </c>
      <c r="E118" t="inlineStr">
        <is>
          <t>BORGHOLM</t>
        </is>
      </c>
      <c r="F118" t="inlineStr">
        <is>
          <t>Sveaskog</t>
        </is>
      </c>
      <c r="G118" t="n">
        <v>2.9</v>
      </c>
      <c r="H118" t="n">
        <v>0</v>
      </c>
      <c r="I118" t="n">
        <v>0</v>
      </c>
      <c r="J118" t="n">
        <v>0</v>
      </c>
      <c r="K118" t="n">
        <v>0</v>
      </c>
      <c r="L118" t="n">
        <v>0</v>
      </c>
      <c r="M118" t="n">
        <v>0</v>
      </c>
      <c r="N118" t="n">
        <v>0</v>
      </c>
      <c r="O118" t="n">
        <v>0</v>
      </c>
      <c r="P118" t="n">
        <v>0</v>
      </c>
      <c r="Q118" t="n">
        <v>0</v>
      </c>
      <c r="R118" s="2" t="inlineStr"/>
    </row>
    <row r="119" ht="15" customHeight="1">
      <c r="A119" t="inlineStr">
        <is>
          <t>A 15279-2026</t>
        </is>
      </c>
      <c r="B119" s="1" t="n">
        <v>46105.61030092592</v>
      </c>
      <c r="C119" s="1" t="n">
        <v>46128</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9104-2026</t>
        </is>
      </c>
      <c r="B120" s="1" t="n">
        <v>46069</v>
      </c>
      <c r="C120" s="1" t="n">
        <v>46128</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9259-2026</t>
        </is>
      </c>
      <c r="B121" s="1" t="n">
        <v>46070.51917824074</v>
      </c>
      <c r="C121" s="1" t="n">
        <v>46128</v>
      </c>
      <c r="D121" t="inlineStr">
        <is>
          <t>KALMAR LÄN</t>
        </is>
      </c>
      <c r="E121" t="inlineStr">
        <is>
          <t>BORGHOLM</t>
        </is>
      </c>
      <c r="G121" t="n">
        <v>1.6</v>
      </c>
      <c r="H121" t="n">
        <v>0</v>
      </c>
      <c r="I121" t="n">
        <v>0</v>
      </c>
      <c r="J121" t="n">
        <v>0</v>
      </c>
      <c r="K121" t="n">
        <v>0</v>
      </c>
      <c r="L121" t="n">
        <v>0</v>
      </c>
      <c r="M121" t="n">
        <v>0</v>
      </c>
      <c r="N121" t="n">
        <v>0</v>
      </c>
      <c r="O121" t="n">
        <v>0</v>
      </c>
      <c r="P121" t="n">
        <v>0</v>
      </c>
      <c r="Q121" t="n">
        <v>0</v>
      </c>
      <c r="R121" s="2" t="inlineStr"/>
    </row>
    <row r="122">
      <c r="A122" t="inlineStr">
        <is>
          <t>A 9905-2026</t>
        </is>
      </c>
      <c r="B122" s="1" t="n">
        <v>46073.4108912037</v>
      </c>
      <c r="C122" s="1" t="n">
        <v>46128</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2026-04-16T10:30:02Z</dcterms:created>
  <dcterms:modified xmlns:dcterms="http://purl.org/dc/terms/" xmlns:xsi="http://www.w3.org/2001/XMLSchema-instance" xsi:type="dcterms:W3CDTF">2026-04-16T10:30:02Z</dcterms:modified>
</cp:coreProperties>
</file>