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46293</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46293</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46293</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46293</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46293</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46293</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46293</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46293</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46293</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46293</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46293</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46293</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46293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46293</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46293</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46293</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46293</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46293</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46293</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27298-2026</t>
        </is>
      </c>
      <c r="B34" t="inlineStr">
        <is>
          <t>avverkningsanmälan</t>
        </is>
      </c>
      <c r="C34" t="inlineStr">
        <is>
          <t>Avverkning för att bevara och utveckla /försöksver</t>
        </is>
      </c>
      <c r="D34" s="1" t="n">
        <v>46188</v>
      </c>
      <c r="E34" s="1" t="n">
        <v>46293</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46293</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46293</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46293</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46293</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46293</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46293</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46293</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46293</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46293</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27290-2026</t>
        </is>
      </c>
      <c r="B44" t="inlineStr">
        <is>
          <t>avverkningsanmälan</t>
        </is>
      </c>
      <c r="C44" t="inlineStr">
        <is>
          <t>Avverkning för att bevara och utveckla /försöksver</t>
        </is>
      </c>
      <c r="D44" s="1" t="n">
        <v>46188</v>
      </c>
      <c r="E44" s="1" t="n">
        <v>46293</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21797-2024</t>
        </is>
      </c>
      <c r="B45" t="inlineStr">
        <is>
          <t>avverkningsanmälan</t>
        </is>
      </c>
      <c r="C45" t="inlineStr">
        <is>
          <t>Föryngringsavverkning</t>
        </is>
      </c>
      <c r="D45" s="1" t="n">
        <v>45442</v>
      </c>
      <c r="E45" s="1" t="n">
        <v>46293</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4164-2023</t>
        </is>
      </c>
      <c r="B46" t="inlineStr">
        <is>
          <t>avverkningsanmälan</t>
        </is>
      </c>
      <c r="C46" t="inlineStr">
        <is>
          <t>Föryngringsavverkning</t>
        </is>
      </c>
      <c r="D46" s="1" t="n">
        <v>44953</v>
      </c>
      <c r="E46" s="1" t="n">
        <v>46293</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46293</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46293</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46293</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46293</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24048-2025</t>
        </is>
      </c>
      <c r="B51" t="inlineStr">
        <is>
          <t>avverkningsanmälan</t>
        </is>
      </c>
      <c r="C51" t="inlineStr">
        <is>
          <t>Föryngringsavverkning</t>
        </is>
      </c>
      <c r="D51" s="1" t="n">
        <v>45796</v>
      </c>
      <c r="E51" s="1" t="n">
        <v>46293</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38860-2025</t>
        </is>
      </c>
      <c r="B52" t="inlineStr">
        <is>
          <t>avverkningsanmälan</t>
        </is>
      </c>
      <c r="C52" t="inlineStr">
        <is>
          <t>Föryngringsavverkning</t>
        </is>
      </c>
      <c r="D52" s="1" t="n">
        <v>45887</v>
      </c>
      <c r="E52" s="1" t="n">
        <v>46293</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46293</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46293</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46293</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26849-2026</t>
        </is>
      </c>
      <c r="B56" t="inlineStr">
        <is>
          <t>avverkningsanmälan</t>
        </is>
      </c>
      <c r="C56" t="inlineStr">
        <is>
          <t>Föryngringsavverkning</t>
        </is>
      </c>
      <c r="D56" s="1" t="n">
        <v>46185</v>
      </c>
      <c r="E56" s="1" t="n">
        <v>46293</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46293</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31520-2026</t>
        </is>
      </c>
      <c r="B58" t="inlineStr">
        <is>
          <t>avverkningsanmälan</t>
        </is>
      </c>
      <c r="C58" t="inlineStr">
        <is>
          <t>Avverkning för att bevara och utveckla /försöksver</t>
        </is>
      </c>
      <c r="D58" s="1" t="n">
        <v>46223</v>
      </c>
      <c r="E58" s="1" t="n">
        <v>46293</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43756-2022</t>
        </is>
      </c>
      <c r="B59" t="inlineStr">
        <is>
          <t>avverkningsanmälan</t>
        </is>
      </c>
      <c r="C59" t="inlineStr">
        <is>
          <t>Föryngringsavverkning</t>
        </is>
      </c>
      <c r="D59" s="1" t="n">
        <v>44837</v>
      </c>
      <c r="E59" s="1" t="n">
        <v>46293</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S 846-2026</t>
        </is>
      </c>
      <c r="B60" t="inlineStr">
        <is>
          <t>samrådsanmälan</t>
        </is>
      </c>
      <c r="C60" t="inlineStr">
        <is>
          <t>Annan skogsbruksåtgärd</t>
        </is>
      </c>
      <c r="D60" s="1" t="n">
        <v>46105</v>
      </c>
      <c r="E60" s="1" t="n">
        <v>46293</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46293</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46293</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46293</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46293</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9253-2026</t>
        </is>
      </c>
      <c r="B65" t="inlineStr">
        <is>
          <t>avverkningsanmälan</t>
        </is>
      </c>
      <c r="C65" t="inlineStr">
        <is>
          <t>Föryngringsavverkning</t>
        </is>
      </c>
      <c r="D65" s="1" t="n">
        <v>46070</v>
      </c>
      <c r="E65" s="1" t="n">
        <v>46293</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46293</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46293</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46293</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46293</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46293</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29411-2026</t>
        </is>
      </c>
      <c r="B71" t="inlineStr">
        <is>
          <t>avverkningsanmälan</t>
        </is>
      </c>
      <c r="C71" t="inlineStr">
        <is>
          <t>Avverkning för att bevara och utveckla /försöksver</t>
        </is>
      </c>
      <c r="D71" s="1" t="n">
        <v>46203</v>
      </c>
      <c r="E71" s="1" t="n">
        <v>46293</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21908-2022</t>
        </is>
      </c>
      <c r="B72" t="inlineStr">
        <is>
          <t>avverkningsanmälan</t>
        </is>
      </c>
      <c r="C72" t="inlineStr">
        <is>
          <t>Föryngringsavverkning</t>
        </is>
      </c>
      <c r="D72" s="1" t="n">
        <v>44711</v>
      </c>
      <c r="E72" s="1" t="n">
        <v>46293</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29434-2026</t>
        </is>
      </c>
      <c r="B73" t="inlineStr">
        <is>
          <t>avverkningsanmälan</t>
        </is>
      </c>
      <c r="C73" t="inlineStr">
        <is>
          <t>Avverkning för att bevara och utveckla /försöksver</t>
        </is>
      </c>
      <c r="D73" s="1" t="n">
        <v>46203</v>
      </c>
      <c r="E73" s="1" t="n">
        <v>46293</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46293</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46293</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46293</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46293</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46293</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46293</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9745-2023</t>
        </is>
      </c>
      <c r="B80" t="inlineStr">
        <is>
          <t>avverkningsanmälan</t>
        </is>
      </c>
      <c r="C80" t="inlineStr">
        <is>
          <t>Föryngringsavverkning</t>
        </is>
      </c>
      <c r="D80" s="1" t="n">
        <v>44984</v>
      </c>
      <c r="E80" s="1" t="n">
        <v>46293</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t="n">
        <v>1</v>
      </c>
      <c r="V80" s="2" t="inlineStr">
        <is>
          <t>Skogsknipprot</t>
        </is>
      </c>
      <c r="W80">
        <f>HYPERLINK("https://klasma.github.io/Logging_0885/artfynd/A 9745-2023 artfynd.xlsx", "A 9745-2023")</f>
        <v/>
      </c>
      <c r="X80">
        <f>HYPERLINK("https://klasma.github.io/Logging_0885/kartor/A 9745-2023 karta.png", "A 9745-2023")</f>
        <v/>
      </c>
      <c r="Y80">
        <f>HYPERLINK("https://klasma.github.io/Logging_0885/kartor_geotiff/A 9745-2023 georefererad karta.tif", "A 9745-2023")</f>
        <v/>
      </c>
      <c r="AA80">
        <f>HYPERLINK("https://klasma.github.io/Logging_0885/klagomål/A 9745-2023 FSC-klagomål.docx", "A 9745-2023")</f>
        <v/>
      </c>
      <c r="AB80">
        <f>HYPERLINK("https://klasma.github.io/Logging_0885/klagomålsmail/A 9745-2023 FSC-klagomål mail.docx", "A 9745-2023")</f>
        <v/>
      </c>
      <c r="AC80">
        <f>HYPERLINK("https://klasma.github.io/Logging_0885/tillsyn/A 9745-2023 tillsynsbegäran.docx", "A 9745-2023")</f>
        <v/>
      </c>
      <c r="AD80">
        <f>HYPERLINK("https://klasma.github.io/Logging_0885/tillsynsmail/A 9745-2023 tillsynsbegäran mail.docx", "A 9745-2023")</f>
        <v/>
      </c>
    </row>
    <row r="81" ht="15" customHeight="1">
      <c r="A81" t="inlineStr">
        <is>
          <t>A 20878-2024</t>
        </is>
      </c>
      <c r="B81" t="inlineStr">
        <is>
          <t>avverkningsanmälan</t>
        </is>
      </c>
      <c r="C81" t="inlineStr">
        <is>
          <t>Föryngringsavverkning</t>
        </is>
      </c>
      <c r="D81" s="1" t="n">
        <v>45439</v>
      </c>
      <c r="E81" s="1" t="n">
        <v>46293</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3302-2026</t>
        </is>
      </c>
      <c r="B82" t="inlineStr">
        <is>
          <t>avverkningsanmälan</t>
        </is>
      </c>
      <c r="C82" t="inlineStr">
        <is>
          <t>Avverkning för annat ändamål</t>
        </is>
      </c>
      <c r="D82" s="1" t="n">
        <v>46041</v>
      </c>
      <c r="E82" s="1" t="n">
        <v>46293</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41831-2025</t>
        </is>
      </c>
      <c r="B83" t="inlineStr">
        <is>
          <t>avverkningsanmälan</t>
        </is>
      </c>
      <c r="C83" t="inlineStr">
        <is>
          <t>Föryngringsavverkning</t>
        </is>
      </c>
      <c r="D83" s="1" t="n">
        <v>45902</v>
      </c>
      <c r="E83" s="1" t="n">
        <v>46293</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7481-2026</t>
        </is>
      </c>
      <c r="B84" t="inlineStr">
        <is>
          <t>avverkningsanmälan</t>
        </is>
      </c>
      <c r="C84" t="inlineStr">
        <is>
          <t>Föryngringsavverkning</t>
        </is>
      </c>
      <c r="D84" s="1" t="n">
        <v>46059</v>
      </c>
      <c r="E84" s="1" t="n">
        <v>46293</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7481-2026 artfynd.xlsx", "A 7481-2026")</f>
        <v/>
      </c>
      <c r="X84">
        <f>HYPERLINK("https://klasma.github.io/Logging_0885/kartor/A 7481-2026 karta.png", "A 7481-2026")</f>
        <v/>
      </c>
      <c r="Y84">
        <f>HYPERLINK("https://klasma.github.io/Logging_0885/kartor_geotiff/A 7481-2026 georefererad karta.tif", "A 7481-2026")</f>
        <v/>
      </c>
      <c r="AA84">
        <f>HYPERLINK("https://klasma.github.io/Logging_0885/klagomål/A 7481-2026 FSC-klagomål.docx", "A 7481-2026")</f>
        <v/>
      </c>
      <c r="AB84">
        <f>HYPERLINK("https://klasma.github.io/Logging_0885/klagomålsmail/A 7481-2026 FSC-klagomål mail.docx", "A 7481-2026")</f>
        <v/>
      </c>
      <c r="AC84">
        <f>HYPERLINK("https://klasma.github.io/Logging_0885/tillsyn/A 7481-2026 tillsynsbegäran.docx", "A 7481-2026")</f>
        <v/>
      </c>
      <c r="AD84">
        <f>HYPERLINK("https://klasma.github.io/Logging_0885/tillsynsmail/A 7481-2026 tillsynsbegäran mail.docx", "A 7481-2026")</f>
        <v/>
      </c>
    </row>
    <row r="85" ht="15" customHeight="1">
      <c r="A85" t="inlineStr">
        <is>
          <t>A 9104-2026</t>
        </is>
      </c>
      <c r="B85" t="inlineStr">
        <is>
          <t>avverkningsanmälan</t>
        </is>
      </c>
      <c r="C85" t="inlineStr">
        <is>
          <t>Avverkning för annat ändamål</t>
        </is>
      </c>
      <c r="D85" s="1" t="n">
        <v>46069</v>
      </c>
      <c r="E85" s="1" t="n">
        <v>46293</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9905-2026</t>
        </is>
      </c>
      <c r="B86" t="inlineStr">
        <is>
          <t>avverkningsanmälan</t>
        </is>
      </c>
      <c r="C86" t="inlineStr">
        <is>
          <t>Föryngringsavverkning</t>
        </is>
      </c>
      <c r="D86" s="1" t="n">
        <v>46073</v>
      </c>
      <c r="E86" s="1" t="n">
        <v>46293</v>
      </c>
      <c r="F86" t="inlineStr">
        <is>
          <t>KALMAR LÄN</t>
        </is>
      </c>
      <c r="G86" t="inlineStr">
        <is>
          <t>BORGHOLM</t>
        </is>
      </c>
      <c r="I86" t="n">
        <v>1.4</v>
      </c>
      <c r="J86" t="n">
        <v>0</v>
      </c>
      <c r="K86" t="n">
        <v>0</v>
      </c>
      <c r="L86" t="n">
        <v>0</v>
      </c>
      <c r="M86" t="n">
        <v>0</v>
      </c>
      <c r="N86" t="n">
        <v>1</v>
      </c>
      <c r="O86" t="n">
        <v>0</v>
      </c>
      <c r="P86" t="n">
        <v>0</v>
      </c>
      <c r="Q86" t="n">
        <v>1</v>
      </c>
      <c r="R86" t="n">
        <v>1</v>
      </c>
      <c r="S86" t="n">
        <v>1</v>
      </c>
      <c r="T86" t="n">
        <v>1</v>
      </c>
      <c r="U86" t="n">
        <v>0</v>
      </c>
      <c r="V86" s="2" t="inlineStr">
        <is>
          <t>Ask</t>
        </is>
      </c>
      <c r="W86">
        <f>HYPERLINK("https://klasma.github.io/Logging_0885/artfynd/A 9905-2026 artfynd.xlsx", "A 9905-2026")</f>
        <v/>
      </c>
      <c r="X86">
        <f>HYPERLINK("https://klasma.github.io/Logging_0885/kartor/A 9905-2026 karta.png", "A 9905-2026")</f>
        <v/>
      </c>
      <c r="Y86">
        <f>HYPERLINK("https://klasma.github.io/Logging_0885/kartor_geotiff/A 9905-2026 georefererad karta.tif", "A 9905-2026")</f>
        <v/>
      </c>
      <c r="AA86">
        <f>HYPERLINK("https://klasma.github.io/Logging_0885/klagomål/A 9905-2026 FSC-klagomål.docx", "A 9905-2026")</f>
        <v/>
      </c>
      <c r="AB86">
        <f>HYPERLINK("https://klasma.github.io/Logging_0885/klagomålsmail/A 9905-2026 FSC-klagomål mail.docx", "A 9905-2026")</f>
        <v/>
      </c>
      <c r="AC86">
        <f>HYPERLINK("https://klasma.github.io/Logging_0885/tillsyn/A 9905-2026 tillsynsbegäran.docx", "A 9905-2026")</f>
        <v/>
      </c>
      <c r="AD86">
        <f>HYPERLINK("https://klasma.github.io/Logging_0885/tillsynsmail/A 9905-2026 tillsynsbegäran mail.docx", "A 9905-2026")</f>
        <v/>
      </c>
    </row>
    <row r="87" ht="15" customHeight="1">
      <c r="A87" t="inlineStr">
        <is>
          <t>A 31720-2022</t>
        </is>
      </c>
      <c r="B87" t="inlineStr">
        <is>
          <t>avverkningsanmälan</t>
        </is>
      </c>
      <c r="C87" t="inlineStr">
        <is>
          <t>Föryngringsavverkning</t>
        </is>
      </c>
      <c r="D87" s="1" t="n">
        <v>44776</v>
      </c>
      <c r="E87" s="1" t="n">
        <v>46293</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46293</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46293</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46293</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46293</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26840-2026</t>
        </is>
      </c>
      <c r="B92" t="inlineStr">
        <is>
          <t>avverkningsanmälan</t>
        </is>
      </c>
      <c r="C92" t="inlineStr">
        <is>
          <t>Avverkning för att bevara och utveckla /försöksver</t>
        </is>
      </c>
      <c r="D92" s="1" t="n">
        <v>46185</v>
      </c>
      <c r="E92" s="1" t="n">
        <v>46293</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28430-2026</t>
        </is>
      </c>
      <c r="B93" t="inlineStr">
        <is>
          <t>avverkningsanmälan</t>
        </is>
      </c>
      <c r="C93" t="inlineStr">
        <is>
          <t>Avverkning för att bevara och utveckla /försöksver</t>
        </is>
      </c>
      <c r="D93" s="1" t="n">
        <v>46197</v>
      </c>
      <c r="E93" s="1" t="n">
        <v>46293</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46293</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19867-2024</t>
        </is>
      </c>
      <c r="B95" t="inlineStr">
        <is>
          <t>avverkningsanmälan</t>
        </is>
      </c>
      <c r="C95" t="inlineStr">
        <is>
          <t>Föryngringsavverkning</t>
        </is>
      </c>
      <c r="D95" s="1" t="n">
        <v>45433</v>
      </c>
      <c r="E95" s="1" t="n">
        <v>46293</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46293</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63276-2023</t>
        </is>
      </c>
      <c r="B97" t="inlineStr">
        <is>
          <t>avverkningsanmälan</t>
        </is>
      </c>
      <c r="C97" t="inlineStr">
        <is>
          <t>Föryngringsavverkning</t>
        </is>
      </c>
      <c r="D97" s="1" t="n">
        <v>45273</v>
      </c>
      <c r="E97" s="1" t="n">
        <v>46293</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46293</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46293</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46293</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46293</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46293</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46293</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46293</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46293</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46293</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46293</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46293</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46293</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46293</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46293</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46293</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46293</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46293</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40339-2023</t>
        </is>
      </c>
      <c r="B115" t="inlineStr">
        <is>
          <t>avverkningsanmälan</t>
        </is>
      </c>
      <c r="C115" t="inlineStr">
        <is>
          <t>Föryngringsavverkning</t>
        </is>
      </c>
      <c r="D115" s="1" t="n">
        <v>45169</v>
      </c>
      <c r="E115" s="1" t="n">
        <v>46293</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46293</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46293</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46293</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46293</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46293</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26190-2025</t>
        </is>
      </c>
      <c r="B121" t="inlineStr">
        <is>
          <t>avverkningsanmälan</t>
        </is>
      </c>
      <c r="C121" t="inlineStr">
        <is>
          <t>Föryngringsavverkning</t>
        </is>
      </c>
      <c r="D121" s="1" t="n">
        <v>45805</v>
      </c>
      <c r="E121" s="1" t="n">
        <v>46293</v>
      </c>
      <c r="F121" t="inlineStr">
        <is>
          <t>KALMAR LÄN</t>
        </is>
      </c>
      <c r="G121" t="inlineStr">
        <is>
          <t>BORGHOLM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53050-2021</t>
        </is>
      </c>
      <c r="B122" t="inlineStr">
        <is>
          <t>avverkningsanmälan</t>
        </is>
      </c>
      <c r="C122" t="inlineStr">
        <is>
          <t>Föryngringsavverkning</t>
        </is>
      </c>
      <c r="D122" s="1" t="n">
        <v>44467</v>
      </c>
      <c r="E122" s="1" t="n">
        <v>46293</v>
      </c>
      <c r="F122" t="inlineStr">
        <is>
          <t>KALMAR LÄN</t>
        </is>
      </c>
      <c r="G122" t="inlineStr">
        <is>
          <t>BORGHOLM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46293</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46293</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46293</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4165-2023</t>
        </is>
      </c>
      <c r="B126" t="inlineStr">
        <is>
          <t>avverkningsanmälan</t>
        </is>
      </c>
      <c r="C126" t="inlineStr">
        <is>
          <t>Föryngringsavverkning</t>
        </is>
      </c>
      <c r="D126" s="1" t="n">
        <v>44953</v>
      </c>
      <c r="E126" s="1" t="n">
        <v>46293</v>
      </c>
      <c r="F126" t="inlineStr">
        <is>
          <t>KALMAR LÄN</t>
        </is>
      </c>
      <c r="G126" t="inlineStr">
        <is>
          <t>BORGHOLM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32921-2023</t>
        </is>
      </c>
      <c r="B127" t="inlineStr">
        <is>
          <t>avverkningsanmälan</t>
        </is>
      </c>
      <c r="C127" t="inlineStr">
        <is>
          <t>Föryngringsavverkning</t>
        </is>
      </c>
      <c r="D127" s="1" t="n">
        <v>45125</v>
      </c>
      <c r="E127" s="1" t="n">
        <v>46293</v>
      </c>
      <c r="F127" t="inlineStr">
        <is>
          <t>KALMAR LÄN</t>
        </is>
      </c>
      <c r="G127" t="inlineStr">
        <is>
          <t>BORGHOLM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46293</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46293</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7669-2024</t>
        </is>
      </c>
      <c r="B130" t="inlineStr">
        <is>
          <t>avverkningsanmälan</t>
        </is>
      </c>
      <c r="C130" t="inlineStr">
        <is>
          <t>Föryngringsavverkning</t>
        </is>
      </c>
      <c r="D130" s="1" t="n">
        <v>45348</v>
      </c>
      <c r="E130" s="1" t="n">
        <v>46293</v>
      </c>
      <c r="F130" t="inlineStr">
        <is>
          <t>KALMAR LÄN</t>
        </is>
      </c>
      <c r="G130" t="inlineStr">
        <is>
          <t>BORGHOLM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43603-2024</t>
        </is>
      </c>
      <c r="B131" t="inlineStr">
        <is>
          <t>avverkningsanmälan</t>
        </is>
      </c>
      <c r="C131" t="inlineStr">
        <is>
          <t>Föryngringsavverkning</t>
        </is>
      </c>
      <c r="D131" s="1" t="n">
        <v>45569</v>
      </c>
      <c r="E131" s="1" t="n">
        <v>46293</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63075-2023</t>
        </is>
      </c>
      <c r="B132" t="inlineStr">
        <is>
          <t>avverkningsanmälan</t>
        </is>
      </c>
      <c r="C132" t="inlineStr">
        <is>
          <t>Avverkning för annat ändamål</t>
        </is>
      </c>
      <c r="D132" s="1" t="n">
        <v>45273</v>
      </c>
      <c r="E132" s="1" t="n">
        <v>46293</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24338-2026</t>
        </is>
      </c>
      <c r="B133" t="inlineStr">
        <is>
          <t>avverkningsanmälan</t>
        </is>
      </c>
      <c r="C133" t="inlineStr">
        <is>
          <t>Avverkning för att bevara och utveckla /försöksver</t>
        </is>
      </c>
      <c r="D133" s="1" t="n">
        <v>46169</v>
      </c>
      <c r="E133" s="1" t="n">
        <v>46293</v>
      </c>
      <c r="F133" t="inlineStr">
        <is>
          <t>KALMAR LÄN</t>
        </is>
      </c>
      <c r="G133" t="inlineStr">
        <is>
          <t>BORGHOLM</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46293</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36269-2025</t>
        </is>
      </c>
      <c r="B135" t="inlineStr">
        <is>
          <t>avverkningsanmälan</t>
        </is>
      </c>
      <c r="C135" t="inlineStr">
        <is>
          <t>Föryngringsavverkning</t>
        </is>
      </c>
      <c r="D135" s="1" t="n">
        <v>45867</v>
      </c>
      <c r="E135" s="1" t="n">
        <v>46293</v>
      </c>
      <c r="F135" t="inlineStr">
        <is>
          <t>KALMAR LÄN</t>
        </is>
      </c>
      <c r="G135" t="inlineStr">
        <is>
          <t>BORGHOLM</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1757-2025</t>
        </is>
      </c>
      <c r="B136" t="inlineStr">
        <is>
          <t>avverkningsanmälan</t>
        </is>
      </c>
      <c r="C136" t="inlineStr">
        <is>
          <t>Föryngringsavverkning</t>
        </is>
      </c>
      <c r="D136" s="1" t="n">
        <v>45671</v>
      </c>
      <c r="E136" s="1" t="n">
        <v>46293</v>
      </c>
      <c r="F136" t="inlineStr">
        <is>
          <t>KALMAR LÄN</t>
        </is>
      </c>
      <c r="G136" t="inlineStr">
        <is>
          <t>BORGHOLM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34780-2022</t>
        </is>
      </c>
      <c r="B137" t="inlineStr">
        <is>
          <t>avverkningsanmälan</t>
        </is>
      </c>
      <c r="C137" t="inlineStr">
        <is>
          <t>Föryngringsavverkning</t>
        </is>
      </c>
      <c r="D137" s="1" t="n">
        <v>44795</v>
      </c>
      <c r="E137" s="1" t="n">
        <v>46293</v>
      </c>
      <c r="F137" t="inlineStr">
        <is>
          <t>KALMAR LÄN</t>
        </is>
      </c>
      <c r="G137" t="inlineStr">
        <is>
          <t>BORGHOLM</t>
        </is>
      </c>
      <c r="H137" t="inlineStr">
        <is>
          <t>Sveaskog</t>
        </is>
      </c>
      <c r="I137" t="n">
        <v>6.7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55367-2024</t>
        </is>
      </c>
      <c r="B138" t="inlineStr">
        <is>
          <t>avverkningsanmälan</t>
        </is>
      </c>
      <c r="C138" t="inlineStr">
        <is>
          <t>Föryngringsavverkning</t>
        </is>
      </c>
      <c r="D138" s="1" t="n">
        <v>45621</v>
      </c>
      <c r="E138" s="1" t="n">
        <v>46293</v>
      </c>
      <c r="F138" t="inlineStr">
        <is>
          <t>KALMAR LÄN</t>
        </is>
      </c>
      <c r="G138" t="inlineStr">
        <is>
          <t>BORGHOLM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28380-2026</t>
        </is>
      </c>
      <c r="B139" t="inlineStr">
        <is>
          <t>avverkningsanmälan</t>
        </is>
      </c>
      <c r="C139" t="inlineStr">
        <is>
          <t>Avverkning för att bevara och utveckla /försöksver</t>
        </is>
      </c>
      <c r="D139" s="1" t="n">
        <v>46196</v>
      </c>
      <c r="E139" s="1" t="n">
        <v>46293</v>
      </c>
      <c r="F139" t="inlineStr">
        <is>
          <t>KALMAR LÄN</t>
        </is>
      </c>
      <c r="G139" t="inlineStr">
        <is>
          <t>BORGHOLM</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28381-2026</t>
        </is>
      </c>
      <c r="B140" t="inlineStr">
        <is>
          <t>avverkningsanmälan</t>
        </is>
      </c>
      <c r="C140" t="inlineStr">
        <is>
          <t>Avverkning för att bevara och utveckla /försöksver</t>
        </is>
      </c>
      <c r="D140" s="1" t="n">
        <v>46196</v>
      </c>
      <c r="E140" s="1" t="n">
        <v>46293</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20287-2025</t>
        </is>
      </c>
      <c r="B141" t="inlineStr">
        <is>
          <t>avverkningsanmälan</t>
        </is>
      </c>
      <c r="C141" t="inlineStr">
        <is>
          <t>Avverkning för att bevara och utveckla /försöksver</t>
        </is>
      </c>
      <c r="D141" s="1" t="n">
        <v>45774</v>
      </c>
      <c r="E141" s="1" t="n">
        <v>46293</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28411-2026</t>
        </is>
      </c>
      <c r="B142" t="inlineStr">
        <is>
          <t>avverkningsanmälan</t>
        </is>
      </c>
      <c r="C142" t="inlineStr">
        <is>
          <t>Avverkning för att bevara och utveckla /försöksver</t>
        </is>
      </c>
      <c r="D142" s="1" t="n">
        <v>46197</v>
      </c>
      <c r="E142" s="1" t="n">
        <v>46293</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46293</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46293</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46293</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9076-2025</t>
        </is>
      </c>
      <c r="B146" t="inlineStr">
        <is>
          <t>avverkningsanmälan</t>
        </is>
      </c>
      <c r="C146" t="inlineStr">
        <is>
          <t>Föryngringsavverkning</t>
        </is>
      </c>
      <c r="D146" s="1" t="n">
        <v>45713</v>
      </c>
      <c r="E146" s="1" t="n">
        <v>46293</v>
      </c>
      <c r="F146" t="inlineStr">
        <is>
          <t>KALMAR LÄN</t>
        </is>
      </c>
      <c r="G146" t="inlineStr">
        <is>
          <t>BORGHOLM</t>
        </is>
      </c>
      <c r="H146" t="inlineStr">
        <is>
          <t>Sveaskog</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29410-2026</t>
        </is>
      </c>
      <c r="B147" t="inlineStr">
        <is>
          <t>avverkningsanmälan</t>
        </is>
      </c>
      <c r="C147" t="inlineStr">
        <is>
          <t>Avverkning för att bevara och utveckla /försöksver</t>
        </is>
      </c>
      <c r="D147" s="1" t="n">
        <v>46203</v>
      </c>
      <c r="E147" s="1" t="n">
        <v>46293</v>
      </c>
      <c r="F147" t="inlineStr">
        <is>
          <t>KALMAR LÄN</t>
        </is>
      </c>
      <c r="G147" t="inlineStr">
        <is>
          <t>BORGHOLM</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32919-2023</t>
        </is>
      </c>
      <c r="B148" t="inlineStr">
        <is>
          <t>avverkningsanmälan</t>
        </is>
      </c>
      <c r="C148" t="inlineStr">
        <is>
          <t>Föryngringsavverkning</t>
        </is>
      </c>
      <c r="D148" s="1" t="n">
        <v>45125</v>
      </c>
      <c r="E148" s="1" t="n">
        <v>46293</v>
      </c>
      <c r="F148" t="inlineStr">
        <is>
          <t>KALMAR LÄN</t>
        </is>
      </c>
      <c r="G148" t="inlineStr">
        <is>
          <t>BORGHOLM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34951-2022</t>
        </is>
      </c>
      <c r="B149" t="inlineStr">
        <is>
          <t>avverkningsanmälan</t>
        </is>
      </c>
      <c r="C149" t="inlineStr">
        <is>
          <t>Avverkning för att bevara och utveckla /försöksver</t>
        </is>
      </c>
      <c r="D149" s="1" t="n">
        <v>44796</v>
      </c>
      <c r="E149" s="1" t="n">
        <v>46293</v>
      </c>
      <c r="F149" t="inlineStr">
        <is>
          <t>KALMAR LÄN</t>
        </is>
      </c>
      <c r="G149" t="inlineStr">
        <is>
          <t>BORGHOLM</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5175-2024</t>
        </is>
      </c>
      <c r="B150" t="inlineStr">
        <is>
          <t>avverkningsanmälan</t>
        </is>
      </c>
      <c r="C150" t="inlineStr">
        <is>
          <t>Föryngringsavverkning</t>
        </is>
      </c>
      <c r="D150" s="1" t="n">
        <v>45330</v>
      </c>
      <c r="E150" s="1" t="n">
        <v>46293</v>
      </c>
      <c r="F150" t="inlineStr">
        <is>
          <t>KALMAR LÄN</t>
        </is>
      </c>
      <c r="G150" t="inlineStr">
        <is>
          <t>BORGHOLM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3878-2023</t>
        </is>
      </c>
      <c r="B151" t="inlineStr">
        <is>
          <t>avverkningsanmälan</t>
        </is>
      </c>
      <c r="C151" t="inlineStr">
        <is>
          <t>Föryngringsavverkning</t>
        </is>
      </c>
      <c r="D151" s="1" t="n">
        <v>44951</v>
      </c>
      <c r="E151" s="1" t="n">
        <v>46293</v>
      </c>
      <c r="F151" t="inlineStr">
        <is>
          <t>KALMAR LÄN</t>
        </is>
      </c>
      <c r="G151" t="inlineStr">
        <is>
          <t>BORGHOLM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13383-2023</t>
        </is>
      </c>
      <c r="B152" t="inlineStr">
        <is>
          <t>avverkningsanmälan</t>
        </is>
      </c>
      <c r="C152" t="inlineStr">
        <is>
          <t>Föryngringsavverkning</t>
        </is>
      </c>
      <c r="D152" s="1" t="n">
        <v>45005</v>
      </c>
      <c r="E152" s="1" t="n">
        <v>46293</v>
      </c>
      <c r="F152" t="inlineStr">
        <is>
          <t>KALMAR LÄN</t>
        </is>
      </c>
      <c r="G152" t="inlineStr">
        <is>
          <t>BORGHOLM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12937-2022</t>
        </is>
      </c>
      <c r="B153" t="inlineStr">
        <is>
          <t>avverkningsanmälan</t>
        </is>
      </c>
      <c r="C153" t="inlineStr">
        <is>
          <t>Föryngringsavverkning</t>
        </is>
      </c>
      <c r="D153" s="1" t="n">
        <v>44642</v>
      </c>
      <c r="E153" s="1" t="n">
        <v>46293</v>
      </c>
      <c r="F153" t="inlineStr">
        <is>
          <t>KALMAR LÄN</t>
        </is>
      </c>
      <c r="G153" t="inlineStr">
        <is>
          <t>BORGHOLM</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61438-2023</t>
        </is>
      </c>
      <c r="B154" t="inlineStr">
        <is>
          <t>avverkningsanmälan</t>
        </is>
      </c>
      <c r="C154" t="inlineStr">
        <is>
          <t>Avverkning för annat ändamål</t>
        </is>
      </c>
      <c r="D154" s="1" t="n">
        <v>45264</v>
      </c>
      <c r="E154" s="1" t="n">
        <v>46293</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13041-2024</t>
        </is>
      </c>
      <c r="B155" t="inlineStr">
        <is>
          <t>avverkningsanmälan</t>
        </is>
      </c>
      <c r="C155" t="inlineStr">
        <is>
          <t>Föryngringsavverkning</t>
        </is>
      </c>
      <c r="D155" s="1" t="n">
        <v>45385</v>
      </c>
      <c r="E155" s="1" t="n">
        <v>46293</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1614-2025</t>
        </is>
      </c>
      <c r="B156" t="inlineStr">
        <is>
          <t>avverkningsanmälan</t>
        </is>
      </c>
      <c r="C156" t="inlineStr">
        <is>
          <t>Föryngringsavverkning</t>
        </is>
      </c>
      <c r="D156" s="1" t="n">
        <v>45670</v>
      </c>
      <c r="E156" s="1" t="n">
        <v>46293</v>
      </c>
      <c r="F156" t="inlineStr">
        <is>
          <t>KALMAR LÄN</t>
        </is>
      </c>
      <c r="G156" t="inlineStr">
        <is>
          <t>BORGHOLM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9050-2025</t>
        </is>
      </c>
      <c r="B157" t="inlineStr">
        <is>
          <t>avverkningsanmälan</t>
        </is>
      </c>
      <c r="C157" t="inlineStr">
        <is>
          <t>Avverkning för att bevara och utveckla /försöksver</t>
        </is>
      </c>
      <c r="D157" s="1" t="n">
        <v>45713</v>
      </c>
      <c r="E157" s="1" t="n">
        <v>46293</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46293</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46293</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46293</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46293</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46293</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46293</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46293</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46293</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1556-2026</t>
        </is>
      </c>
      <c r="B166" t="inlineStr">
        <is>
          <t>samrådsanmälan</t>
        </is>
      </c>
      <c r="C166" t="inlineStr">
        <is>
          <t>Annan skogsbruksåtgärd</t>
        </is>
      </c>
      <c r="D166" s="1" t="n">
        <v>46169</v>
      </c>
      <c r="E166" s="1" t="n">
        <v>46293</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1812-2026</t>
        </is>
      </c>
      <c r="B167" t="inlineStr">
        <is>
          <t>samrådsanmälan</t>
        </is>
      </c>
      <c r="C167" t="inlineStr">
        <is>
          <t>Annan skogsbruksåtgärd</t>
        </is>
      </c>
      <c r="D167" s="1" t="n">
        <v>46197</v>
      </c>
      <c r="E167" s="1" t="n">
        <v>46293</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46293</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46293</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1891-2026</t>
        </is>
      </c>
      <c r="B170" t="inlineStr">
        <is>
          <t>samrådsanmälan</t>
        </is>
      </c>
      <c r="C170" t="inlineStr">
        <is>
          <t>Annan skogsbruksåtgärd</t>
        </is>
      </c>
      <c r="D170" s="1" t="n">
        <v>46203</v>
      </c>
      <c r="E170" s="1" t="n">
        <v>46293</v>
      </c>
      <c r="F170" t="inlineStr">
        <is>
          <t>KALMAR LÄN</t>
        </is>
      </c>
      <c r="G170" t="inlineStr">
        <is>
          <t>BORGHOLM</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46293</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46293</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c r="A173" t="inlineStr">
        <is>
          <t>S 1888-2026</t>
        </is>
      </c>
      <c r="B173" t="inlineStr">
        <is>
          <t>samrådsanmälan</t>
        </is>
      </c>
      <c r="C173" t="inlineStr">
        <is>
          <t>Annan skogsbruksåtgärd</t>
        </is>
      </c>
      <c r="D173" s="1" t="n">
        <v>46203</v>
      </c>
      <c r="E173" s="1" t="n">
        <v>46293</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2026-09-28T02:01:39Z</dcterms:created>
  <dcterms:modified xmlns:dcterms="http://purl.org/dc/terms/" xmlns:xsi="http://www.w3.org/2001/XMLSchema-instance" xsi:type="dcterms:W3CDTF">2026-09-28T02:01:39Z</dcterms:modified>
</cp:coreProperties>
</file>