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45932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45932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45932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45932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45932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45932</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45932</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45932</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45932</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57656-2020</t>
        </is>
      </c>
      <c r="B11" s="1" t="n">
        <v>44140</v>
      </c>
      <c r="C11" s="1" t="n">
        <v>45932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50720-2021</t>
        </is>
      </c>
      <c r="B12" s="1" t="n">
        <v>44459</v>
      </c>
      <c r="C12" s="1" t="n">
        <v>45932</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4881-2021</t>
        </is>
      </c>
      <c r="B13" s="1" t="n">
        <v>44225</v>
      </c>
      <c r="C13" s="1" t="n">
        <v>45932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34948-2022</t>
        </is>
      </c>
      <c r="B14" s="1" t="n">
        <v>44796</v>
      </c>
      <c r="C14" s="1" t="n">
        <v>45932</v>
      </c>
      <c r="D14" t="inlineStr">
        <is>
          <t>KALMAR LÄN</t>
        </is>
      </c>
      <c r="E14" t="inlineStr">
        <is>
          <t>BORGHOLM</t>
        </is>
      </c>
      <c r="F14" t="inlineStr">
        <is>
          <t>Sveaskog</t>
        </is>
      </c>
      <c r="G14" t="n">
        <v>2.8</v>
      </c>
      <c r="H14" t="n">
        <v>1</v>
      </c>
      <c r="I14" t="n">
        <v>1</v>
      </c>
      <c r="J14" t="n">
        <v>2</v>
      </c>
      <c r="K14" t="n">
        <v>0</v>
      </c>
      <c r="L14" t="n">
        <v>1</v>
      </c>
      <c r="M14" t="n">
        <v>0</v>
      </c>
      <c r="N14" t="n">
        <v>0</v>
      </c>
      <c r="O14" t="n">
        <v>3</v>
      </c>
      <c r="P14" t="n">
        <v>1</v>
      </c>
      <c r="Q14" t="n">
        <v>5</v>
      </c>
      <c r="R14" s="2" t="inlineStr">
        <is>
          <t>Brödmusseron
Juvelspindling
Persiljespindling
Fransig jordstjärna
Blåsippa</t>
        </is>
      </c>
      <c r="S14">
        <f>HYPERLINK("https://klasma.github.io/Logging_0885/artfynd/A 34948-2022 artfynd.xlsx", "A 34948-2022")</f>
        <v/>
      </c>
      <c r="T14">
        <f>HYPERLINK("https://klasma.github.io/Logging_0885/kartor/A 34948-2022 karta.png", "A 34948-2022")</f>
        <v/>
      </c>
      <c r="V14">
        <f>HYPERLINK("https://klasma.github.io/Logging_0885/klagomål/A 34948-2022 FSC-klagomål.docx", "A 34948-2022")</f>
        <v/>
      </c>
      <c r="W14">
        <f>HYPERLINK("https://klasma.github.io/Logging_0885/klagomålsmail/A 34948-2022 FSC-klagomål mail.docx", "A 34948-2022")</f>
        <v/>
      </c>
      <c r="X14">
        <f>HYPERLINK("https://klasma.github.io/Logging_0885/tillsyn/A 34948-2022 tillsynsbegäran.docx", "A 34948-2022")</f>
        <v/>
      </c>
      <c r="Y14">
        <f>HYPERLINK("https://klasma.github.io/Logging_0885/tillsynsmail/A 34948-2022 tillsynsbegäran mail.docx", "A 34948-2022")</f>
        <v/>
      </c>
    </row>
    <row r="15" ht="15" customHeight="1">
      <c r="A15" t="inlineStr">
        <is>
          <t>A 47471-2025</t>
        </is>
      </c>
      <c r="B15" s="1" t="n">
        <v>45930.67391203704</v>
      </c>
      <c r="C15" s="1" t="n">
        <v>45932</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55210-2020</t>
        </is>
      </c>
      <c r="B16" s="1" t="n">
        <v>44130</v>
      </c>
      <c r="C16" s="1" t="n">
        <v>45932</v>
      </c>
      <c r="D16" t="inlineStr">
        <is>
          <t>KALMAR LÄN</t>
        </is>
      </c>
      <c r="E16" t="inlineStr">
        <is>
          <t>BORGHOLM</t>
        </is>
      </c>
      <c r="G16" t="n">
        <v>2.2</v>
      </c>
      <c r="H16" t="n">
        <v>1</v>
      </c>
      <c r="I16" t="n">
        <v>3</v>
      </c>
      <c r="J16" t="n">
        <v>1</v>
      </c>
      <c r="K16" t="n">
        <v>0</v>
      </c>
      <c r="L16" t="n">
        <v>0</v>
      </c>
      <c r="M16" t="n">
        <v>0</v>
      </c>
      <c r="N16" t="n">
        <v>0</v>
      </c>
      <c r="O16" t="n">
        <v>1</v>
      </c>
      <c r="P16" t="n">
        <v>0</v>
      </c>
      <c r="Q16" t="n">
        <v>4</v>
      </c>
      <c r="R16" s="2" t="inlineStr">
        <is>
          <t>Loppstarr
Murgröna
Nästrot
Sårläka</t>
        </is>
      </c>
      <c r="S16">
        <f>HYPERLINK("https://klasma.github.io/Logging_0885/artfynd/A 55210-2020 artfynd.xlsx", "A 55210-2020")</f>
        <v/>
      </c>
      <c r="T16">
        <f>HYPERLINK("https://klasma.github.io/Logging_0885/kartor/A 55210-2020 karta.png", "A 55210-2020")</f>
        <v/>
      </c>
      <c r="V16">
        <f>HYPERLINK("https://klasma.github.io/Logging_0885/klagomål/A 55210-2020 FSC-klagomål.docx", "A 55210-2020")</f>
        <v/>
      </c>
      <c r="W16">
        <f>HYPERLINK("https://klasma.github.io/Logging_0885/klagomålsmail/A 55210-2020 FSC-klagomål mail.docx", "A 55210-2020")</f>
        <v/>
      </c>
      <c r="X16">
        <f>HYPERLINK("https://klasma.github.io/Logging_0885/tillsyn/A 55210-2020 tillsynsbegäran.docx", "A 55210-2020")</f>
        <v/>
      </c>
      <c r="Y16">
        <f>HYPERLINK("https://klasma.github.io/Logging_0885/tillsynsmail/A 55210-2020 tillsynsbegäran mail.docx", "A 55210-2020")</f>
        <v/>
      </c>
    </row>
    <row r="17" ht="15" customHeight="1">
      <c r="A17" t="inlineStr">
        <is>
          <t>A 32640-2022</t>
        </is>
      </c>
      <c r="B17" s="1" t="n">
        <v>44783</v>
      </c>
      <c r="C17" s="1" t="n">
        <v>45932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58231-2020</t>
        </is>
      </c>
      <c r="B18" s="1" t="n">
        <v>44144</v>
      </c>
      <c r="C18" s="1" t="n">
        <v>45932</v>
      </c>
      <c r="D18" t="inlineStr">
        <is>
          <t>KALMAR LÄN</t>
        </is>
      </c>
      <c r="E18" t="inlineStr">
        <is>
          <t>BORGHOLM</t>
        </is>
      </c>
      <c r="F18" t="inlineStr">
        <is>
          <t>Sveaskog</t>
        </is>
      </c>
      <c r="G18" t="n">
        <v>8.5</v>
      </c>
      <c r="H18" t="n">
        <v>1</v>
      </c>
      <c r="I18" t="n">
        <v>2</v>
      </c>
      <c r="J18" t="n">
        <v>1</v>
      </c>
      <c r="K18" t="n">
        <v>0</v>
      </c>
      <c r="L18" t="n">
        <v>0</v>
      </c>
      <c r="M18" t="n">
        <v>0</v>
      </c>
      <c r="N18" t="n">
        <v>0</v>
      </c>
      <c r="O18" t="n">
        <v>1</v>
      </c>
      <c r="P18" t="n">
        <v>0</v>
      </c>
      <c r="Q18" t="n">
        <v>3</v>
      </c>
      <c r="R18" s="2" t="inlineStr">
        <is>
          <t>Skugglosta
Skogsknipprot
Strävlosta</t>
        </is>
      </c>
      <c r="S18">
        <f>HYPERLINK("https://klasma.github.io/Logging_0885/artfynd/A 58231-2020 artfynd.xlsx", "A 58231-2020")</f>
        <v/>
      </c>
      <c r="T18">
        <f>HYPERLINK("https://klasma.github.io/Logging_0885/kartor/A 58231-2020 karta.png", "A 58231-2020")</f>
        <v/>
      </c>
      <c r="V18">
        <f>HYPERLINK("https://klasma.github.io/Logging_0885/klagomål/A 58231-2020 FSC-klagomål.docx", "A 58231-2020")</f>
        <v/>
      </c>
      <c r="W18">
        <f>HYPERLINK("https://klasma.github.io/Logging_0885/klagomålsmail/A 58231-2020 FSC-klagomål mail.docx", "A 58231-2020")</f>
        <v/>
      </c>
      <c r="X18">
        <f>HYPERLINK("https://klasma.github.io/Logging_0885/tillsyn/A 58231-2020 tillsynsbegäran.docx", "A 58231-2020")</f>
        <v/>
      </c>
      <c r="Y18">
        <f>HYPERLINK("https://klasma.github.io/Logging_0885/tillsynsmail/A 58231-2020 tillsynsbegäran mail.docx", "A 58231-2020")</f>
        <v/>
      </c>
    </row>
    <row r="19" ht="15" customHeight="1">
      <c r="A19" t="inlineStr">
        <is>
          <t>A 16171-2023</t>
        </is>
      </c>
      <c r="B19" s="1" t="n">
        <v>45027</v>
      </c>
      <c r="C19" s="1" t="n">
        <v>45932</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21797-2024</t>
        </is>
      </c>
      <c r="B20" s="1" t="n">
        <v>45442.6512037037</v>
      </c>
      <c r="C20" s="1" t="n">
        <v>45932</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32174-2022</t>
        </is>
      </c>
      <c r="B21" s="1" t="n">
        <v>44781</v>
      </c>
      <c r="C21" s="1" t="n">
        <v>45932</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43756-2022</t>
        </is>
      </c>
      <c r="B22" s="1" t="n">
        <v>44837</v>
      </c>
      <c r="C22" s="1" t="n">
        <v>45932</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13556-2025</t>
        </is>
      </c>
      <c r="B23" s="1" t="n">
        <v>45736.54759259259</v>
      </c>
      <c r="C23" s="1" t="n">
        <v>45932</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28779-2025</t>
        </is>
      </c>
      <c r="B24" s="1" t="n">
        <v>45820.44920138889</v>
      </c>
      <c r="C24" s="1" t="n">
        <v>45932</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38860-2025</t>
        </is>
      </c>
      <c r="B25" s="1" t="n">
        <v>45887.5609375</v>
      </c>
      <c r="C25" s="1" t="n">
        <v>45932</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4164-2023</t>
        </is>
      </c>
      <c r="B26" s="1" t="n">
        <v>44953</v>
      </c>
      <c r="C26" s="1" t="n">
        <v>45932</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44008-2022</t>
        </is>
      </c>
      <c r="B27" s="1" t="n">
        <v>44838</v>
      </c>
      <c r="C27" s="1" t="n">
        <v>45932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34944-2022</t>
        </is>
      </c>
      <c r="B28" s="1" t="n">
        <v>44796</v>
      </c>
      <c r="C28" s="1" t="n">
        <v>45932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34944-2022 artfynd.xlsx", "A 34944-2022")</f>
        <v/>
      </c>
      <c r="T28">
        <f>HYPERLINK("https://klasma.github.io/Logging_0885/kartor/A 34944-2022 karta.png", "A 34944-2022")</f>
        <v/>
      </c>
      <c r="V28">
        <f>HYPERLINK("https://klasma.github.io/Logging_0885/klagomål/A 34944-2022 FSC-klagomål.docx", "A 34944-2022")</f>
        <v/>
      </c>
      <c r="W28">
        <f>HYPERLINK("https://klasma.github.io/Logging_0885/klagomålsmail/A 34944-2022 FSC-klagomål mail.docx", "A 34944-2022")</f>
        <v/>
      </c>
      <c r="X28">
        <f>HYPERLINK("https://klasma.github.io/Logging_0885/tillsyn/A 34944-2022 tillsynsbegäran.docx", "A 34944-2022")</f>
        <v/>
      </c>
      <c r="Y28">
        <f>HYPERLINK("https://klasma.github.io/Logging_0885/tillsynsmail/A 34944-2022 tillsynsbegäran mail.docx", "A 34944-2022")</f>
        <v/>
      </c>
      <c r="Z28">
        <f>HYPERLINK("https://klasma.github.io/Logging_0885/fåglar/A 34944-2022 prioriterade fågelarter.docx", "A 34944-2022")</f>
        <v/>
      </c>
    </row>
    <row r="29" ht="15" customHeight="1">
      <c r="A29" t="inlineStr">
        <is>
          <t>A 3871-2021</t>
        </is>
      </c>
      <c r="B29" s="1" t="n">
        <v>44222</v>
      </c>
      <c r="C29" s="1" t="n">
        <v>45932</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66329-2020</t>
        </is>
      </c>
      <c r="B30" s="1" t="n">
        <v>44176</v>
      </c>
      <c r="C30" s="1" t="n">
        <v>45932</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31295-2022</t>
        </is>
      </c>
      <c r="B31" s="1" t="n">
        <v>44772</v>
      </c>
      <c r="C31" s="1" t="n">
        <v>45932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45932</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45932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45932</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45932</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45932</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45932</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24704-2023</t>
        </is>
      </c>
      <c r="B38" s="1" t="n">
        <v>45084</v>
      </c>
      <c r="C38" s="1" t="n">
        <v>45932</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34885-2025</t>
        </is>
      </c>
      <c r="B39" s="1" t="n">
        <v>45849.47128472223</v>
      </c>
      <c r="C39" s="1" t="n">
        <v>45932</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12785-2021</t>
        </is>
      </c>
      <c r="B40" s="1" t="n">
        <v>44270</v>
      </c>
      <c r="C40" s="1" t="n">
        <v>45932</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45693-2025</t>
        </is>
      </c>
      <c r="B41" s="1" t="n">
        <v>45923</v>
      </c>
      <c r="C41" s="1" t="n">
        <v>45932</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9745-2023</t>
        </is>
      </c>
      <c r="B42" s="1" t="n">
        <v>44984</v>
      </c>
      <c r="C42" s="1" t="n">
        <v>45932</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45932</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14789-2021</t>
        </is>
      </c>
      <c r="B44" s="1" t="n">
        <v>44280</v>
      </c>
      <c r="C44" s="1" t="n">
        <v>45932</v>
      </c>
      <c r="D44" t="inlineStr">
        <is>
          <t>KALMAR LÄN</t>
        </is>
      </c>
      <c r="E44" t="inlineStr">
        <is>
          <t>BORGHOLM</t>
        </is>
      </c>
      <c r="G44" t="n">
        <v>1</v>
      </c>
      <c r="H44" t="n">
        <v>1</v>
      </c>
      <c r="I44" t="n">
        <v>1</v>
      </c>
      <c r="J44" t="n">
        <v>0</v>
      </c>
      <c r="K44" t="n">
        <v>0</v>
      </c>
      <c r="L44" t="n">
        <v>0</v>
      </c>
      <c r="M44" t="n">
        <v>0</v>
      </c>
      <c r="N44" t="n">
        <v>0</v>
      </c>
      <c r="O44" t="n">
        <v>0</v>
      </c>
      <c r="P44" t="n">
        <v>0</v>
      </c>
      <c r="Q44" t="n">
        <v>1</v>
      </c>
      <c r="R44" s="2" t="inlineStr">
        <is>
          <t>Skogsknipprot</t>
        </is>
      </c>
      <c r="S44">
        <f>HYPERLINK("https://klasma.github.io/Logging_0885/artfynd/A 14789-2021 artfynd.xlsx", "A 14789-2021")</f>
        <v/>
      </c>
      <c r="T44">
        <f>HYPERLINK("https://klasma.github.io/Logging_0885/kartor/A 14789-2021 karta.png", "A 14789-2021")</f>
        <v/>
      </c>
      <c r="V44">
        <f>HYPERLINK("https://klasma.github.io/Logging_0885/klagomål/A 14789-2021 FSC-klagomål.docx", "A 14789-2021")</f>
        <v/>
      </c>
      <c r="W44">
        <f>HYPERLINK("https://klasma.github.io/Logging_0885/klagomålsmail/A 14789-2021 FSC-klagomål mail.docx", "A 14789-2021")</f>
        <v/>
      </c>
      <c r="X44">
        <f>HYPERLINK("https://klasma.github.io/Logging_0885/tillsyn/A 14789-2021 tillsynsbegäran.docx", "A 14789-2021")</f>
        <v/>
      </c>
      <c r="Y44">
        <f>HYPERLINK("https://klasma.github.io/Logging_0885/tillsynsmail/A 14789-2021 tillsynsbegäran mail.docx", "A 14789-2021")</f>
        <v/>
      </c>
    </row>
    <row r="45" ht="15" customHeight="1">
      <c r="A45" t="inlineStr">
        <is>
          <t>A 56499-2020</t>
        </is>
      </c>
      <c r="B45" s="1" t="n">
        <v>44137</v>
      </c>
      <c r="C45" s="1" t="n">
        <v>45932</v>
      </c>
      <c r="D45" t="inlineStr">
        <is>
          <t>KALMAR LÄN</t>
        </is>
      </c>
      <c r="E45" t="inlineStr">
        <is>
          <t>BORGHOLM</t>
        </is>
      </c>
      <c r="F45" t="inlineStr">
        <is>
          <t>Sveaskog</t>
        </is>
      </c>
      <c r="G45" t="n">
        <v>0.5</v>
      </c>
      <c r="H45" t="n">
        <v>0</v>
      </c>
      <c r="I45" t="n">
        <v>0</v>
      </c>
      <c r="J45" t="n">
        <v>0</v>
      </c>
      <c r="K45" t="n">
        <v>0</v>
      </c>
      <c r="L45" t="n">
        <v>0</v>
      </c>
      <c r="M45" t="n">
        <v>0</v>
      </c>
      <c r="N45" t="n">
        <v>0</v>
      </c>
      <c r="O45" t="n">
        <v>0</v>
      </c>
      <c r="P45" t="n">
        <v>0</v>
      </c>
      <c r="Q45" t="n">
        <v>0</v>
      </c>
      <c r="R45" s="2" t="inlineStr"/>
    </row>
    <row r="46" ht="15" customHeight="1">
      <c r="A46" t="inlineStr">
        <is>
          <t>A 56434-2020</t>
        </is>
      </c>
      <c r="B46" s="1" t="n">
        <v>44137</v>
      </c>
      <c r="C46" s="1" t="n">
        <v>45932</v>
      </c>
      <c r="D46" t="inlineStr">
        <is>
          <t>KALMAR LÄN</t>
        </is>
      </c>
      <c r="E46" t="inlineStr">
        <is>
          <t>BORGHOLM</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58113-2020</t>
        </is>
      </c>
      <c r="B47" s="1" t="n">
        <v>44144</v>
      </c>
      <c r="C47" s="1" t="n">
        <v>45932</v>
      </c>
      <c r="D47" t="inlineStr">
        <is>
          <t>KALMAR LÄN</t>
        </is>
      </c>
      <c r="E47" t="inlineStr">
        <is>
          <t>BORGHOLM</t>
        </is>
      </c>
      <c r="F47" t="inlineStr">
        <is>
          <t>Sveaskog</t>
        </is>
      </c>
      <c r="G47" t="n">
        <v>3</v>
      </c>
      <c r="H47" t="n">
        <v>0</v>
      </c>
      <c r="I47" t="n">
        <v>0</v>
      </c>
      <c r="J47" t="n">
        <v>0</v>
      </c>
      <c r="K47" t="n">
        <v>0</v>
      </c>
      <c r="L47" t="n">
        <v>0</v>
      </c>
      <c r="M47" t="n">
        <v>0</v>
      </c>
      <c r="N47" t="n">
        <v>0</v>
      </c>
      <c r="O47" t="n">
        <v>0</v>
      </c>
      <c r="P47" t="n">
        <v>0</v>
      </c>
      <c r="Q47" t="n">
        <v>0</v>
      </c>
      <c r="R47" s="2" t="inlineStr"/>
    </row>
    <row r="48" ht="15" customHeight="1">
      <c r="A48" t="inlineStr">
        <is>
          <t>A 12711-2021</t>
        </is>
      </c>
      <c r="B48" s="1" t="n">
        <v>44270</v>
      </c>
      <c r="C48" s="1" t="n">
        <v>45932</v>
      </c>
      <c r="D48" t="inlineStr">
        <is>
          <t>KALMAR LÄN</t>
        </is>
      </c>
      <c r="E48" t="inlineStr">
        <is>
          <t>BORGHOLM</t>
        </is>
      </c>
      <c r="G48" t="n">
        <v>1.3</v>
      </c>
      <c r="H48" t="n">
        <v>0</v>
      </c>
      <c r="I48" t="n">
        <v>0</v>
      </c>
      <c r="J48" t="n">
        <v>0</v>
      </c>
      <c r="K48" t="n">
        <v>0</v>
      </c>
      <c r="L48" t="n">
        <v>0</v>
      </c>
      <c r="M48" t="n">
        <v>0</v>
      </c>
      <c r="N48" t="n">
        <v>0</v>
      </c>
      <c r="O48" t="n">
        <v>0</v>
      </c>
      <c r="P48" t="n">
        <v>0</v>
      </c>
      <c r="Q48" t="n">
        <v>0</v>
      </c>
      <c r="R48" s="2" t="inlineStr"/>
    </row>
    <row r="49" ht="15" customHeight="1">
      <c r="A49" t="inlineStr">
        <is>
          <t>A 56475-2020</t>
        </is>
      </c>
      <c r="B49" s="1" t="n">
        <v>44137</v>
      </c>
      <c r="C49" s="1" t="n">
        <v>45932</v>
      </c>
      <c r="D49" t="inlineStr">
        <is>
          <t>KALMAR LÄN</t>
        </is>
      </c>
      <c r="E49" t="inlineStr">
        <is>
          <t>BORGHOLM</t>
        </is>
      </c>
      <c r="F49" t="inlineStr">
        <is>
          <t>Sveaskog</t>
        </is>
      </c>
      <c r="G49" t="n">
        <v>0.9</v>
      </c>
      <c r="H49" t="n">
        <v>0</v>
      </c>
      <c r="I49" t="n">
        <v>0</v>
      </c>
      <c r="J49" t="n">
        <v>0</v>
      </c>
      <c r="K49" t="n">
        <v>0</v>
      </c>
      <c r="L49" t="n">
        <v>0</v>
      </c>
      <c r="M49" t="n">
        <v>0</v>
      </c>
      <c r="N49" t="n">
        <v>0</v>
      </c>
      <c r="O49" t="n">
        <v>0</v>
      </c>
      <c r="P49" t="n">
        <v>0</v>
      </c>
      <c r="Q49" t="n">
        <v>0</v>
      </c>
      <c r="R49" s="2" t="inlineStr"/>
    </row>
    <row r="50" ht="15" customHeight="1">
      <c r="A50" t="inlineStr">
        <is>
          <t>A 56488-2020</t>
        </is>
      </c>
      <c r="B50" s="1" t="n">
        <v>44137</v>
      </c>
      <c r="C50" s="1" t="n">
        <v>45932</v>
      </c>
      <c r="D50" t="inlineStr">
        <is>
          <t>KALMAR LÄN</t>
        </is>
      </c>
      <c r="E50" t="inlineStr">
        <is>
          <t>BORGHOLM</t>
        </is>
      </c>
      <c r="F50" t="inlineStr">
        <is>
          <t>Sveaskog</t>
        </is>
      </c>
      <c r="G50" t="n">
        <v>1.4</v>
      </c>
      <c r="H50" t="n">
        <v>0</v>
      </c>
      <c r="I50" t="n">
        <v>0</v>
      </c>
      <c r="J50" t="n">
        <v>0</v>
      </c>
      <c r="K50" t="n">
        <v>0</v>
      </c>
      <c r="L50" t="n">
        <v>0</v>
      </c>
      <c r="M50" t="n">
        <v>0</v>
      </c>
      <c r="N50" t="n">
        <v>0</v>
      </c>
      <c r="O50" t="n">
        <v>0</v>
      </c>
      <c r="P50" t="n">
        <v>0</v>
      </c>
      <c r="Q50" t="n">
        <v>0</v>
      </c>
      <c r="R50" s="2" t="inlineStr"/>
    </row>
    <row r="51" ht="15" customHeight="1">
      <c r="A51" t="inlineStr">
        <is>
          <t>A 56506-2020</t>
        </is>
      </c>
      <c r="B51" s="1" t="n">
        <v>44137</v>
      </c>
      <c r="C51" s="1" t="n">
        <v>45932</v>
      </c>
      <c r="D51" t="inlineStr">
        <is>
          <t>KALMAR LÄN</t>
        </is>
      </c>
      <c r="E51" t="inlineStr">
        <is>
          <t>BORGHOLM</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42761-2021</t>
        </is>
      </c>
      <c r="B52" s="1" t="n">
        <v>44428</v>
      </c>
      <c r="C52" s="1" t="n">
        <v>45932</v>
      </c>
      <c r="D52" t="inlineStr">
        <is>
          <t>KALMAR LÄN</t>
        </is>
      </c>
      <c r="E52" t="inlineStr">
        <is>
          <t>BORGHOLM</t>
        </is>
      </c>
      <c r="G52" t="n">
        <v>1.5</v>
      </c>
      <c r="H52" t="n">
        <v>0</v>
      </c>
      <c r="I52" t="n">
        <v>0</v>
      </c>
      <c r="J52" t="n">
        <v>0</v>
      </c>
      <c r="K52" t="n">
        <v>0</v>
      </c>
      <c r="L52" t="n">
        <v>0</v>
      </c>
      <c r="M52" t="n">
        <v>0</v>
      </c>
      <c r="N52" t="n">
        <v>0</v>
      </c>
      <c r="O52" t="n">
        <v>0</v>
      </c>
      <c r="P52" t="n">
        <v>0</v>
      </c>
      <c r="Q52" t="n">
        <v>0</v>
      </c>
      <c r="R52" s="2" t="inlineStr"/>
    </row>
    <row r="53" ht="15" customHeight="1">
      <c r="A53" t="inlineStr">
        <is>
          <t>A 13325-2021</t>
        </is>
      </c>
      <c r="B53" s="1" t="n">
        <v>44273</v>
      </c>
      <c r="C53" s="1" t="n">
        <v>45932</v>
      </c>
      <c r="D53" t="inlineStr">
        <is>
          <t>KALMAR LÄN</t>
        </is>
      </c>
      <c r="E53" t="inlineStr">
        <is>
          <t>BORGHOLM</t>
        </is>
      </c>
      <c r="G53" t="n">
        <v>0.7</v>
      </c>
      <c r="H53" t="n">
        <v>0</v>
      </c>
      <c r="I53" t="n">
        <v>0</v>
      </c>
      <c r="J53" t="n">
        <v>0</v>
      </c>
      <c r="K53" t="n">
        <v>0</v>
      </c>
      <c r="L53" t="n">
        <v>0</v>
      </c>
      <c r="M53" t="n">
        <v>0</v>
      </c>
      <c r="N53" t="n">
        <v>0</v>
      </c>
      <c r="O53" t="n">
        <v>0</v>
      </c>
      <c r="P53" t="n">
        <v>0</v>
      </c>
      <c r="Q53" t="n">
        <v>0</v>
      </c>
      <c r="R53" s="2" t="inlineStr"/>
    </row>
    <row r="54" ht="15" customHeight="1">
      <c r="A54" t="inlineStr">
        <is>
          <t>A 56421-2020</t>
        </is>
      </c>
      <c r="B54" s="1" t="n">
        <v>44137</v>
      </c>
      <c r="C54" s="1" t="n">
        <v>45932</v>
      </c>
      <c r="D54" t="inlineStr">
        <is>
          <t>KALMAR LÄN</t>
        </is>
      </c>
      <c r="E54" t="inlineStr">
        <is>
          <t>BORGHOLM</t>
        </is>
      </c>
      <c r="F54" t="inlineStr">
        <is>
          <t>Sveaskog</t>
        </is>
      </c>
      <c r="G54" t="n">
        <v>3.9</v>
      </c>
      <c r="H54" t="n">
        <v>0</v>
      </c>
      <c r="I54" t="n">
        <v>0</v>
      </c>
      <c r="J54" t="n">
        <v>0</v>
      </c>
      <c r="K54" t="n">
        <v>0</v>
      </c>
      <c r="L54" t="n">
        <v>0</v>
      </c>
      <c r="M54" t="n">
        <v>0</v>
      </c>
      <c r="N54" t="n">
        <v>0</v>
      </c>
      <c r="O54" t="n">
        <v>0</v>
      </c>
      <c r="P54" t="n">
        <v>0</v>
      </c>
      <c r="Q54" t="n">
        <v>0</v>
      </c>
      <c r="R54" s="2" t="inlineStr"/>
    </row>
    <row r="55" ht="15" customHeight="1">
      <c r="A55" t="inlineStr">
        <is>
          <t>A 32665-2022</t>
        </is>
      </c>
      <c r="B55" s="1" t="n">
        <v>44783</v>
      </c>
      <c r="C55" s="1" t="n">
        <v>45932</v>
      </c>
      <c r="D55" t="inlineStr">
        <is>
          <t>KALMAR LÄN</t>
        </is>
      </c>
      <c r="E55" t="inlineStr">
        <is>
          <t>BORGHOLM</t>
        </is>
      </c>
      <c r="F55" t="inlineStr">
        <is>
          <t>Sveaskog</t>
        </is>
      </c>
      <c r="G55" t="n">
        <v>4.2</v>
      </c>
      <c r="H55" t="n">
        <v>0</v>
      </c>
      <c r="I55" t="n">
        <v>0</v>
      </c>
      <c r="J55" t="n">
        <v>0</v>
      </c>
      <c r="K55" t="n">
        <v>0</v>
      </c>
      <c r="L55" t="n">
        <v>0</v>
      </c>
      <c r="M55" t="n">
        <v>0</v>
      </c>
      <c r="N55" t="n">
        <v>0</v>
      </c>
      <c r="O55" t="n">
        <v>0</v>
      </c>
      <c r="P55" t="n">
        <v>0</v>
      </c>
      <c r="Q55" t="n">
        <v>0</v>
      </c>
      <c r="R55" s="2" t="inlineStr"/>
    </row>
    <row r="56" ht="15" customHeight="1">
      <c r="A56" t="inlineStr">
        <is>
          <t>A 31790-2021</t>
        </is>
      </c>
      <c r="B56" s="1" t="n">
        <v>44370</v>
      </c>
      <c r="C56" s="1" t="n">
        <v>45932</v>
      </c>
      <c r="D56" t="inlineStr">
        <is>
          <t>KALMAR LÄN</t>
        </is>
      </c>
      <c r="E56" t="inlineStr">
        <is>
          <t>BORGHOLM</t>
        </is>
      </c>
      <c r="F56" t="inlineStr">
        <is>
          <t>Sveaskog</t>
        </is>
      </c>
      <c r="G56" t="n">
        <v>3.3</v>
      </c>
      <c r="H56" t="n">
        <v>0</v>
      </c>
      <c r="I56" t="n">
        <v>0</v>
      </c>
      <c r="J56" t="n">
        <v>0</v>
      </c>
      <c r="K56" t="n">
        <v>0</v>
      </c>
      <c r="L56" t="n">
        <v>0</v>
      </c>
      <c r="M56" t="n">
        <v>0</v>
      </c>
      <c r="N56" t="n">
        <v>0</v>
      </c>
      <c r="O56" t="n">
        <v>0</v>
      </c>
      <c r="P56" t="n">
        <v>0</v>
      </c>
      <c r="Q56" t="n">
        <v>0</v>
      </c>
      <c r="R56" s="2" t="inlineStr"/>
    </row>
    <row r="57" ht="15" customHeight="1">
      <c r="A57" t="inlineStr">
        <is>
          <t>A 10348-2022</t>
        </is>
      </c>
      <c r="B57" s="1" t="n">
        <v>44623</v>
      </c>
      <c r="C57" s="1" t="n">
        <v>45932</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28345-2022</t>
        </is>
      </c>
      <c r="B58" s="1" t="n">
        <v>44747</v>
      </c>
      <c r="C58" s="1" t="n">
        <v>45932</v>
      </c>
      <c r="D58" t="inlineStr">
        <is>
          <t>KALMAR LÄN</t>
        </is>
      </c>
      <c r="E58" t="inlineStr">
        <is>
          <t>BORGHOLM</t>
        </is>
      </c>
      <c r="G58" t="n">
        <v>1.5</v>
      </c>
      <c r="H58" t="n">
        <v>0</v>
      </c>
      <c r="I58" t="n">
        <v>0</v>
      </c>
      <c r="J58" t="n">
        <v>0</v>
      </c>
      <c r="K58" t="n">
        <v>0</v>
      </c>
      <c r="L58" t="n">
        <v>0</v>
      </c>
      <c r="M58" t="n">
        <v>0</v>
      </c>
      <c r="N58" t="n">
        <v>0</v>
      </c>
      <c r="O58" t="n">
        <v>0</v>
      </c>
      <c r="P58" t="n">
        <v>0</v>
      </c>
      <c r="Q58" t="n">
        <v>0</v>
      </c>
      <c r="R58" s="2" t="inlineStr"/>
    </row>
    <row r="59" ht="15" customHeight="1">
      <c r="A59" t="inlineStr">
        <is>
          <t>A 44681-2022</t>
        </is>
      </c>
      <c r="B59" s="1" t="n">
        <v>44840</v>
      </c>
      <c r="C59" s="1" t="n">
        <v>45932</v>
      </c>
      <c r="D59" t="inlineStr">
        <is>
          <t>KALMAR LÄN</t>
        </is>
      </c>
      <c r="E59" t="inlineStr">
        <is>
          <t>BORGHOLM</t>
        </is>
      </c>
      <c r="G59" t="n">
        <v>0.5</v>
      </c>
      <c r="H59" t="n">
        <v>0</v>
      </c>
      <c r="I59" t="n">
        <v>0</v>
      </c>
      <c r="J59" t="n">
        <v>0</v>
      </c>
      <c r="K59" t="n">
        <v>0</v>
      </c>
      <c r="L59" t="n">
        <v>0</v>
      </c>
      <c r="M59" t="n">
        <v>0</v>
      </c>
      <c r="N59" t="n">
        <v>0</v>
      </c>
      <c r="O59" t="n">
        <v>0</v>
      </c>
      <c r="P59" t="n">
        <v>0</v>
      </c>
      <c r="Q59" t="n">
        <v>0</v>
      </c>
      <c r="R59" s="2" t="inlineStr"/>
    </row>
    <row r="60" ht="15" customHeight="1">
      <c r="A60" t="inlineStr">
        <is>
          <t>A 32608-2022</t>
        </is>
      </c>
      <c r="B60" s="1" t="n">
        <v>44783</v>
      </c>
      <c r="C60" s="1" t="n">
        <v>45932</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61828-2021</t>
        </is>
      </c>
      <c r="B61" s="1" t="n">
        <v>44501</v>
      </c>
      <c r="C61" s="1" t="n">
        <v>45932</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60735-2020</t>
        </is>
      </c>
      <c r="B62" s="1" t="n">
        <v>44153</v>
      </c>
      <c r="C62" s="1" t="n">
        <v>45932</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56188-2021</t>
        </is>
      </c>
      <c r="B63" s="1" t="n">
        <v>44477.83525462963</v>
      </c>
      <c r="C63" s="1" t="n">
        <v>45932</v>
      </c>
      <c r="D63" t="inlineStr">
        <is>
          <t>KALMAR LÄN</t>
        </is>
      </c>
      <c r="E63" t="inlineStr">
        <is>
          <t>BORGHOLM</t>
        </is>
      </c>
      <c r="G63" t="n">
        <v>1.8</v>
      </c>
      <c r="H63" t="n">
        <v>0</v>
      </c>
      <c r="I63" t="n">
        <v>0</v>
      </c>
      <c r="J63" t="n">
        <v>0</v>
      </c>
      <c r="K63" t="n">
        <v>0</v>
      </c>
      <c r="L63" t="n">
        <v>0</v>
      </c>
      <c r="M63" t="n">
        <v>0</v>
      </c>
      <c r="N63" t="n">
        <v>0</v>
      </c>
      <c r="O63" t="n">
        <v>0</v>
      </c>
      <c r="P63" t="n">
        <v>0</v>
      </c>
      <c r="Q63" t="n">
        <v>0</v>
      </c>
      <c r="R63" s="2" t="inlineStr"/>
    </row>
    <row r="64" ht="15" customHeight="1">
      <c r="A64" t="inlineStr">
        <is>
          <t>A 56983-2021</t>
        </is>
      </c>
      <c r="B64" s="1" t="n">
        <v>44482</v>
      </c>
      <c r="C64" s="1" t="n">
        <v>45932</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56495-2020</t>
        </is>
      </c>
      <c r="B65" s="1" t="n">
        <v>44137</v>
      </c>
      <c r="C65" s="1" t="n">
        <v>45932</v>
      </c>
      <c r="D65" t="inlineStr">
        <is>
          <t>KALMAR LÄN</t>
        </is>
      </c>
      <c r="E65" t="inlineStr">
        <is>
          <t>BORGHOLM</t>
        </is>
      </c>
      <c r="F65" t="inlineStr">
        <is>
          <t>Sveaskog</t>
        </is>
      </c>
      <c r="G65" t="n">
        <v>1.4</v>
      </c>
      <c r="H65" t="n">
        <v>0</v>
      </c>
      <c r="I65" t="n">
        <v>0</v>
      </c>
      <c r="J65" t="n">
        <v>0</v>
      </c>
      <c r="K65" t="n">
        <v>0</v>
      </c>
      <c r="L65" t="n">
        <v>0</v>
      </c>
      <c r="M65" t="n">
        <v>0</v>
      </c>
      <c r="N65" t="n">
        <v>0</v>
      </c>
      <c r="O65" t="n">
        <v>0</v>
      </c>
      <c r="P65" t="n">
        <v>0</v>
      </c>
      <c r="Q65" t="n">
        <v>0</v>
      </c>
      <c r="R65" s="2" t="inlineStr"/>
    </row>
    <row r="66" ht="15" customHeight="1">
      <c r="A66" t="inlineStr">
        <is>
          <t>A 27437-2022</t>
        </is>
      </c>
      <c r="B66" s="1" t="n">
        <v>44742.55567129629</v>
      </c>
      <c r="C66" s="1" t="n">
        <v>45932</v>
      </c>
      <c r="D66" t="inlineStr">
        <is>
          <t>KALMAR LÄN</t>
        </is>
      </c>
      <c r="E66" t="inlineStr">
        <is>
          <t>BORGHOLM</t>
        </is>
      </c>
      <c r="G66" t="n">
        <v>0.6</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45932</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58394-2020</t>
        </is>
      </c>
      <c r="B68" s="1" t="n">
        <v>44145</v>
      </c>
      <c r="C68" s="1" t="n">
        <v>45932</v>
      </c>
      <c r="D68" t="inlineStr">
        <is>
          <t>KALMAR LÄN</t>
        </is>
      </c>
      <c r="E68" t="inlineStr">
        <is>
          <t>BORGHOLM</t>
        </is>
      </c>
      <c r="F68" t="inlineStr">
        <is>
          <t>Sveaskog</t>
        </is>
      </c>
      <c r="G68" t="n">
        <v>1.1</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45932</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45932</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45932</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42785-2021</t>
        </is>
      </c>
      <c r="B72" s="1" t="n">
        <v>44428</v>
      </c>
      <c r="C72" s="1" t="n">
        <v>45932</v>
      </c>
      <c r="D72" t="inlineStr">
        <is>
          <t>KALMAR LÄN</t>
        </is>
      </c>
      <c r="E72" t="inlineStr">
        <is>
          <t>BORGHOLM</t>
        </is>
      </c>
      <c r="G72" t="n">
        <v>2.8</v>
      </c>
      <c r="H72" t="n">
        <v>0</v>
      </c>
      <c r="I72" t="n">
        <v>0</v>
      </c>
      <c r="J72" t="n">
        <v>0</v>
      </c>
      <c r="K72" t="n">
        <v>0</v>
      </c>
      <c r="L72" t="n">
        <v>0</v>
      </c>
      <c r="M72" t="n">
        <v>0</v>
      </c>
      <c r="N72" t="n">
        <v>0</v>
      </c>
      <c r="O72" t="n">
        <v>0</v>
      </c>
      <c r="P72" t="n">
        <v>0</v>
      </c>
      <c r="Q72" t="n">
        <v>0</v>
      </c>
      <c r="R72" s="2" t="inlineStr"/>
    </row>
    <row r="73" ht="15" customHeight="1">
      <c r="A73" t="inlineStr">
        <is>
          <t>A 58253-2020</t>
        </is>
      </c>
      <c r="B73" s="1" t="n">
        <v>44144</v>
      </c>
      <c r="C73" s="1" t="n">
        <v>45932</v>
      </c>
      <c r="D73" t="inlineStr">
        <is>
          <t>KALMAR LÄN</t>
        </is>
      </c>
      <c r="E73" t="inlineStr">
        <is>
          <t>BORGHOLM</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64303-2023</t>
        </is>
      </c>
      <c r="B74" s="1" t="n">
        <v>45280</v>
      </c>
      <c r="C74" s="1" t="n">
        <v>45932</v>
      </c>
      <c r="D74" t="inlineStr">
        <is>
          <t>KALMAR LÄN</t>
        </is>
      </c>
      <c r="E74" t="inlineStr">
        <is>
          <t>BORGHOLM</t>
        </is>
      </c>
      <c r="G74" t="n">
        <v>1.2</v>
      </c>
      <c r="H74" t="n">
        <v>0</v>
      </c>
      <c r="I74" t="n">
        <v>0</v>
      </c>
      <c r="J74" t="n">
        <v>0</v>
      </c>
      <c r="K74" t="n">
        <v>0</v>
      </c>
      <c r="L74" t="n">
        <v>0</v>
      </c>
      <c r="M74" t="n">
        <v>0</v>
      </c>
      <c r="N74" t="n">
        <v>0</v>
      </c>
      <c r="O74" t="n">
        <v>0</v>
      </c>
      <c r="P74" t="n">
        <v>0</v>
      </c>
      <c r="Q74" t="n">
        <v>0</v>
      </c>
      <c r="R74" s="2" t="inlineStr"/>
    </row>
    <row r="75" ht="15" customHeight="1">
      <c r="A75" t="inlineStr">
        <is>
          <t>A 31840-2021</t>
        </is>
      </c>
      <c r="B75" s="1" t="n">
        <v>44370</v>
      </c>
      <c r="C75" s="1" t="n">
        <v>45932</v>
      </c>
      <c r="D75" t="inlineStr">
        <is>
          <t>KALMAR LÄN</t>
        </is>
      </c>
      <c r="E75" t="inlineStr">
        <is>
          <t>BORGHOLM</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3878-2023</t>
        </is>
      </c>
      <c r="B76" s="1" t="n">
        <v>44951</v>
      </c>
      <c r="C76" s="1" t="n">
        <v>45932</v>
      </c>
      <c r="D76" t="inlineStr">
        <is>
          <t>KALMAR LÄN</t>
        </is>
      </c>
      <c r="E76" t="inlineStr">
        <is>
          <t>BORGHOLM</t>
        </is>
      </c>
      <c r="G76" t="n">
        <v>1.7</v>
      </c>
      <c r="H76" t="n">
        <v>0</v>
      </c>
      <c r="I76" t="n">
        <v>0</v>
      </c>
      <c r="J76" t="n">
        <v>0</v>
      </c>
      <c r="K76" t="n">
        <v>0</v>
      </c>
      <c r="L76" t="n">
        <v>0</v>
      </c>
      <c r="M76" t="n">
        <v>0</v>
      </c>
      <c r="N76" t="n">
        <v>0</v>
      </c>
      <c r="O76" t="n">
        <v>0</v>
      </c>
      <c r="P76" t="n">
        <v>0</v>
      </c>
      <c r="Q76" t="n">
        <v>0</v>
      </c>
      <c r="R76" s="2" t="inlineStr"/>
    </row>
    <row r="77" ht="15" customHeight="1">
      <c r="A77" t="inlineStr">
        <is>
          <t>A 21908-2022</t>
        </is>
      </c>
      <c r="B77" s="1" t="n">
        <v>44711</v>
      </c>
      <c r="C77" s="1" t="n">
        <v>45932</v>
      </c>
      <c r="D77" t="inlineStr">
        <is>
          <t>KALMAR LÄN</t>
        </is>
      </c>
      <c r="E77" t="inlineStr">
        <is>
          <t>BORGHOLM</t>
        </is>
      </c>
      <c r="G77" t="n">
        <v>4.7</v>
      </c>
      <c r="H77" t="n">
        <v>0</v>
      </c>
      <c r="I77" t="n">
        <v>0</v>
      </c>
      <c r="J77" t="n">
        <v>0</v>
      </c>
      <c r="K77" t="n">
        <v>0</v>
      </c>
      <c r="L77" t="n">
        <v>0</v>
      </c>
      <c r="M77" t="n">
        <v>0</v>
      </c>
      <c r="N77" t="n">
        <v>0</v>
      </c>
      <c r="O77" t="n">
        <v>0</v>
      </c>
      <c r="P77" t="n">
        <v>0</v>
      </c>
      <c r="Q77" t="n">
        <v>0</v>
      </c>
      <c r="R77" s="2" t="inlineStr"/>
    </row>
    <row r="78" ht="15" customHeight="1">
      <c r="A78" t="inlineStr">
        <is>
          <t>A 55367-2024</t>
        </is>
      </c>
      <c r="B78" s="1" t="n">
        <v>45621.87075231481</v>
      </c>
      <c r="C78" s="1" t="n">
        <v>45932</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12937-2022</t>
        </is>
      </c>
      <c r="B79" s="1" t="n">
        <v>44642</v>
      </c>
      <c r="C79" s="1" t="n">
        <v>45932</v>
      </c>
      <c r="D79" t="inlineStr">
        <is>
          <t>KALMAR LÄN</t>
        </is>
      </c>
      <c r="E79" t="inlineStr">
        <is>
          <t>BORGHOLM</t>
        </is>
      </c>
      <c r="F79" t="inlineStr">
        <is>
          <t>Sveaskog</t>
        </is>
      </c>
      <c r="G79" t="n">
        <v>1.8</v>
      </c>
      <c r="H79" t="n">
        <v>0</v>
      </c>
      <c r="I79" t="n">
        <v>0</v>
      </c>
      <c r="J79" t="n">
        <v>0</v>
      </c>
      <c r="K79" t="n">
        <v>0</v>
      </c>
      <c r="L79" t="n">
        <v>0</v>
      </c>
      <c r="M79" t="n">
        <v>0</v>
      </c>
      <c r="N79" t="n">
        <v>0</v>
      </c>
      <c r="O79" t="n">
        <v>0</v>
      </c>
      <c r="P79" t="n">
        <v>0</v>
      </c>
      <c r="Q79" t="n">
        <v>0</v>
      </c>
      <c r="R79" s="2" t="inlineStr"/>
    </row>
    <row r="80" ht="15" customHeight="1">
      <c r="A80" t="inlineStr">
        <is>
          <t>A 17978-2021</t>
        </is>
      </c>
      <c r="B80" s="1" t="n">
        <v>44301</v>
      </c>
      <c r="C80" s="1" t="n">
        <v>45932</v>
      </c>
      <c r="D80" t="inlineStr">
        <is>
          <t>KALMAR LÄN</t>
        </is>
      </c>
      <c r="E80" t="inlineStr">
        <is>
          <t>BORGHOLM</t>
        </is>
      </c>
      <c r="G80" t="n">
        <v>6</v>
      </c>
      <c r="H80" t="n">
        <v>0</v>
      </c>
      <c r="I80" t="n">
        <v>0</v>
      </c>
      <c r="J80" t="n">
        <v>0</v>
      </c>
      <c r="K80" t="n">
        <v>0</v>
      </c>
      <c r="L80" t="n">
        <v>0</v>
      </c>
      <c r="M80" t="n">
        <v>0</v>
      </c>
      <c r="N80" t="n">
        <v>0</v>
      </c>
      <c r="O80" t="n">
        <v>0</v>
      </c>
      <c r="P80" t="n">
        <v>0</v>
      </c>
      <c r="Q80" t="n">
        <v>0</v>
      </c>
      <c r="R80" s="2" t="inlineStr"/>
    </row>
    <row r="81" ht="15" customHeight="1">
      <c r="A81" t="inlineStr">
        <is>
          <t>A 22785-2025</t>
        </is>
      </c>
      <c r="B81" s="1" t="n">
        <v>45789.64186342592</v>
      </c>
      <c r="C81" s="1" t="n">
        <v>45932</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9034-2025</t>
        </is>
      </c>
      <c r="B82" s="1" t="n">
        <v>45713</v>
      </c>
      <c r="C82" s="1" t="n">
        <v>45932</v>
      </c>
      <c r="D82" t="inlineStr">
        <is>
          <t>KALMAR LÄN</t>
        </is>
      </c>
      <c r="E82" t="inlineStr">
        <is>
          <t>BORGHOLM</t>
        </is>
      </c>
      <c r="F82" t="inlineStr">
        <is>
          <t>Sveaskog</t>
        </is>
      </c>
      <c r="G82" t="n">
        <v>6.8</v>
      </c>
      <c r="H82" t="n">
        <v>0</v>
      </c>
      <c r="I82" t="n">
        <v>0</v>
      </c>
      <c r="J82" t="n">
        <v>0</v>
      </c>
      <c r="K82" t="n">
        <v>0</v>
      </c>
      <c r="L82" t="n">
        <v>0</v>
      </c>
      <c r="M82" t="n">
        <v>0</v>
      </c>
      <c r="N82" t="n">
        <v>0</v>
      </c>
      <c r="O82" t="n">
        <v>0</v>
      </c>
      <c r="P82" t="n">
        <v>0</v>
      </c>
      <c r="Q82" t="n">
        <v>0</v>
      </c>
      <c r="R82" s="2" t="inlineStr"/>
    </row>
    <row r="83" ht="15" customHeight="1">
      <c r="A83" t="inlineStr">
        <is>
          <t>A 32919-2023</t>
        </is>
      </c>
      <c r="B83" s="1" t="n">
        <v>45125</v>
      </c>
      <c r="C83" s="1" t="n">
        <v>45932</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13548-2025</t>
        </is>
      </c>
      <c r="B84" s="1" t="n">
        <v>45736.53827546296</v>
      </c>
      <c r="C84" s="1" t="n">
        <v>45932</v>
      </c>
      <c r="D84" t="inlineStr">
        <is>
          <t>KALMAR LÄN</t>
        </is>
      </c>
      <c r="E84" t="inlineStr">
        <is>
          <t>BORGHOLM</t>
        </is>
      </c>
      <c r="G84" t="n">
        <v>1</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45932</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45932</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12534-2022</t>
        </is>
      </c>
      <c r="B87" s="1" t="n">
        <v>44638</v>
      </c>
      <c r="C87" s="1" t="n">
        <v>45932</v>
      </c>
      <c r="D87" t="inlineStr">
        <is>
          <t>KALMAR LÄN</t>
        </is>
      </c>
      <c r="E87" t="inlineStr">
        <is>
          <t>BORGHOLM</t>
        </is>
      </c>
      <c r="G87" t="n">
        <v>8.6</v>
      </c>
      <c r="H87" t="n">
        <v>0</v>
      </c>
      <c r="I87" t="n">
        <v>0</v>
      </c>
      <c r="J87" t="n">
        <v>0</v>
      </c>
      <c r="K87" t="n">
        <v>0</v>
      </c>
      <c r="L87" t="n">
        <v>0</v>
      </c>
      <c r="M87" t="n">
        <v>0</v>
      </c>
      <c r="N87" t="n">
        <v>0</v>
      </c>
      <c r="O87" t="n">
        <v>0</v>
      </c>
      <c r="P87" t="n">
        <v>0</v>
      </c>
      <c r="Q87" t="n">
        <v>0</v>
      </c>
      <c r="R87" s="2" t="inlineStr"/>
    </row>
    <row r="88" ht="15" customHeight="1">
      <c r="A88" t="inlineStr">
        <is>
          <t>A 31720-2022</t>
        </is>
      </c>
      <c r="B88" s="1" t="n">
        <v>44776</v>
      </c>
      <c r="C88" s="1" t="n">
        <v>45932</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45932</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45932</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34951-2022</t>
        </is>
      </c>
      <c r="B91" s="1" t="n">
        <v>44796</v>
      </c>
      <c r="C91" s="1" t="n">
        <v>45932</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19867-2024</t>
        </is>
      </c>
      <c r="B92" s="1" t="n">
        <v>45433</v>
      </c>
      <c r="C92" s="1" t="n">
        <v>45932</v>
      </c>
      <c r="D92" t="inlineStr">
        <is>
          <t>KALMAR LÄN</t>
        </is>
      </c>
      <c r="E92" t="inlineStr">
        <is>
          <t>BORGHOLM</t>
        </is>
      </c>
      <c r="G92" t="n">
        <v>3.9</v>
      </c>
      <c r="H92" t="n">
        <v>0</v>
      </c>
      <c r="I92" t="n">
        <v>0</v>
      </c>
      <c r="J92" t="n">
        <v>0</v>
      </c>
      <c r="K92" t="n">
        <v>0</v>
      </c>
      <c r="L92" t="n">
        <v>0</v>
      </c>
      <c r="M92" t="n">
        <v>0</v>
      </c>
      <c r="N92" t="n">
        <v>0</v>
      </c>
      <c r="O92" t="n">
        <v>0</v>
      </c>
      <c r="P92" t="n">
        <v>0</v>
      </c>
      <c r="Q92" t="n">
        <v>0</v>
      </c>
      <c r="R92" s="2" t="inlineStr"/>
    </row>
    <row r="93" ht="15" customHeight="1">
      <c r="A93" t="inlineStr">
        <is>
          <t>A 40339-2023</t>
        </is>
      </c>
      <c r="B93" s="1" t="n">
        <v>45169.62733796296</v>
      </c>
      <c r="C93" s="1" t="n">
        <v>45932</v>
      </c>
      <c r="D93" t="inlineStr">
        <is>
          <t>KALMAR LÄN</t>
        </is>
      </c>
      <c r="E93" t="inlineStr">
        <is>
          <t>BORGHOLM</t>
        </is>
      </c>
      <c r="G93" t="n">
        <v>3.8</v>
      </c>
      <c r="H93" t="n">
        <v>0</v>
      </c>
      <c r="I93" t="n">
        <v>0</v>
      </c>
      <c r="J93" t="n">
        <v>0</v>
      </c>
      <c r="K93" t="n">
        <v>0</v>
      </c>
      <c r="L93" t="n">
        <v>0</v>
      </c>
      <c r="M93" t="n">
        <v>0</v>
      </c>
      <c r="N93" t="n">
        <v>0</v>
      </c>
      <c r="O93" t="n">
        <v>0</v>
      </c>
      <c r="P93" t="n">
        <v>0</v>
      </c>
      <c r="Q93" t="n">
        <v>0</v>
      </c>
      <c r="R93" s="2" t="inlineStr"/>
    </row>
    <row r="94" ht="15" customHeight="1">
      <c r="A94" t="inlineStr">
        <is>
          <t>A 65144-2020</t>
        </is>
      </c>
      <c r="B94" s="1" t="n">
        <v>44172</v>
      </c>
      <c r="C94" s="1" t="n">
        <v>45932</v>
      </c>
      <c r="D94" t="inlineStr">
        <is>
          <t>KALMAR LÄN</t>
        </is>
      </c>
      <c r="E94" t="inlineStr">
        <is>
          <t>BORGHOLM</t>
        </is>
      </c>
      <c r="G94" t="n">
        <v>1.7</v>
      </c>
      <c r="H94" t="n">
        <v>0</v>
      </c>
      <c r="I94" t="n">
        <v>0</v>
      </c>
      <c r="J94" t="n">
        <v>0</v>
      </c>
      <c r="K94" t="n">
        <v>0</v>
      </c>
      <c r="L94" t="n">
        <v>0</v>
      </c>
      <c r="M94" t="n">
        <v>0</v>
      </c>
      <c r="N94" t="n">
        <v>0</v>
      </c>
      <c r="O94" t="n">
        <v>0</v>
      </c>
      <c r="P94" t="n">
        <v>0</v>
      </c>
      <c r="Q94" t="n">
        <v>0</v>
      </c>
      <c r="R94" s="2" t="inlineStr"/>
    </row>
    <row r="95" ht="15" customHeight="1">
      <c r="A95" t="inlineStr">
        <is>
          <t>A 24166-2022</t>
        </is>
      </c>
      <c r="B95" s="1" t="n">
        <v>44725</v>
      </c>
      <c r="C95" s="1" t="n">
        <v>45932</v>
      </c>
      <c r="D95" t="inlineStr">
        <is>
          <t>KALMAR LÄN</t>
        </is>
      </c>
      <c r="E95" t="inlineStr">
        <is>
          <t>BORGHOLM</t>
        </is>
      </c>
      <c r="G95" t="n">
        <v>10.7</v>
      </c>
      <c r="H95" t="n">
        <v>0</v>
      </c>
      <c r="I95" t="n">
        <v>0</v>
      </c>
      <c r="J95" t="n">
        <v>0</v>
      </c>
      <c r="K95" t="n">
        <v>0</v>
      </c>
      <c r="L95" t="n">
        <v>0</v>
      </c>
      <c r="M95" t="n">
        <v>0</v>
      </c>
      <c r="N95" t="n">
        <v>0</v>
      </c>
      <c r="O95" t="n">
        <v>0</v>
      </c>
      <c r="P95" t="n">
        <v>0</v>
      </c>
      <c r="Q95" t="n">
        <v>0</v>
      </c>
      <c r="R95" s="2" t="inlineStr"/>
    </row>
    <row r="96" ht="15" customHeight="1">
      <c r="A96" t="inlineStr">
        <is>
          <t>A 4159-2024</t>
        </is>
      </c>
      <c r="B96" s="1" t="n">
        <v>45323</v>
      </c>
      <c r="C96" s="1" t="n">
        <v>45932</v>
      </c>
      <c r="D96" t="inlineStr">
        <is>
          <t>KALMAR LÄN</t>
        </is>
      </c>
      <c r="E96" t="inlineStr">
        <is>
          <t>BORGHOLM</t>
        </is>
      </c>
      <c r="G96" t="n">
        <v>0.5</v>
      </c>
      <c r="H96" t="n">
        <v>0</v>
      </c>
      <c r="I96" t="n">
        <v>0</v>
      </c>
      <c r="J96" t="n">
        <v>0</v>
      </c>
      <c r="K96" t="n">
        <v>0</v>
      </c>
      <c r="L96" t="n">
        <v>0</v>
      </c>
      <c r="M96" t="n">
        <v>0</v>
      </c>
      <c r="N96" t="n">
        <v>0</v>
      </c>
      <c r="O96" t="n">
        <v>0</v>
      </c>
      <c r="P96" t="n">
        <v>0</v>
      </c>
      <c r="Q96" t="n">
        <v>0</v>
      </c>
      <c r="R96" s="2" t="inlineStr"/>
    </row>
    <row r="97" ht="15" customHeight="1">
      <c r="A97" t="inlineStr">
        <is>
          <t>A 26190-2025</t>
        </is>
      </c>
      <c r="B97" s="1" t="n">
        <v>45805.48349537037</v>
      </c>
      <c r="C97" s="1" t="n">
        <v>45932</v>
      </c>
      <c r="D97" t="inlineStr">
        <is>
          <t>KALMAR LÄN</t>
        </is>
      </c>
      <c r="E97" t="inlineStr">
        <is>
          <t>BORGHOLM</t>
        </is>
      </c>
      <c r="G97" t="n">
        <v>3.2</v>
      </c>
      <c r="H97" t="n">
        <v>0</v>
      </c>
      <c r="I97" t="n">
        <v>0</v>
      </c>
      <c r="J97" t="n">
        <v>0</v>
      </c>
      <c r="K97" t="n">
        <v>0</v>
      </c>
      <c r="L97" t="n">
        <v>0</v>
      </c>
      <c r="M97" t="n">
        <v>0</v>
      </c>
      <c r="N97" t="n">
        <v>0</v>
      </c>
      <c r="O97" t="n">
        <v>0</v>
      </c>
      <c r="P97" t="n">
        <v>0</v>
      </c>
      <c r="Q97" t="n">
        <v>0</v>
      </c>
      <c r="R97" s="2" t="inlineStr"/>
    </row>
    <row r="98" ht="15" customHeight="1">
      <c r="A98" t="inlineStr">
        <is>
          <t>A 13383-2023</t>
        </is>
      </c>
      <c r="B98" s="1" t="n">
        <v>45005</v>
      </c>
      <c r="C98" s="1" t="n">
        <v>45932</v>
      </c>
      <c r="D98" t="inlineStr">
        <is>
          <t>KALMAR LÄN</t>
        </is>
      </c>
      <c r="E98" t="inlineStr">
        <is>
          <t>BORGHOLM</t>
        </is>
      </c>
      <c r="G98" t="n">
        <v>0.8</v>
      </c>
      <c r="H98" t="n">
        <v>0</v>
      </c>
      <c r="I98" t="n">
        <v>0</v>
      </c>
      <c r="J98" t="n">
        <v>0</v>
      </c>
      <c r="K98" t="n">
        <v>0</v>
      </c>
      <c r="L98" t="n">
        <v>0</v>
      </c>
      <c r="M98" t="n">
        <v>0</v>
      </c>
      <c r="N98" t="n">
        <v>0</v>
      </c>
      <c r="O98" t="n">
        <v>0</v>
      </c>
      <c r="P98" t="n">
        <v>0</v>
      </c>
      <c r="Q98" t="n">
        <v>0</v>
      </c>
      <c r="R98" s="2" t="inlineStr"/>
    </row>
    <row r="99" ht="15" customHeight="1">
      <c r="A99" t="inlineStr">
        <is>
          <t>A 46845-2025</t>
        </is>
      </c>
      <c r="B99" s="1" t="n">
        <v>45928.65019675926</v>
      </c>
      <c r="C99" s="1" t="n">
        <v>45932</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26160-2025</t>
        </is>
      </c>
      <c r="B100" s="1" t="n">
        <v>45805.4490162037</v>
      </c>
      <c r="C100" s="1" t="n">
        <v>45932</v>
      </c>
      <c r="D100" t="inlineStr">
        <is>
          <t>KALMAR LÄN</t>
        </is>
      </c>
      <c r="E100" t="inlineStr">
        <is>
          <t>BORGHOLM</t>
        </is>
      </c>
      <c r="G100" t="n">
        <v>3.7</v>
      </c>
      <c r="H100" t="n">
        <v>0</v>
      </c>
      <c r="I100" t="n">
        <v>0</v>
      </c>
      <c r="J100" t="n">
        <v>0</v>
      </c>
      <c r="K100" t="n">
        <v>0</v>
      </c>
      <c r="L100" t="n">
        <v>0</v>
      </c>
      <c r="M100" t="n">
        <v>0</v>
      </c>
      <c r="N100" t="n">
        <v>0</v>
      </c>
      <c r="O100" t="n">
        <v>0</v>
      </c>
      <c r="P100" t="n">
        <v>0</v>
      </c>
      <c r="Q100" t="n">
        <v>0</v>
      </c>
      <c r="R100" s="2" t="inlineStr"/>
    </row>
    <row r="101" ht="15" customHeight="1">
      <c r="A101" t="inlineStr">
        <is>
          <t>A 61438-2023</t>
        </is>
      </c>
      <c r="B101" s="1" t="n">
        <v>45264</v>
      </c>
      <c r="C101" s="1" t="n">
        <v>45932</v>
      </c>
      <c r="D101" t="inlineStr">
        <is>
          <t>KALMAR LÄN</t>
        </is>
      </c>
      <c r="E101" t="inlineStr">
        <is>
          <t>BORGHOLM</t>
        </is>
      </c>
      <c r="G101" t="n">
        <v>1.1</v>
      </c>
      <c r="H101" t="n">
        <v>0</v>
      </c>
      <c r="I101" t="n">
        <v>0</v>
      </c>
      <c r="J101" t="n">
        <v>0</v>
      </c>
      <c r="K101" t="n">
        <v>0</v>
      </c>
      <c r="L101" t="n">
        <v>0</v>
      </c>
      <c r="M101" t="n">
        <v>0</v>
      </c>
      <c r="N101" t="n">
        <v>0</v>
      </c>
      <c r="O101" t="n">
        <v>0</v>
      </c>
      <c r="P101" t="n">
        <v>0</v>
      </c>
      <c r="Q101" t="n">
        <v>0</v>
      </c>
      <c r="R101" s="2" t="inlineStr"/>
    </row>
    <row r="102" ht="15" customHeight="1">
      <c r="A102" t="inlineStr">
        <is>
          <t>A 13041-2024</t>
        </is>
      </c>
      <c r="B102" s="1" t="n">
        <v>45385.60065972222</v>
      </c>
      <c r="C102" s="1" t="n">
        <v>45932</v>
      </c>
      <c r="D102" t="inlineStr">
        <is>
          <t>KALMAR LÄN</t>
        </is>
      </c>
      <c r="E102" t="inlineStr">
        <is>
          <t>BORGHOLM</t>
        </is>
      </c>
      <c r="G102" t="n">
        <v>0.5</v>
      </c>
      <c r="H102" t="n">
        <v>0</v>
      </c>
      <c r="I102" t="n">
        <v>0</v>
      </c>
      <c r="J102" t="n">
        <v>0</v>
      </c>
      <c r="K102" t="n">
        <v>0</v>
      </c>
      <c r="L102" t="n">
        <v>0</v>
      </c>
      <c r="M102" t="n">
        <v>0</v>
      </c>
      <c r="N102" t="n">
        <v>0</v>
      </c>
      <c r="O102" t="n">
        <v>0</v>
      </c>
      <c r="P102" t="n">
        <v>0</v>
      </c>
      <c r="Q102" t="n">
        <v>0</v>
      </c>
      <c r="R102" s="2" t="inlineStr"/>
    </row>
    <row r="103" ht="15" customHeight="1">
      <c r="A103" t="inlineStr">
        <is>
          <t>A 53050-2021</t>
        </is>
      </c>
      <c r="B103" s="1" t="n">
        <v>44467</v>
      </c>
      <c r="C103" s="1" t="n">
        <v>45932</v>
      </c>
      <c r="D103" t="inlineStr">
        <is>
          <t>KALMAR LÄN</t>
        </is>
      </c>
      <c r="E103" t="inlineStr">
        <is>
          <t>BORGHOLM</t>
        </is>
      </c>
      <c r="G103" t="n">
        <v>3.6</v>
      </c>
      <c r="H103" t="n">
        <v>0</v>
      </c>
      <c r="I103" t="n">
        <v>0</v>
      </c>
      <c r="J103" t="n">
        <v>0</v>
      </c>
      <c r="K103" t="n">
        <v>0</v>
      </c>
      <c r="L103" t="n">
        <v>0</v>
      </c>
      <c r="M103" t="n">
        <v>0</v>
      </c>
      <c r="N103" t="n">
        <v>0</v>
      </c>
      <c r="O103" t="n">
        <v>0</v>
      </c>
      <c r="P103" t="n">
        <v>0</v>
      </c>
      <c r="Q103" t="n">
        <v>0</v>
      </c>
      <c r="R103" s="2" t="inlineStr"/>
    </row>
    <row r="104" ht="15" customHeight="1">
      <c r="A104" t="inlineStr">
        <is>
          <t>A 4165-2023</t>
        </is>
      </c>
      <c r="B104" s="1" t="n">
        <v>44953</v>
      </c>
      <c r="C104" s="1" t="n">
        <v>45932</v>
      </c>
      <c r="D104" t="inlineStr">
        <is>
          <t>KALMAR LÄN</t>
        </is>
      </c>
      <c r="E104" t="inlineStr">
        <is>
          <t>BORGHOLM</t>
        </is>
      </c>
      <c r="G104" t="n">
        <v>0.6</v>
      </c>
      <c r="H104" t="n">
        <v>0</v>
      </c>
      <c r="I104" t="n">
        <v>0</v>
      </c>
      <c r="J104" t="n">
        <v>0</v>
      </c>
      <c r="K104" t="n">
        <v>0</v>
      </c>
      <c r="L104" t="n">
        <v>0</v>
      </c>
      <c r="M104" t="n">
        <v>0</v>
      </c>
      <c r="N104" t="n">
        <v>0</v>
      </c>
      <c r="O104" t="n">
        <v>0</v>
      </c>
      <c r="P104" t="n">
        <v>0</v>
      </c>
      <c r="Q104" t="n">
        <v>0</v>
      </c>
      <c r="R104" s="2" t="inlineStr"/>
    </row>
    <row r="105" ht="15" customHeight="1">
      <c r="A105" t="inlineStr">
        <is>
          <t>A 50129-2021</t>
        </is>
      </c>
      <c r="B105" s="1" t="n">
        <v>44456</v>
      </c>
      <c r="C105" s="1" t="n">
        <v>45932</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32921-2023</t>
        </is>
      </c>
      <c r="B106" s="1" t="n">
        <v>45125</v>
      </c>
      <c r="C106" s="1" t="n">
        <v>45932</v>
      </c>
      <c r="D106" t="inlineStr">
        <is>
          <t>KALMAR LÄN</t>
        </is>
      </c>
      <c r="E106" t="inlineStr">
        <is>
          <t>BORGHOLM</t>
        </is>
      </c>
      <c r="G106" t="n">
        <v>2.9</v>
      </c>
      <c r="H106" t="n">
        <v>0</v>
      </c>
      <c r="I106" t="n">
        <v>0</v>
      </c>
      <c r="J106" t="n">
        <v>0</v>
      </c>
      <c r="K106" t="n">
        <v>0</v>
      </c>
      <c r="L106" t="n">
        <v>0</v>
      </c>
      <c r="M106" t="n">
        <v>0</v>
      </c>
      <c r="N106" t="n">
        <v>0</v>
      </c>
      <c r="O106" t="n">
        <v>0</v>
      </c>
      <c r="P106" t="n">
        <v>0</v>
      </c>
      <c r="Q106" t="n">
        <v>0</v>
      </c>
      <c r="R106" s="2" t="inlineStr"/>
    </row>
    <row r="107" ht="15" customHeight="1">
      <c r="A107" t="inlineStr">
        <is>
          <t>A 27357-2025</t>
        </is>
      </c>
      <c r="B107" s="1" t="n">
        <v>45812.63650462963</v>
      </c>
      <c r="C107" s="1" t="n">
        <v>45932</v>
      </c>
      <c r="D107" t="inlineStr">
        <is>
          <t>KALMAR LÄN</t>
        </is>
      </c>
      <c r="E107" t="inlineStr">
        <is>
          <t>BORGHOLM</t>
        </is>
      </c>
      <c r="F107" t="inlineStr">
        <is>
          <t>Sveaskog</t>
        </is>
      </c>
      <c r="G107" t="n">
        <v>4.5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45932</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27366-2025</t>
        </is>
      </c>
      <c r="B109" s="1" t="n">
        <v>45812.64475694444</v>
      </c>
      <c r="C109" s="1" t="n">
        <v>45932</v>
      </c>
      <c r="D109" t="inlineStr">
        <is>
          <t>KALMAR LÄN</t>
        </is>
      </c>
      <c r="E109" t="inlineStr">
        <is>
          <t>BORGHOLM</t>
        </is>
      </c>
      <c r="F109" t="inlineStr">
        <is>
          <t>Sveaskog</t>
        </is>
      </c>
      <c r="G109" t="n">
        <v>2.5</v>
      </c>
      <c r="H109" t="n">
        <v>0</v>
      </c>
      <c r="I109" t="n">
        <v>0</v>
      </c>
      <c r="J109" t="n">
        <v>0</v>
      </c>
      <c r="K109" t="n">
        <v>0</v>
      </c>
      <c r="L109" t="n">
        <v>0</v>
      </c>
      <c r="M109" t="n">
        <v>0</v>
      </c>
      <c r="N109" t="n">
        <v>0</v>
      </c>
      <c r="O109" t="n">
        <v>0</v>
      </c>
      <c r="P109" t="n">
        <v>0</v>
      </c>
      <c r="Q109" t="n">
        <v>0</v>
      </c>
      <c r="R109" s="2" t="inlineStr"/>
    </row>
    <row r="110" ht="15" customHeight="1">
      <c r="A110" t="inlineStr">
        <is>
          <t>A 63276-2023</t>
        </is>
      </c>
      <c r="B110" s="1" t="n">
        <v>45273.82195601852</v>
      </c>
      <c r="C110" s="1" t="n">
        <v>45932</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28782-2025</t>
        </is>
      </c>
      <c r="B111" s="1" t="n">
        <v>45820.45572916666</v>
      </c>
      <c r="C111" s="1" t="n">
        <v>45932</v>
      </c>
      <c r="D111" t="inlineStr">
        <is>
          <t>KALMAR LÄN</t>
        </is>
      </c>
      <c r="E111" t="inlineStr">
        <is>
          <t>BORGHOLM</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1614-2025</t>
        </is>
      </c>
      <c r="B112" s="1" t="n">
        <v>45670.60094907408</v>
      </c>
      <c r="C112" s="1" t="n">
        <v>45932</v>
      </c>
      <c r="D112" t="inlineStr">
        <is>
          <t>KALMAR LÄN</t>
        </is>
      </c>
      <c r="E112" t="inlineStr">
        <is>
          <t>BORGHOLM</t>
        </is>
      </c>
      <c r="G112" t="n">
        <v>1.4</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45932</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45932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45932</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9076-2025</t>
        </is>
      </c>
      <c r="B116" s="1" t="n">
        <v>45713.6596875</v>
      </c>
      <c r="C116" s="1" t="n">
        <v>45932</v>
      </c>
      <c r="D116" t="inlineStr">
        <is>
          <t>KALMAR LÄN</t>
        </is>
      </c>
      <c r="E116" t="inlineStr">
        <is>
          <t>BORGHOLM</t>
        </is>
      </c>
      <c r="F116" t="inlineStr">
        <is>
          <t>Sveaskog</t>
        </is>
      </c>
      <c r="G116" t="n">
        <v>4.2</v>
      </c>
      <c r="H116" t="n">
        <v>0</v>
      </c>
      <c r="I116" t="n">
        <v>0</v>
      </c>
      <c r="J116" t="n">
        <v>0</v>
      </c>
      <c r="K116" t="n">
        <v>0</v>
      </c>
      <c r="L116" t="n">
        <v>0</v>
      </c>
      <c r="M116" t="n">
        <v>0</v>
      </c>
      <c r="N116" t="n">
        <v>0</v>
      </c>
      <c r="O116" t="n">
        <v>0</v>
      </c>
      <c r="P116" t="n">
        <v>0</v>
      </c>
      <c r="Q116" t="n">
        <v>0</v>
      </c>
      <c r="R116" s="2" t="inlineStr"/>
    </row>
    <row r="117" ht="15" customHeight="1">
      <c r="A117" t="inlineStr">
        <is>
          <t>A 41831-2025</t>
        </is>
      </c>
      <c r="B117" s="1" t="n">
        <v>45902.67887731481</v>
      </c>
      <c r="C117" s="1" t="n">
        <v>45932</v>
      </c>
      <c r="D117" t="inlineStr">
        <is>
          <t>KALMAR LÄN</t>
        </is>
      </c>
      <c r="E117" t="inlineStr">
        <is>
          <t>BORGHOLM</t>
        </is>
      </c>
      <c r="G117" t="n">
        <v>1.5</v>
      </c>
      <c r="H117" t="n">
        <v>0</v>
      </c>
      <c r="I117" t="n">
        <v>0</v>
      </c>
      <c r="J117" t="n">
        <v>0</v>
      </c>
      <c r="K117" t="n">
        <v>0</v>
      </c>
      <c r="L117" t="n">
        <v>0</v>
      </c>
      <c r="M117" t="n">
        <v>0</v>
      </c>
      <c r="N117" t="n">
        <v>0</v>
      </c>
      <c r="O117" t="n">
        <v>0</v>
      </c>
      <c r="P117" t="n">
        <v>0</v>
      </c>
      <c r="Q117" t="n">
        <v>0</v>
      </c>
      <c r="R117" s="2" t="inlineStr"/>
    </row>
    <row r="118" ht="15" customHeight="1">
      <c r="A118" t="inlineStr">
        <is>
          <t>A 1757-2025</t>
        </is>
      </c>
      <c r="B118" s="1" t="n">
        <v>45671.42195601852</v>
      </c>
      <c r="C118" s="1" t="n">
        <v>45932</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41950-2025</t>
        </is>
      </c>
      <c r="B119" s="1" t="n">
        <v>45903.45767361111</v>
      </c>
      <c r="C119" s="1" t="n">
        <v>45932</v>
      </c>
      <c r="D119" t="inlineStr">
        <is>
          <t>KALMAR LÄN</t>
        </is>
      </c>
      <c r="E119" t="inlineStr">
        <is>
          <t>BORGHOLM</t>
        </is>
      </c>
      <c r="G119" t="n">
        <v>1.8</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45932</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42232-2025</t>
        </is>
      </c>
      <c r="B121" s="1" t="n">
        <v>45904.55591435185</v>
      </c>
      <c r="C121" s="1" t="n">
        <v>45932</v>
      </c>
      <c r="D121" t="inlineStr">
        <is>
          <t>KALMAR LÄN</t>
        </is>
      </c>
      <c r="E121" t="inlineStr">
        <is>
          <t>BORGHOLM</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36269-2025</t>
        </is>
      </c>
      <c r="B122" s="1" t="n">
        <v>45867.61736111111</v>
      </c>
      <c r="C122" s="1" t="n">
        <v>45932</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20878-2024</t>
        </is>
      </c>
      <c r="B123" s="1" t="n">
        <v>45439.44748842593</v>
      </c>
      <c r="C123" s="1" t="n">
        <v>45932</v>
      </c>
      <c r="D123" t="inlineStr">
        <is>
          <t>KALMAR LÄN</t>
        </is>
      </c>
      <c r="E123" t="inlineStr">
        <is>
          <t>BORGHOLM</t>
        </is>
      </c>
      <c r="G123" t="n">
        <v>1.9</v>
      </c>
      <c r="H123" t="n">
        <v>0</v>
      </c>
      <c r="I123" t="n">
        <v>0</v>
      </c>
      <c r="J123" t="n">
        <v>0</v>
      </c>
      <c r="K123" t="n">
        <v>0</v>
      </c>
      <c r="L123" t="n">
        <v>0</v>
      </c>
      <c r="M123" t="n">
        <v>0</v>
      </c>
      <c r="N123" t="n">
        <v>0</v>
      </c>
      <c r="O123" t="n">
        <v>0</v>
      </c>
      <c r="P123" t="n">
        <v>0</v>
      </c>
      <c r="Q123" t="n">
        <v>0</v>
      </c>
      <c r="R123" s="2" t="inlineStr"/>
    </row>
    <row r="124" ht="15" customHeight="1">
      <c r="A124" t="inlineStr">
        <is>
          <t>A 17699-2025</t>
        </is>
      </c>
      <c r="B124" s="1" t="n">
        <v>45758.41846064815</v>
      </c>
      <c r="C124" s="1" t="n">
        <v>45932</v>
      </c>
      <c r="D124" t="inlineStr">
        <is>
          <t>KALMAR LÄN</t>
        </is>
      </c>
      <c r="E124" t="inlineStr">
        <is>
          <t>BORGHOLM</t>
        </is>
      </c>
      <c r="G124" t="n">
        <v>0.7</v>
      </c>
      <c r="H124" t="n">
        <v>0</v>
      </c>
      <c r="I124" t="n">
        <v>0</v>
      </c>
      <c r="J124" t="n">
        <v>0</v>
      </c>
      <c r="K124" t="n">
        <v>0</v>
      </c>
      <c r="L124" t="n">
        <v>0</v>
      </c>
      <c r="M124" t="n">
        <v>0</v>
      </c>
      <c r="N124" t="n">
        <v>0</v>
      </c>
      <c r="O124" t="n">
        <v>0</v>
      </c>
      <c r="P124" t="n">
        <v>0</v>
      </c>
      <c r="Q124" t="n">
        <v>0</v>
      </c>
      <c r="R124" s="2" t="inlineStr"/>
    </row>
    <row r="125" ht="15" customHeight="1">
      <c r="A125" t="inlineStr">
        <is>
          <t>A 20287-2025</t>
        </is>
      </c>
      <c r="B125" s="1" t="n">
        <v>45774.60741898148</v>
      </c>
      <c r="C125" s="1" t="n">
        <v>45932</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43542-2025</t>
        </is>
      </c>
      <c r="B126" s="1" t="n">
        <v>45911.61123842592</v>
      </c>
      <c r="C126" s="1" t="n">
        <v>45932</v>
      </c>
      <c r="D126" t="inlineStr">
        <is>
          <t>KALMAR LÄN</t>
        </is>
      </c>
      <c r="E126" t="inlineStr">
        <is>
          <t>BORGHOLM</t>
        </is>
      </c>
      <c r="G126" t="n">
        <v>2.4</v>
      </c>
      <c r="H126" t="n">
        <v>0</v>
      </c>
      <c r="I126" t="n">
        <v>0</v>
      </c>
      <c r="J126" t="n">
        <v>0</v>
      </c>
      <c r="K126" t="n">
        <v>0</v>
      </c>
      <c r="L126" t="n">
        <v>0</v>
      </c>
      <c r="M126" t="n">
        <v>0</v>
      </c>
      <c r="N126" t="n">
        <v>0</v>
      </c>
      <c r="O126" t="n">
        <v>0</v>
      </c>
      <c r="P126" t="n">
        <v>0</v>
      </c>
      <c r="Q126" t="n">
        <v>0</v>
      </c>
      <c r="R126" s="2" t="inlineStr"/>
    </row>
    <row r="127" ht="15" customHeight="1">
      <c r="A127" t="inlineStr">
        <is>
          <t>A 26160-2024</t>
        </is>
      </c>
      <c r="B127" s="1" t="n">
        <v>45468</v>
      </c>
      <c r="C127" s="1" t="n">
        <v>45932</v>
      </c>
      <c r="D127" t="inlineStr">
        <is>
          <t>KALMAR LÄN</t>
        </is>
      </c>
      <c r="E127" t="inlineStr">
        <is>
          <t>BORGHOLM</t>
        </is>
      </c>
      <c r="G127" t="n">
        <v>0.4</v>
      </c>
      <c r="H127" t="n">
        <v>0</v>
      </c>
      <c r="I127" t="n">
        <v>0</v>
      </c>
      <c r="J127" t="n">
        <v>0</v>
      </c>
      <c r="K127" t="n">
        <v>0</v>
      </c>
      <c r="L127" t="n">
        <v>0</v>
      </c>
      <c r="M127" t="n">
        <v>0</v>
      </c>
      <c r="N127" t="n">
        <v>0</v>
      </c>
      <c r="O127" t="n">
        <v>0</v>
      </c>
      <c r="P127" t="n">
        <v>0</v>
      </c>
      <c r="Q127" t="n">
        <v>0</v>
      </c>
      <c r="R127" s="2" t="inlineStr"/>
      <c r="T127">
        <f>HYPERLINK("https://klasma.github.io/Logging_0885/kartor/A 26160-2024 karta.png", "A 26160-2024")</f>
        <v/>
      </c>
      <c r="V127">
        <f>HYPERLINK("https://klasma.github.io/Logging_0885/klagomål/A 26160-2024 FSC-klagomål.docx", "A 26160-2024")</f>
        <v/>
      </c>
      <c r="W127">
        <f>HYPERLINK("https://klasma.github.io/Logging_0885/klagomålsmail/A 26160-2024 FSC-klagomål mail.docx", "A 26160-2024")</f>
        <v/>
      </c>
      <c r="X127">
        <f>HYPERLINK("https://klasma.github.io/Logging_0885/tillsyn/A 26160-2024 tillsynsbegäran.docx", "A 26160-2024")</f>
        <v/>
      </c>
      <c r="Y127">
        <f>HYPERLINK("https://klasma.github.io/Logging_0885/tillsynsmail/A 26160-2024 tillsynsbegäran mail.docx", "A 26160-2024")</f>
        <v/>
      </c>
    </row>
    <row r="128" ht="15" customHeight="1">
      <c r="A128" t="inlineStr">
        <is>
          <t>A 29656-2023</t>
        </is>
      </c>
      <c r="B128" s="1" t="n">
        <v>45107</v>
      </c>
      <c r="C128" s="1" t="n">
        <v>45932</v>
      </c>
      <c r="D128" t="inlineStr">
        <is>
          <t>KALMAR LÄN</t>
        </is>
      </c>
      <c r="E128" t="inlineStr">
        <is>
          <t>BORGHOLM</t>
        </is>
      </c>
      <c r="G128" t="n">
        <v>4.1</v>
      </c>
      <c r="H128" t="n">
        <v>0</v>
      </c>
      <c r="I128" t="n">
        <v>0</v>
      </c>
      <c r="J128" t="n">
        <v>0</v>
      </c>
      <c r="K128" t="n">
        <v>0</v>
      </c>
      <c r="L128" t="n">
        <v>0</v>
      </c>
      <c r="M128" t="n">
        <v>0</v>
      </c>
      <c r="N128" t="n">
        <v>0</v>
      </c>
      <c r="O128" t="n">
        <v>0</v>
      </c>
      <c r="P128" t="n">
        <v>0</v>
      </c>
      <c r="Q128" t="n">
        <v>0</v>
      </c>
      <c r="R128" s="2" t="inlineStr"/>
    </row>
    <row r="129" ht="15" customHeight="1">
      <c r="A129" t="inlineStr">
        <is>
          <t>A 9028-2025</t>
        </is>
      </c>
      <c r="B129" s="1" t="n">
        <v>45713</v>
      </c>
      <c r="C129" s="1" t="n">
        <v>45932</v>
      </c>
      <c r="D129" t="inlineStr">
        <is>
          <t>KALMAR LÄN</t>
        </is>
      </c>
      <c r="E129" t="inlineStr">
        <is>
          <t>BORGHOLM</t>
        </is>
      </c>
      <c r="F129" t="inlineStr">
        <is>
          <t>Sveaskog</t>
        </is>
      </c>
      <c r="G129" t="n">
        <v>3</v>
      </c>
      <c r="H129" t="n">
        <v>0</v>
      </c>
      <c r="I129" t="n">
        <v>0</v>
      </c>
      <c r="J129" t="n">
        <v>0</v>
      </c>
      <c r="K129" t="n">
        <v>0</v>
      </c>
      <c r="L129" t="n">
        <v>0</v>
      </c>
      <c r="M129" t="n">
        <v>0</v>
      </c>
      <c r="N129" t="n">
        <v>0</v>
      </c>
      <c r="O129" t="n">
        <v>0</v>
      </c>
      <c r="P129" t="n">
        <v>0</v>
      </c>
      <c r="Q129" t="n">
        <v>0</v>
      </c>
      <c r="R129" s="2" t="inlineStr"/>
    </row>
    <row r="130" ht="15" customHeight="1">
      <c r="A130" t="inlineStr">
        <is>
          <t>A 44224-2025</t>
        </is>
      </c>
      <c r="B130" s="1" t="n">
        <v>45915</v>
      </c>
      <c r="C130" s="1" t="n">
        <v>45932</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45734-2025</t>
        </is>
      </c>
      <c r="B131" s="1" t="n">
        <v>45923.46512731481</v>
      </c>
      <c r="C131" s="1" t="n">
        <v>45932</v>
      </c>
      <c r="D131" t="inlineStr">
        <is>
          <t>KALMAR LÄN</t>
        </is>
      </c>
      <c r="E131" t="inlineStr">
        <is>
          <t>BORGHOLM</t>
        </is>
      </c>
      <c r="G131" t="n">
        <v>5</v>
      </c>
      <c r="H131" t="n">
        <v>0</v>
      </c>
      <c r="I131" t="n">
        <v>0</v>
      </c>
      <c r="J131" t="n">
        <v>0</v>
      </c>
      <c r="K131" t="n">
        <v>0</v>
      </c>
      <c r="L131" t="n">
        <v>0</v>
      </c>
      <c r="M131" t="n">
        <v>0</v>
      </c>
      <c r="N131" t="n">
        <v>0</v>
      </c>
      <c r="O131" t="n">
        <v>0</v>
      </c>
      <c r="P131" t="n">
        <v>0</v>
      </c>
      <c r="Q131" t="n">
        <v>0</v>
      </c>
      <c r="R131" s="2" t="inlineStr"/>
    </row>
    <row r="132" ht="15" customHeight="1">
      <c r="A132" t="inlineStr">
        <is>
          <t>A 9050-2025</t>
        </is>
      </c>
      <c r="B132" s="1" t="n">
        <v>45713.63512731482</v>
      </c>
      <c r="C132" s="1" t="n">
        <v>45932</v>
      </c>
      <c r="D132" t="inlineStr">
        <is>
          <t>KALMAR LÄN</t>
        </is>
      </c>
      <c r="E132" t="inlineStr">
        <is>
          <t>BORGHOLM</t>
        </is>
      </c>
      <c r="F132" t="inlineStr">
        <is>
          <t>Sveaskog</t>
        </is>
      </c>
      <c r="G132" t="n">
        <v>2.5</v>
      </c>
      <c r="H132" t="n">
        <v>0</v>
      </c>
      <c r="I132" t="n">
        <v>0</v>
      </c>
      <c r="J132" t="n">
        <v>0</v>
      </c>
      <c r="K132" t="n">
        <v>0</v>
      </c>
      <c r="L132" t="n">
        <v>0</v>
      </c>
      <c r="M132" t="n">
        <v>0</v>
      </c>
      <c r="N132" t="n">
        <v>0</v>
      </c>
      <c r="O132" t="n">
        <v>0</v>
      </c>
      <c r="P132" t="n">
        <v>0</v>
      </c>
      <c r="Q132" t="n">
        <v>0</v>
      </c>
      <c r="R132" s="2" t="inlineStr"/>
    </row>
    <row r="133" ht="15" customHeight="1">
      <c r="A133" t="inlineStr">
        <is>
          <t>A 45869-2025</t>
        </is>
      </c>
      <c r="B133" s="1" t="n">
        <v>45923.65313657407</v>
      </c>
      <c r="C133" s="1" t="n">
        <v>45932</v>
      </c>
      <c r="D133" t="inlineStr">
        <is>
          <t>KALMAR LÄN</t>
        </is>
      </c>
      <c r="E133" t="inlineStr">
        <is>
          <t>BORGHOLM</t>
        </is>
      </c>
      <c r="G133" t="n">
        <v>4.5</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45932</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c r="A135" t="inlineStr">
        <is>
          <t>A 7669-2024</t>
        </is>
      </c>
      <c r="B135" s="1" t="n">
        <v>45348.82498842593</v>
      </c>
      <c r="C135" s="1" t="n">
        <v>45932</v>
      </c>
      <c r="D135" t="inlineStr">
        <is>
          <t>KALMAR LÄN</t>
        </is>
      </c>
      <c r="E135" t="inlineStr">
        <is>
          <t>BORGHOLM</t>
        </is>
      </c>
      <c r="G135" t="n">
        <v>2.3</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2025-10-02T12:47:21Z</dcterms:created>
  <dcterms:modified xmlns:dcterms="http://purl.org/dc/terms/" xmlns:xsi="http://www.w3.org/2001/XMLSchema-instance" xsi:type="dcterms:W3CDTF">2025-10-02T12:47:22Z</dcterms:modified>
</cp:coreProperties>
</file>