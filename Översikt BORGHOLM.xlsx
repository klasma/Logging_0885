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46164</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46164</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46164</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46164</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46164</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46164</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46164</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46164</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46164</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46164</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46164</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46164</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46164</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9253-2026</t>
        </is>
      </c>
      <c r="B20" s="1" t="n">
        <v>46070.51003472223</v>
      </c>
      <c r="C20" s="1" t="n">
        <v>46164</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32174-2022</t>
        </is>
      </c>
      <c r="B21" s="1" t="n">
        <v>44781</v>
      </c>
      <c r="C21" s="1" t="n">
        <v>46164</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46164</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46164</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46164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34944-2022</t>
        </is>
      </c>
      <c r="B25" s="1" t="n">
        <v>44796</v>
      </c>
      <c r="C25" s="1" t="n">
        <v>46164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46164</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46164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46164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9745-2023</t>
        </is>
      </c>
      <c r="B31" s="1" t="n">
        <v>44984</v>
      </c>
      <c r="C31" s="1" t="n">
        <v>46164</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3302-2026</t>
        </is>
      </c>
      <c r="B32" s="1" t="n">
        <v>46041</v>
      </c>
      <c r="C32" s="1" t="n">
        <v>46164</v>
      </c>
      <c r="D32" t="inlineStr">
        <is>
          <t>KALMAR LÄN</t>
        </is>
      </c>
      <c r="E32" t="inlineStr">
        <is>
          <t>BORGHOLM</t>
        </is>
      </c>
      <c r="G32" t="n">
        <v>3.9</v>
      </c>
      <c r="H32" t="n">
        <v>1</v>
      </c>
      <c r="I32" t="n">
        <v>0</v>
      </c>
      <c r="J32" t="n">
        <v>0</v>
      </c>
      <c r="K32" t="n">
        <v>0</v>
      </c>
      <c r="L32" t="n">
        <v>0</v>
      </c>
      <c r="M32" t="n">
        <v>0</v>
      </c>
      <c r="N32" t="n">
        <v>0</v>
      </c>
      <c r="O32" t="n">
        <v>0</v>
      </c>
      <c r="P32" t="n">
        <v>0</v>
      </c>
      <c r="Q32" t="n">
        <v>1</v>
      </c>
      <c r="R32" s="2" t="inlineStr">
        <is>
          <t>Blåsippa</t>
        </is>
      </c>
      <c r="S32">
        <f>HYPERLINK("https://klasma.github.io/Logging_0885/artfynd/A 3302-2026 artfynd.xlsx", "A 3302-2026")</f>
        <v/>
      </c>
      <c r="T32">
        <f>HYPERLINK("https://klasma.github.io/Logging_0885/kartor/A 3302-2026 karta.png", "A 3302-2026")</f>
        <v/>
      </c>
      <c r="V32">
        <f>HYPERLINK("https://klasma.github.io/Logging_0885/klagomål/A 3302-2026 FSC-klagomål.docx", "A 3302-2026")</f>
        <v/>
      </c>
      <c r="W32">
        <f>HYPERLINK("https://klasma.github.io/Logging_0885/klagomålsmail/A 3302-2026 FSC-klagomål mail.docx", "A 3302-2026")</f>
        <v/>
      </c>
      <c r="X32">
        <f>HYPERLINK("https://klasma.github.io/Logging_0885/tillsyn/A 3302-2026 tillsynsbegäran.docx", "A 3302-2026")</f>
        <v/>
      </c>
      <c r="Y32">
        <f>HYPERLINK("https://klasma.github.io/Logging_0885/tillsynsmail/A 3302-2026 tillsynsbegäran mail.docx", "A 3302-2026")</f>
        <v/>
      </c>
    </row>
    <row r="33" ht="15" customHeight="1">
      <c r="A33" t="inlineStr">
        <is>
          <t>A 28785-2025</t>
        </is>
      </c>
      <c r="B33" s="1" t="n">
        <v>45820.46159722222</v>
      </c>
      <c r="C33" s="1" t="n">
        <v>46164</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46164</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46164</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13558-2025</t>
        </is>
      </c>
      <c r="B36" s="1" t="n">
        <v>45736.54974537037</v>
      </c>
      <c r="C36" s="1" t="n">
        <v>46164</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45693-2025</t>
        </is>
      </c>
      <c r="B37" s="1" t="n">
        <v>45923</v>
      </c>
      <c r="C37" s="1" t="n">
        <v>46164</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24701-2023</t>
        </is>
      </c>
      <c r="B38" s="1" t="n">
        <v>45084</v>
      </c>
      <c r="C38" s="1" t="n">
        <v>46164</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43603-2024</t>
        </is>
      </c>
      <c r="B39" s="1" t="n">
        <v>45569.44700231482</v>
      </c>
      <c r="C39" s="1" t="n">
        <v>46164</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24704-2023</t>
        </is>
      </c>
      <c r="B40" s="1" t="n">
        <v>45084</v>
      </c>
      <c r="C40" s="1" t="n">
        <v>46164</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24048-2025</t>
        </is>
      </c>
      <c r="B41" s="1" t="n">
        <v>45796.4959375</v>
      </c>
      <c r="C41" s="1" t="n">
        <v>46164</v>
      </c>
      <c r="D41" t="inlineStr">
        <is>
          <t>KALMAR LÄN</t>
        </is>
      </c>
      <c r="E41" t="inlineStr">
        <is>
          <t>BORGHOLM</t>
        </is>
      </c>
      <c r="G41" t="n">
        <v>2</v>
      </c>
      <c r="H41" t="n">
        <v>0</v>
      </c>
      <c r="I41" t="n">
        <v>0</v>
      </c>
      <c r="J41" t="n">
        <v>1</v>
      </c>
      <c r="K41" t="n">
        <v>0</v>
      </c>
      <c r="L41" t="n">
        <v>0</v>
      </c>
      <c r="M41" t="n">
        <v>0</v>
      </c>
      <c r="N41" t="n">
        <v>0</v>
      </c>
      <c r="O41" t="n">
        <v>1</v>
      </c>
      <c r="P41" t="n">
        <v>0</v>
      </c>
      <c r="Q41" t="n">
        <v>1</v>
      </c>
      <c r="R41" s="2" t="inlineStr">
        <is>
          <t>Loppstarr</t>
        </is>
      </c>
      <c r="S41">
        <f>HYPERLINK("https://klasma.github.io/Logging_0885/artfynd/A 24048-2025 artfynd.xlsx", "A 24048-2025")</f>
        <v/>
      </c>
      <c r="T41">
        <f>HYPERLINK("https://klasma.github.io/Logging_0885/kartor/A 24048-2025 karta.png", "A 24048-2025")</f>
        <v/>
      </c>
      <c r="V41">
        <f>HYPERLINK("https://klasma.github.io/Logging_0885/klagomål/A 24048-2025 FSC-klagomål.docx", "A 24048-2025")</f>
        <v/>
      </c>
      <c r="W41">
        <f>HYPERLINK("https://klasma.github.io/Logging_0885/klagomålsmail/A 24048-2025 FSC-klagomål mail.docx", "A 24048-2025")</f>
        <v/>
      </c>
      <c r="X41">
        <f>HYPERLINK("https://klasma.github.io/Logging_0885/tillsyn/A 24048-2025 tillsynsbegäran.docx", "A 24048-2025")</f>
        <v/>
      </c>
      <c r="Y41">
        <f>HYPERLINK("https://klasma.github.io/Logging_0885/tillsynsmail/A 24048-2025 tillsynsbegäran mail.docx", "A 24048-2025")</f>
        <v/>
      </c>
    </row>
    <row r="42" ht="15" customHeight="1">
      <c r="A42" t="inlineStr">
        <is>
          <t>A 41640-2023</t>
        </is>
      </c>
      <c r="B42" s="1" t="n">
        <v>45175</v>
      </c>
      <c r="C42" s="1" t="n">
        <v>46164</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42761-2021</t>
        </is>
      </c>
      <c r="B43" s="1" t="n">
        <v>44428</v>
      </c>
      <c r="C43" s="1" t="n">
        <v>46164</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46164</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46164</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46164</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46164</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46164</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46164</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46164</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46164</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46164</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46164</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46164</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31699-2022</t>
        </is>
      </c>
      <c r="B56" s="1" t="n">
        <v>44776</v>
      </c>
      <c r="C56" s="1" t="n">
        <v>46164</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9044-2025</t>
        </is>
      </c>
      <c r="B57" s="1" t="n">
        <v>45713.6275</v>
      </c>
      <c r="C57" s="1" t="n">
        <v>46164</v>
      </c>
      <c r="D57" t="inlineStr">
        <is>
          <t>KALMAR LÄN</t>
        </is>
      </c>
      <c r="E57" t="inlineStr">
        <is>
          <t>BORGHOLM</t>
        </is>
      </c>
      <c r="F57" t="inlineStr">
        <is>
          <t>Sveaskog</t>
        </is>
      </c>
      <c r="G57" t="n">
        <v>4</v>
      </c>
      <c r="H57" t="n">
        <v>0</v>
      </c>
      <c r="I57" t="n">
        <v>0</v>
      </c>
      <c r="J57" t="n">
        <v>0</v>
      </c>
      <c r="K57" t="n">
        <v>0</v>
      </c>
      <c r="L57" t="n">
        <v>0</v>
      </c>
      <c r="M57" t="n">
        <v>0</v>
      </c>
      <c r="N57" t="n">
        <v>0</v>
      </c>
      <c r="O57" t="n">
        <v>0</v>
      </c>
      <c r="P57" t="n">
        <v>0</v>
      </c>
      <c r="Q57" t="n">
        <v>0</v>
      </c>
      <c r="R57" s="2" t="inlineStr"/>
    </row>
    <row r="58" ht="15" customHeight="1">
      <c r="A58" t="inlineStr">
        <is>
          <t>A 26160-2024</t>
        </is>
      </c>
      <c r="B58" s="1" t="n">
        <v>45468</v>
      </c>
      <c r="C58" s="1" t="n">
        <v>46164</v>
      </c>
      <c r="D58" t="inlineStr">
        <is>
          <t>KALMAR LÄN</t>
        </is>
      </c>
      <c r="E58" t="inlineStr">
        <is>
          <t>BORGHOLM</t>
        </is>
      </c>
      <c r="G58" t="n">
        <v>0.4</v>
      </c>
      <c r="H58" t="n">
        <v>0</v>
      </c>
      <c r="I58" t="n">
        <v>0</v>
      </c>
      <c r="J58" t="n">
        <v>0</v>
      </c>
      <c r="K58" t="n">
        <v>0</v>
      </c>
      <c r="L58" t="n">
        <v>0</v>
      </c>
      <c r="M58" t="n">
        <v>0</v>
      </c>
      <c r="N58" t="n">
        <v>0</v>
      </c>
      <c r="O58" t="n">
        <v>0</v>
      </c>
      <c r="P58" t="n">
        <v>0</v>
      </c>
      <c r="Q58" t="n">
        <v>0</v>
      </c>
      <c r="R58" s="2" t="inlineStr"/>
      <c r="T58">
        <f>HYPERLINK("https://klasma.github.io/Logging_0885/kartor/A 26160-2024 karta.png", "A 26160-2024")</f>
        <v/>
      </c>
      <c r="V58">
        <f>HYPERLINK("https://klasma.github.io/Logging_0885/klagomål/A 26160-2024 FSC-klagomål.docx", "A 26160-2024")</f>
        <v/>
      </c>
      <c r="W58">
        <f>HYPERLINK("https://klasma.github.io/Logging_0885/klagomålsmail/A 26160-2024 FSC-klagomål mail.docx", "A 26160-2024")</f>
        <v/>
      </c>
      <c r="X58">
        <f>HYPERLINK("https://klasma.github.io/Logging_0885/tillsyn/A 26160-2024 tillsynsbegäran.docx", "A 26160-2024")</f>
        <v/>
      </c>
      <c r="Y58">
        <f>HYPERLINK("https://klasma.github.io/Logging_0885/tillsynsmail/A 26160-2024 tillsynsbegäran mail.docx", "A 26160-2024")</f>
        <v/>
      </c>
    </row>
    <row r="59" ht="15" customHeight="1">
      <c r="A59" t="inlineStr">
        <is>
          <t>A 20878-2024</t>
        </is>
      </c>
      <c r="B59" s="1" t="n">
        <v>45439.44748842593</v>
      </c>
      <c r="C59" s="1" t="n">
        <v>46164</v>
      </c>
      <c r="D59" t="inlineStr">
        <is>
          <t>KALMAR LÄN</t>
        </is>
      </c>
      <c r="E59" t="inlineStr">
        <is>
          <t>BORGHOLM</t>
        </is>
      </c>
      <c r="G59" t="n">
        <v>1.9</v>
      </c>
      <c r="H59" t="n">
        <v>0</v>
      </c>
      <c r="I59" t="n">
        <v>0</v>
      </c>
      <c r="J59" t="n">
        <v>0</v>
      </c>
      <c r="K59" t="n">
        <v>0</v>
      </c>
      <c r="L59" t="n">
        <v>0</v>
      </c>
      <c r="M59" t="n">
        <v>0</v>
      </c>
      <c r="N59" t="n">
        <v>0</v>
      </c>
      <c r="O59" t="n">
        <v>0</v>
      </c>
      <c r="P59" t="n">
        <v>0</v>
      </c>
      <c r="Q59" t="n">
        <v>0</v>
      </c>
      <c r="R59" s="2" t="inlineStr"/>
    </row>
    <row r="60" ht="15" customHeight="1">
      <c r="A60" t="inlineStr">
        <is>
          <t>A 26160-2025</t>
        </is>
      </c>
      <c r="B60" s="1" t="n">
        <v>45805.4490162037</v>
      </c>
      <c r="C60" s="1" t="n">
        <v>46164</v>
      </c>
      <c r="D60" t="inlineStr">
        <is>
          <t>KALMAR LÄN</t>
        </is>
      </c>
      <c r="E60" t="inlineStr">
        <is>
          <t>BORGHOLM</t>
        </is>
      </c>
      <c r="G60" t="n">
        <v>3.7</v>
      </c>
      <c r="H60" t="n">
        <v>0</v>
      </c>
      <c r="I60" t="n">
        <v>0</v>
      </c>
      <c r="J60" t="n">
        <v>0</v>
      </c>
      <c r="K60" t="n">
        <v>0</v>
      </c>
      <c r="L60" t="n">
        <v>0</v>
      </c>
      <c r="M60" t="n">
        <v>0</v>
      </c>
      <c r="N60" t="n">
        <v>0</v>
      </c>
      <c r="O60" t="n">
        <v>0</v>
      </c>
      <c r="P60" t="n">
        <v>0</v>
      </c>
      <c r="Q60" t="n">
        <v>0</v>
      </c>
      <c r="R60" s="2" t="inlineStr"/>
    </row>
    <row r="61" ht="15" customHeight="1">
      <c r="A61" t="inlineStr">
        <is>
          <t>A 26190-2025</t>
        </is>
      </c>
      <c r="B61" s="1" t="n">
        <v>45805.48349537037</v>
      </c>
      <c r="C61" s="1" t="n">
        <v>46164</v>
      </c>
      <c r="D61" t="inlineStr">
        <is>
          <t>KALMAR LÄN</t>
        </is>
      </c>
      <c r="E61" t="inlineStr">
        <is>
          <t>BORGHOLM</t>
        </is>
      </c>
      <c r="G61" t="n">
        <v>3.2</v>
      </c>
      <c r="H61" t="n">
        <v>0</v>
      </c>
      <c r="I61" t="n">
        <v>0</v>
      </c>
      <c r="J61" t="n">
        <v>0</v>
      </c>
      <c r="K61" t="n">
        <v>0</v>
      </c>
      <c r="L61" t="n">
        <v>0</v>
      </c>
      <c r="M61" t="n">
        <v>0</v>
      </c>
      <c r="N61" t="n">
        <v>0</v>
      </c>
      <c r="O61" t="n">
        <v>0</v>
      </c>
      <c r="P61" t="n">
        <v>0</v>
      </c>
      <c r="Q61" t="n">
        <v>0</v>
      </c>
      <c r="R61" s="2" t="inlineStr"/>
    </row>
    <row r="62" ht="15" customHeight="1">
      <c r="A62" t="inlineStr">
        <is>
          <t>A 27357-2025</t>
        </is>
      </c>
      <c r="B62" s="1" t="n">
        <v>45812.63650462963</v>
      </c>
      <c r="C62" s="1" t="n">
        <v>46164</v>
      </c>
      <c r="D62" t="inlineStr">
        <is>
          <t>KALMAR LÄN</t>
        </is>
      </c>
      <c r="E62" t="inlineStr">
        <is>
          <t>BORGHOLM</t>
        </is>
      </c>
      <c r="F62" t="inlineStr">
        <is>
          <t>Sveaskog</t>
        </is>
      </c>
      <c r="G62" t="n">
        <v>4.5</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46164</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27366-2025</t>
        </is>
      </c>
      <c r="B64" s="1" t="n">
        <v>45812.64475694444</v>
      </c>
      <c r="C64" s="1" t="n">
        <v>46164</v>
      </c>
      <c r="D64" t="inlineStr">
        <is>
          <t>KALMAR LÄN</t>
        </is>
      </c>
      <c r="E64" t="inlineStr">
        <is>
          <t>BORGHOLM</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28782-2025</t>
        </is>
      </c>
      <c r="B65" s="1" t="n">
        <v>45820.45572916666</v>
      </c>
      <c r="C65" s="1" t="n">
        <v>46164</v>
      </c>
      <c r="D65" t="inlineStr">
        <is>
          <t>KALMAR LÄN</t>
        </is>
      </c>
      <c r="E65" t="inlineStr">
        <is>
          <t>BORGHOLM</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53050-2021</t>
        </is>
      </c>
      <c r="B66" s="1" t="n">
        <v>44467</v>
      </c>
      <c r="C66" s="1" t="n">
        <v>46164</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46164</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46164</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46164</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31720-2022</t>
        </is>
      </c>
      <c r="B70" s="1" t="n">
        <v>44776</v>
      </c>
      <c r="C70" s="1" t="n">
        <v>46164</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29656-2023</t>
        </is>
      </c>
      <c r="B71" s="1" t="n">
        <v>45107</v>
      </c>
      <c r="C71" s="1" t="n">
        <v>46164</v>
      </c>
      <c r="D71" t="inlineStr">
        <is>
          <t>KALMAR LÄN</t>
        </is>
      </c>
      <c r="E71" t="inlineStr">
        <is>
          <t>BORGHOLM</t>
        </is>
      </c>
      <c r="G71" t="n">
        <v>4.1</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46164</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4165-2023</t>
        </is>
      </c>
      <c r="B73" s="1" t="n">
        <v>44953</v>
      </c>
      <c r="C73" s="1" t="n">
        <v>46164</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7481-2026</t>
        </is>
      </c>
      <c r="B74" s="1" t="n">
        <v>46059.51359953704</v>
      </c>
      <c r="C74" s="1" t="n">
        <v>46164</v>
      </c>
      <c r="D74" t="inlineStr">
        <is>
          <t>KALMAR LÄN</t>
        </is>
      </c>
      <c r="E74" t="inlineStr">
        <is>
          <t>BORGHOLM</t>
        </is>
      </c>
      <c r="G74" t="n">
        <v>1.9</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46164</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46164</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46164</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46164</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13548-2025</t>
        </is>
      </c>
      <c r="B79" s="1" t="n">
        <v>45736.53827546296</v>
      </c>
      <c r="C79" s="1" t="n">
        <v>46164</v>
      </c>
      <c r="D79" t="inlineStr">
        <is>
          <t>KALMAR LÄN</t>
        </is>
      </c>
      <c r="E79" t="inlineStr">
        <is>
          <t>BORGHOLM</t>
        </is>
      </c>
      <c r="G79" t="n">
        <v>1</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46164</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9104-2026</t>
        </is>
      </c>
      <c r="B81" s="1" t="n">
        <v>46069</v>
      </c>
      <c r="C81" s="1" t="n">
        <v>46164</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9259-2026</t>
        </is>
      </c>
      <c r="B82" s="1" t="n">
        <v>46070.51917824074</v>
      </c>
      <c r="C82" s="1" t="n">
        <v>46164</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46164</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44678-2022</t>
        </is>
      </c>
      <c r="B84" s="1" t="n">
        <v>44840.65100694444</v>
      </c>
      <c r="C84" s="1" t="n">
        <v>46164</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9905-2026</t>
        </is>
      </c>
      <c r="B85" s="1" t="n">
        <v>46073.4108912037</v>
      </c>
      <c r="C85" s="1" t="n">
        <v>46164</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46164</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46164</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63075-2023</t>
        </is>
      </c>
      <c r="B88" s="1" t="n">
        <v>45273</v>
      </c>
      <c r="C88" s="1" t="n">
        <v>46164</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46164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46164</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46164</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46164</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17699-2025</t>
        </is>
      </c>
      <c r="B93" s="1" t="n">
        <v>45758.41846064815</v>
      </c>
      <c r="C93" s="1" t="n">
        <v>46164</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46164</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34780-2022</t>
        </is>
      </c>
      <c r="B95" s="1" t="n">
        <v>44795</v>
      </c>
      <c r="C95" s="1" t="n">
        <v>46164</v>
      </c>
      <c r="D95" t="inlineStr">
        <is>
          <t>KALMAR LÄN</t>
        </is>
      </c>
      <c r="E95" t="inlineStr">
        <is>
          <t>BORGHOLM</t>
        </is>
      </c>
      <c r="F95" t="inlineStr">
        <is>
          <t>Sveaskog</t>
        </is>
      </c>
      <c r="G95" t="n">
        <v>6.7</v>
      </c>
      <c r="H95" t="n">
        <v>0</v>
      </c>
      <c r="I95" t="n">
        <v>0</v>
      </c>
      <c r="J95" t="n">
        <v>0</v>
      </c>
      <c r="K95" t="n">
        <v>0</v>
      </c>
      <c r="L95" t="n">
        <v>0</v>
      </c>
      <c r="M95" t="n">
        <v>0</v>
      </c>
      <c r="N95" t="n">
        <v>0</v>
      </c>
      <c r="O95" t="n">
        <v>0</v>
      </c>
      <c r="P95" t="n">
        <v>0</v>
      </c>
      <c r="Q95" t="n">
        <v>0</v>
      </c>
      <c r="R95" s="2" t="inlineStr"/>
    </row>
    <row r="96" ht="15" customHeight="1">
      <c r="A96" t="inlineStr">
        <is>
          <t>A 55367-2024</t>
        </is>
      </c>
      <c r="B96" s="1" t="n">
        <v>45621.87075231481</v>
      </c>
      <c r="C96" s="1" t="n">
        <v>46164</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20287-2025</t>
        </is>
      </c>
      <c r="B97" s="1" t="n">
        <v>45774.60741898148</v>
      </c>
      <c r="C97" s="1" t="n">
        <v>46164</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9076-2025</t>
        </is>
      </c>
      <c r="B98" s="1" t="n">
        <v>45713.6596875</v>
      </c>
      <c r="C98" s="1" t="n">
        <v>46164</v>
      </c>
      <c r="D98" t="inlineStr">
        <is>
          <t>KALMAR LÄN</t>
        </is>
      </c>
      <c r="E98" t="inlineStr">
        <is>
          <t>BORGHOLM</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15272-2026</t>
        </is>
      </c>
      <c r="B99" s="1" t="n">
        <v>46105.60017361111</v>
      </c>
      <c r="C99" s="1" t="n">
        <v>46164</v>
      </c>
      <c r="D99" t="inlineStr">
        <is>
          <t>KALMAR LÄN</t>
        </is>
      </c>
      <c r="E99" t="inlineStr">
        <is>
          <t>BORGHOLM</t>
        </is>
      </c>
      <c r="F99" t="inlineStr">
        <is>
          <t>Sveaskog</t>
        </is>
      </c>
      <c r="G99" t="n">
        <v>2.9</v>
      </c>
      <c r="H99" t="n">
        <v>0</v>
      </c>
      <c r="I99" t="n">
        <v>0</v>
      </c>
      <c r="J99" t="n">
        <v>0</v>
      </c>
      <c r="K99" t="n">
        <v>0</v>
      </c>
      <c r="L99" t="n">
        <v>0</v>
      </c>
      <c r="M99" t="n">
        <v>0</v>
      </c>
      <c r="N99" t="n">
        <v>0</v>
      </c>
      <c r="O99" t="n">
        <v>0</v>
      </c>
      <c r="P99" t="n">
        <v>0</v>
      </c>
      <c r="Q99" t="n">
        <v>0</v>
      </c>
      <c r="R99" s="2" t="inlineStr"/>
    </row>
    <row r="100" ht="15" customHeight="1">
      <c r="A100" t="inlineStr">
        <is>
          <t>A 15279-2026</t>
        </is>
      </c>
      <c r="B100" s="1" t="n">
        <v>46105.61030092592</v>
      </c>
      <c r="C100" s="1" t="n">
        <v>46164</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15264-2026</t>
        </is>
      </c>
      <c r="B101" s="1" t="n">
        <v>46105.59372685185</v>
      </c>
      <c r="C101" s="1" t="n">
        <v>46164</v>
      </c>
      <c r="D101" t="inlineStr">
        <is>
          <t>KALMAR LÄN</t>
        </is>
      </c>
      <c r="E101" t="inlineStr">
        <is>
          <t>BORGHOLM</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46164</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46164</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46164</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9034-2025</t>
        </is>
      </c>
      <c r="B105" s="1" t="n">
        <v>45713</v>
      </c>
      <c r="C105" s="1" t="n">
        <v>46164</v>
      </c>
      <c r="D105" t="inlineStr">
        <is>
          <t>KALMAR LÄN</t>
        </is>
      </c>
      <c r="E105" t="inlineStr">
        <is>
          <t>BORGHOLM</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46164</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3878-2023</t>
        </is>
      </c>
      <c r="B107" s="1" t="n">
        <v>44951</v>
      </c>
      <c r="C107" s="1" t="n">
        <v>46164</v>
      </c>
      <c r="D107" t="inlineStr">
        <is>
          <t>KALMAR LÄN</t>
        </is>
      </c>
      <c r="E107" t="inlineStr">
        <is>
          <t>BORGHOLM</t>
        </is>
      </c>
      <c r="G107" t="n">
        <v>1.7</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46164</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46164</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46164</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7960-2023</t>
        </is>
      </c>
      <c r="B111" s="1" t="n">
        <v>44973</v>
      </c>
      <c r="C111" s="1" t="n">
        <v>46164</v>
      </c>
      <c r="D111" t="inlineStr">
        <is>
          <t>KALMAR LÄN</t>
        </is>
      </c>
      <c r="E111" t="inlineStr">
        <is>
          <t>BORGHOLM</t>
        </is>
      </c>
      <c r="G111" t="n">
        <v>2.1</v>
      </c>
      <c r="H111" t="n">
        <v>0</v>
      </c>
      <c r="I111" t="n">
        <v>0</v>
      </c>
      <c r="J111" t="n">
        <v>0</v>
      </c>
      <c r="K111" t="n">
        <v>0</v>
      </c>
      <c r="L111" t="n">
        <v>0</v>
      </c>
      <c r="M111" t="n">
        <v>0</v>
      </c>
      <c r="N111" t="n">
        <v>0</v>
      </c>
      <c r="O111" t="n">
        <v>0</v>
      </c>
      <c r="P111" t="n">
        <v>0</v>
      </c>
      <c r="Q111" t="n">
        <v>0</v>
      </c>
      <c r="R111" s="2" t="inlineStr"/>
    </row>
    <row r="112" ht="15" customHeight="1">
      <c r="A112" t="inlineStr">
        <is>
          <t>A 61438-2023</t>
        </is>
      </c>
      <c r="B112" s="1" t="n">
        <v>45264</v>
      </c>
      <c r="C112" s="1" t="n">
        <v>46164</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13041-2024</t>
        </is>
      </c>
      <c r="B113" s="1" t="n">
        <v>45385.60065972222</v>
      </c>
      <c r="C113" s="1" t="n">
        <v>46164</v>
      </c>
      <c r="D113" t="inlineStr">
        <is>
          <t>KALMAR LÄN</t>
        </is>
      </c>
      <c r="E113" t="inlineStr">
        <is>
          <t>BORGHOLM</t>
        </is>
      </c>
      <c r="G113" t="n">
        <v>0.5</v>
      </c>
      <c r="H113" t="n">
        <v>0</v>
      </c>
      <c r="I113" t="n">
        <v>0</v>
      </c>
      <c r="J113" t="n">
        <v>0</v>
      </c>
      <c r="K113" t="n">
        <v>0</v>
      </c>
      <c r="L113" t="n">
        <v>0</v>
      </c>
      <c r="M113" t="n">
        <v>0</v>
      </c>
      <c r="N113" t="n">
        <v>0</v>
      </c>
      <c r="O113" t="n">
        <v>0</v>
      </c>
      <c r="P113" t="n">
        <v>0</v>
      </c>
      <c r="Q113" t="n">
        <v>0</v>
      </c>
      <c r="R113" s="2" t="inlineStr"/>
    </row>
    <row r="114" ht="15" customHeight="1">
      <c r="A114" t="inlineStr">
        <is>
          <t>A 1614-2025</t>
        </is>
      </c>
      <c r="B114" s="1" t="n">
        <v>45670.60094907408</v>
      </c>
      <c r="C114" s="1" t="n">
        <v>46164</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63276-2023</t>
        </is>
      </c>
      <c r="B115" s="1" t="n">
        <v>45273.82195601852</v>
      </c>
      <c r="C115" s="1" t="n">
        <v>46164</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9050-2025</t>
        </is>
      </c>
      <c r="B116" s="1" t="n">
        <v>45713.63512731482</v>
      </c>
      <c r="C116" s="1" t="n">
        <v>46164</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13043-2024</t>
        </is>
      </c>
      <c r="B117" s="1" t="n">
        <v>45385.60111111111</v>
      </c>
      <c r="C117" s="1" t="n">
        <v>46164</v>
      </c>
      <c r="D117" t="inlineStr">
        <is>
          <t>KALMAR LÄN</t>
        </is>
      </c>
      <c r="E117" t="inlineStr">
        <is>
          <t>BORGHOLM</t>
        </is>
      </c>
      <c r="G117" t="n">
        <v>0.4</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46164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12534-2022</t>
        </is>
      </c>
      <c r="B119" s="1" t="n">
        <v>44638</v>
      </c>
      <c r="C119" s="1" t="n">
        <v>46164</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row r="120" ht="15" customHeight="1">
      <c r="A120" t="inlineStr">
        <is>
          <t>A 40339-2023</t>
        </is>
      </c>
      <c r="B120" s="1" t="n">
        <v>45169.62733796296</v>
      </c>
      <c r="C120" s="1" t="n">
        <v>46164</v>
      </c>
      <c r="D120" t="inlineStr">
        <is>
          <t>KALMAR LÄN</t>
        </is>
      </c>
      <c r="E120" t="inlineStr">
        <is>
          <t>BORGHOLM</t>
        </is>
      </c>
      <c r="G120" t="n">
        <v>3.8</v>
      </c>
      <c r="H120" t="n">
        <v>0</v>
      </c>
      <c r="I120" t="n">
        <v>0</v>
      </c>
      <c r="J120" t="n">
        <v>0</v>
      </c>
      <c r="K120" t="n">
        <v>0</v>
      </c>
      <c r="L120" t="n">
        <v>0</v>
      </c>
      <c r="M120" t="n">
        <v>0</v>
      </c>
      <c r="N120" t="n">
        <v>0</v>
      </c>
      <c r="O120" t="n">
        <v>0</v>
      </c>
      <c r="P120" t="n">
        <v>0</v>
      </c>
      <c r="Q120" t="n">
        <v>0</v>
      </c>
      <c r="R120" s="2" t="inlineStr"/>
    </row>
    <row r="121">
      <c r="A121" t="inlineStr">
        <is>
          <t>A 24166-2022</t>
        </is>
      </c>
      <c r="B121" s="1" t="n">
        <v>44725</v>
      </c>
      <c r="C121" s="1" t="n">
        <v>46164</v>
      </c>
      <c r="D121" t="inlineStr">
        <is>
          <t>KALMAR LÄN</t>
        </is>
      </c>
      <c r="E121" t="inlineStr">
        <is>
          <t>BORGHOLM</t>
        </is>
      </c>
      <c r="G121" t="n">
        <v>10.7</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2026-05-22T10:43:35Z</dcterms:created>
  <dcterms:modified xmlns:dcterms="http://purl.org/dc/terms/" xmlns:xsi="http://www.w3.org/2001/XMLSchema-instance" xsi:type="dcterms:W3CDTF">2026-05-22T10:43:35Z</dcterms:modified>
</cp:coreProperties>
</file>