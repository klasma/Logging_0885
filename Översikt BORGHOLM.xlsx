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45963</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45963</v>
      </c>
      <c r="D7" t="inlineStr">
        <is>
          <t>KALMAR LÄN</t>
        </is>
      </c>
      <c r="E7" t="inlineStr">
        <is>
          <t>BORGHOLM</t>
        </is>
      </c>
      <c r="F7" t="inlineStr">
        <is>
          <t>Sveaskog</t>
        </is>
      </c>
      <c r="G7" t="n">
        <v>2.8</v>
      </c>
      <c r="H7" t="n">
        <v>1</v>
      </c>
      <c r="I7" t="n">
        <v>1</v>
      </c>
      <c r="J7" t="n">
        <v>3</v>
      </c>
      <c r="K7" t="n">
        <v>2</v>
      </c>
      <c r="L7" t="n">
        <v>1</v>
      </c>
      <c r="M7" t="n">
        <v>0</v>
      </c>
      <c r="N7" t="n">
        <v>0</v>
      </c>
      <c r="O7" t="n">
        <v>6</v>
      </c>
      <c r="P7" t="n">
        <v>3</v>
      </c>
      <c r="Q7" t="n">
        <v>8</v>
      </c>
      <c r="R7" s="2" t="inlineStr">
        <is>
          <t>Brödmusseron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45006-2025</t>
        </is>
      </c>
      <c r="B8" s="1" t="n">
        <v>45918</v>
      </c>
      <c r="C8" s="1" t="n">
        <v>45963</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44885-2025</t>
        </is>
      </c>
      <c r="B9" s="1" t="n">
        <v>45918.49010416667</v>
      </c>
      <c r="C9" s="1" t="n">
        <v>45963</v>
      </c>
      <c r="D9" t="inlineStr">
        <is>
          <t>KALMAR LÄN</t>
        </is>
      </c>
      <c r="E9" t="inlineStr">
        <is>
          <t>BORGHOLM</t>
        </is>
      </c>
      <c r="G9" t="n">
        <v>4.4</v>
      </c>
      <c r="H9" t="n">
        <v>2</v>
      </c>
      <c r="I9" t="n">
        <v>4</v>
      </c>
      <c r="J9" t="n">
        <v>0</v>
      </c>
      <c r="K9" t="n">
        <v>0</v>
      </c>
      <c r="L9" t="n">
        <v>1</v>
      </c>
      <c r="M9" t="n">
        <v>1</v>
      </c>
      <c r="N9" t="n">
        <v>0</v>
      </c>
      <c r="O9" t="n">
        <v>2</v>
      </c>
      <c r="P9" t="n">
        <v>2</v>
      </c>
      <c r="Q9" t="n">
        <v>7</v>
      </c>
      <c r="R9" s="2" t="inlineStr">
        <is>
          <t>Skogsalm
Ask
Murgröna
Myskmadra
Skogsknipprot
Strävlosta
Blåsippa</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31837-2021</t>
        </is>
      </c>
      <c r="B10" s="1" t="n">
        <v>44370</v>
      </c>
      <c r="C10" s="1" t="n">
        <v>45963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57656-2020</t>
        </is>
      </c>
      <c r="B11" s="1" t="n">
        <v>44140</v>
      </c>
      <c r="C11" s="1" t="n">
        <v>45963</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45963</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45963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45963</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45963</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45963</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45963</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45963</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45963</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9028-2025</t>
        </is>
      </c>
      <c r="B20" s="1" t="n">
        <v>45713</v>
      </c>
      <c r="C20" s="1" t="n">
        <v>45963</v>
      </c>
      <c r="D20" t="inlineStr">
        <is>
          <t>KALMAR LÄN</t>
        </is>
      </c>
      <c r="E20" t="inlineStr">
        <is>
          <t>BORGHOLM</t>
        </is>
      </c>
      <c r="F20" t="inlineStr">
        <is>
          <t>Sveaskog</t>
        </is>
      </c>
      <c r="G20" t="n">
        <v>3</v>
      </c>
      <c r="H20" t="n">
        <v>0</v>
      </c>
      <c r="I20" t="n">
        <v>1</v>
      </c>
      <c r="J20" t="n">
        <v>1</v>
      </c>
      <c r="K20" t="n">
        <v>1</v>
      </c>
      <c r="L20" t="n">
        <v>0</v>
      </c>
      <c r="M20" t="n">
        <v>0</v>
      </c>
      <c r="N20" t="n">
        <v>0</v>
      </c>
      <c r="O20" t="n">
        <v>2</v>
      </c>
      <c r="P20" t="n">
        <v>1</v>
      </c>
      <c r="Q20" t="n">
        <v>3</v>
      </c>
      <c r="R20" s="2" t="inlineStr">
        <is>
          <t>Kopparspindling
Persiljespindling
Brandmusseron</t>
        </is>
      </c>
      <c r="S20">
        <f>HYPERLINK("https://klasma.github.io/Logging_0885/artfynd/A 9028-2025 artfynd.xlsx", "A 9028-2025")</f>
        <v/>
      </c>
      <c r="T20">
        <f>HYPERLINK("https://klasma.github.io/Logging_0885/kartor/A 9028-2025 karta.png", "A 9028-2025")</f>
        <v/>
      </c>
      <c r="V20">
        <f>HYPERLINK("https://klasma.github.io/Logging_0885/klagomål/A 9028-2025 FSC-klagomål.docx", "A 9028-2025")</f>
        <v/>
      </c>
      <c r="W20">
        <f>HYPERLINK("https://klasma.github.io/Logging_0885/klagomålsmail/A 9028-2025 FSC-klagomål mail.docx", "A 9028-2025")</f>
        <v/>
      </c>
      <c r="X20">
        <f>HYPERLINK("https://klasma.github.io/Logging_0885/tillsyn/A 9028-2025 tillsynsbegäran.docx", "A 9028-2025")</f>
        <v/>
      </c>
      <c r="Y20">
        <f>HYPERLINK("https://klasma.github.io/Logging_0885/tillsynsmail/A 9028-2025 tillsynsbegäran mail.docx", "A 9028-2025")</f>
        <v/>
      </c>
    </row>
    <row r="21" ht="15" customHeight="1">
      <c r="A21" t="inlineStr">
        <is>
          <t>A 58231-2020</t>
        </is>
      </c>
      <c r="B21" s="1" t="n">
        <v>44144</v>
      </c>
      <c r="C21" s="1" t="n">
        <v>45963</v>
      </c>
      <c r="D21" t="inlineStr">
        <is>
          <t>KALMAR LÄN</t>
        </is>
      </c>
      <c r="E21" t="inlineStr">
        <is>
          <t>BORGHOLM</t>
        </is>
      </c>
      <c r="F21" t="inlineStr">
        <is>
          <t>Sveaskog</t>
        </is>
      </c>
      <c r="G21" t="n">
        <v>8.5</v>
      </c>
      <c r="H21" t="n">
        <v>1</v>
      </c>
      <c r="I21" t="n">
        <v>2</v>
      </c>
      <c r="J21" t="n">
        <v>1</v>
      </c>
      <c r="K21" t="n">
        <v>0</v>
      </c>
      <c r="L21" t="n">
        <v>0</v>
      </c>
      <c r="M21" t="n">
        <v>0</v>
      </c>
      <c r="N21" t="n">
        <v>0</v>
      </c>
      <c r="O21" t="n">
        <v>1</v>
      </c>
      <c r="P21" t="n">
        <v>0</v>
      </c>
      <c r="Q21" t="n">
        <v>3</v>
      </c>
      <c r="R21" s="2" t="inlineStr">
        <is>
          <t>Skugglosta
Skogsknipprot
Strävlosta</t>
        </is>
      </c>
      <c r="S21">
        <f>HYPERLINK("https://klasma.github.io/Logging_0885/artfynd/A 58231-2020 artfynd.xlsx", "A 58231-2020")</f>
        <v/>
      </c>
      <c r="T21">
        <f>HYPERLINK("https://klasma.github.io/Logging_0885/kartor/A 58231-2020 karta.png", "A 58231-2020")</f>
        <v/>
      </c>
      <c r="V21">
        <f>HYPERLINK("https://klasma.github.io/Logging_0885/klagomål/A 58231-2020 FSC-klagomål.docx", "A 58231-2020")</f>
        <v/>
      </c>
      <c r="W21">
        <f>HYPERLINK("https://klasma.github.io/Logging_0885/klagomålsmail/A 58231-2020 FSC-klagomål mail.docx", "A 58231-2020")</f>
        <v/>
      </c>
      <c r="X21">
        <f>HYPERLINK("https://klasma.github.io/Logging_0885/tillsyn/A 58231-2020 tillsynsbegäran.docx", "A 58231-2020")</f>
        <v/>
      </c>
      <c r="Y21">
        <f>HYPERLINK("https://klasma.github.io/Logging_0885/tillsynsmail/A 58231-2020 tillsynsbegäran mail.docx", "A 58231-2020")</f>
        <v/>
      </c>
    </row>
    <row r="22" ht="15" customHeight="1">
      <c r="A22" t="inlineStr">
        <is>
          <t>A 44008-2022</t>
        </is>
      </c>
      <c r="B22" s="1" t="n">
        <v>44838</v>
      </c>
      <c r="C22" s="1" t="n">
        <v>45963</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4164-2023</t>
        </is>
      </c>
      <c r="B23" s="1" t="n">
        <v>44953</v>
      </c>
      <c r="C23" s="1" t="n">
        <v>45963</v>
      </c>
      <c r="D23" t="inlineStr">
        <is>
          <t>KALMAR LÄN</t>
        </is>
      </c>
      <c r="E23" t="inlineStr">
        <is>
          <t>BORGHOLM</t>
        </is>
      </c>
      <c r="G23" t="n">
        <v>3.3</v>
      </c>
      <c r="H23" t="n">
        <v>1</v>
      </c>
      <c r="I23" t="n">
        <v>1</v>
      </c>
      <c r="J23" t="n">
        <v>0</v>
      </c>
      <c r="K23" t="n">
        <v>0</v>
      </c>
      <c r="L23" t="n">
        <v>0</v>
      </c>
      <c r="M23" t="n">
        <v>0</v>
      </c>
      <c r="N23" t="n">
        <v>0</v>
      </c>
      <c r="O23" t="n">
        <v>0</v>
      </c>
      <c r="P23" t="n">
        <v>0</v>
      </c>
      <c r="Q23" t="n">
        <v>2</v>
      </c>
      <c r="R23" s="2" t="inlineStr">
        <is>
          <t>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34944-2022</t>
        </is>
      </c>
      <c r="B24" s="1" t="n">
        <v>44796</v>
      </c>
      <c r="C24" s="1" t="n">
        <v>45963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13556-2025</t>
        </is>
      </c>
      <c r="B25" s="1" t="n">
        <v>45736.54759259259</v>
      </c>
      <c r="C25" s="1" t="n">
        <v>45963</v>
      </c>
      <c r="D25" t="inlineStr">
        <is>
          <t>KALMAR LÄN</t>
        </is>
      </c>
      <c r="E25" t="inlineStr">
        <is>
          <t>BORGHOLM</t>
        </is>
      </c>
      <c r="G25" t="n">
        <v>2.3</v>
      </c>
      <c r="H25" t="n">
        <v>2</v>
      </c>
      <c r="I25" t="n">
        <v>1</v>
      </c>
      <c r="J25" t="n">
        <v>0</v>
      </c>
      <c r="K25" t="n">
        <v>0</v>
      </c>
      <c r="L25" t="n">
        <v>0</v>
      </c>
      <c r="M25" t="n">
        <v>0</v>
      </c>
      <c r="N25" t="n">
        <v>0</v>
      </c>
      <c r="O25" t="n">
        <v>0</v>
      </c>
      <c r="P25" t="n">
        <v>0</v>
      </c>
      <c r="Q25" t="n">
        <v>2</v>
      </c>
      <c r="R25" s="2" t="inlineStr">
        <is>
          <t>Tvåblad
Nattviol</t>
        </is>
      </c>
      <c r="S25">
        <f>HYPERLINK("https://klasma.github.io/Logging_0885/artfynd/A 13556-2025 artfynd.xlsx", "A 13556-2025")</f>
        <v/>
      </c>
      <c r="T25">
        <f>HYPERLINK("https://klasma.github.io/Logging_0885/kartor/A 13556-2025 karta.png", "A 13556-2025")</f>
        <v/>
      </c>
      <c r="V25">
        <f>HYPERLINK("https://klasma.github.io/Logging_0885/klagomål/A 13556-2025 FSC-klagomål.docx", "A 13556-2025")</f>
        <v/>
      </c>
      <c r="W25">
        <f>HYPERLINK("https://klasma.github.io/Logging_0885/klagomålsmail/A 13556-2025 FSC-klagomål mail.docx", "A 13556-2025")</f>
        <v/>
      </c>
      <c r="X25">
        <f>HYPERLINK("https://klasma.github.io/Logging_0885/tillsyn/A 13556-2025 tillsynsbegäran.docx", "A 13556-2025")</f>
        <v/>
      </c>
      <c r="Y25">
        <f>HYPERLINK("https://klasma.github.io/Logging_0885/tillsynsmail/A 13556-2025 tillsynsbegäran mail.docx", "A 13556-2025")</f>
        <v/>
      </c>
    </row>
    <row r="26" ht="15" customHeight="1">
      <c r="A26" t="inlineStr">
        <is>
          <t>A 32174-2022</t>
        </is>
      </c>
      <c r="B26" s="1" t="n">
        <v>44781</v>
      </c>
      <c r="C26" s="1" t="n">
        <v>45963</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45963</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28779-2025</t>
        </is>
      </c>
      <c r="B28" s="1" t="n">
        <v>45820.44920138889</v>
      </c>
      <c r="C28" s="1" t="n">
        <v>45963</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38860-2025</t>
        </is>
      </c>
      <c r="B29" s="1" t="n">
        <v>45887.5609375</v>
      </c>
      <c r="C29" s="1" t="n">
        <v>45963</v>
      </c>
      <c r="D29" t="inlineStr">
        <is>
          <t>KALMAR LÄN</t>
        </is>
      </c>
      <c r="E29" t="inlineStr">
        <is>
          <t>BORGHOLM</t>
        </is>
      </c>
      <c r="G29" t="n">
        <v>5.6</v>
      </c>
      <c r="H29" t="n">
        <v>2</v>
      </c>
      <c r="I29" t="n">
        <v>1</v>
      </c>
      <c r="J29" t="n">
        <v>0</v>
      </c>
      <c r="K29" t="n">
        <v>0</v>
      </c>
      <c r="L29" t="n">
        <v>0</v>
      </c>
      <c r="M29" t="n">
        <v>0</v>
      </c>
      <c r="N29" t="n">
        <v>0</v>
      </c>
      <c r="O29" t="n">
        <v>0</v>
      </c>
      <c r="P29" t="n">
        <v>0</v>
      </c>
      <c r="Q29" t="n">
        <v>2</v>
      </c>
      <c r="R29" s="2" t="inlineStr">
        <is>
          <t>Skogsknipprot
Revlummer</t>
        </is>
      </c>
      <c r="S29">
        <f>HYPERLINK("https://klasma.github.io/Logging_0885/artfynd/A 38860-2025 artfynd.xlsx", "A 38860-2025")</f>
        <v/>
      </c>
      <c r="T29">
        <f>HYPERLINK("https://klasma.github.io/Logging_0885/kartor/A 38860-2025 karta.png", "A 38860-2025")</f>
        <v/>
      </c>
      <c r="V29">
        <f>HYPERLINK("https://klasma.github.io/Logging_0885/klagomål/A 38860-2025 FSC-klagomål.docx", "A 38860-2025")</f>
        <v/>
      </c>
      <c r="W29">
        <f>HYPERLINK("https://klasma.github.io/Logging_0885/klagomålsmail/A 38860-2025 FSC-klagomål mail.docx", "A 38860-2025")</f>
        <v/>
      </c>
      <c r="X29">
        <f>HYPERLINK("https://klasma.github.io/Logging_0885/tillsyn/A 38860-2025 tillsynsbegäran.docx", "A 38860-2025")</f>
        <v/>
      </c>
      <c r="Y29">
        <f>HYPERLINK("https://klasma.github.io/Logging_0885/tillsynsmail/A 38860-2025 tillsynsbegäran mail.docx", "A 38860-2025")</f>
        <v/>
      </c>
    </row>
    <row r="30" ht="15" customHeight="1">
      <c r="A30" t="inlineStr">
        <is>
          <t>A 3871-2021</t>
        </is>
      </c>
      <c r="B30" s="1" t="n">
        <v>44222</v>
      </c>
      <c r="C30" s="1" t="n">
        <v>45963</v>
      </c>
      <c r="D30" t="inlineStr">
        <is>
          <t>KALMAR LÄN</t>
        </is>
      </c>
      <c r="E30" t="inlineStr">
        <is>
          <t>BORGHOLM</t>
        </is>
      </c>
      <c r="G30" t="n">
        <v>1.7</v>
      </c>
      <c r="H30" t="n">
        <v>0</v>
      </c>
      <c r="I30" t="n">
        <v>1</v>
      </c>
      <c r="J30" t="n">
        <v>0</v>
      </c>
      <c r="K30" t="n">
        <v>0</v>
      </c>
      <c r="L30" t="n">
        <v>0</v>
      </c>
      <c r="M30" t="n">
        <v>0</v>
      </c>
      <c r="N30" t="n">
        <v>0</v>
      </c>
      <c r="O30" t="n">
        <v>0</v>
      </c>
      <c r="P30" t="n">
        <v>0</v>
      </c>
      <c r="Q30" t="n">
        <v>1</v>
      </c>
      <c r="R30" s="2" t="inlineStr">
        <is>
          <t>Scharlakansskål</t>
        </is>
      </c>
      <c r="S30">
        <f>HYPERLINK("https://klasma.github.io/Logging_0885/artfynd/A 3871-2021 artfynd.xlsx", "A 3871-2021")</f>
        <v/>
      </c>
      <c r="T30">
        <f>HYPERLINK("https://klasma.github.io/Logging_0885/kartor/A 3871-2021 karta.png", "A 3871-2021")</f>
        <v/>
      </c>
      <c r="V30">
        <f>HYPERLINK("https://klasma.github.io/Logging_0885/klagomål/A 3871-2021 FSC-klagomål.docx", "A 3871-2021")</f>
        <v/>
      </c>
      <c r="W30">
        <f>HYPERLINK("https://klasma.github.io/Logging_0885/klagomålsmail/A 3871-2021 FSC-klagomål mail.docx", "A 3871-2021")</f>
        <v/>
      </c>
      <c r="X30">
        <f>HYPERLINK("https://klasma.github.io/Logging_0885/tillsyn/A 3871-2021 tillsynsbegäran.docx", "A 3871-2021")</f>
        <v/>
      </c>
      <c r="Y30">
        <f>HYPERLINK("https://klasma.github.io/Logging_0885/tillsynsmail/A 3871-2021 tillsynsbegäran mail.docx", "A 3871-2021")</f>
        <v/>
      </c>
    </row>
    <row r="31" ht="15" customHeight="1">
      <c r="A31" t="inlineStr">
        <is>
          <t>A 31790-2021</t>
        </is>
      </c>
      <c r="B31" s="1" t="n">
        <v>44370</v>
      </c>
      <c r="C31" s="1" t="n">
        <v>45963</v>
      </c>
      <c r="D31" t="inlineStr">
        <is>
          <t>KALMAR LÄN</t>
        </is>
      </c>
      <c r="E31" t="inlineStr">
        <is>
          <t>BORGHOLM</t>
        </is>
      </c>
      <c r="F31" t="inlineStr">
        <is>
          <t>Sveaskog</t>
        </is>
      </c>
      <c r="G31" t="n">
        <v>3.3</v>
      </c>
      <c r="H31" t="n">
        <v>1</v>
      </c>
      <c r="I31" t="n">
        <v>1</v>
      </c>
      <c r="J31" t="n">
        <v>0</v>
      </c>
      <c r="K31" t="n">
        <v>0</v>
      </c>
      <c r="L31" t="n">
        <v>0</v>
      </c>
      <c r="M31" t="n">
        <v>0</v>
      </c>
      <c r="N31" t="n">
        <v>0</v>
      </c>
      <c r="O31" t="n">
        <v>0</v>
      </c>
      <c r="P31" t="n">
        <v>0</v>
      </c>
      <c r="Q31" t="n">
        <v>1</v>
      </c>
      <c r="R31" s="2" t="inlineStr">
        <is>
          <t>Skogsknipprot</t>
        </is>
      </c>
      <c r="S31">
        <f>HYPERLINK("https://klasma.github.io/Logging_0885/artfynd/A 31790-2021 artfynd.xlsx", "A 31790-2021")</f>
        <v/>
      </c>
      <c r="T31">
        <f>HYPERLINK("https://klasma.github.io/Logging_0885/kartor/A 31790-2021 karta.png", "A 31790-2021")</f>
        <v/>
      </c>
      <c r="V31">
        <f>HYPERLINK("https://klasma.github.io/Logging_0885/klagomål/A 31790-2021 FSC-klagomål.docx", "A 31790-2021")</f>
        <v/>
      </c>
      <c r="W31">
        <f>HYPERLINK("https://klasma.github.io/Logging_0885/klagomålsmail/A 31790-2021 FSC-klagomål mail.docx", "A 31790-2021")</f>
        <v/>
      </c>
      <c r="X31">
        <f>HYPERLINK("https://klasma.github.io/Logging_0885/tillsyn/A 31790-2021 tillsynsbegäran.docx", "A 31790-2021")</f>
        <v/>
      </c>
      <c r="Y31">
        <f>HYPERLINK("https://klasma.github.io/Logging_0885/tillsynsmail/A 31790-2021 tillsynsbegäran mail.docx", "A 31790-2021")</f>
        <v/>
      </c>
    </row>
    <row r="32" ht="15" customHeight="1">
      <c r="A32" t="inlineStr">
        <is>
          <t>A 31295-2022</t>
        </is>
      </c>
      <c r="B32" s="1" t="n">
        <v>44772</v>
      </c>
      <c r="C32" s="1" t="n">
        <v>45963</v>
      </c>
      <c r="D32" t="inlineStr">
        <is>
          <t>KALMAR LÄN</t>
        </is>
      </c>
      <c r="E32" t="inlineStr">
        <is>
          <t>BORGHOLM</t>
        </is>
      </c>
      <c r="F32" t="inlineStr">
        <is>
          <t>Sveaskog</t>
        </is>
      </c>
      <c r="G32" t="n">
        <v>6.1</v>
      </c>
      <c r="H32" t="n">
        <v>0</v>
      </c>
      <c r="I32" t="n">
        <v>0</v>
      </c>
      <c r="J32" t="n">
        <v>0</v>
      </c>
      <c r="K32" t="n">
        <v>0</v>
      </c>
      <c r="L32" t="n">
        <v>1</v>
      </c>
      <c r="M32" t="n">
        <v>0</v>
      </c>
      <c r="N32" t="n">
        <v>0</v>
      </c>
      <c r="O32" t="n">
        <v>1</v>
      </c>
      <c r="P32" t="n">
        <v>1</v>
      </c>
      <c r="Q32" t="n">
        <v>1</v>
      </c>
      <c r="R32" s="2" t="inlineStr">
        <is>
          <t>Skärrande gräshoppa</t>
        </is>
      </c>
      <c r="S32">
        <f>HYPERLINK("https://klasma.github.io/Logging_0885/artfynd/A 31295-2022 artfynd.xlsx", "A 31295-2022")</f>
        <v/>
      </c>
      <c r="T32">
        <f>HYPERLINK("https://klasma.github.io/Logging_0885/kartor/A 31295-2022 karta.png", "A 31295-2022")</f>
        <v/>
      </c>
      <c r="V32">
        <f>HYPERLINK("https://klasma.github.io/Logging_0885/klagomål/A 31295-2022 FSC-klagomål.docx", "A 31295-2022")</f>
        <v/>
      </c>
      <c r="W32">
        <f>HYPERLINK("https://klasma.github.io/Logging_0885/klagomålsmail/A 31295-2022 FSC-klagomål mail.docx", "A 31295-2022")</f>
        <v/>
      </c>
      <c r="X32">
        <f>HYPERLINK("https://klasma.github.io/Logging_0885/tillsyn/A 31295-2022 tillsynsbegäran.docx", "A 31295-2022")</f>
        <v/>
      </c>
      <c r="Y32">
        <f>HYPERLINK("https://klasma.github.io/Logging_0885/tillsynsmail/A 31295-2022 tillsynsbegäran mail.docx", "A 31295-2022")</f>
        <v/>
      </c>
    </row>
    <row r="33" ht="15" customHeight="1">
      <c r="A33" t="inlineStr">
        <is>
          <t>A 66329-2020</t>
        </is>
      </c>
      <c r="B33" s="1" t="n">
        <v>44176</v>
      </c>
      <c r="C33" s="1" t="n">
        <v>45963</v>
      </c>
      <c r="D33" t="inlineStr">
        <is>
          <t>KALMAR LÄN</t>
        </is>
      </c>
      <c r="E33" t="inlineStr">
        <is>
          <t>BORGHOLM</t>
        </is>
      </c>
      <c r="G33" t="n">
        <v>7.4</v>
      </c>
      <c r="H33" t="n">
        <v>0</v>
      </c>
      <c r="I33" t="n">
        <v>0</v>
      </c>
      <c r="J33" t="n">
        <v>1</v>
      </c>
      <c r="K33" t="n">
        <v>0</v>
      </c>
      <c r="L33" t="n">
        <v>0</v>
      </c>
      <c r="M33" t="n">
        <v>0</v>
      </c>
      <c r="N33" t="n">
        <v>0</v>
      </c>
      <c r="O33" t="n">
        <v>1</v>
      </c>
      <c r="P33" t="n">
        <v>0</v>
      </c>
      <c r="Q33" t="n">
        <v>1</v>
      </c>
      <c r="R33" s="2" t="inlineStr">
        <is>
          <t>Säfferot</t>
        </is>
      </c>
      <c r="S33">
        <f>HYPERLINK("https://klasma.github.io/Logging_0885/artfynd/A 66329-2020 artfynd.xlsx", "A 66329-2020")</f>
        <v/>
      </c>
      <c r="T33">
        <f>HYPERLINK("https://klasma.github.io/Logging_0885/kartor/A 66329-2020 karta.png", "A 66329-2020")</f>
        <v/>
      </c>
      <c r="V33">
        <f>HYPERLINK("https://klasma.github.io/Logging_0885/klagomål/A 66329-2020 FSC-klagomål.docx", "A 66329-2020")</f>
        <v/>
      </c>
      <c r="W33">
        <f>HYPERLINK("https://klasma.github.io/Logging_0885/klagomålsmail/A 66329-2020 FSC-klagomål mail.docx", "A 66329-2020")</f>
        <v/>
      </c>
      <c r="X33">
        <f>HYPERLINK("https://klasma.github.io/Logging_0885/tillsyn/A 66329-2020 tillsynsbegäran.docx", "A 66329-2020")</f>
        <v/>
      </c>
      <c r="Y33">
        <f>HYPERLINK("https://klasma.github.io/Logging_0885/tillsynsmail/A 66329-2020 tillsynsbegäran mail.docx", "A 66329-2020")</f>
        <v/>
      </c>
    </row>
    <row r="34" ht="15" customHeight="1">
      <c r="A34" t="inlineStr">
        <is>
          <t>A 12785-2021</t>
        </is>
      </c>
      <c r="B34" s="1" t="n">
        <v>44270</v>
      </c>
      <c r="C34" s="1" t="n">
        <v>45963</v>
      </c>
      <c r="D34" t="inlineStr">
        <is>
          <t>KALMAR LÄN</t>
        </is>
      </c>
      <c r="E34" t="inlineStr">
        <is>
          <t>BORGHOLM</t>
        </is>
      </c>
      <c r="G34" t="n">
        <v>1.2</v>
      </c>
      <c r="H34" t="n">
        <v>0</v>
      </c>
      <c r="I34" t="n">
        <v>0</v>
      </c>
      <c r="J34" t="n">
        <v>0</v>
      </c>
      <c r="K34" t="n">
        <v>0</v>
      </c>
      <c r="L34" t="n">
        <v>1</v>
      </c>
      <c r="M34" t="n">
        <v>0</v>
      </c>
      <c r="N34" t="n">
        <v>0</v>
      </c>
      <c r="O34" t="n">
        <v>1</v>
      </c>
      <c r="P34" t="n">
        <v>1</v>
      </c>
      <c r="Q34" t="n">
        <v>1</v>
      </c>
      <c r="R34" s="2" t="inlineStr">
        <is>
          <t>Ask</t>
        </is>
      </c>
      <c r="S34">
        <f>HYPERLINK("https://klasma.github.io/Logging_0885/artfynd/A 12785-2021 artfynd.xlsx", "A 12785-2021")</f>
        <v/>
      </c>
      <c r="T34">
        <f>HYPERLINK("https://klasma.github.io/Logging_0885/kartor/A 12785-2021 karta.png", "A 12785-2021")</f>
        <v/>
      </c>
      <c r="V34">
        <f>HYPERLINK("https://klasma.github.io/Logging_0885/klagomål/A 12785-2021 FSC-klagomål.docx", "A 12785-2021")</f>
        <v/>
      </c>
      <c r="W34">
        <f>HYPERLINK("https://klasma.github.io/Logging_0885/klagomålsmail/A 12785-2021 FSC-klagomål mail.docx", "A 12785-2021")</f>
        <v/>
      </c>
      <c r="X34">
        <f>HYPERLINK("https://klasma.github.io/Logging_0885/tillsyn/A 12785-2021 tillsynsbegäran.docx", "A 12785-2021")</f>
        <v/>
      </c>
      <c r="Y34">
        <f>HYPERLINK("https://klasma.github.io/Logging_0885/tillsynsmail/A 12785-2021 tillsynsbegäran mail.docx", "A 12785-2021")</f>
        <v/>
      </c>
    </row>
    <row r="35" ht="15" customHeight="1">
      <c r="A35" t="inlineStr">
        <is>
          <t>A 24701-2023</t>
        </is>
      </c>
      <c r="B35" s="1" t="n">
        <v>45084</v>
      </c>
      <c r="C35" s="1" t="n">
        <v>45963</v>
      </c>
      <c r="D35" t="inlineStr">
        <is>
          <t>KALMAR LÄN</t>
        </is>
      </c>
      <c r="E35" t="inlineStr">
        <is>
          <t>BORGHOLM</t>
        </is>
      </c>
      <c r="G35" t="n">
        <v>3</v>
      </c>
      <c r="H35" t="n">
        <v>0</v>
      </c>
      <c r="I35" t="n">
        <v>0</v>
      </c>
      <c r="J35" t="n">
        <v>0</v>
      </c>
      <c r="K35" t="n">
        <v>0</v>
      </c>
      <c r="L35" t="n">
        <v>1</v>
      </c>
      <c r="M35" t="n">
        <v>0</v>
      </c>
      <c r="N35" t="n">
        <v>0</v>
      </c>
      <c r="O35" t="n">
        <v>1</v>
      </c>
      <c r="P35" t="n">
        <v>1</v>
      </c>
      <c r="Q35" t="n">
        <v>1</v>
      </c>
      <c r="R35" s="2" t="inlineStr">
        <is>
          <t>Ask</t>
        </is>
      </c>
      <c r="S35">
        <f>HYPERLINK("https://klasma.github.io/Logging_0885/artfynd/A 24701-2023 artfynd.xlsx", "A 24701-2023")</f>
        <v/>
      </c>
      <c r="T35">
        <f>HYPERLINK("https://klasma.github.io/Logging_0885/kartor/A 24701-2023 karta.png", "A 24701-2023")</f>
        <v/>
      </c>
      <c r="V35">
        <f>HYPERLINK("https://klasma.github.io/Logging_0885/klagomål/A 24701-2023 FSC-klagomål.docx", "A 24701-2023")</f>
        <v/>
      </c>
      <c r="W35">
        <f>HYPERLINK("https://klasma.github.io/Logging_0885/klagomålsmail/A 24701-2023 FSC-klagomål mail.docx", "A 24701-2023")</f>
        <v/>
      </c>
      <c r="X35">
        <f>HYPERLINK("https://klasma.github.io/Logging_0885/tillsyn/A 24701-2023 tillsynsbegäran.docx", "A 24701-2023")</f>
        <v/>
      </c>
      <c r="Y35">
        <f>HYPERLINK("https://klasma.github.io/Logging_0885/tillsynsmail/A 24701-2023 tillsynsbegäran mail.docx", "A 24701-2023")</f>
        <v/>
      </c>
    </row>
    <row r="36" ht="15" customHeight="1">
      <c r="A36" t="inlineStr">
        <is>
          <t>A 9745-2023</t>
        </is>
      </c>
      <c r="B36" s="1" t="n">
        <v>44984</v>
      </c>
      <c r="C36" s="1" t="n">
        <v>45963</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13558-2025</t>
        </is>
      </c>
      <c r="B37" s="1" t="n">
        <v>45736.54974537037</v>
      </c>
      <c r="C37" s="1" t="n">
        <v>45963</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43603-2024</t>
        </is>
      </c>
      <c r="B38" s="1" t="n">
        <v>45569.44700231482</v>
      </c>
      <c r="C38" s="1" t="n">
        <v>45963</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14789-2021</t>
        </is>
      </c>
      <c r="B39" s="1" t="n">
        <v>44280</v>
      </c>
      <c r="C39" s="1" t="n">
        <v>45963</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24048-2025</t>
        </is>
      </c>
      <c r="B40" s="1" t="n">
        <v>45796.4959375</v>
      </c>
      <c r="C40" s="1" t="n">
        <v>45963</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45963</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45963</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45963</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24704-2023</t>
        </is>
      </c>
      <c r="B44" s="1" t="n">
        <v>45084</v>
      </c>
      <c r="C44" s="1" t="n">
        <v>45963</v>
      </c>
      <c r="D44" t="inlineStr">
        <is>
          <t>KALMAR LÄN</t>
        </is>
      </c>
      <c r="E44" t="inlineStr">
        <is>
          <t>BORGHOLM</t>
        </is>
      </c>
      <c r="G44" t="n">
        <v>3.5</v>
      </c>
      <c r="H44" t="n">
        <v>0</v>
      </c>
      <c r="I44" t="n">
        <v>0</v>
      </c>
      <c r="J44" t="n">
        <v>0</v>
      </c>
      <c r="K44" t="n">
        <v>0</v>
      </c>
      <c r="L44" t="n">
        <v>1</v>
      </c>
      <c r="M44" t="n">
        <v>0</v>
      </c>
      <c r="N44" t="n">
        <v>0</v>
      </c>
      <c r="O44" t="n">
        <v>1</v>
      </c>
      <c r="P44" t="n">
        <v>1</v>
      </c>
      <c r="Q44" t="n">
        <v>1</v>
      </c>
      <c r="R44" s="2" t="inlineStr">
        <is>
          <t>Ask</t>
        </is>
      </c>
      <c r="S44">
        <f>HYPERLINK("https://klasma.github.io/Logging_0885/artfynd/A 24704-2023 artfynd.xlsx", "A 24704-2023")</f>
        <v/>
      </c>
      <c r="T44">
        <f>HYPERLINK("https://klasma.github.io/Logging_0885/kartor/A 24704-2023 karta.png", "A 24704-2023")</f>
        <v/>
      </c>
      <c r="V44">
        <f>HYPERLINK("https://klasma.github.io/Logging_0885/klagomål/A 24704-2023 FSC-klagomål.docx", "A 24704-2023")</f>
        <v/>
      </c>
      <c r="W44">
        <f>HYPERLINK("https://klasma.github.io/Logging_0885/klagomålsmail/A 24704-2023 FSC-klagomål mail.docx", "A 24704-2023")</f>
        <v/>
      </c>
      <c r="X44">
        <f>HYPERLINK("https://klasma.github.io/Logging_0885/tillsyn/A 24704-2023 tillsynsbegäran.docx", "A 24704-2023")</f>
        <v/>
      </c>
      <c r="Y44">
        <f>HYPERLINK("https://klasma.github.io/Logging_0885/tillsynsmail/A 24704-2023 tillsynsbegäran mail.docx", "A 24704-2023")</f>
        <v/>
      </c>
    </row>
    <row r="45" ht="15" customHeight="1">
      <c r="A45" t="inlineStr">
        <is>
          <t>A 34885-2025</t>
        </is>
      </c>
      <c r="B45" s="1" t="n">
        <v>45849.47128472223</v>
      </c>
      <c r="C45" s="1" t="n">
        <v>45963</v>
      </c>
      <c r="D45" t="inlineStr">
        <is>
          <t>KALMAR LÄN</t>
        </is>
      </c>
      <c r="E45" t="inlineStr">
        <is>
          <t>BORGHOLM</t>
        </is>
      </c>
      <c r="G45" t="n">
        <v>4.4</v>
      </c>
      <c r="H45" t="n">
        <v>0</v>
      </c>
      <c r="I45" t="n">
        <v>0</v>
      </c>
      <c r="J45" t="n">
        <v>1</v>
      </c>
      <c r="K45" t="n">
        <v>0</v>
      </c>
      <c r="L45" t="n">
        <v>0</v>
      </c>
      <c r="M45" t="n">
        <v>0</v>
      </c>
      <c r="N45" t="n">
        <v>0</v>
      </c>
      <c r="O45" t="n">
        <v>1</v>
      </c>
      <c r="P45" t="n">
        <v>0</v>
      </c>
      <c r="Q45" t="n">
        <v>1</v>
      </c>
      <c r="R45" s="2" t="inlineStr">
        <is>
          <t>Backfryle</t>
        </is>
      </c>
      <c r="S45">
        <f>HYPERLINK("https://klasma.github.io/Logging_0885/artfynd/A 34885-2025 artfynd.xlsx", "A 34885-2025")</f>
        <v/>
      </c>
      <c r="T45">
        <f>HYPERLINK("https://klasma.github.io/Logging_0885/kartor/A 34885-2025 karta.png", "A 34885-2025")</f>
        <v/>
      </c>
      <c r="V45">
        <f>HYPERLINK("https://klasma.github.io/Logging_0885/klagomål/A 34885-2025 FSC-klagomål.docx", "A 34885-2025")</f>
        <v/>
      </c>
      <c r="W45">
        <f>HYPERLINK("https://klasma.github.io/Logging_0885/klagomålsmail/A 34885-2025 FSC-klagomål mail.docx", "A 34885-2025")</f>
        <v/>
      </c>
      <c r="X45">
        <f>HYPERLINK("https://klasma.github.io/Logging_0885/tillsyn/A 34885-2025 tillsynsbegäran.docx", "A 34885-2025")</f>
        <v/>
      </c>
      <c r="Y45">
        <f>HYPERLINK("https://klasma.github.io/Logging_0885/tillsynsmail/A 34885-2025 tillsynsbegäran mail.docx", "A 34885-2025")</f>
        <v/>
      </c>
    </row>
    <row r="46" ht="15" customHeight="1">
      <c r="A46" t="inlineStr">
        <is>
          <t>A 45693-2025</t>
        </is>
      </c>
      <c r="B46" s="1" t="n">
        <v>45923</v>
      </c>
      <c r="C46" s="1" t="n">
        <v>45963</v>
      </c>
      <c r="D46" t="inlineStr">
        <is>
          <t>KALMAR LÄN</t>
        </is>
      </c>
      <c r="E46" t="inlineStr">
        <is>
          <t>BORGHOLM</t>
        </is>
      </c>
      <c r="G46" t="n">
        <v>4.8</v>
      </c>
      <c r="H46" t="n">
        <v>0</v>
      </c>
      <c r="I46" t="n">
        <v>0</v>
      </c>
      <c r="J46" t="n">
        <v>1</v>
      </c>
      <c r="K46" t="n">
        <v>0</v>
      </c>
      <c r="L46" t="n">
        <v>0</v>
      </c>
      <c r="M46" t="n">
        <v>0</v>
      </c>
      <c r="N46" t="n">
        <v>0</v>
      </c>
      <c r="O46" t="n">
        <v>1</v>
      </c>
      <c r="P46" t="n">
        <v>0</v>
      </c>
      <c r="Q46" t="n">
        <v>1</v>
      </c>
      <c r="R46" s="2" t="inlineStr">
        <is>
          <t>Stjälkröksvamp</t>
        </is>
      </c>
      <c r="S46">
        <f>HYPERLINK("https://klasma.github.io/Logging_0885/artfynd/A 45693-2025 artfynd.xlsx", "A 45693-2025")</f>
        <v/>
      </c>
      <c r="T46">
        <f>HYPERLINK("https://klasma.github.io/Logging_0885/kartor/A 45693-2025 karta.png", "A 45693-2025")</f>
        <v/>
      </c>
      <c r="V46">
        <f>HYPERLINK("https://klasma.github.io/Logging_0885/klagomål/A 45693-2025 FSC-klagomål.docx", "A 45693-2025")</f>
        <v/>
      </c>
      <c r="W46">
        <f>HYPERLINK("https://klasma.github.io/Logging_0885/klagomålsmail/A 45693-2025 FSC-klagomål mail.docx", "A 45693-2025")</f>
        <v/>
      </c>
      <c r="X46">
        <f>HYPERLINK("https://klasma.github.io/Logging_0885/tillsyn/A 45693-2025 tillsynsbegäran.docx", "A 45693-2025")</f>
        <v/>
      </c>
      <c r="Y46">
        <f>HYPERLINK("https://klasma.github.io/Logging_0885/tillsynsmail/A 45693-2025 tillsynsbegäran mail.docx", "A 45693-2025")</f>
        <v/>
      </c>
    </row>
    <row r="47" ht="15" customHeight="1">
      <c r="A47" t="inlineStr">
        <is>
          <t>A 58113-2020</t>
        </is>
      </c>
      <c r="B47" s="1" t="n">
        <v>44144</v>
      </c>
      <c r="C47" s="1" t="n">
        <v>45963</v>
      </c>
      <c r="D47" t="inlineStr">
        <is>
          <t>KALMAR LÄN</t>
        </is>
      </c>
      <c r="E47" t="inlineStr">
        <is>
          <t>BORGHOLM</t>
        </is>
      </c>
      <c r="F47" t="inlineStr">
        <is>
          <t>Sveaskog</t>
        </is>
      </c>
      <c r="G47" t="n">
        <v>3</v>
      </c>
      <c r="H47" t="n">
        <v>0</v>
      </c>
      <c r="I47" t="n">
        <v>0</v>
      </c>
      <c r="J47" t="n">
        <v>0</v>
      </c>
      <c r="K47" t="n">
        <v>0</v>
      </c>
      <c r="L47" t="n">
        <v>0</v>
      </c>
      <c r="M47" t="n">
        <v>0</v>
      </c>
      <c r="N47" t="n">
        <v>0</v>
      </c>
      <c r="O47" t="n">
        <v>0</v>
      </c>
      <c r="P47" t="n">
        <v>0</v>
      </c>
      <c r="Q47" t="n">
        <v>0</v>
      </c>
      <c r="R47" s="2" t="inlineStr"/>
    </row>
    <row r="48" ht="15" customHeight="1">
      <c r="A48" t="inlineStr">
        <is>
          <t>A 56499-2020</t>
        </is>
      </c>
      <c r="B48" s="1" t="n">
        <v>44137</v>
      </c>
      <c r="C48" s="1" t="n">
        <v>45963</v>
      </c>
      <c r="D48" t="inlineStr">
        <is>
          <t>KALMAR LÄN</t>
        </is>
      </c>
      <c r="E48" t="inlineStr">
        <is>
          <t>BORGHOLM</t>
        </is>
      </c>
      <c r="F48" t="inlineStr">
        <is>
          <t>Sveaskog</t>
        </is>
      </c>
      <c r="G48" t="n">
        <v>0.5</v>
      </c>
      <c r="H48" t="n">
        <v>0</v>
      </c>
      <c r="I48" t="n">
        <v>0</v>
      </c>
      <c r="J48" t="n">
        <v>0</v>
      </c>
      <c r="K48" t="n">
        <v>0</v>
      </c>
      <c r="L48" t="n">
        <v>0</v>
      </c>
      <c r="M48" t="n">
        <v>0</v>
      </c>
      <c r="N48" t="n">
        <v>0</v>
      </c>
      <c r="O48" t="n">
        <v>0</v>
      </c>
      <c r="P48" t="n">
        <v>0</v>
      </c>
      <c r="Q48" t="n">
        <v>0</v>
      </c>
      <c r="R48" s="2" t="inlineStr"/>
    </row>
    <row r="49" ht="15" customHeight="1">
      <c r="A49" t="inlineStr">
        <is>
          <t>A 56434-2020</t>
        </is>
      </c>
      <c r="B49" s="1" t="n">
        <v>44137</v>
      </c>
      <c r="C49" s="1" t="n">
        <v>45963</v>
      </c>
      <c r="D49" t="inlineStr">
        <is>
          <t>KALMAR LÄN</t>
        </is>
      </c>
      <c r="E49" t="inlineStr">
        <is>
          <t>BORGHOLM</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56475-2020</t>
        </is>
      </c>
      <c r="B50" s="1" t="n">
        <v>44137</v>
      </c>
      <c r="C50" s="1" t="n">
        <v>45963</v>
      </c>
      <c r="D50" t="inlineStr">
        <is>
          <t>KALMAR LÄN</t>
        </is>
      </c>
      <c r="E50" t="inlineStr">
        <is>
          <t>BORGHOLM</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56488-2020</t>
        </is>
      </c>
      <c r="B51" s="1" t="n">
        <v>44137</v>
      </c>
      <c r="C51" s="1" t="n">
        <v>45963</v>
      </c>
      <c r="D51" t="inlineStr">
        <is>
          <t>KALMAR LÄN</t>
        </is>
      </c>
      <c r="E51" t="inlineStr">
        <is>
          <t>BORGHOLM</t>
        </is>
      </c>
      <c r="F51" t="inlineStr">
        <is>
          <t>Sveaskog</t>
        </is>
      </c>
      <c r="G51" t="n">
        <v>1.4</v>
      </c>
      <c r="H51" t="n">
        <v>0</v>
      </c>
      <c r="I51" t="n">
        <v>0</v>
      </c>
      <c r="J51" t="n">
        <v>0</v>
      </c>
      <c r="K51" t="n">
        <v>0</v>
      </c>
      <c r="L51" t="n">
        <v>0</v>
      </c>
      <c r="M51" t="n">
        <v>0</v>
      </c>
      <c r="N51" t="n">
        <v>0</v>
      </c>
      <c r="O51" t="n">
        <v>0</v>
      </c>
      <c r="P51" t="n">
        <v>0</v>
      </c>
      <c r="Q51" t="n">
        <v>0</v>
      </c>
      <c r="R51" s="2" t="inlineStr"/>
    </row>
    <row r="52" ht="15" customHeight="1">
      <c r="A52" t="inlineStr">
        <is>
          <t>A 56506-2020</t>
        </is>
      </c>
      <c r="B52" s="1" t="n">
        <v>44137</v>
      </c>
      <c r="C52" s="1" t="n">
        <v>45963</v>
      </c>
      <c r="D52" t="inlineStr">
        <is>
          <t>KALMAR LÄN</t>
        </is>
      </c>
      <c r="E52" t="inlineStr">
        <is>
          <t>BORGHOLM</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12711-2021</t>
        </is>
      </c>
      <c r="B53" s="1" t="n">
        <v>44270</v>
      </c>
      <c r="C53" s="1" t="n">
        <v>45963</v>
      </c>
      <c r="D53" t="inlineStr">
        <is>
          <t>KALMAR LÄN</t>
        </is>
      </c>
      <c r="E53" t="inlineStr">
        <is>
          <t>BORGHOLM</t>
        </is>
      </c>
      <c r="G53" t="n">
        <v>1.3</v>
      </c>
      <c r="H53" t="n">
        <v>0</v>
      </c>
      <c r="I53" t="n">
        <v>0</v>
      </c>
      <c r="J53" t="n">
        <v>0</v>
      </c>
      <c r="K53" t="n">
        <v>0</v>
      </c>
      <c r="L53" t="n">
        <v>0</v>
      </c>
      <c r="M53" t="n">
        <v>0</v>
      </c>
      <c r="N53" t="n">
        <v>0</v>
      </c>
      <c r="O53" t="n">
        <v>0</v>
      </c>
      <c r="P53" t="n">
        <v>0</v>
      </c>
      <c r="Q53" t="n">
        <v>0</v>
      </c>
      <c r="R53" s="2" t="inlineStr"/>
    </row>
    <row r="54" ht="15" customHeight="1">
      <c r="A54" t="inlineStr">
        <is>
          <t>A 42761-2021</t>
        </is>
      </c>
      <c r="B54" s="1" t="n">
        <v>44428</v>
      </c>
      <c r="C54" s="1" t="n">
        <v>45963</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13325-2021</t>
        </is>
      </c>
      <c r="B55" s="1" t="n">
        <v>44273</v>
      </c>
      <c r="C55" s="1" t="n">
        <v>45963</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56421-2020</t>
        </is>
      </c>
      <c r="B56" s="1" t="n">
        <v>44137</v>
      </c>
      <c r="C56" s="1" t="n">
        <v>45963</v>
      </c>
      <c r="D56" t="inlineStr">
        <is>
          <t>KALMAR LÄN</t>
        </is>
      </c>
      <c r="E56" t="inlineStr">
        <is>
          <t>BORGHOLM</t>
        </is>
      </c>
      <c r="F56" t="inlineStr">
        <is>
          <t>Sveaskog</t>
        </is>
      </c>
      <c r="G56" t="n">
        <v>3.9</v>
      </c>
      <c r="H56" t="n">
        <v>0</v>
      </c>
      <c r="I56" t="n">
        <v>0</v>
      </c>
      <c r="J56" t="n">
        <v>0</v>
      </c>
      <c r="K56" t="n">
        <v>0</v>
      </c>
      <c r="L56" t="n">
        <v>0</v>
      </c>
      <c r="M56" t="n">
        <v>0</v>
      </c>
      <c r="N56" t="n">
        <v>0</v>
      </c>
      <c r="O56" t="n">
        <v>0</v>
      </c>
      <c r="P56" t="n">
        <v>0</v>
      </c>
      <c r="Q56" t="n">
        <v>0</v>
      </c>
      <c r="R56" s="2" t="inlineStr"/>
    </row>
    <row r="57" ht="15" customHeight="1">
      <c r="A57" t="inlineStr">
        <is>
          <t>A 32665-2022</t>
        </is>
      </c>
      <c r="B57" s="1" t="n">
        <v>44783</v>
      </c>
      <c r="C57" s="1" t="n">
        <v>45963</v>
      </c>
      <c r="D57" t="inlineStr">
        <is>
          <t>KALMAR LÄN</t>
        </is>
      </c>
      <c r="E57" t="inlineStr">
        <is>
          <t>BORGHOLM</t>
        </is>
      </c>
      <c r="F57" t="inlineStr">
        <is>
          <t>Sveaskog</t>
        </is>
      </c>
      <c r="G57" t="n">
        <v>4.2</v>
      </c>
      <c r="H57" t="n">
        <v>0</v>
      </c>
      <c r="I57" t="n">
        <v>0</v>
      </c>
      <c r="J57" t="n">
        <v>0</v>
      </c>
      <c r="K57" t="n">
        <v>0</v>
      </c>
      <c r="L57" t="n">
        <v>0</v>
      </c>
      <c r="M57" t="n">
        <v>0</v>
      </c>
      <c r="N57" t="n">
        <v>0</v>
      </c>
      <c r="O57" t="n">
        <v>0</v>
      </c>
      <c r="P57" t="n">
        <v>0</v>
      </c>
      <c r="Q57" t="n">
        <v>0</v>
      </c>
      <c r="R57" s="2" t="inlineStr"/>
    </row>
    <row r="58" ht="15" customHeight="1">
      <c r="A58" t="inlineStr">
        <is>
          <t>A 10348-2022</t>
        </is>
      </c>
      <c r="B58" s="1" t="n">
        <v>44623</v>
      </c>
      <c r="C58" s="1" t="n">
        <v>45963</v>
      </c>
      <c r="D58" t="inlineStr">
        <is>
          <t>KALMAR LÄN</t>
        </is>
      </c>
      <c r="E58" t="inlineStr">
        <is>
          <t>BORGHOLM</t>
        </is>
      </c>
      <c r="G58" t="n">
        <v>0.4</v>
      </c>
      <c r="H58" t="n">
        <v>0</v>
      </c>
      <c r="I58" t="n">
        <v>0</v>
      </c>
      <c r="J58" t="n">
        <v>0</v>
      </c>
      <c r="K58" t="n">
        <v>0</v>
      </c>
      <c r="L58" t="n">
        <v>0</v>
      </c>
      <c r="M58" t="n">
        <v>0</v>
      </c>
      <c r="N58" t="n">
        <v>0</v>
      </c>
      <c r="O58" t="n">
        <v>0</v>
      </c>
      <c r="P58" t="n">
        <v>0</v>
      </c>
      <c r="Q58" t="n">
        <v>0</v>
      </c>
      <c r="R58" s="2" t="inlineStr"/>
    </row>
    <row r="59" ht="15" customHeight="1">
      <c r="A59" t="inlineStr">
        <is>
          <t>A 28345-2022</t>
        </is>
      </c>
      <c r="B59" s="1" t="n">
        <v>44747</v>
      </c>
      <c r="C59" s="1" t="n">
        <v>45963</v>
      </c>
      <c r="D59" t="inlineStr">
        <is>
          <t>KALMAR LÄN</t>
        </is>
      </c>
      <c r="E59" t="inlineStr">
        <is>
          <t>BORGHOLM</t>
        </is>
      </c>
      <c r="G59" t="n">
        <v>1.5</v>
      </c>
      <c r="H59" t="n">
        <v>0</v>
      </c>
      <c r="I59" t="n">
        <v>0</v>
      </c>
      <c r="J59" t="n">
        <v>0</v>
      </c>
      <c r="K59" t="n">
        <v>0</v>
      </c>
      <c r="L59" t="n">
        <v>0</v>
      </c>
      <c r="M59" t="n">
        <v>0</v>
      </c>
      <c r="N59" t="n">
        <v>0</v>
      </c>
      <c r="O59" t="n">
        <v>0</v>
      </c>
      <c r="P59" t="n">
        <v>0</v>
      </c>
      <c r="Q59" t="n">
        <v>0</v>
      </c>
      <c r="R59" s="2" t="inlineStr"/>
    </row>
    <row r="60" ht="15" customHeight="1">
      <c r="A60" t="inlineStr">
        <is>
          <t>A 44681-2022</t>
        </is>
      </c>
      <c r="B60" s="1" t="n">
        <v>44840</v>
      </c>
      <c r="C60" s="1" t="n">
        <v>45963</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32608-2022</t>
        </is>
      </c>
      <c r="B61" s="1" t="n">
        <v>44783</v>
      </c>
      <c r="C61" s="1" t="n">
        <v>45963</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61828-2021</t>
        </is>
      </c>
      <c r="B62" s="1" t="n">
        <v>44501</v>
      </c>
      <c r="C62" s="1" t="n">
        <v>45963</v>
      </c>
      <c r="D62" t="inlineStr">
        <is>
          <t>KALMAR LÄN</t>
        </is>
      </c>
      <c r="E62" t="inlineStr">
        <is>
          <t>BORGHOLM</t>
        </is>
      </c>
      <c r="G62" t="n">
        <v>0.5</v>
      </c>
      <c r="H62" t="n">
        <v>0</v>
      </c>
      <c r="I62" t="n">
        <v>0</v>
      </c>
      <c r="J62" t="n">
        <v>0</v>
      </c>
      <c r="K62" t="n">
        <v>0</v>
      </c>
      <c r="L62" t="n">
        <v>0</v>
      </c>
      <c r="M62" t="n">
        <v>0</v>
      </c>
      <c r="N62" t="n">
        <v>0</v>
      </c>
      <c r="O62" t="n">
        <v>0</v>
      </c>
      <c r="P62" t="n">
        <v>0</v>
      </c>
      <c r="Q62" t="n">
        <v>0</v>
      </c>
      <c r="R62" s="2" t="inlineStr"/>
    </row>
    <row r="63" ht="15" customHeight="1">
      <c r="A63" t="inlineStr">
        <is>
          <t>A 60735-2020</t>
        </is>
      </c>
      <c r="B63" s="1" t="n">
        <v>44153</v>
      </c>
      <c r="C63" s="1" t="n">
        <v>45963</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56188-2021</t>
        </is>
      </c>
      <c r="B64" s="1" t="n">
        <v>44477.83525462963</v>
      </c>
      <c r="C64" s="1" t="n">
        <v>45963</v>
      </c>
      <c r="D64" t="inlineStr">
        <is>
          <t>KALMAR LÄN</t>
        </is>
      </c>
      <c r="E64" t="inlineStr">
        <is>
          <t>BORGHOLM</t>
        </is>
      </c>
      <c r="G64" t="n">
        <v>1.8</v>
      </c>
      <c r="H64" t="n">
        <v>0</v>
      </c>
      <c r="I64" t="n">
        <v>0</v>
      </c>
      <c r="J64" t="n">
        <v>0</v>
      </c>
      <c r="K64" t="n">
        <v>0</v>
      </c>
      <c r="L64" t="n">
        <v>0</v>
      </c>
      <c r="M64" t="n">
        <v>0</v>
      </c>
      <c r="N64" t="n">
        <v>0</v>
      </c>
      <c r="O64" t="n">
        <v>0</v>
      </c>
      <c r="P64" t="n">
        <v>0</v>
      </c>
      <c r="Q64" t="n">
        <v>0</v>
      </c>
      <c r="R64" s="2" t="inlineStr"/>
    </row>
    <row r="65" ht="15" customHeight="1">
      <c r="A65" t="inlineStr">
        <is>
          <t>A 56983-2021</t>
        </is>
      </c>
      <c r="B65" s="1" t="n">
        <v>44482</v>
      </c>
      <c r="C65" s="1" t="n">
        <v>45963</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58394-2020</t>
        </is>
      </c>
      <c r="B66" s="1" t="n">
        <v>44145</v>
      </c>
      <c r="C66" s="1" t="n">
        <v>45963</v>
      </c>
      <c r="D66" t="inlineStr">
        <is>
          <t>KALMAR LÄN</t>
        </is>
      </c>
      <c r="E66" t="inlineStr">
        <is>
          <t>BORGHOLM</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62631-2021</t>
        </is>
      </c>
      <c r="B67" s="1" t="n">
        <v>44503</v>
      </c>
      <c r="C67" s="1" t="n">
        <v>45963</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56479-2020</t>
        </is>
      </c>
      <c r="B68" s="1" t="n">
        <v>44137</v>
      </c>
      <c r="C68" s="1" t="n">
        <v>45963</v>
      </c>
      <c r="D68" t="inlineStr">
        <is>
          <t>KALMAR LÄN</t>
        </is>
      </c>
      <c r="E68" t="inlineStr">
        <is>
          <t>BORGHOLM</t>
        </is>
      </c>
      <c r="F68" t="inlineStr">
        <is>
          <t>Sveaskog</t>
        </is>
      </c>
      <c r="G68" t="n">
        <v>2.6</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45963</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58253-2020</t>
        </is>
      </c>
      <c r="B70" s="1" t="n">
        <v>44144</v>
      </c>
      <c r="C70" s="1" t="n">
        <v>45963</v>
      </c>
      <c r="D70" t="inlineStr">
        <is>
          <t>KALMAR LÄN</t>
        </is>
      </c>
      <c r="E70" t="inlineStr">
        <is>
          <t>BORGHOLM</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32180-2022</t>
        </is>
      </c>
      <c r="B71" s="1" t="n">
        <v>44781</v>
      </c>
      <c r="C71" s="1" t="n">
        <v>45963</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27437-2022</t>
        </is>
      </c>
      <c r="B72" s="1" t="n">
        <v>44742.55567129629</v>
      </c>
      <c r="C72" s="1" t="n">
        <v>45963</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3878-2023</t>
        </is>
      </c>
      <c r="B73" s="1" t="n">
        <v>44951</v>
      </c>
      <c r="C73" s="1" t="n">
        <v>45963</v>
      </c>
      <c r="D73" t="inlineStr">
        <is>
          <t>KALMAR LÄN</t>
        </is>
      </c>
      <c r="E73" t="inlineStr">
        <is>
          <t>BORGHOLM</t>
        </is>
      </c>
      <c r="G73" t="n">
        <v>1.7</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45963</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45963</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45963</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9034-2025</t>
        </is>
      </c>
      <c r="B77" s="1" t="n">
        <v>45713</v>
      </c>
      <c r="C77" s="1" t="n">
        <v>45963</v>
      </c>
      <c r="D77" t="inlineStr">
        <is>
          <t>KALMAR LÄN</t>
        </is>
      </c>
      <c r="E77" t="inlineStr">
        <is>
          <t>BORGHOLM</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20878-2024</t>
        </is>
      </c>
      <c r="B78" s="1" t="n">
        <v>45439.44748842593</v>
      </c>
      <c r="C78" s="1" t="n">
        <v>45963</v>
      </c>
      <c r="D78" t="inlineStr">
        <is>
          <t>KALMAR LÄN</t>
        </is>
      </c>
      <c r="E78" t="inlineStr">
        <is>
          <t>BORGHOLM</t>
        </is>
      </c>
      <c r="G78" t="n">
        <v>1.9</v>
      </c>
      <c r="H78" t="n">
        <v>0</v>
      </c>
      <c r="I78" t="n">
        <v>0</v>
      </c>
      <c r="J78" t="n">
        <v>0</v>
      </c>
      <c r="K78" t="n">
        <v>0</v>
      </c>
      <c r="L78" t="n">
        <v>0</v>
      </c>
      <c r="M78" t="n">
        <v>0</v>
      </c>
      <c r="N78" t="n">
        <v>0</v>
      </c>
      <c r="O78" t="n">
        <v>0</v>
      </c>
      <c r="P78" t="n">
        <v>0</v>
      </c>
      <c r="Q78" t="n">
        <v>0</v>
      </c>
      <c r="R78" s="2" t="inlineStr"/>
    </row>
    <row r="79" ht="15" customHeight="1">
      <c r="A79" t="inlineStr">
        <is>
          <t>A 17699-2025</t>
        </is>
      </c>
      <c r="B79" s="1" t="n">
        <v>45758.41846064815</v>
      </c>
      <c r="C79" s="1" t="n">
        <v>45963</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20287-2025</t>
        </is>
      </c>
      <c r="B80" s="1" t="n">
        <v>45774.60741898148</v>
      </c>
      <c r="C80" s="1" t="n">
        <v>45963</v>
      </c>
      <c r="D80" t="inlineStr">
        <is>
          <t>KALMAR LÄN</t>
        </is>
      </c>
      <c r="E80" t="inlineStr">
        <is>
          <t>BORGHOLM</t>
        </is>
      </c>
      <c r="G80" t="n">
        <v>0.6</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45963</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26160-2024</t>
        </is>
      </c>
      <c r="B82" s="1" t="n">
        <v>45468</v>
      </c>
      <c r="C82" s="1" t="n">
        <v>45963</v>
      </c>
      <c r="D82" t="inlineStr">
        <is>
          <t>KALMAR LÄN</t>
        </is>
      </c>
      <c r="E82" t="inlineStr">
        <is>
          <t>BORGHOLM</t>
        </is>
      </c>
      <c r="G82" t="n">
        <v>0.4</v>
      </c>
      <c r="H82" t="n">
        <v>0</v>
      </c>
      <c r="I82" t="n">
        <v>0</v>
      </c>
      <c r="J82" t="n">
        <v>0</v>
      </c>
      <c r="K82" t="n">
        <v>0</v>
      </c>
      <c r="L82" t="n">
        <v>0</v>
      </c>
      <c r="M82" t="n">
        <v>0</v>
      </c>
      <c r="N82" t="n">
        <v>0</v>
      </c>
      <c r="O82" t="n">
        <v>0</v>
      </c>
      <c r="P82" t="n">
        <v>0</v>
      </c>
      <c r="Q82" t="n">
        <v>0</v>
      </c>
      <c r="R82" s="2" t="inlineStr"/>
      <c r="T82">
        <f>HYPERLINK("https://klasma.github.io/Logging_0885/kartor/A 26160-2024 karta.png", "A 26160-2024")</f>
        <v/>
      </c>
      <c r="V82">
        <f>HYPERLINK("https://klasma.github.io/Logging_0885/klagomål/A 26160-2024 FSC-klagomål.docx", "A 26160-2024")</f>
        <v/>
      </c>
      <c r="W82">
        <f>HYPERLINK("https://klasma.github.io/Logging_0885/klagomålsmail/A 26160-2024 FSC-klagomål mail.docx", "A 26160-2024")</f>
        <v/>
      </c>
      <c r="X82">
        <f>HYPERLINK("https://klasma.github.io/Logging_0885/tillsyn/A 26160-2024 tillsynsbegäran.docx", "A 26160-2024")</f>
        <v/>
      </c>
      <c r="Y82">
        <f>HYPERLINK("https://klasma.github.io/Logging_0885/tillsynsmail/A 26160-2024 tillsynsbegäran mail.docx", "A 26160-2024")</f>
        <v/>
      </c>
    </row>
    <row r="83" ht="15" customHeight="1">
      <c r="A83" t="inlineStr">
        <is>
          <t>A 9050-2025</t>
        </is>
      </c>
      <c r="B83" s="1" t="n">
        <v>45713.63512731482</v>
      </c>
      <c r="C83" s="1" t="n">
        <v>45963</v>
      </c>
      <c r="D83" t="inlineStr">
        <is>
          <t>KALMAR LÄN</t>
        </is>
      </c>
      <c r="E83" t="inlineStr">
        <is>
          <t>BORGHOLM</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7669-2024</t>
        </is>
      </c>
      <c r="B84" s="1" t="n">
        <v>45348.82498842593</v>
      </c>
      <c r="C84" s="1" t="n">
        <v>45963</v>
      </c>
      <c r="D84" t="inlineStr">
        <is>
          <t>KALMAR LÄN</t>
        </is>
      </c>
      <c r="E84" t="inlineStr">
        <is>
          <t>BORGHOLM</t>
        </is>
      </c>
      <c r="G84" t="n">
        <v>2.3</v>
      </c>
      <c r="H84" t="n">
        <v>0</v>
      </c>
      <c r="I84" t="n">
        <v>0</v>
      </c>
      <c r="J84" t="n">
        <v>0</v>
      </c>
      <c r="K84" t="n">
        <v>0</v>
      </c>
      <c r="L84" t="n">
        <v>0</v>
      </c>
      <c r="M84" t="n">
        <v>0</v>
      </c>
      <c r="N84" t="n">
        <v>0</v>
      </c>
      <c r="O84" t="n">
        <v>0</v>
      </c>
      <c r="P84" t="n">
        <v>0</v>
      </c>
      <c r="Q84" t="n">
        <v>0</v>
      </c>
      <c r="R84" s="2" t="inlineStr"/>
    </row>
    <row r="85" ht="15" customHeight="1">
      <c r="A85" t="inlineStr">
        <is>
          <t>A 63075-2023</t>
        </is>
      </c>
      <c r="B85" s="1" t="n">
        <v>45273</v>
      </c>
      <c r="C85" s="1" t="n">
        <v>45963</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45963</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21908-2022</t>
        </is>
      </c>
      <c r="B87" s="1" t="n">
        <v>44711</v>
      </c>
      <c r="C87" s="1" t="n">
        <v>45963</v>
      </c>
      <c r="D87" t="inlineStr">
        <is>
          <t>KALMAR LÄN</t>
        </is>
      </c>
      <c r="E87" t="inlineStr">
        <is>
          <t>BORGHOLM</t>
        </is>
      </c>
      <c r="G87" t="n">
        <v>4.7</v>
      </c>
      <c r="H87" t="n">
        <v>0</v>
      </c>
      <c r="I87" t="n">
        <v>0</v>
      </c>
      <c r="J87" t="n">
        <v>0</v>
      </c>
      <c r="K87" t="n">
        <v>0</v>
      </c>
      <c r="L87" t="n">
        <v>0</v>
      </c>
      <c r="M87" t="n">
        <v>0</v>
      </c>
      <c r="N87" t="n">
        <v>0</v>
      </c>
      <c r="O87" t="n">
        <v>0</v>
      </c>
      <c r="P87" t="n">
        <v>0</v>
      </c>
      <c r="Q87" t="n">
        <v>0</v>
      </c>
      <c r="R87" s="2" t="inlineStr"/>
    </row>
    <row r="88" ht="15" customHeight="1">
      <c r="A88" t="inlineStr">
        <is>
          <t>A 55367-2024</t>
        </is>
      </c>
      <c r="B88" s="1" t="n">
        <v>45621.87075231481</v>
      </c>
      <c r="C88" s="1" t="n">
        <v>45963</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56492-2020</t>
        </is>
      </c>
      <c r="B89" s="1" t="n">
        <v>44137</v>
      </c>
      <c r="C89" s="1" t="n">
        <v>45963</v>
      </c>
      <c r="D89" t="inlineStr">
        <is>
          <t>KALMAR LÄN</t>
        </is>
      </c>
      <c r="E89" t="inlineStr">
        <is>
          <t>BORGHOLM</t>
        </is>
      </c>
      <c r="F89" t="inlineStr">
        <is>
          <t>Sveaskog</t>
        </is>
      </c>
      <c r="G89" t="n">
        <v>10.9</v>
      </c>
      <c r="H89" t="n">
        <v>0</v>
      </c>
      <c r="I89" t="n">
        <v>0</v>
      </c>
      <c r="J89" t="n">
        <v>0</v>
      </c>
      <c r="K89" t="n">
        <v>0</v>
      </c>
      <c r="L89" t="n">
        <v>0</v>
      </c>
      <c r="M89" t="n">
        <v>0</v>
      </c>
      <c r="N89" t="n">
        <v>0</v>
      </c>
      <c r="O89" t="n">
        <v>0</v>
      </c>
      <c r="P89" t="n">
        <v>0</v>
      </c>
      <c r="Q89" t="n">
        <v>0</v>
      </c>
      <c r="R89" s="2" t="inlineStr"/>
    </row>
    <row r="90" ht="15" customHeight="1">
      <c r="A90" t="inlineStr">
        <is>
          <t>A 42785-2021</t>
        </is>
      </c>
      <c r="B90" s="1" t="n">
        <v>44428</v>
      </c>
      <c r="C90" s="1" t="n">
        <v>45963</v>
      </c>
      <c r="D90" t="inlineStr">
        <is>
          <t>KALMAR LÄN</t>
        </is>
      </c>
      <c r="E90" t="inlineStr">
        <is>
          <t>BORGHOLM</t>
        </is>
      </c>
      <c r="G90" t="n">
        <v>2.8</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45963</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22785-2025</t>
        </is>
      </c>
      <c r="B92" s="1" t="n">
        <v>45789.64186342592</v>
      </c>
      <c r="C92" s="1" t="n">
        <v>45963</v>
      </c>
      <c r="D92" t="inlineStr">
        <is>
          <t>KALMAR LÄN</t>
        </is>
      </c>
      <c r="E92" t="inlineStr">
        <is>
          <t>BORGHOLM</t>
        </is>
      </c>
      <c r="G92" t="n">
        <v>0.6</v>
      </c>
      <c r="H92" t="n">
        <v>0</v>
      </c>
      <c r="I92" t="n">
        <v>0</v>
      </c>
      <c r="J92" t="n">
        <v>0</v>
      </c>
      <c r="K92" t="n">
        <v>0</v>
      </c>
      <c r="L92" t="n">
        <v>0</v>
      </c>
      <c r="M92" t="n">
        <v>0</v>
      </c>
      <c r="N92" t="n">
        <v>0</v>
      </c>
      <c r="O92" t="n">
        <v>0</v>
      </c>
      <c r="P92" t="n">
        <v>0</v>
      </c>
      <c r="Q92" t="n">
        <v>0</v>
      </c>
      <c r="R92" s="2" t="inlineStr"/>
    </row>
    <row r="93" ht="15" customHeight="1">
      <c r="A93" t="inlineStr">
        <is>
          <t>A 31840-2021</t>
        </is>
      </c>
      <c r="B93" s="1" t="n">
        <v>44370</v>
      </c>
      <c r="C93" s="1" t="n">
        <v>45963</v>
      </c>
      <c r="D93" t="inlineStr">
        <is>
          <t>KALMAR LÄN</t>
        </is>
      </c>
      <c r="E93" t="inlineStr">
        <is>
          <t>BORGHOLM</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4878-2021</t>
        </is>
      </c>
      <c r="B94" s="1" t="n">
        <v>44225</v>
      </c>
      <c r="C94" s="1" t="n">
        <v>45963</v>
      </c>
      <c r="D94" t="inlineStr">
        <is>
          <t>KALMAR LÄN</t>
        </is>
      </c>
      <c r="E94" t="inlineStr">
        <is>
          <t>BORGHOLM</t>
        </is>
      </c>
      <c r="G94" t="n">
        <v>3</v>
      </c>
      <c r="H94" t="n">
        <v>0</v>
      </c>
      <c r="I94" t="n">
        <v>0</v>
      </c>
      <c r="J94" t="n">
        <v>0</v>
      </c>
      <c r="K94" t="n">
        <v>0</v>
      </c>
      <c r="L94" t="n">
        <v>0</v>
      </c>
      <c r="M94" t="n">
        <v>0</v>
      </c>
      <c r="N94" t="n">
        <v>0</v>
      </c>
      <c r="O94" t="n">
        <v>0</v>
      </c>
      <c r="P94" t="n">
        <v>0</v>
      </c>
      <c r="Q94" t="n">
        <v>0</v>
      </c>
      <c r="R94" s="2" t="inlineStr"/>
    </row>
    <row r="95" ht="15" customHeight="1">
      <c r="A95" t="inlineStr">
        <is>
          <t>A 12534-2022</t>
        </is>
      </c>
      <c r="B95" s="1" t="n">
        <v>44638</v>
      </c>
      <c r="C95" s="1" t="n">
        <v>45963</v>
      </c>
      <c r="D95" t="inlineStr">
        <is>
          <t>KALMAR LÄN</t>
        </is>
      </c>
      <c r="E95" t="inlineStr">
        <is>
          <t>BORGHOLM</t>
        </is>
      </c>
      <c r="G95" t="n">
        <v>8.6</v>
      </c>
      <c r="H95" t="n">
        <v>0</v>
      </c>
      <c r="I95" t="n">
        <v>0</v>
      </c>
      <c r="J95" t="n">
        <v>0</v>
      </c>
      <c r="K95" t="n">
        <v>0</v>
      </c>
      <c r="L95" t="n">
        <v>0</v>
      </c>
      <c r="M95" t="n">
        <v>0</v>
      </c>
      <c r="N95" t="n">
        <v>0</v>
      </c>
      <c r="O95" t="n">
        <v>0</v>
      </c>
      <c r="P95" t="n">
        <v>0</v>
      </c>
      <c r="Q95" t="n">
        <v>0</v>
      </c>
      <c r="R95" s="2" t="inlineStr"/>
    </row>
    <row r="96" ht="15" customHeight="1">
      <c r="A96" t="inlineStr">
        <is>
          <t>A 65144-2020</t>
        </is>
      </c>
      <c r="B96" s="1" t="n">
        <v>44172</v>
      </c>
      <c r="C96" s="1" t="n">
        <v>45963</v>
      </c>
      <c r="D96" t="inlineStr">
        <is>
          <t>KALMAR LÄN</t>
        </is>
      </c>
      <c r="E96" t="inlineStr">
        <is>
          <t>BORGHOLM</t>
        </is>
      </c>
      <c r="G96" t="n">
        <v>1.7</v>
      </c>
      <c r="H96" t="n">
        <v>0</v>
      </c>
      <c r="I96" t="n">
        <v>0</v>
      </c>
      <c r="J96" t="n">
        <v>0</v>
      </c>
      <c r="K96" t="n">
        <v>0</v>
      </c>
      <c r="L96" t="n">
        <v>0</v>
      </c>
      <c r="M96" t="n">
        <v>0</v>
      </c>
      <c r="N96" t="n">
        <v>0</v>
      </c>
      <c r="O96" t="n">
        <v>0</v>
      </c>
      <c r="P96" t="n">
        <v>0</v>
      </c>
      <c r="Q96" t="n">
        <v>0</v>
      </c>
      <c r="R96" s="2" t="inlineStr"/>
    </row>
    <row r="97" ht="15" customHeight="1">
      <c r="A97" t="inlineStr">
        <is>
          <t>A 40339-2023</t>
        </is>
      </c>
      <c r="B97" s="1" t="n">
        <v>45169.62733796296</v>
      </c>
      <c r="C97" s="1" t="n">
        <v>45963</v>
      </c>
      <c r="D97" t="inlineStr">
        <is>
          <t>KALMAR LÄN</t>
        </is>
      </c>
      <c r="E97" t="inlineStr">
        <is>
          <t>BORGHOLM</t>
        </is>
      </c>
      <c r="G97" t="n">
        <v>3.8</v>
      </c>
      <c r="H97" t="n">
        <v>0</v>
      </c>
      <c r="I97" t="n">
        <v>0</v>
      </c>
      <c r="J97" t="n">
        <v>0</v>
      </c>
      <c r="K97" t="n">
        <v>0</v>
      </c>
      <c r="L97" t="n">
        <v>0</v>
      </c>
      <c r="M97" t="n">
        <v>0</v>
      </c>
      <c r="N97" t="n">
        <v>0</v>
      </c>
      <c r="O97" t="n">
        <v>0</v>
      </c>
      <c r="P97" t="n">
        <v>0</v>
      </c>
      <c r="Q97" t="n">
        <v>0</v>
      </c>
      <c r="R97" s="2" t="inlineStr"/>
    </row>
    <row r="98" ht="15" customHeight="1">
      <c r="A98" t="inlineStr">
        <is>
          <t>A 24166-2022</t>
        </is>
      </c>
      <c r="B98" s="1" t="n">
        <v>44725</v>
      </c>
      <c r="C98" s="1" t="n">
        <v>45963</v>
      </c>
      <c r="D98" t="inlineStr">
        <is>
          <t>KALMAR LÄN</t>
        </is>
      </c>
      <c r="E98" t="inlineStr">
        <is>
          <t>BORGHOLM</t>
        </is>
      </c>
      <c r="G98" t="n">
        <v>10.7</v>
      </c>
      <c r="H98" t="n">
        <v>0</v>
      </c>
      <c r="I98" t="n">
        <v>0</v>
      </c>
      <c r="J98" t="n">
        <v>0</v>
      </c>
      <c r="K98" t="n">
        <v>0</v>
      </c>
      <c r="L98" t="n">
        <v>0</v>
      </c>
      <c r="M98" t="n">
        <v>0</v>
      </c>
      <c r="N98" t="n">
        <v>0</v>
      </c>
      <c r="O98" t="n">
        <v>0</v>
      </c>
      <c r="P98" t="n">
        <v>0</v>
      </c>
      <c r="Q98" t="n">
        <v>0</v>
      </c>
      <c r="R98" s="2" t="inlineStr"/>
    </row>
    <row r="99" ht="15" customHeight="1">
      <c r="A99" t="inlineStr">
        <is>
          <t>A 4159-2024</t>
        </is>
      </c>
      <c r="B99" s="1" t="n">
        <v>45323</v>
      </c>
      <c r="C99" s="1" t="n">
        <v>45963</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26190-2025</t>
        </is>
      </c>
      <c r="B100" s="1" t="n">
        <v>45805.48349537037</v>
      </c>
      <c r="C100" s="1" t="n">
        <v>45963</v>
      </c>
      <c r="D100" t="inlineStr">
        <is>
          <t>KALMAR LÄN</t>
        </is>
      </c>
      <c r="E100" t="inlineStr">
        <is>
          <t>BORGHOLM</t>
        </is>
      </c>
      <c r="G100" t="n">
        <v>3.2</v>
      </c>
      <c r="H100" t="n">
        <v>0</v>
      </c>
      <c r="I100" t="n">
        <v>0</v>
      </c>
      <c r="J100" t="n">
        <v>0</v>
      </c>
      <c r="K100" t="n">
        <v>0</v>
      </c>
      <c r="L100" t="n">
        <v>0</v>
      </c>
      <c r="M100" t="n">
        <v>0</v>
      </c>
      <c r="N100" t="n">
        <v>0</v>
      </c>
      <c r="O100" t="n">
        <v>0</v>
      </c>
      <c r="P100" t="n">
        <v>0</v>
      </c>
      <c r="Q100" t="n">
        <v>0</v>
      </c>
      <c r="R100" s="2" t="inlineStr"/>
    </row>
    <row r="101" ht="15" customHeight="1">
      <c r="A101" t="inlineStr">
        <is>
          <t>A 26160-2025</t>
        </is>
      </c>
      <c r="B101" s="1" t="n">
        <v>45805.4490162037</v>
      </c>
      <c r="C101" s="1" t="n">
        <v>45963</v>
      </c>
      <c r="D101" t="inlineStr">
        <is>
          <t>KALMAR LÄN</t>
        </is>
      </c>
      <c r="E101" t="inlineStr">
        <is>
          <t>BORGHOLM</t>
        </is>
      </c>
      <c r="G101" t="n">
        <v>3.7</v>
      </c>
      <c r="H101" t="n">
        <v>0</v>
      </c>
      <c r="I101" t="n">
        <v>0</v>
      </c>
      <c r="J101" t="n">
        <v>0</v>
      </c>
      <c r="K101" t="n">
        <v>0</v>
      </c>
      <c r="L101" t="n">
        <v>0</v>
      </c>
      <c r="M101" t="n">
        <v>0</v>
      </c>
      <c r="N101" t="n">
        <v>0</v>
      </c>
      <c r="O101" t="n">
        <v>0</v>
      </c>
      <c r="P101" t="n">
        <v>0</v>
      </c>
      <c r="Q101" t="n">
        <v>0</v>
      </c>
      <c r="R101" s="2" t="inlineStr"/>
    </row>
    <row r="102" ht="15" customHeight="1">
      <c r="A102" t="inlineStr">
        <is>
          <t>A 32919-2023</t>
        </is>
      </c>
      <c r="B102" s="1" t="n">
        <v>45125</v>
      </c>
      <c r="C102" s="1" t="n">
        <v>45963</v>
      </c>
      <c r="D102" t="inlineStr">
        <is>
          <t>KALMAR LÄN</t>
        </is>
      </c>
      <c r="E102" t="inlineStr">
        <is>
          <t>BORGHOLM</t>
        </is>
      </c>
      <c r="G102" t="n">
        <v>2.7</v>
      </c>
      <c r="H102" t="n">
        <v>0</v>
      </c>
      <c r="I102" t="n">
        <v>0</v>
      </c>
      <c r="J102" t="n">
        <v>0</v>
      </c>
      <c r="K102" t="n">
        <v>0</v>
      </c>
      <c r="L102" t="n">
        <v>0</v>
      </c>
      <c r="M102" t="n">
        <v>0</v>
      </c>
      <c r="N102" t="n">
        <v>0</v>
      </c>
      <c r="O102" t="n">
        <v>0</v>
      </c>
      <c r="P102" t="n">
        <v>0</v>
      </c>
      <c r="Q102" t="n">
        <v>0</v>
      </c>
      <c r="R102" s="2" t="inlineStr"/>
    </row>
    <row r="103" ht="15" customHeight="1">
      <c r="A103" t="inlineStr">
        <is>
          <t>A 32921-2023</t>
        </is>
      </c>
      <c r="B103" s="1" t="n">
        <v>45125</v>
      </c>
      <c r="C103" s="1" t="n">
        <v>45963</v>
      </c>
      <c r="D103" t="inlineStr">
        <is>
          <t>KALMAR LÄN</t>
        </is>
      </c>
      <c r="E103" t="inlineStr">
        <is>
          <t>BORGHOLM</t>
        </is>
      </c>
      <c r="G103" t="n">
        <v>2.9</v>
      </c>
      <c r="H103" t="n">
        <v>0</v>
      </c>
      <c r="I103" t="n">
        <v>0</v>
      </c>
      <c r="J103" t="n">
        <v>0</v>
      </c>
      <c r="K103" t="n">
        <v>0</v>
      </c>
      <c r="L103" t="n">
        <v>0</v>
      </c>
      <c r="M103" t="n">
        <v>0</v>
      </c>
      <c r="N103" t="n">
        <v>0</v>
      </c>
      <c r="O103" t="n">
        <v>0</v>
      </c>
      <c r="P103" t="n">
        <v>0</v>
      </c>
      <c r="Q103" t="n">
        <v>0</v>
      </c>
      <c r="R103" s="2" t="inlineStr"/>
    </row>
    <row r="104" ht="15" customHeight="1">
      <c r="A104" t="inlineStr">
        <is>
          <t>A 27357-2025</t>
        </is>
      </c>
      <c r="B104" s="1" t="n">
        <v>45812.63650462963</v>
      </c>
      <c r="C104" s="1" t="n">
        <v>45963</v>
      </c>
      <c r="D104" t="inlineStr">
        <is>
          <t>KALMAR LÄN</t>
        </is>
      </c>
      <c r="E104" t="inlineStr">
        <is>
          <t>BORGHOLM</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44678-2022</t>
        </is>
      </c>
      <c r="B105" s="1" t="n">
        <v>44840.65100694444</v>
      </c>
      <c r="C105" s="1" t="n">
        <v>45963</v>
      </c>
      <c r="D105" t="inlineStr">
        <is>
          <t>KALMAR LÄN</t>
        </is>
      </c>
      <c r="E105" t="inlineStr">
        <is>
          <t>BORGHOLM</t>
        </is>
      </c>
      <c r="G105" t="n">
        <v>2.4</v>
      </c>
      <c r="H105" t="n">
        <v>0</v>
      </c>
      <c r="I105" t="n">
        <v>0</v>
      </c>
      <c r="J105" t="n">
        <v>0</v>
      </c>
      <c r="K105" t="n">
        <v>0</v>
      </c>
      <c r="L105" t="n">
        <v>0</v>
      </c>
      <c r="M105" t="n">
        <v>0</v>
      </c>
      <c r="N105" t="n">
        <v>0</v>
      </c>
      <c r="O105" t="n">
        <v>0</v>
      </c>
      <c r="P105" t="n">
        <v>0</v>
      </c>
      <c r="Q105" t="n">
        <v>0</v>
      </c>
      <c r="R105" s="2" t="inlineStr"/>
    </row>
    <row r="106" ht="15" customHeight="1">
      <c r="A106" t="inlineStr">
        <is>
          <t>A 31699-2022</t>
        </is>
      </c>
      <c r="B106" s="1" t="n">
        <v>44776</v>
      </c>
      <c r="C106" s="1" t="n">
        <v>45963</v>
      </c>
      <c r="D106" t="inlineStr">
        <is>
          <t>KALMAR LÄN</t>
        </is>
      </c>
      <c r="E106" t="inlineStr">
        <is>
          <t>BORGHOLM</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27366-2025</t>
        </is>
      </c>
      <c r="B107" s="1" t="n">
        <v>45812.64475694444</v>
      </c>
      <c r="C107" s="1" t="n">
        <v>45963</v>
      </c>
      <c r="D107" t="inlineStr">
        <is>
          <t>KALMAR LÄN</t>
        </is>
      </c>
      <c r="E107" t="inlineStr">
        <is>
          <t>BORGHOLM</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45963</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63276-2023</t>
        </is>
      </c>
      <c r="B109" s="1" t="n">
        <v>45273.82195601852</v>
      </c>
      <c r="C109" s="1" t="n">
        <v>45963</v>
      </c>
      <c r="D109" t="inlineStr">
        <is>
          <t>KALMAR LÄN</t>
        </is>
      </c>
      <c r="E109" t="inlineStr">
        <is>
          <t>BORGHOLM</t>
        </is>
      </c>
      <c r="G109" t="n">
        <v>5</v>
      </c>
      <c r="H109" t="n">
        <v>0</v>
      </c>
      <c r="I109" t="n">
        <v>0</v>
      </c>
      <c r="J109" t="n">
        <v>0</v>
      </c>
      <c r="K109" t="n">
        <v>0</v>
      </c>
      <c r="L109" t="n">
        <v>0</v>
      </c>
      <c r="M109" t="n">
        <v>0</v>
      </c>
      <c r="N109" t="n">
        <v>0</v>
      </c>
      <c r="O109" t="n">
        <v>0</v>
      </c>
      <c r="P109" t="n">
        <v>0</v>
      </c>
      <c r="Q109" t="n">
        <v>0</v>
      </c>
      <c r="R109" s="2" t="inlineStr"/>
    </row>
    <row r="110" ht="15" customHeight="1">
      <c r="A110" t="inlineStr">
        <is>
          <t>A 44547-2021</t>
        </is>
      </c>
      <c r="B110" s="1" t="n">
        <v>44435</v>
      </c>
      <c r="C110" s="1" t="n">
        <v>45963</v>
      </c>
      <c r="D110" t="inlineStr">
        <is>
          <t>KALMAR LÄN</t>
        </is>
      </c>
      <c r="E110" t="inlineStr">
        <is>
          <t>BORGHOLM</t>
        </is>
      </c>
      <c r="G110" t="n">
        <v>1.4</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45963</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45963</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28782-2025</t>
        </is>
      </c>
      <c r="B113" s="1" t="n">
        <v>45820.45572916666</v>
      </c>
      <c r="C113" s="1" t="n">
        <v>45963</v>
      </c>
      <c r="D113" t="inlineStr">
        <is>
          <t>KALMAR LÄN</t>
        </is>
      </c>
      <c r="E113" t="inlineStr">
        <is>
          <t>BORGHOLM</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45963</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45963</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13383-2023</t>
        </is>
      </c>
      <c r="B116" s="1" t="n">
        <v>45005</v>
      </c>
      <c r="C116" s="1" t="n">
        <v>45963</v>
      </c>
      <c r="D116" t="inlineStr">
        <is>
          <t>KALMAR LÄN</t>
        </is>
      </c>
      <c r="E116" t="inlineStr">
        <is>
          <t>BORGHOLM</t>
        </is>
      </c>
      <c r="G116" t="n">
        <v>0.8</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45963</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45963</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53050-2021</t>
        </is>
      </c>
      <c r="B119" s="1" t="n">
        <v>44467</v>
      </c>
      <c r="C119" s="1" t="n">
        <v>45963</v>
      </c>
      <c r="D119" t="inlineStr">
        <is>
          <t>KALMAR LÄN</t>
        </is>
      </c>
      <c r="E119" t="inlineStr">
        <is>
          <t>BORGHOLM</t>
        </is>
      </c>
      <c r="G119" t="n">
        <v>3.6</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45963</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50129-2021</t>
        </is>
      </c>
      <c r="B121" s="1" t="n">
        <v>44456</v>
      </c>
      <c r="C121" s="1" t="n">
        <v>45963</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ht="15" customHeight="1">
      <c r="A122" t="inlineStr">
        <is>
          <t>A 9076-2025</t>
        </is>
      </c>
      <c r="B122" s="1" t="n">
        <v>45713.6596875</v>
      </c>
      <c r="C122" s="1" t="n">
        <v>45963</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ht="15" customHeight="1">
      <c r="A123" t="inlineStr">
        <is>
          <t>A 1757-2025</t>
        </is>
      </c>
      <c r="B123" s="1" t="n">
        <v>45671.42195601852</v>
      </c>
      <c r="C123" s="1" t="n">
        <v>45963</v>
      </c>
      <c r="D123" t="inlineStr">
        <is>
          <t>KALMAR LÄN</t>
        </is>
      </c>
      <c r="E123" t="inlineStr">
        <is>
          <t>BORGHOLM</t>
        </is>
      </c>
      <c r="G123" t="n">
        <v>1.4</v>
      </c>
      <c r="H123" t="n">
        <v>0</v>
      </c>
      <c r="I123" t="n">
        <v>0</v>
      </c>
      <c r="J123" t="n">
        <v>0</v>
      </c>
      <c r="K123" t="n">
        <v>0</v>
      </c>
      <c r="L123" t="n">
        <v>0</v>
      </c>
      <c r="M123" t="n">
        <v>0</v>
      </c>
      <c r="N123" t="n">
        <v>0</v>
      </c>
      <c r="O123" t="n">
        <v>0</v>
      </c>
      <c r="P123" t="n">
        <v>0</v>
      </c>
      <c r="Q123" t="n">
        <v>0</v>
      </c>
      <c r="R123" s="2" t="inlineStr"/>
    </row>
    <row r="124" ht="15" customHeight="1">
      <c r="A124" t="inlineStr">
        <is>
          <t>A 7960-2023</t>
        </is>
      </c>
      <c r="B124" s="1" t="n">
        <v>44973</v>
      </c>
      <c r="C124" s="1" t="n">
        <v>45963</v>
      </c>
      <c r="D124" t="inlineStr">
        <is>
          <t>KALMAR LÄN</t>
        </is>
      </c>
      <c r="E124" t="inlineStr">
        <is>
          <t>BORGHOLM</t>
        </is>
      </c>
      <c r="G124" t="n">
        <v>2.1</v>
      </c>
      <c r="H124" t="n">
        <v>0</v>
      </c>
      <c r="I124" t="n">
        <v>0</v>
      </c>
      <c r="J124" t="n">
        <v>0</v>
      </c>
      <c r="K124" t="n">
        <v>0</v>
      </c>
      <c r="L124" t="n">
        <v>0</v>
      </c>
      <c r="M124" t="n">
        <v>0</v>
      </c>
      <c r="N124" t="n">
        <v>0</v>
      </c>
      <c r="O124" t="n">
        <v>0</v>
      </c>
      <c r="P124" t="n">
        <v>0</v>
      </c>
      <c r="Q124" t="n">
        <v>0</v>
      </c>
      <c r="R124" s="2" t="inlineStr"/>
    </row>
    <row r="125" ht="15" customHeight="1">
      <c r="A125" t="inlineStr">
        <is>
          <t>A 36269-2025</t>
        </is>
      </c>
      <c r="B125" s="1" t="n">
        <v>45867.61736111111</v>
      </c>
      <c r="C125" s="1" t="n">
        <v>45963</v>
      </c>
      <c r="D125" t="inlineStr">
        <is>
          <t>KALMAR LÄN</t>
        </is>
      </c>
      <c r="E125" t="inlineStr">
        <is>
          <t>BORGHOLM</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45734-2025</t>
        </is>
      </c>
      <c r="B126" s="1" t="n">
        <v>45923.46512731481</v>
      </c>
      <c r="C126" s="1" t="n">
        <v>45963</v>
      </c>
      <c r="D126" t="inlineStr">
        <is>
          <t>KALMAR LÄN</t>
        </is>
      </c>
      <c r="E126" t="inlineStr">
        <is>
          <t>BORGHOLM</t>
        </is>
      </c>
      <c r="G126" t="n">
        <v>5</v>
      </c>
      <c r="H126" t="n">
        <v>0</v>
      </c>
      <c r="I126" t="n">
        <v>0</v>
      </c>
      <c r="J126" t="n">
        <v>0</v>
      </c>
      <c r="K126" t="n">
        <v>0</v>
      </c>
      <c r="L126" t="n">
        <v>0</v>
      </c>
      <c r="M126" t="n">
        <v>0</v>
      </c>
      <c r="N126" t="n">
        <v>0</v>
      </c>
      <c r="O126" t="n">
        <v>0</v>
      </c>
      <c r="P126" t="n">
        <v>0</v>
      </c>
      <c r="Q126" t="n">
        <v>0</v>
      </c>
      <c r="R126" s="2" t="inlineStr"/>
    </row>
    <row r="127" ht="15" customHeight="1">
      <c r="A127" t="inlineStr">
        <is>
          <t>A 13043-2024</t>
        </is>
      </c>
      <c r="B127" s="1" t="n">
        <v>45385.60111111111</v>
      </c>
      <c r="C127" s="1" t="n">
        <v>45963</v>
      </c>
      <c r="D127" t="inlineStr">
        <is>
          <t>KALMAR LÄN</t>
        </is>
      </c>
      <c r="E127" t="inlineStr">
        <is>
          <t>BORGHOLM</t>
        </is>
      </c>
      <c r="G127" t="n">
        <v>0.4</v>
      </c>
      <c r="H127" t="n">
        <v>0</v>
      </c>
      <c r="I127" t="n">
        <v>0</v>
      </c>
      <c r="J127" t="n">
        <v>0</v>
      </c>
      <c r="K127" t="n">
        <v>0</v>
      </c>
      <c r="L127" t="n">
        <v>0</v>
      </c>
      <c r="M127" t="n">
        <v>0</v>
      </c>
      <c r="N127" t="n">
        <v>0</v>
      </c>
      <c r="O127" t="n">
        <v>0</v>
      </c>
      <c r="P127" t="n">
        <v>0</v>
      </c>
      <c r="Q127" t="n">
        <v>0</v>
      </c>
      <c r="R127" s="2" t="inlineStr"/>
    </row>
    <row r="128" ht="15" customHeight="1">
      <c r="A128" t="inlineStr">
        <is>
          <t>A 34780-2022</t>
        </is>
      </c>
      <c r="B128" s="1" t="n">
        <v>44795</v>
      </c>
      <c r="C128" s="1" t="n">
        <v>45963</v>
      </c>
      <c r="D128" t="inlineStr">
        <is>
          <t>KALMAR LÄN</t>
        </is>
      </c>
      <c r="E128" t="inlineStr">
        <is>
          <t>BORGHOLM</t>
        </is>
      </c>
      <c r="F128" t="inlineStr">
        <is>
          <t>Sveaskog</t>
        </is>
      </c>
      <c r="G128" t="n">
        <v>6.7</v>
      </c>
      <c r="H128" t="n">
        <v>0</v>
      </c>
      <c r="I128" t="n">
        <v>0</v>
      </c>
      <c r="J128" t="n">
        <v>0</v>
      </c>
      <c r="K128" t="n">
        <v>0</v>
      </c>
      <c r="L128" t="n">
        <v>0</v>
      </c>
      <c r="M128" t="n">
        <v>0</v>
      </c>
      <c r="N128" t="n">
        <v>0</v>
      </c>
      <c r="O128" t="n">
        <v>0</v>
      </c>
      <c r="P128" t="n">
        <v>0</v>
      </c>
      <c r="Q128" t="n">
        <v>0</v>
      </c>
      <c r="R128" s="2" t="inlineStr"/>
    </row>
    <row r="129" ht="15" customHeight="1">
      <c r="A129" t="inlineStr">
        <is>
          <t>A 45869-2025</t>
        </is>
      </c>
      <c r="B129" s="1" t="n">
        <v>45923.65313657407</v>
      </c>
      <c r="C129" s="1" t="n">
        <v>45963</v>
      </c>
      <c r="D129" t="inlineStr">
        <is>
          <t>KALMAR LÄN</t>
        </is>
      </c>
      <c r="E129" t="inlineStr">
        <is>
          <t>BORGHOLM</t>
        </is>
      </c>
      <c r="G129" t="n">
        <v>4.5</v>
      </c>
      <c r="H129" t="n">
        <v>0</v>
      </c>
      <c r="I129" t="n">
        <v>0</v>
      </c>
      <c r="J129" t="n">
        <v>0</v>
      </c>
      <c r="K129" t="n">
        <v>0</v>
      </c>
      <c r="L129" t="n">
        <v>0</v>
      </c>
      <c r="M129" t="n">
        <v>0</v>
      </c>
      <c r="N129" t="n">
        <v>0</v>
      </c>
      <c r="O129" t="n">
        <v>0</v>
      </c>
      <c r="P129" t="n">
        <v>0</v>
      </c>
      <c r="Q129" t="n">
        <v>0</v>
      </c>
      <c r="R129" s="2" t="inlineStr"/>
    </row>
    <row r="130" ht="15" customHeight="1">
      <c r="A130" t="inlineStr">
        <is>
          <t>A 46845-2025</t>
        </is>
      </c>
      <c r="B130" s="1" t="n">
        <v>45928</v>
      </c>
      <c r="C130" s="1" t="n">
        <v>45963</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41831-2025</t>
        </is>
      </c>
      <c r="B131" s="1" t="n">
        <v>45902.67887731481</v>
      </c>
      <c r="C131" s="1" t="n">
        <v>45963</v>
      </c>
      <c r="D131" t="inlineStr">
        <is>
          <t>KALMAR LÄN</t>
        </is>
      </c>
      <c r="E131" t="inlineStr">
        <is>
          <t>BORGHOLM</t>
        </is>
      </c>
      <c r="G131" t="n">
        <v>1.5</v>
      </c>
      <c r="H131" t="n">
        <v>0</v>
      </c>
      <c r="I131" t="n">
        <v>0</v>
      </c>
      <c r="J131" t="n">
        <v>0</v>
      </c>
      <c r="K131" t="n">
        <v>0</v>
      </c>
      <c r="L131" t="n">
        <v>0</v>
      </c>
      <c r="M131" t="n">
        <v>0</v>
      </c>
      <c r="N131" t="n">
        <v>0</v>
      </c>
      <c r="O131" t="n">
        <v>0</v>
      </c>
      <c r="P131" t="n">
        <v>0</v>
      </c>
      <c r="Q131" t="n">
        <v>0</v>
      </c>
      <c r="R131" s="2" t="inlineStr"/>
    </row>
    <row r="132" ht="15" customHeight="1">
      <c r="A132" t="inlineStr">
        <is>
          <t>A 41950-2025</t>
        </is>
      </c>
      <c r="B132" s="1" t="n">
        <v>45903.45767361111</v>
      </c>
      <c r="C132" s="1" t="n">
        <v>45963</v>
      </c>
      <c r="D132" t="inlineStr">
        <is>
          <t>KALMAR LÄN</t>
        </is>
      </c>
      <c r="E132" t="inlineStr">
        <is>
          <t>BORGHOLM</t>
        </is>
      </c>
      <c r="G132" t="n">
        <v>1.8</v>
      </c>
      <c r="H132" t="n">
        <v>0</v>
      </c>
      <c r="I132" t="n">
        <v>0</v>
      </c>
      <c r="J132" t="n">
        <v>0</v>
      </c>
      <c r="K132" t="n">
        <v>0</v>
      </c>
      <c r="L132" t="n">
        <v>0</v>
      </c>
      <c r="M132" t="n">
        <v>0</v>
      </c>
      <c r="N132" t="n">
        <v>0</v>
      </c>
      <c r="O132" t="n">
        <v>0</v>
      </c>
      <c r="P132" t="n">
        <v>0</v>
      </c>
      <c r="Q132" t="n">
        <v>0</v>
      </c>
      <c r="R132" s="2" t="inlineStr"/>
    </row>
    <row r="133" ht="15" customHeight="1">
      <c r="A133" t="inlineStr">
        <is>
          <t>A 42232-2025</t>
        </is>
      </c>
      <c r="B133" s="1" t="n">
        <v>45904.55591435185</v>
      </c>
      <c r="C133" s="1" t="n">
        <v>45963</v>
      </c>
      <c r="D133" t="inlineStr">
        <is>
          <t>KALMAR LÄN</t>
        </is>
      </c>
      <c r="E133" t="inlineStr">
        <is>
          <t>BORGHOLM</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43542-2025</t>
        </is>
      </c>
      <c r="B134" s="1" t="n">
        <v>45911.61123842592</v>
      </c>
      <c r="C134" s="1" t="n">
        <v>45963</v>
      </c>
      <c r="D134" t="inlineStr">
        <is>
          <t>KALMAR LÄN</t>
        </is>
      </c>
      <c r="E134" t="inlineStr">
        <is>
          <t>BORGHOLM</t>
        </is>
      </c>
      <c r="G134" t="n">
        <v>2.4</v>
      </c>
      <c r="H134" t="n">
        <v>0</v>
      </c>
      <c r="I134" t="n">
        <v>0</v>
      </c>
      <c r="J134" t="n">
        <v>0</v>
      </c>
      <c r="K134" t="n">
        <v>0</v>
      </c>
      <c r="L134" t="n">
        <v>0</v>
      </c>
      <c r="M134" t="n">
        <v>0</v>
      </c>
      <c r="N134" t="n">
        <v>0</v>
      </c>
      <c r="O134" t="n">
        <v>0</v>
      </c>
      <c r="P134" t="n">
        <v>0</v>
      </c>
      <c r="Q134" t="n">
        <v>0</v>
      </c>
      <c r="R134" s="2" t="inlineStr"/>
    </row>
    <row r="135">
      <c r="A135" t="inlineStr">
        <is>
          <t>A 44224-2025</t>
        </is>
      </c>
      <c r="B135" s="1" t="n">
        <v>45915</v>
      </c>
      <c r="C135" s="1" t="n">
        <v>45963</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2025-11-02T10:01:27Z</dcterms:created>
  <dcterms:modified xmlns:dcterms="http://purl.org/dc/terms/" xmlns:xsi="http://www.w3.org/2001/XMLSchema-instance" xsi:type="dcterms:W3CDTF">2025-11-02T10:01:28Z</dcterms:modified>
</cp:coreProperties>
</file>