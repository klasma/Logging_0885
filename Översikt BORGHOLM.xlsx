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45989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45989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45989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45989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45989</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45989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45989</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45989</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45989</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45989</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45989</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45989</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45989</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45989</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45989</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45989</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45989</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45989</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45989</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45989</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32174-2022</t>
        </is>
      </c>
      <c r="B22" s="1" t="n">
        <v>44781</v>
      </c>
      <c r="C22" s="1" t="n">
        <v>45989</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13556-2025</t>
        </is>
      </c>
      <c r="B23" s="1" t="n">
        <v>45736.54759259259</v>
      </c>
      <c r="C23" s="1" t="n">
        <v>45989</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34944-2022</t>
        </is>
      </c>
      <c r="B24" s="1" t="n">
        <v>44796</v>
      </c>
      <c r="C24" s="1" t="n">
        <v>45989</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4164-2023</t>
        </is>
      </c>
      <c r="B25" s="1" t="n">
        <v>44953</v>
      </c>
      <c r="C25" s="1" t="n">
        <v>45989</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45989</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44008-2022</t>
        </is>
      </c>
      <c r="B27" s="1" t="n">
        <v>44838</v>
      </c>
      <c r="C27" s="1" t="n">
        <v>45989</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44008-2022 artfynd.xlsx", "A 44008-2022")</f>
        <v/>
      </c>
      <c r="T27">
        <f>HYPERLINK("https://klasma.github.io/Logging_0885/kartor/A 44008-2022 karta.png", "A 44008-2022")</f>
        <v/>
      </c>
      <c r="V27">
        <f>HYPERLINK("https://klasma.github.io/Logging_0885/klagomål/A 44008-2022 FSC-klagomål.docx", "A 44008-2022")</f>
        <v/>
      </c>
      <c r="W27">
        <f>HYPERLINK("https://klasma.github.io/Logging_0885/klagomålsmail/A 44008-2022 FSC-klagomål mail.docx", "A 44008-2022")</f>
        <v/>
      </c>
      <c r="X27">
        <f>HYPERLINK("https://klasma.github.io/Logging_0885/tillsyn/A 44008-2022 tillsynsbegäran.docx", "A 44008-2022")</f>
        <v/>
      </c>
      <c r="Y27">
        <f>HYPERLINK("https://klasma.github.io/Logging_0885/tillsynsmail/A 44008-2022 tillsynsbegäran mail.docx", "A 44008-2022")</f>
        <v/>
      </c>
      <c r="Z27">
        <f>HYPERLINK("https://klasma.github.io/Logging_0885/fåglar/A 44008-2022 prioriterade fågelarter.docx", "A 44008-2022")</f>
        <v/>
      </c>
    </row>
    <row r="28" ht="15" customHeight="1">
      <c r="A28" t="inlineStr">
        <is>
          <t>A 3871-2021</t>
        </is>
      </c>
      <c r="B28" s="1" t="n">
        <v>44222</v>
      </c>
      <c r="C28" s="1" t="n">
        <v>45989</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45989</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45989</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66329-2020</t>
        </is>
      </c>
      <c r="B31" s="1" t="n">
        <v>44176</v>
      </c>
      <c r="C31" s="1" t="n">
        <v>45989</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14789-2021</t>
        </is>
      </c>
      <c r="B32" s="1" t="n">
        <v>44280</v>
      </c>
      <c r="C32" s="1" t="n">
        <v>45989</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41640-2023</t>
        </is>
      </c>
      <c r="B33" s="1" t="n">
        <v>45175</v>
      </c>
      <c r="C33" s="1" t="n">
        <v>45989</v>
      </c>
      <c r="D33" t="inlineStr">
        <is>
          <t>KALMAR LÄN</t>
        </is>
      </c>
      <c r="E33" t="inlineStr">
        <is>
          <t>BORGHOLM</t>
        </is>
      </c>
      <c r="G33" t="n">
        <v>5</v>
      </c>
      <c r="H33" t="n">
        <v>1</v>
      </c>
      <c r="I33" t="n">
        <v>0</v>
      </c>
      <c r="J33" t="n">
        <v>0</v>
      </c>
      <c r="K33" t="n">
        <v>0</v>
      </c>
      <c r="L33" t="n">
        <v>0</v>
      </c>
      <c r="M33" t="n">
        <v>0</v>
      </c>
      <c r="N33" t="n">
        <v>0</v>
      </c>
      <c r="O33" t="n">
        <v>0</v>
      </c>
      <c r="P33" t="n">
        <v>0</v>
      </c>
      <c r="Q33" t="n">
        <v>1</v>
      </c>
      <c r="R33" s="2" t="inlineStr">
        <is>
          <t>Johannesnycklar</t>
        </is>
      </c>
      <c r="S33">
        <f>HYPERLINK("https://klasma.github.io/Logging_0885/artfynd/A 41640-2023 artfynd.xlsx", "A 41640-2023")</f>
        <v/>
      </c>
      <c r="T33">
        <f>HYPERLINK("https://klasma.github.io/Logging_0885/kartor/A 41640-2023 karta.png", "A 41640-2023")</f>
        <v/>
      </c>
      <c r="V33">
        <f>HYPERLINK("https://klasma.github.io/Logging_0885/klagomål/A 41640-2023 FSC-klagomål.docx", "A 41640-2023")</f>
        <v/>
      </c>
      <c r="W33">
        <f>HYPERLINK("https://klasma.github.io/Logging_0885/klagomålsmail/A 41640-2023 FSC-klagomål mail.docx", "A 41640-2023")</f>
        <v/>
      </c>
      <c r="X33">
        <f>HYPERLINK("https://klasma.github.io/Logging_0885/tillsyn/A 41640-2023 tillsynsbegäran.docx", "A 41640-2023")</f>
        <v/>
      </c>
      <c r="Y33">
        <f>HYPERLINK("https://klasma.github.io/Logging_0885/tillsynsmail/A 41640-2023 tillsynsbegäran mail.docx", "A 41640-2023")</f>
        <v/>
      </c>
    </row>
    <row r="34" ht="15" customHeight="1">
      <c r="A34" t="inlineStr">
        <is>
          <t>A 9745-2023</t>
        </is>
      </c>
      <c r="B34" s="1" t="n">
        <v>44984</v>
      </c>
      <c r="C34" s="1" t="n">
        <v>45989</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28785-2025</t>
        </is>
      </c>
      <c r="B35" s="1" t="n">
        <v>45820.46159722222</v>
      </c>
      <c r="C35" s="1" t="n">
        <v>45989</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45989</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12785-2021</t>
        </is>
      </c>
      <c r="B37" s="1" t="n">
        <v>44270</v>
      </c>
      <c r="C37" s="1" t="n">
        <v>45989</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34885-2025</t>
        </is>
      </c>
      <c r="B38" s="1" t="n">
        <v>45849.47128472223</v>
      </c>
      <c r="C38" s="1" t="n">
        <v>45989</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13558-2025</t>
        </is>
      </c>
      <c r="B39" s="1" t="n">
        <v>45736.54974537037</v>
      </c>
      <c r="C39" s="1" t="n">
        <v>45989</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24701-2023</t>
        </is>
      </c>
      <c r="B40" s="1" t="n">
        <v>45084</v>
      </c>
      <c r="C40" s="1" t="n">
        <v>45989</v>
      </c>
      <c r="D40" t="inlineStr">
        <is>
          <t>KALMAR LÄN</t>
        </is>
      </c>
      <c r="E40" t="inlineStr">
        <is>
          <t>BORGHOLM</t>
        </is>
      </c>
      <c r="G40" t="n">
        <v>3</v>
      </c>
      <c r="H40" t="n">
        <v>0</v>
      </c>
      <c r="I40" t="n">
        <v>0</v>
      </c>
      <c r="J40" t="n">
        <v>0</v>
      </c>
      <c r="K40" t="n">
        <v>0</v>
      </c>
      <c r="L40" t="n">
        <v>1</v>
      </c>
      <c r="M40" t="n">
        <v>0</v>
      </c>
      <c r="N40" t="n">
        <v>0</v>
      </c>
      <c r="O40" t="n">
        <v>1</v>
      </c>
      <c r="P40" t="n">
        <v>1</v>
      </c>
      <c r="Q40" t="n">
        <v>1</v>
      </c>
      <c r="R40" s="2" t="inlineStr">
        <is>
          <t>Ask</t>
        </is>
      </c>
      <c r="S40">
        <f>HYPERLINK("https://klasma.github.io/Logging_0885/artfynd/A 24701-2023 artfynd.xlsx", "A 24701-2023")</f>
        <v/>
      </c>
      <c r="T40">
        <f>HYPERLINK("https://klasma.github.io/Logging_0885/kartor/A 24701-2023 karta.png", "A 24701-2023")</f>
        <v/>
      </c>
      <c r="V40">
        <f>HYPERLINK("https://klasma.github.io/Logging_0885/klagomål/A 24701-2023 FSC-klagomål.docx", "A 24701-2023")</f>
        <v/>
      </c>
      <c r="W40">
        <f>HYPERLINK("https://klasma.github.io/Logging_0885/klagomålsmail/A 24701-2023 FSC-klagomål mail.docx", "A 24701-2023")</f>
        <v/>
      </c>
      <c r="X40">
        <f>HYPERLINK("https://klasma.github.io/Logging_0885/tillsyn/A 24701-2023 tillsynsbegäran.docx", "A 24701-2023")</f>
        <v/>
      </c>
      <c r="Y40">
        <f>HYPERLINK("https://klasma.github.io/Logging_0885/tillsynsmail/A 24701-2023 tillsynsbegäran mail.docx", "A 24701-2023")</f>
        <v/>
      </c>
    </row>
    <row r="41" ht="15" customHeight="1">
      <c r="A41" t="inlineStr">
        <is>
          <t>A 45693-2025</t>
        </is>
      </c>
      <c r="B41" s="1" t="n">
        <v>45923</v>
      </c>
      <c r="C41" s="1" t="n">
        <v>45989</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43603-2024</t>
        </is>
      </c>
      <c r="B42" s="1" t="n">
        <v>45569.44700231482</v>
      </c>
      <c r="C42" s="1" t="n">
        <v>45989</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24704-2023</t>
        </is>
      </c>
      <c r="B43" s="1" t="n">
        <v>45084</v>
      </c>
      <c r="C43" s="1" t="n">
        <v>45989</v>
      </c>
      <c r="D43" t="inlineStr">
        <is>
          <t>KALMAR LÄN</t>
        </is>
      </c>
      <c r="E43" t="inlineStr">
        <is>
          <t>BORGHOLM</t>
        </is>
      </c>
      <c r="G43" t="n">
        <v>3.5</v>
      </c>
      <c r="H43" t="n">
        <v>0</v>
      </c>
      <c r="I43" t="n">
        <v>0</v>
      </c>
      <c r="J43" t="n">
        <v>0</v>
      </c>
      <c r="K43" t="n">
        <v>0</v>
      </c>
      <c r="L43" t="n">
        <v>1</v>
      </c>
      <c r="M43" t="n">
        <v>0</v>
      </c>
      <c r="N43" t="n">
        <v>0</v>
      </c>
      <c r="O43" t="n">
        <v>1</v>
      </c>
      <c r="P43" t="n">
        <v>1</v>
      </c>
      <c r="Q43" t="n">
        <v>1</v>
      </c>
      <c r="R43" s="2" t="inlineStr">
        <is>
          <t>Ask</t>
        </is>
      </c>
      <c r="S43">
        <f>HYPERLINK("https://klasma.github.io/Logging_0885/artfynd/A 24704-2023 artfynd.xlsx", "A 24704-2023")</f>
        <v/>
      </c>
      <c r="T43">
        <f>HYPERLINK("https://klasma.github.io/Logging_0885/kartor/A 24704-2023 karta.png", "A 24704-2023")</f>
        <v/>
      </c>
      <c r="V43">
        <f>HYPERLINK("https://klasma.github.io/Logging_0885/klagomål/A 24704-2023 FSC-klagomål.docx", "A 24704-2023")</f>
        <v/>
      </c>
      <c r="W43">
        <f>HYPERLINK("https://klasma.github.io/Logging_0885/klagomålsmail/A 24704-2023 FSC-klagomål mail.docx", "A 24704-2023")</f>
        <v/>
      </c>
      <c r="X43">
        <f>HYPERLINK("https://klasma.github.io/Logging_0885/tillsyn/A 24704-2023 tillsynsbegäran.docx", "A 24704-2023")</f>
        <v/>
      </c>
      <c r="Y43">
        <f>HYPERLINK("https://klasma.github.io/Logging_0885/tillsynsmail/A 24704-2023 tillsynsbegäran mail.docx", "A 24704-2023")</f>
        <v/>
      </c>
    </row>
    <row r="44" ht="15" customHeight="1">
      <c r="A44" t="inlineStr">
        <is>
          <t>A 24048-2025</t>
        </is>
      </c>
      <c r="B44" s="1" t="n">
        <v>45796.4959375</v>
      </c>
      <c r="C44" s="1" t="n">
        <v>45989</v>
      </c>
      <c r="D44" t="inlineStr">
        <is>
          <t>KALMAR LÄN</t>
        </is>
      </c>
      <c r="E44" t="inlineStr">
        <is>
          <t>BORGHOLM</t>
        </is>
      </c>
      <c r="G44" t="n">
        <v>2</v>
      </c>
      <c r="H44" t="n">
        <v>0</v>
      </c>
      <c r="I44" t="n">
        <v>0</v>
      </c>
      <c r="J44" t="n">
        <v>1</v>
      </c>
      <c r="K44" t="n">
        <v>0</v>
      </c>
      <c r="L44" t="n">
        <v>0</v>
      </c>
      <c r="M44" t="n">
        <v>0</v>
      </c>
      <c r="N44" t="n">
        <v>0</v>
      </c>
      <c r="O44" t="n">
        <v>1</v>
      </c>
      <c r="P44" t="n">
        <v>0</v>
      </c>
      <c r="Q44" t="n">
        <v>1</v>
      </c>
      <c r="R44" s="2" t="inlineStr">
        <is>
          <t>Loppstarr</t>
        </is>
      </c>
      <c r="S44">
        <f>HYPERLINK("https://klasma.github.io/Logging_0885/artfynd/A 24048-2025 artfynd.xlsx", "A 24048-2025")</f>
        <v/>
      </c>
      <c r="T44">
        <f>HYPERLINK("https://klasma.github.io/Logging_0885/kartor/A 24048-2025 karta.png", "A 24048-2025")</f>
        <v/>
      </c>
      <c r="V44">
        <f>HYPERLINK("https://klasma.github.io/Logging_0885/klagomål/A 24048-2025 FSC-klagomål.docx", "A 24048-2025")</f>
        <v/>
      </c>
      <c r="W44">
        <f>HYPERLINK("https://klasma.github.io/Logging_0885/klagomålsmail/A 24048-2025 FSC-klagomål mail.docx", "A 24048-2025")</f>
        <v/>
      </c>
      <c r="X44">
        <f>HYPERLINK("https://klasma.github.io/Logging_0885/tillsyn/A 24048-2025 tillsynsbegäran.docx", "A 24048-2025")</f>
        <v/>
      </c>
      <c r="Y44">
        <f>HYPERLINK("https://klasma.github.io/Logging_0885/tillsynsmail/A 24048-2025 tillsynsbegäran mail.docx", "A 24048-2025")</f>
        <v/>
      </c>
    </row>
    <row r="45" ht="15" customHeight="1">
      <c r="A45" t="inlineStr">
        <is>
          <t>A 12711-2021</t>
        </is>
      </c>
      <c r="B45" s="1" t="n">
        <v>44270</v>
      </c>
      <c r="C45" s="1" t="n">
        <v>45989</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45989</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45989</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45989</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45989</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45989</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45989</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45989</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45989</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45989</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45989</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45989</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45989</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45989</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45989</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45989</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45989</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26160-2024</t>
        </is>
      </c>
      <c r="B62" s="1" t="n">
        <v>45468</v>
      </c>
      <c r="C62" s="1" t="n">
        <v>45989</v>
      </c>
      <c r="D62" t="inlineStr">
        <is>
          <t>KALMAR LÄN</t>
        </is>
      </c>
      <c r="E62" t="inlineStr">
        <is>
          <t>BORGHOLM</t>
        </is>
      </c>
      <c r="G62" t="n">
        <v>0.4</v>
      </c>
      <c r="H62" t="n">
        <v>0</v>
      </c>
      <c r="I62" t="n">
        <v>0</v>
      </c>
      <c r="J62" t="n">
        <v>0</v>
      </c>
      <c r="K62" t="n">
        <v>0</v>
      </c>
      <c r="L62" t="n">
        <v>0</v>
      </c>
      <c r="M62" t="n">
        <v>0</v>
      </c>
      <c r="N62" t="n">
        <v>0</v>
      </c>
      <c r="O62" t="n">
        <v>0</v>
      </c>
      <c r="P62" t="n">
        <v>0</v>
      </c>
      <c r="Q62" t="n">
        <v>0</v>
      </c>
      <c r="R62" s="2" t="inlineStr"/>
      <c r="T62">
        <f>HYPERLINK("https://klasma.github.io/Logging_0885/kartor/A 26160-2024 karta.png", "A 26160-2024")</f>
        <v/>
      </c>
      <c r="V62">
        <f>HYPERLINK("https://klasma.github.io/Logging_0885/klagomål/A 26160-2024 FSC-klagomål.docx", "A 26160-2024")</f>
        <v/>
      </c>
      <c r="W62">
        <f>HYPERLINK("https://klasma.github.io/Logging_0885/klagomålsmail/A 26160-2024 FSC-klagomål mail.docx", "A 26160-2024")</f>
        <v/>
      </c>
      <c r="X62">
        <f>HYPERLINK("https://klasma.github.io/Logging_0885/tillsyn/A 26160-2024 tillsynsbegäran.docx", "A 26160-2024")</f>
        <v/>
      </c>
      <c r="Y62">
        <f>HYPERLINK("https://klasma.github.io/Logging_0885/tillsynsmail/A 26160-2024 tillsynsbegäran mail.docx", "A 26160-2024")</f>
        <v/>
      </c>
    </row>
    <row r="63" ht="15" customHeight="1">
      <c r="A63" t="inlineStr">
        <is>
          <t>A 40339-2023</t>
        </is>
      </c>
      <c r="B63" s="1" t="n">
        <v>45169.62733796296</v>
      </c>
      <c r="C63" s="1" t="n">
        <v>45989</v>
      </c>
      <c r="D63" t="inlineStr">
        <is>
          <t>KALMAR LÄN</t>
        </is>
      </c>
      <c r="E63" t="inlineStr">
        <is>
          <t>BORGHOLM</t>
        </is>
      </c>
      <c r="G63" t="n">
        <v>3.8</v>
      </c>
      <c r="H63" t="n">
        <v>0</v>
      </c>
      <c r="I63" t="n">
        <v>0</v>
      </c>
      <c r="J63" t="n">
        <v>0</v>
      </c>
      <c r="K63" t="n">
        <v>0</v>
      </c>
      <c r="L63" t="n">
        <v>0</v>
      </c>
      <c r="M63" t="n">
        <v>0</v>
      </c>
      <c r="N63" t="n">
        <v>0</v>
      </c>
      <c r="O63" t="n">
        <v>0</v>
      </c>
      <c r="P63" t="n">
        <v>0</v>
      </c>
      <c r="Q63" t="n">
        <v>0</v>
      </c>
      <c r="R63" s="2" t="inlineStr"/>
    </row>
    <row r="64" ht="15" customHeight="1">
      <c r="A64" t="inlineStr">
        <is>
          <t>A 20878-2024</t>
        </is>
      </c>
      <c r="B64" s="1" t="n">
        <v>45439.44748842593</v>
      </c>
      <c r="C64" s="1" t="n">
        <v>45989</v>
      </c>
      <c r="D64" t="inlineStr">
        <is>
          <t>KALMAR LÄN</t>
        </is>
      </c>
      <c r="E64" t="inlineStr">
        <is>
          <t>BORGHOLM</t>
        </is>
      </c>
      <c r="G64" t="n">
        <v>1.9</v>
      </c>
      <c r="H64" t="n">
        <v>0</v>
      </c>
      <c r="I64" t="n">
        <v>0</v>
      </c>
      <c r="J64" t="n">
        <v>0</v>
      </c>
      <c r="K64" t="n">
        <v>0</v>
      </c>
      <c r="L64" t="n">
        <v>0</v>
      </c>
      <c r="M64" t="n">
        <v>0</v>
      </c>
      <c r="N64" t="n">
        <v>0</v>
      </c>
      <c r="O64" t="n">
        <v>0</v>
      </c>
      <c r="P64" t="n">
        <v>0</v>
      </c>
      <c r="Q64" t="n">
        <v>0</v>
      </c>
      <c r="R64" s="2" t="inlineStr"/>
    </row>
    <row r="65" ht="15" customHeight="1">
      <c r="A65" t="inlineStr">
        <is>
          <t>A 24166-2022</t>
        </is>
      </c>
      <c r="B65" s="1" t="n">
        <v>44725</v>
      </c>
      <c r="C65" s="1" t="n">
        <v>45989</v>
      </c>
      <c r="D65" t="inlineStr">
        <is>
          <t>KALMAR LÄN</t>
        </is>
      </c>
      <c r="E65" t="inlineStr">
        <is>
          <t>BORGHOLM</t>
        </is>
      </c>
      <c r="G65" t="n">
        <v>10.7</v>
      </c>
      <c r="H65" t="n">
        <v>0</v>
      </c>
      <c r="I65" t="n">
        <v>0</v>
      </c>
      <c r="J65" t="n">
        <v>0</v>
      </c>
      <c r="K65" t="n">
        <v>0</v>
      </c>
      <c r="L65" t="n">
        <v>0</v>
      </c>
      <c r="M65" t="n">
        <v>0</v>
      </c>
      <c r="N65" t="n">
        <v>0</v>
      </c>
      <c r="O65" t="n">
        <v>0</v>
      </c>
      <c r="P65" t="n">
        <v>0</v>
      </c>
      <c r="Q65" t="n">
        <v>0</v>
      </c>
      <c r="R65" s="2" t="inlineStr"/>
    </row>
    <row r="66" ht="15" customHeight="1">
      <c r="A66" t="inlineStr">
        <is>
          <t>A 26160-2025</t>
        </is>
      </c>
      <c r="B66" s="1" t="n">
        <v>45805.4490162037</v>
      </c>
      <c r="C66" s="1" t="n">
        <v>45989</v>
      </c>
      <c r="D66" t="inlineStr">
        <is>
          <t>KALMAR LÄN</t>
        </is>
      </c>
      <c r="E66" t="inlineStr">
        <is>
          <t>BORGHOLM</t>
        </is>
      </c>
      <c r="G66" t="n">
        <v>3.7</v>
      </c>
      <c r="H66" t="n">
        <v>0</v>
      </c>
      <c r="I66" t="n">
        <v>0</v>
      </c>
      <c r="J66" t="n">
        <v>0</v>
      </c>
      <c r="K66" t="n">
        <v>0</v>
      </c>
      <c r="L66" t="n">
        <v>0</v>
      </c>
      <c r="M66" t="n">
        <v>0</v>
      </c>
      <c r="N66" t="n">
        <v>0</v>
      </c>
      <c r="O66" t="n">
        <v>0</v>
      </c>
      <c r="P66" t="n">
        <v>0</v>
      </c>
      <c r="Q66" t="n">
        <v>0</v>
      </c>
      <c r="R66" s="2" t="inlineStr"/>
    </row>
    <row r="67" ht="15" customHeight="1">
      <c r="A67" t="inlineStr">
        <is>
          <t>A 26190-2025</t>
        </is>
      </c>
      <c r="B67" s="1" t="n">
        <v>45805.48349537037</v>
      </c>
      <c r="C67" s="1" t="n">
        <v>45989</v>
      </c>
      <c r="D67" t="inlineStr">
        <is>
          <t>KALMAR LÄN</t>
        </is>
      </c>
      <c r="E67" t="inlineStr">
        <is>
          <t>BORGHOLM</t>
        </is>
      </c>
      <c r="G67" t="n">
        <v>3.2</v>
      </c>
      <c r="H67" t="n">
        <v>0</v>
      </c>
      <c r="I67" t="n">
        <v>0</v>
      </c>
      <c r="J67" t="n">
        <v>0</v>
      </c>
      <c r="K67" t="n">
        <v>0</v>
      </c>
      <c r="L67" t="n">
        <v>0</v>
      </c>
      <c r="M67" t="n">
        <v>0</v>
      </c>
      <c r="N67" t="n">
        <v>0</v>
      </c>
      <c r="O67" t="n">
        <v>0</v>
      </c>
      <c r="P67" t="n">
        <v>0</v>
      </c>
      <c r="Q67" t="n">
        <v>0</v>
      </c>
      <c r="R67" s="2" t="inlineStr"/>
    </row>
    <row r="68" ht="15" customHeight="1">
      <c r="A68" t="inlineStr">
        <is>
          <t>A 27357-2025</t>
        </is>
      </c>
      <c r="B68" s="1" t="n">
        <v>45812.63650462963</v>
      </c>
      <c r="C68" s="1" t="n">
        <v>45989</v>
      </c>
      <c r="D68" t="inlineStr">
        <is>
          <t>KALMAR LÄN</t>
        </is>
      </c>
      <c r="E68" t="inlineStr">
        <is>
          <t>BORGHOLM</t>
        </is>
      </c>
      <c r="F68" t="inlineStr">
        <is>
          <t>Sveaskog</t>
        </is>
      </c>
      <c r="G68" t="n">
        <v>4.5</v>
      </c>
      <c r="H68" t="n">
        <v>0</v>
      </c>
      <c r="I68" t="n">
        <v>0</v>
      </c>
      <c r="J68" t="n">
        <v>0</v>
      </c>
      <c r="K68" t="n">
        <v>0</v>
      </c>
      <c r="L68" t="n">
        <v>0</v>
      </c>
      <c r="M68" t="n">
        <v>0</v>
      </c>
      <c r="N68" t="n">
        <v>0</v>
      </c>
      <c r="O68" t="n">
        <v>0</v>
      </c>
      <c r="P68" t="n">
        <v>0</v>
      </c>
      <c r="Q68" t="n">
        <v>0</v>
      </c>
      <c r="R68" s="2" t="inlineStr"/>
    </row>
    <row r="69" ht="15" customHeight="1">
      <c r="A69" t="inlineStr">
        <is>
          <t>A 27366-2025</t>
        </is>
      </c>
      <c r="B69" s="1" t="n">
        <v>45812.64475694444</v>
      </c>
      <c r="C69" s="1" t="n">
        <v>45989</v>
      </c>
      <c r="D69" t="inlineStr">
        <is>
          <t>KALMAR LÄN</t>
        </is>
      </c>
      <c r="E69" t="inlineStr">
        <is>
          <t>BORGHOLM</t>
        </is>
      </c>
      <c r="F69" t="inlineStr">
        <is>
          <t>Sveaskog</t>
        </is>
      </c>
      <c r="G69" t="n">
        <v>2.5</v>
      </c>
      <c r="H69" t="n">
        <v>0</v>
      </c>
      <c r="I69" t="n">
        <v>0</v>
      </c>
      <c r="J69" t="n">
        <v>0</v>
      </c>
      <c r="K69" t="n">
        <v>0</v>
      </c>
      <c r="L69" t="n">
        <v>0</v>
      </c>
      <c r="M69" t="n">
        <v>0</v>
      </c>
      <c r="N69" t="n">
        <v>0</v>
      </c>
      <c r="O69" t="n">
        <v>0</v>
      </c>
      <c r="P69" t="n">
        <v>0</v>
      </c>
      <c r="Q69" t="n">
        <v>0</v>
      </c>
      <c r="R69" s="2" t="inlineStr"/>
    </row>
    <row r="70" ht="15" customHeight="1">
      <c r="A70" t="inlineStr">
        <is>
          <t>A 4159-2024</t>
        </is>
      </c>
      <c r="B70" s="1" t="n">
        <v>45323</v>
      </c>
      <c r="C70" s="1" t="n">
        <v>45989</v>
      </c>
      <c r="D70" t="inlineStr">
        <is>
          <t>KALMAR LÄN</t>
        </is>
      </c>
      <c r="E70" t="inlineStr">
        <is>
          <t>BORGHOLM</t>
        </is>
      </c>
      <c r="G70" t="n">
        <v>0.5</v>
      </c>
      <c r="H70" t="n">
        <v>0</v>
      </c>
      <c r="I70" t="n">
        <v>0</v>
      </c>
      <c r="J70" t="n">
        <v>0</v>
      </c>
      <c r="K70" t="n">
        <v>0</v>
      </c>
      <c r="L70" t="n">
        <v>0</v>
      </c>
      <c r="M70" t="n">
        <v>0</v>
      </c>
      <c r="N70" t="n">
        <v>0</v>
      </c>
      <c r="O70" t="n">
        <v>0</v>
      </c>
      <c r="P70" t="n">
        <v>0</v>
      </c>
      <c r="Q70" t="n">
        <v>0</v>
      </c>
      <c r="R70" s="2" t="inlineStr"/>
    </row>
    <row r="71" ht="15" customHeight="1">
      <c r="A71" t="inlineStr">
        <is>
          <t>A 28782-2025</t>
        </is>
      </c>
      <c r="B71" s="1" t="n">
        <v>45820.45572916666</v>
      </c>
      <c r="C71" s="1" t="n">
        <v>45989</v>
      </c>
      <c r="D71" t="inlineStr">
        <is>
          <t>KALMAR LÄN</t>
        </is>
      </c>
      <c r="E71" t="inlineStr">
        <is>
          <t>BORGHOLM</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41831-2025</t>
        </is>
      </c>
      <c r="B72" s="1" t="n">
        <v>45902.67887731481</v>
      </c>
      <c r="C72" s="1" t="n">
        <v>45989</v>
      </c>
      <c r="D72" t="inlineStr">
        <is>
          <t>KALMAR LÄN</t>
        </is>
      </c>
      <c r="E72" t="inlineStr">
        <is>
          <t>BORGHOLM</t>
        </is>
      </c>
      <c r="G72" t="n">
        <v>1.5</v>
      </c>
      <c r="H72" t="n">
        <v>0</v>
      </c>
      <c r="I72" t="n">
        <v>0</v>
      </c>
      <c r="J72" t="n">
        <v>0</v>
      </c>
      <c r="K72" t="n">
        <v>0</v>
      </c>
      <c r="L72" t="n">
        <v>0</v>
      </c>
      <c r="M72" t="n">
        <v>0</v>
      </c>
      <c r="N72" t="n">
        <v>0</v>
      </c>
      <c r="O72" t="n">
        <v>0</v>
      </c>
      <c r="P72" t="n">
        <v>0</v>
      </c>
      <c r="Q72" t="n">
        <v>0</v>
      </c>
      <c r="R72" s="2" t="inlineStr"/>
    </row>
    <row r="73" ht="15" customHeight="1">
      <c r="A73" t="inlineStr">
        <is>
          <t>A 42232-2025</t>
        </is>
      </c>
      <c r="B73" s="1" t="n">
        <v>45904.55591435185</v>
      </c>
      <c r="C73" s="1" t="n">
        <v>45989</v>
      </c>
      <c r="D73" t="inlineStr">
        <is>
          <t>KALMAR LÄN</t>
        </is>
      </c>
      <c r="E73" t="inlineStr">
        <is>
          <t>BORGHOLM</t>
        </is>
      </c>
      <c r="F73" t="inlineStr">
        <is>
          <t>Sveaskog</t>
        </is>
      </c>
      <c r="G73" t="n">
        <v>1.7</v>
      </c>
      <c r="H73" t="n">
        <v>0</v>
      </c>
      <c r="I73" t="n">
        <v>0</v>
      </c>
      <c r="J73" t="n">
        <v>0</v>
      </c>
      <c r="K73" t="n">
        <v>0</v>
      </c>
      <c r="L73" t="n">
        <v>0</v>
      </c>
      <c r="M73" t="n">
        <v>0</v>
      </c>
      <c r="N73" t="n">
        <v>0</v>
      </c>
      <c r="O73" t="n">
        <v>0</v>
      </c>
      <c r="P73" t="n">
        <v>0</v>
      </c>
      <c r="Q73" t="n">
        <v>0</v>
      </c>
      <c r="R73" s="2" t="inlineStr"/>
    </row>
    <row r="74" ht="15" customHeight="1">
      <c r="A74" t="inlineStr">
        <is>
          <t>A 41950-2025</t>
        </is>
      </c>
      <c r="B74" s="1" t="n">
        <v>45903.45767361111</v>
      </c>
      <c r="C74" s="1" t="n">
        <v>45989</v>
      </c>
      <c r="D74" t="inlineStr">
        <is>
          <t>KALMAR LÄN</t>
        </is>
      </c>
      <c r="E74" t="inlineStr">
        <is>
          <t>BORGHOLM</t>
        </is>
      </c>
      <c r="G74" t="n">
        <v>1.8</v>
      </c>
      <c r="H74" t="n">
        <v>0</v>
      </c>
      <c r="I74" t="n">
        <v>0</v>
      </c>
      <c r="J74" t="n">
        <v>0</v>
      </c>
      <c r="K74" t="n">
        <v>0</v>
      </c>
      <c r="L74" t="n">
        <v>0</v>
      </c>
      <c r="M74" t="n">
        <v>0</v>
      </c>
      <c r="N74" t="n">
        <v>0</v>
      </c>
      <c r="O74" t="n">
        <v>0</v>
      </c>
      <c r="P74" t="n">
        <v>0</v>
      </c>
      <c r="Q74" t="n">
        <v>0</v>
      </c>
      <c r="R74" s="2" t="inlineStr"/>
    </row>
    <row r="75" ht="15" customHeight="1">
      <c r="A75" t="inlineStr">
        <is>
          <t>A 65144-2020</t>
        </is>
      </c>
      <c r="B75" s="1" t="n">
        <v>44172</v>
      </c>
      <c r="C75" s="1" t="n">
        <v>45989</v>
      </c>
      <c r="D75" t="inlineStr">
        <is>
          <t>KALMAR LÄN</t>
        </is>
      </c>
      <c r="E75" t="inlineStr">
        <is>
          <t>BORGHOLM</t>
        </is>
      </c>
      <c r="G75" t="n">
        <v>1.7</v>
      </c>
      <c r="H75" t="n">
        <v>0</v>
      </c>
      <c r="I75" t="n">
        <v>0</v>
      </c>
      <c r="J75" t="n">
        <v>0</v>
      </c>
      <c r="K75" t="n">
        <v>0</v>
      </c>
      <c r="L75" t="n">
        <v>0</v>
      </c>
      <c r="M75" t="n">
        <v>0</v>
      </c>
      <c r="N75" t="n">
        <v>0</v>
      </c>
      <c r="O75" t="n">
        <v>0</v>
      </c>
      <c r="P75" t="n">
        <v>0</v>
      </c>
      <c r="Q75" t="n">
        <v>0</v>
      </c>
      <c r="R75" s="2" t="inlineStr"/>
    </row>
    <row r="76" ht="15" customHeight="1">
      <c r="A76" t="inlineStr">
        <is>
          <t>A 53050-2021</t>
        </is>
      </c>
      <c r="B76" s="1" t="n">
        <v>44467</v>
      </c>
      <c r="C76" s="1" t="n">
        <v>45989</v>
      </c>
      <c r="D76" t="inlineStr">
        <is>
          <t>KALMAR LÄN</t>
        </is>
      </c>
      <c r="E76" t="inlineStr">
        <is>
          <t>BORGHOLM</t>
        </is>
      </c>
      <c r="G76" t="n">
        <v>3.6</v>
      </c>
      <c r="H76" t="n">
        <v>0</v>
      </c>
      <c r="I76" t="n">
        <v>0</v>
      </c>
      <c r="J76" t="n">
        <v>0</v>
      </c>
      <c r="K76" t="n">
        <v>0</v>
      </c>
      <c r="L76" t="n">
        <v>0</v>
      </c>
      <c r="M76" t="n">
        <v>0</v>
      </c>
      <c r="N76" t="n">
        <v>0</v>
      </c>
      <c r="O76" t="n">
        <v>0</v>
      </c>
      <c r="P76" t="n">
        <v>0</v>
      </c>
      <c r="Q76" t="n">
        <v>0</v>
      </c>
      <c r="R76" s="2" t="inlineStr"/>
    </row>
    <row r="77" ht="15" customHeight="1">
      <c r="A77" t="inlineStr">
        <is>
          <t>A 31720-2022</t>
        </is>
      </c>
      <c r="B77" s="1" t="n">
        <v>44776</v>
      </c>
      <c r="C77" s="1" t="n">
        <v>45989</v>
      </c>
      <c r="D77" t="inlineStr">
        <is>
          <t>KALMAR LÄN</t>
        </is>
      </c>
      <c r="E77" t="inlineStr">
        <is>
          <t>BORGHOLM</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29656-2023</t>
        </is>
      </c>
      <c r="B78" s="1" t="n">
        <v>45107</v>
      </c>
      <c r="C78" s="1" t="n">
        <v>45989</v>
      </c>
      <c r="D78" t="inlineStr">
        <is>
          <t>KALMAR LÄN</t>
        </is>
      </c>
      <c r="E78" t="inlineStr">
        <is>
          <t>BORGHOLM</t>
        </is>
      </c>
      <c r="G78" t="n">
        <v>4.1</v>
      </c>
      <c r="H78" t="n">
        <v>0</v>
      </c>
      <c r="I78" t="n">
        <v>0</v>
      </c>
      <c r="J78" t="n">
        <v>0</v>
      </c>
      <c r="K78" t="n">
        <v>0</v>
      </c>
      <c r="L78" t="n">
        <v>0</v>
      </c>
      <c r="M78" t="n">
        <v>0</v>
      </c>
      <c r="N78" t="n">
        <v>0</v>
      </c>
      <c r="O78" t="n">
        <v>0</v>
      </c>
      <c r="P78" t="n">
        <v>0</v>
      </c>
      <c r="Q78" t="n">
        <v>0</v>
      </c>
      <c r="R78" s="2" t="inlineStr"/>
    </row>
    <row r="79" ht="15" customHeight="1">
      <c r="A79" t="inlineStr">
        <is>
          <t>A 43542-2025</t>
        </is>
      </c>
      <c r="B79" s="1" t="n">
        <v>45911.61123842592</v>
      </c>
      <c r="C79" s="1" t="n">
        <v>45989</v>
      </c>
      <c r="D79" t="inlineStr">
        <is>
          <t>KALMAR LÄN</t>
        </is>
      </c>
      <c r="E79" t="inlineStr">
        <is>
          <t>BORGHOLM</t>
        </is>
      </c>
      <c r="G79" t="n">
        <v>2.4</v>
      </c>
      <c r="H79" t="n">
        <v>0</v>
      </c>
      <c r="I79" t="n">
        <v>0</v>
      </c>
      <c r="J79" t="n">
        <v>0</v>
      </c>
      <c r="K79" t="n">
        <v>0</v>
      </c>
      <c r="L79" t="n">
        <v>0</v>
      </c>
      <c r="M79" t="n">
        <v>0</v>
      </c>
      <c r="N79" t="n">
        <v>0</v>
      </c>
      <c r="O79" t="n">
        <v>0</v>
      </c>
      <c r="P79" t="n">
        <v>0</v>
      </c>
      <c r="Q79" t="n">
        <v>0</v>
      </c>
      <c r="R79" s="2" t="inlineStr"/>
    </row>
    <row r="80" ht="15" customHeight="1">
      <c r="A80" t="inlineStr">
        <is>
          <t>A 44224-2025</t>
        </is>
      </c>
      <c r="B80" s="1" t="n">
        <v>45915</v>
      </c>
      <c r="C80" s="1" t="n">
        <v>45989</v>
      </c>
      <c r="D80" t="inlineStr">
        <is>
          <t>KALMAR LÄN</t>
        </is>
      </c>
      <c r="E80" t="inlineStr">
        <is>
          <t>BORGHOLM</t>
        </is>
      </c>
      <c r="G80" t="n">
        <v>1.3</v>
      </c>
      <c r="H80" t="n">
        <v>0</v>
      </c>
      <c r="I80" t="n">
        <v>0</v>
      </c>
      <c r="J80" t="n">
        <v>0</v>
      </c>
      <c r="K80" t="n">
        <v>0</v>
      </c>
      <c r="L80" t="n">
        <v>0</v>
      </c>
      <c r="M80" t="n">
        <v>0</v>
      </c>
      <c r="N80" t="n">
        <v>0</v>
      </c>
      <c r="O80" t="n">
        <v>0</v>
      </c>
      <c r="P80" t="n">
        <v>0</v>
      </c>
      <c r="Q80" t="n">
        <v>0</v>
      </c>
      <c r="R80" s="2" t="inlineStr"/>
    </row>
    <row r="81" ht="15" customHeight="1">
      <c r="A81" t="inlineStr">
        <is>
          <t>A 4165-2023</t>
        </is>
      </c>
      <c r="B81" s="1" t="n">
        <v>44953</v>
      </c>
      <c r="C81" s="1" t="n">
        <v>45989</v>
      </c>
      <c r="D81" t="inlineStr">
        <is>
          <t>KALMAR LÄN</t>
        </is>
      </c>
      <c r="E81" t="inlineStr">
        <is>
          <t>BORGHOLM</t>
        </is>
      </c>
      <c r="G81" t="n">
        <v>0.6</v>
      </c>
      <c r="H81" t="n">
        <v>0</v>
      </c>
      <c r="I81" t="n">
        <v>0</v>
      </c>
      <c r="J81" t="n">
        <v>0</v>
      </c>
      <c r="K81" t="n">
        <v>0</v>
      </c>
      <c r="L81" t="n">
        <v>0</v>
      </c>
      <c r="M81" t="n">
        <v>0</v>
      </c>
      <c r="N81" t="n">
        <v>0</v>
      </c>
      <c r="O81" t="n">
        <v>0</v>
      </c>
      <c r="P81" t="n">
        <v>0</v>
      </c>
      <c r="Q81" t="n">
        <v>0</v>
      </c>
      <c r="R81" s="2" t="inlineStr"/>
    </row>
    <row r="82" ht="15" customHeight="1">
      <c r="A82" t="inlineStr">
        <is>
          <t>A 36269-2025</t>
        </is>
      </c>
      <c r="B82" s="1" t="n">
        <v>45867.61736111111</v>
      </c>
      <c r="C82" s="1" t="n">
        <v>45989</v>
      </c>
      <c r="D82" t="inlineStr">
        <is>
          <t>KALMAR LÄN</t>
        </is>
      </c>
      <c r="E82" t="inlineStr">
        <is>
          <t>BORGHOLM</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45734-2025</t>
        </is>
      </c>
      <c r="B83" s="1" t="n">
        <v>45923.46512731481</v>
      </c>
      <c r="C83" s="1" t="n">
        <v>45989</v>
      </c>
      <c r="D83" t="inlineStr">
        <is>
          <t>KALMAR LÄN</t>
        </is>
      </c>
      <c r="E83" t="inlineStr">
        <is>
          <t>BORGHOLM</t>
        </is>
      </c>
      <c r="G83" t="n">
        <v>5</v>
      </c>
      <c r="H83" t="n">
        <v>0</v>
      </c>
      <c r="I83" t="n">
        <v>0</v>
      </c>
      <c r="J83" t="n">
        <v>0</v>
      </c>
      <c r="K83" t="n">
        <v>0</v>
      </c>
      <c r="L83" t="n">
        <v>0</v>
      </c>
      <c r="M83" t="n">
        <v>0</v>
      </c>
      <c r="N83" t="n">
        <v>0</v>
      </c>
      <c r="O83" t="n">
        <v>0</v>
      </c>
      <c r="P83" t="n">
        <v>0</v>
      </c>
      <c r="Q83" t="n">
        <v>0</v>
      </c>
      <c r="R83" s="2" t="inlineStr"/>
    </row>
    <row r="84" ht="15" customHeight="1">
      <c r="A84" t="inlineStr">
        <is>
          <t>A 45869-2025</t>
        </is>
      </c>
      <c r="B84" s="1" t="n">
        <v>45923.65313657407</v>
      </c>
      <c r="C84" s="1" t="n">
        <v>45989</v>
      </c>
      <c r="D84" t="inlineStr">
        <is>
          <t>KALMAR LÄN</t>
        </is>
      </c>
      <c r="E84" t="inlineStr">
        <is>
          <t>BORGHOLM</t>
        </is>
      </c>
      <c r="G84" t="n">
        <v>4.5</v>
      </c>
      <c r="H84" t="n">
        <v>0</v>
      </c>
      <c r="I84" t="n">
        <v>0</v>
      </c>
      <c r="J84" t="n">
        <v>0</v>
      </c>
      <c r="K84" t="n">
        <v>0</v>
      </c>
      <c r="L84" t="n">
        <v>0</v>
      </c>
      <c r="M84" t="n">
        <v>0</v>
      </c>
      <c r="N84" t="n">
        <v>0</v>
      </c>
      <c r="O84" t="n">
        <v>0</v>
      </c>
      <c r="P84" t="n">
        <v>0</v>
      </c>
      <c r="Q84" t="n">
        <v>0</v>
      </c>
      <c r="R84" s="2" t="inlineStr"/>
    </row>
    <row r="85" ht="15" customHeight="1">
      <c r="A85" t="inlineStr">
        <is>
          <t>A 13548-2025</t>
        </is>
      </c>
      <c r="B85" s="1" t="n">
        <v>45736.53827546296</v>
      </c>
      <c r="C85" s="1" t="n">
        <v>45989</v>
      </c>
      <c r="D85" t="inlineStr">
        <is>
          <t>KALMAR LÄN</t>
        </is>
      </c>
      <c r="E85" t="inlineStr">
        <is>
          <t>BORGHOLM</t>
        </is>
      </c>
      <c r="G85" t="n">
        <v>1</v>
      </c>
      <c r="H85" t="n">
        <v>0</v>
      </c>
      <c r="I85" t="n">
        <v>0</v>
      </c>
      <c r="J85" t="n">
        <v>0</v>
      </c>
      <c r="K85" t="n">
        <v>0</v>
      </c>
      <c r="L85" t="n">
        <v>0</v>
      </c>
      <c r="M85" t="n">
        <v>0</v>
      </c>
      <c r="N85" t="n">
        <v>0</v>
      </c>
      <c r="O85" t="n">
        <v>0</v>
      </c>
      <c r="P85" t="n">
        <v>0</v>
      </c>
      <c r="Q85" t="n">
        <v>0</v>
      </c>
      <c r="R85" s="2" t="inlineStr"/>
    </row>
    <row r="86" ht="15" customHeight="1">
      <c r="A86" t="inlineStr">
        <is>
          <t>A 32921-2023</t>
        </is>
      </c>
      <c r="B86" s="1" t="n">
        <v>45125</v>
      </c>
      <c r="C86" s="1" t="n">
        <v>45989</v>
      </c>
      <c r="D86" t="inlineStr">
        <is>
          <t>KALMAR LÄN</t>
        </is>
      </c>
      <c r="E86" t="inlineStr">
        <is>
          <t>BORGHOLM</t>
        </is>
      </c>
      <c r="G86" t="n">
        <v>2.9</v>
      </c>
      <c r="H86" t="n">
        <v>0</v>
      </c>
      <c r="I86" t="n">
        <v>0</v>
      </c>
      <c r="J86" t="n">
        <v>0</v>
      </c>
      <c r="K86" t="n">
        <v>0</v>
      </c>
      <c r="L86" t="n">
        <v>0</v>
      </c>
      <c r="M86" t="n">
        <v>0</v>
      </c>
      <c r="N86" t="n">
        <v>0</v>
      </c>
      <c r="O86" t="n">
        <v>0</v>
      </c>
      <c r="P86" t="n">
        <v>0</v>
      </c>
      <c r="Q86" t="n">
        <v>0</v>
      </c>
      <c r="R86" s="2" t="inlineStr"/>
    </row>
    <row r="87" ht="15" customHeight="1">
      <c r="A87" t="inlineStr">
        <is>
          <t>A 31840-2021</t>
        </is>
      </c>
      <c r="B87" s="1" t="n">
        <v>44370</v>
      </c>
      <c r="C87" s="1" t="n">
        <v>45989</v>
      </c>
      <c r="D87" t="inlineStr">
        <is>
          <t>KALMAR LÄN</t>
        </is>
      </c>
      <c r="E87" t="inlineStr">
        <is>
          <t>BORGHOLM</t>
        </is>
      </c>
      <c r="F87" t="inlineStr">
        <is>
          <t>Sveaskog</t>
        </is>
      </c>
      <c r="G87" t="n">
        <v>2.8</v>
      </c>
      <c r="H87" t="n">
        <v>0</v>
      </c>
      <c r="I87" t="n">
        <v>0</v>
      </c>
      <c r="J87" t="n">
        <v>0</v>
      </c>
      <c r="K87" t="n">
        <v>0</v>
      </c>
      <c r="L87" t="n">
        <v>0</v>
      </c>
      <c r="M87" t="n">
        <v>0</v>
      </c>
      <c r="N87" t="n">
        <v>0</v>
      </c>
      <c r="O87" t="n">
        <v>0</v>
      </c>
      <c r="P87" t="n">
        <v>0</v>
      </c>
      <c r="Q87" t="n">
        <v>0</v>
      </c>
      <c r="R87" s="2" t="inlineStr"/>
    </row>
    <row r="88" ht="15" customHeight="1">
      <c r="A88" t="inlineStr">
        <is>
          <t>A 46845-2025</t>
        </is>
      </c>
      <c r="B88" s="1" t="n">
        <v>45928</v>
      </c>
      <c r="C88" s="1" t="n">
        <v>45989</v>
      </c>
      <c r="D88" t="inlineStr">
        <is>
          <t>KALMAR LÄN</t>
        </is>
      </c>
      <c r="E88" t="inlineStr">
        <is>
          <t>BORGHOLM</t>
        </is>
      </c>
      <c r="G88" t="n">
        <v>2.7</v>
      </c>
      <c r="H88" t="n">
        <v>0</v>
      </c>
      <c r="I88" t="n">
        <v>0</v>
      </c>
      <c r="J88" t="n">
        <v>0</v>
      </c>
      <c r="K88" t="n">
        <v>0</v>
      </c>
      <c r="L88" t="n">
        <v>0</v>
      </c>
      <c r="M88" t="n">
        <v>0</v>
      </c>
      <c r="N88" t="n">
        <v>0</v>
      </c>
      <c r="O88" t="n">
        <v>0</v>
      </c>
      <c r="P88" t="n">
        <v>0</v>
      </c>
      <c r="Q88" t="n">
        <v>0</v>
      </c>
      <c r="R88" s="2" t="inlineStr"/>
    </row>
    <row r="89" ht="15" customHeight="1">
      <c r="A89" t="inlineStr">
        <is>
          <t>A 44678-2022</t>
        </is>
      </c>
      <c r="B89" s="1" t="n">
        <v>44840.65100694444</v>
      </c>
      <c r="C89" s="1" t="n">
        <v>45989</v>
      </c>
      <c r="D89" t="inlineStr">
        <is>
          <t>KALMAR LÄN</t>
        </is>
      </c>
      <c r="E89" t="inlineStr">
        <is>
          <t>BORGHOLM</t>
        </is>
      </c>
      <c r="G89" t="n">
        <v>2.4</v>
      </c>
      <c r="H89" t="n">
        <v>0</v>
      </c>
      <c r="I89" t="n">
        <v>0</v>
      </c>
      <c r="J89" t="n">
        <v>0</v>
      </c>
      <c r="K89" t="n">
        <v>0</v>
      </c>
      <c r="L89" t="n">
        <v>0</v>
      </c>
      <c r="M89" t="n">
        <v>0</v>
      </c>
      <c r="N89" t="n">
        <v>0</v>
      </c>
      <c r="O89" t="n">
        <v>0</v>
      </c>
      <c r="P89" t="n">
        <v>0</v>
      </c>
      <c r="Q89" t="n">
        <v>0</v>
      </c>
      <c r="R89" s="2" t="inlineStr"/>
    </row>
    <row r="90" ht="15" customHeight="1">
      <c r="A90" t="inlineStr">
        <is>
          <t>A 64303-2023</t>
        </is>
      </c>
      <c r="B90" s="1" t="n">
        <v>45280</v>
      </c>
      <c r="C90" s="1" t="n">
        <v>45989</v>
      </c>
      <c r="D90" t="inlineStr">
        <is>
          <t>KALMAR LÄN</t>
        </is>
      </c>
      <c r="E90" t="inlineStr">
        <is>
          <t>BORGHOLM</t>
        </is>
      </c>
      <c r="G90" t="n">
        <v>1.2</v>
      </c>
      <c r="H90" t="n">
        <v>0</v>
      </c>
      <c r="I90" t="n">
        <v>0</v>
      </c>
      <c r="J90" t="n">
        <v>0</v>
      </c>
      <c r="K90" t="n">
        <v>0</v>
      </c>
      <c r="L90" t="n">
        <v>0</v>
      </c>
      <c r="M90" t="n">
        <v>0</v>
      </c>
      <c r="N90" t="n">
        <v>0</v>
      </c>
      <c r="O90" t="n">
        <v>0</v>
      </c>
      <c r="P90" t="n">
        <v>0</v>
      </c>
      <c r="Q90" t="n">
        <v>0</v>
      </c>
      <c r="R90" s="2" t="inlineStr"/>
    </row>
    <row r="91" ht="15" customHeight="1">
      <c r="A91" t="inlineStr">
        <is>
          <t>A 44547-2021</t>
        </is>
      </c>
      <c r="B91" s="1" t="n">
        <v>44435</v>
      </c>
      <c r="C91" s="1" t="n">
        <v>45989</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63075-2023</t>
        </is>
      </c>
      <c r="B92" s="1" t="n">
        <v>45273</v>
      </c>
      <c r="C92" s="1" t="n">
        <v>45989</v>
      </c>
      <c r="D92" t="inlineStr">
        <is>
          <t>KALMAR LÄN</t>
        </is>
      </c>
      <c r="E92" t="inlineStr">
        <is>
          <t>BORGHOLM</t>
        </is>
      </c>
      <c r="G92" t="n">
        <v>1.1</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45989</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1757-2025</t>
        </is>
      </c>
      <c r="B94" s="1" t="n">
        <v>45671.42195601852</v>
      </c>
      <c r="C94" s="1" t="n">
        <v>45989</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17699-2025</t>
        </is>
      </c>
      <c r="B95" s="1" t="n">
        <v>45758.41846064815</v>
      </c>
      <c r="C95" s="1" t="n">
        <v>45989</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7669-2024</t>
        </is>
      </c>
      <c r="B96" s="1" t="n">
        <v>45348.82498842593</v>
      </c>
      <c r="C96" s="1" t="n">
        <v>45989</v>
      </c>
      <c r="D96" t="inlineStr">
        <is>
          <t>KALMAR LÄN</t>
        </is>
      </c>
      <c r="E96" t="inlineStr">
        <is>
          <t>BORGHOLM</t>
        </is>
      </c>
      <c r="G96" t="n">
        <v>2.3</v>
      </c>
      <c r="H96" t="n">
        <v>0</v>
      </c>
      <c r="I96" t="n">
        <v>0</v>
      </c>
      <c r="J96" t="n">
        <v>0</v>
      </c>
      <c r="K96" t="n">
        <v>0</v>
      </c>
      <c r="L96" t="n">
        <v>0</v>
      </c>
      <c r="M96" t="n">
        <v>0</v>
      </c>
      <c r="N96" t="n">
        <v>0</v>
      </c>
      <c r="O96" t="n">
        <v>0</v>
      </c>
      <c r="P96" t="n">
        <v>0</v>
      </c>
      <c r="Q96" t="n">
        <v>0</v>
      </c>
      <c r="R96" s="2" t="inlineStr"/>
    </row>
    <row r="97" ht="15" customHeight="1">
      <c r="A97" t="inlineStr">
        <is>
          <t>A 34780-2022</t>
        </is>
      </c>
      <c r="B97" s="1" t="n">
        <v>44795</v>
      </c>
      <c r="C97" s="1" t="n">
        <v>45989</v>
      </c>
      <c r="D97" t="inlineStr">
        <is>
          <t>KALMAR LÄN</t>
        </is>
      </c>
      <c r="E97" t="inlineStr">
        <is>
          <t>BORGHOLM</t>
        </is>
      </c>
      <c r="F97" t="inlineStr">
        <is>
          <t>Sveaskog</t>
        </is>
      </c>
      <c r="G97" t="n">
        <v>6.7</v>
      </c>
      <c r="H97" t="n">
        <v>0</v>
      </c>
      <c r="I97" t="n">
        <v>0</v>
      </c>
      <c r="J97" t="n">
        <v>0</v>
      </c>
      <c r="K97" t="n">
        <v>0</v>
      </c>
      <c r="L97" t="n">
        <v>0</v>
      </c>
      <c r="M97" t="n">
        <v>0</v>
      </c>
      <c r="N97" t="n">
        <v>0</v>
      </c>
      <c r="O97" t="n">
        <v>0</v>
      </c>
      <c r="P97" t="n">
        <v>0</v>
      </c>
      <c r="Q97" t="n">
        <v>0</v>
      </c>
      <c r="R97" s="2" t="inlineStr"/>
    </row>
    <row r="98" ht="15" customHeight="1">
      <c r="A98" t="inlineStr">
        <is>
          <t>A 55367-2024</t>
        </is>
      </c>
      <c r="B98" s="1" t="n">
        <v>45621.87075231481</v>
      </c>
      <c r="C98" s="1" t="n">
        <v>45989</v>
      </c>
      <c r="D98" t="inlineStr">
        <is>
          <t>KALMAR LÄN</t>
        </is>
      </c>
      <c r="E98" t="inlineStr">
        <is>
          <t>BORGHOLM</t>
        </is>
      </c>
      <c r="G98" t="n">
        <v>0.7</v>
      </c>
      <c r="H98" t="n">
        <v>0</v>
      </c>
      <c r="I98" t="n">
        <v>0</v>
      </c>
      <c r="J98" t="n">
        <v>0</v>
      </c>
      <c r="K98" t="n">
        <v>0</v>
      </c>
      <c r="L98" t="n">
        <v>0</v>
      </c>
      <c r="M98" t="n">
        <v>0</v>
      </c>
      <c r="N98" t="n">
        <v>0</v>
      </c>
      <c r="O98" t="n">
        <v>0</v>
      </c>
      <c r="P98" t="n">
        <v>0</v>
      </c>
      <c r="Q98" t="n">
        <v>0</v>
      </c>
      <c r="R98" s="2" t="inlineStr"/>
    </row>
    <row r="99" ht="15" customHeight="1">
      <c r="A99" t="inlineStr">
        <is>
          <t>A 20287-2025</t>
        </is>
      </c>
      <c r="B99" s="1" t="n">
        <v>45774.60741898148</v>
      </c>
      <c r="C99" s="1" t="n">
        <v>45989</v>
      </c>
      <c r="D99" t="inlineStr">
        <is>
          <t>KALMAR LÄN</t>
        </is>
      </c>
      <c r="E99" t="inlineStr">
        <is>
          <t>BORGHOLM</t>
        </is>
      </c>
      <c r="G99" t="n">
        <v>0.6</v>
      </c>
      <c r="H99" t="n">
        <v>0</v>
      </c>
      <c r="I99" t="n">
        <v>0</v>
      </c>
      <c r="J99" t="n">
        <v>0</v>
      </c>
      <c r="K99" t="n">
        <v>0</v>
      </c>
      <c r="L99" t="n">
        <v>0</v>
      </c>
      <c r="M99" t="n">
        <v>0</v>
      </c>
      <c r="N99" t="n">
        <v>0</v>
      </c>
      <c r="O99" t="n">
        <v>0</v>
      </c>
      <c r="P99" t="n">
        <v>0</v>
      </c>
      <c r="Q99" t="n">
        <v>0</v>
      </c>
      <c r="R99" s="2" t="inlineStr"/>
    </row>
    <row r="100" ht="15" customHeight="1">
      <c r="A100" t="inlineStr">
        <is>
          <t>A 9076-2025</t>
        </is>
      </c>
      <c r="B100" s="1" t="n">
        <v>45713.6596875</v>
      </c>
      <c r="C100" s="1" t="n">
        <v>45989</v>
      </c>
      <c r="D100" t="inlineStr">
        <is>
          <t>KALMAR LÄN</t>
        </is>
      </c>
      <c r="E100" t="inlineStr">
        <is>
          <t>BORGHOLM</t>
        </is>
      </c>
      <c r="F100" t="inlineStr">
        <is>
          <t>Sveaskog</t>
        </is>
      </c>
      <c r="G100" t="n">
        <v>4.2</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45989</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45989</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4878-2021</t>
        </is>
      </c>
      <c r="B103" s="1" t="n">
        <v>44225</v>
      </c>
      <c r="C103" s="1" t="n">
        <v>45989</v>
      </c>
      <c r="D103" t="inlineStr">
        <is>
          <t>KALMAR LÄN</t>
        </is>
      </c>
      <c r="E103" t="inlineStr">
        <is>
          <t>BORGHOLM</t>
        </is>
      </c>
      <c r="G103" t="n">
        <v>3</v>
      </c>
      <c r="H103" t="n">
        <v>0</v>
      </c>
      <c r="I103" t="n">
        <v>0</v>
      </c>
      <c r="J103" t="n">
        <v>0</v>
      </c>
      <c r="K103" t="n">
        <v>0</v>
      </c>
      <c r="L103" t="n">
        <v>0</v>
      </c>
      <c r="M103" t="n">
        <v>0</v>
      </c>
      <c r="N103" t="n">
        <v>0</v>
      </c>
      <c r="O103" t="n">
        <v>0</v>
      </c>
      <c r="P103" t="n">
        <v>0</v>
      </c>
      <c r="Q103" t="n">
        <v>0</v>
      </c>
      <c r="R103" s="2" t="inlineStr"/>
    </row>
    <row r="104" ht="15" customHeight="1">
      <c r="A104" t="inlineStr">
        <is>
          <t>A 34951-2022</t>
        </is>
      </c>
      <c r="B104" s="1" t="n">
        <v>44796</v>
      </c>
      <c r="C104" s="1" t="n">
        <v>45989</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9034-2025</t>
        </is>
      </c>
      <c r="B105" s="1" t="n">
        <v>45713</v>
      </c>
      <c r="C105" s="1" t="n">
        <v>45989</v>
      </c>
      <c r="D105" t="inlineStr">
        <is>
          <t>KALMAR LÄN</t>
        </is>
      </c>
      <c r="E105" t="inlineStr">
        <is>
          <t>BORGHOLM</t>
        </is>
      </c>
      <c r="F105" t="inlineStr">
        <is>
          <t>Sveaskog</t>
        </is>
      </c>
      <c r="G105" t="n">
        <v>6.8</v>
      </c>
      <c r="H105" t="n">
        <v>0</v>
      </c>
      <c r="I105" t="n">
        <v>0</v>
      </c>
      <c r="J105" t="n">
        <v>0</v>
      </c>
      <c r="K105" t="n">
        <v>0</v>
      </c>
      <c r="L105" t="n">
        <v>0</v>
      </c>
      <c r="M105" t="n">
        <v>0</v>
      </c>
      <c r="N105" t="n">
        <v>0</v>
      </c>
      <c r="O105" t="n">
        <v>0</v>
      </c>
      <c r="P105" t="n">
        <v>0</v>
      </c>
      <c r="Q105" t="n">
        <v>0</v>
      </c>
      <c r="R105" s="2" t="inlineStr"/>
    </row>
    <row r="106" ht="15" customHeight="1">
      <c r="A106" t="inlineStr">
        <is>
          <t>A 5175-2024</t>
        </is>
      </c>
      <c r="B106" s="1" t="n">
        <v>45330</v>
      </c>
      <c r="C106" s="1" t="n">
        <v>45989</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3878-2023</t>
        </is>
      </c>
      <c r="B107" s="1" t="n">
        <v>44951</v>
      </c>
      <c r="C107" s="1" t="n">
        <v>45989</v>
      </c>
      <c r="D107" t="inlineStr">
        <is>
          <t>KALMAR LÄN</t>
        </is>
      </c>
      <c r="E107" t="inlineStr">
        <is>
          <t>BORGHOLM</t>
        </is>
      </c>
      <c r="G107" t="n">
        <v>1.7</v>
      </c>
      <c r="H107" t="n">
        <v>0</v>
      </c>
      <c r="I107" t="n">
        <v>0</v>
      </c>
      <c r="J107" t="n">
        <v>0</v>
      </c>
      <c r="K107" t="n">
        <v>0</v>
      </c>
      <c r="L107" t="n">
        <v>0</v>
      </c>
      <c r="M107" t="n">
        <v>0</v>
      </c>
      <c r="N107" t="n">
        <v>0</v>
      </c>
      <c r="O107" t="n">
        <v>0</v>
      </c>
      <c r="P107" t="n">
        <v>0</v>
      </c>
      <c r="Q107" t="n">
        <v>0</v>
      </c>
      <c r="R107" s="2" t="inlineStr"/>
    </row>
    <row r="108" ht="15" customHeight="1">
      <c r="A108" t="inlineStr">
        <is>
          <t>A 19867-2024</t>
        </is>
      </c>
      <c r="B108" s="1" t="n">
        <v>45433</v>
      </c>
      <c r="C108" s="1" t="n">
        <v>45989</v>
      </c>
      <c r="D108" t="inlineStr">
        <is>
          <t>KALMAR LÄN</t>
        </is>
      </c>
      <c r="E108" t="inlineStr">
        <is>
          <t>BORGHOLM</t>
        </is>
      </c>
      <c r="G108" t="n">
        <v>3.9</v>
      </c>
      <c r="H108" t="n">
        <v>0</v>
      </c>
      <c r="I108" t="n">
        <v>0</v>
      </c>
      <c r="J108" t="n">
        <v>0</v>
      </c>
      <c r="K108" t="n">
        <v>0</v>
      </c>
      <c r="L108" t="n">
        <v>0</v>
      </c>
      <c r="M108" t="n">
        <v>0</v>
      </c>
      <c r="N108" t="n">
        <v>0</v>
      </c>
      <c r="O108" t="n">
        <v>0</v>
      </c>
      <c r="P108" t="n">
        <v>0</v>
      </c>
      <c r="Q108" t="n">
        <v>0</v>
      </c>
      <c r="R108" s="2" t="inlineStr"/>
    </row>
    <row r="109" ht="15" customHeight="1">
      <c r="A109" t="inlineStr">
        <is>
          <t>A 13383-2023</t>
        </is>
      </c>
      <c r="B109" s="1" t="n">
        <v>45005</v>
      </c>
      <c r="C109" s="1" t="n">
        <v>45989</v>
      </c>
      <c r="D109" t="inlineStr">
        <is>
          <t>KALMAR LÄN</t>
        </is>
      </c>
      <c r="E109" t="inlineStr">
        <is>
          <t>BORGHOLM</t>
        </is>
      </c>
      <c r="G109" t="n">
        <v>0.8</v>
      </c>
      <c r="H109" t="n">
        <v>0</v>
      </c>
      <c r="I109" t="n">
        <v>0</v>
      </c>
      <c r="J109" t="n">
        <v>0</v>
      </c>
      <c r="K109" t="n">
        <v>0</v>
      </c>
      <c r="L109" t="n">
        <v>0</v>
      </c>
      <c r="M109" t="n">
        <v>0</v>
      </c>
      <c r="N109" t="n">
        <v>0</v>
      </c>
      <c r="O109" t="n">
        <v>0</v>
      </c>
      <c r="P109" t="n">
        <v>0</v>
      </c>
      <c r="Q109" t="n">
        <v>0</v>
      </c>
      <c r="R109" s="2" t="inlineStr"/>
    </row>
    <row r="110" ht="15" customHeight="1">
      <c r="A110" t="inlineStr">
        <is>
          <t>A 12937-2022</t>
        </is>
      </c>
      <c r="B110" s="1" t="n">
        <v>44642</v>
      </c>
      <c r="C110" s="1" t="n">
        <v>45989</v>
      </c>
      <c r="D110" t="inlineStr">
        <is>
          <t>KALMAR LÄN</t>
        </is>
      </c>
      <c r="E110" t="inlineStr">
        <is>
          <t>BORGHOLM</t>
        </is>
      </c>
      <c r="F110" t="inlineStr">
        <is>
          <t>Sveaskog</t>
        </is>
      </c>
      <c r="G110" t="n">
        <v>1.8</v>
      </c>
      <c r="H110" t="n">
        <v>0</v>
      </c>
      <c r="I110" t="n">
        <v>0</v>
      </c>
      <c r="J110" t="n">
        <v>0</v>
      </c>
      <c r="K110" t="n">
        <v>0</v>
      </c>
      <c r="L110" t="n">
        <v>0</v>
      </c>
      <c r="M110" t="n">
        <v>0</v>
      </c>
      <c r="N110" t="n">
        <v>0</v>
      </c>
      <c r="O110" t="n">
        <v>0</v>
      </c>
      <c r="P110" t="n">
        <v>0</v>
      </c>
      <c r="Q110" t="n">
        <v>0</v>
      </c>
      <c r="R110" s="2" t="inlineStr"/>
    </row>
    <row r="111" ht="15" customHeight="1">
      <c r="A111" t="inlineStr">
        <is>
          <t>A 7960-2023</t>
        </is>
      </c>
      <c r="B111" s="1" t="n">
        <v>44973</v>
      </c>
      <c r="C111" s="1" t="n">
        <v>45989</v>
      </c>
      <c r="D111" t="inlineStr">
        <is>
          <t>KALMAR LÄN</t>
        </is>
      </c>
      <c r="E111" t="inlineStr">
        <is>
          <t>BORGHOLM</t>
        </is>
      </c>
      <c r="G111" t="n">
        <v>2.1</v>
      </c>
      <c r="H111" t="n">
        <v>0</v>
      </c>
      <c r="I111" t="n">
        <v>0</v>
      </c>
      <c r="J111" t="n">
        <v>0</v>
      </c>
      <c r="K111" t="n">
        <v>0</v>
      </c>
      <c r="L111" t="n">
        <v>0</v>
      </c>
      <c r="M111" t="n">
        <v>0</v>
      </c>
      <c r="N111" t="n">
        <v>0</v>
      </c>
      <c r="O111" t="n">
        <v>0</v>
      </c>
      <c r="P111" t="n">
        <v>0</v>
      </c>
      <c r="Q111" t="n">
        <v>0</v>
      </c>
      <c r="R111" s="2" t="inlineStr"/>
    </row>
    <row r="112" ht="15" customHeight="1">
      <c r="A112" t="inlineStr">
        <is>
          <t>A 61438-2023</t>
        </is>
      </c>
      <c r="B112" s="1" t="n">
        <v>45264</v>
      </c>
      <c r="C112" s="1" t="n">
        <v>45989</v>
      </c>
      <c r="D112" t="inlineStr">
        <is>
          <t>KALMAR LÄN</t>
        </is>
      </c>
      <c r="E112" t="inlineStr">
        <is>
          <t>BORGHOLM</t>
        </is>
      </c>
      <c r="G112" t="n">
        <v>1.1</v>
      </c>
      <c r="H112" t="n">
        <v>0</v>
      </c>
      <c r="I112" t="n">
        <v>0</v>
      </c>
      <c r="J112" t="n">
        <v>0</v>
      </c>
      <c r="K112" t="n">
        <v>0</v>
      </c>
      <c r="L112" t="n">
        <v>0</v>
      </c>
      <c r="M112" t="n">
        <v>0</v>
      </c>
      <c r="N112" t="n">
        <v>0</v>
      </c>
      <c r="O112" t="n">
        <v>0</v>
      </c>
      <c r="P112" t="n">
        <v>0</v>
      </c>
      <c r="Q112" t="n">
        <v>0</v>
      </c>
      <c r="R112" s="2" t="inlineStr"/>
    </row>
    <row r="113" ht="15" customHeight="1">
      <c r="A113" t="inlineStr">
        <is>
          <t>A 13041-2024</t>
        </is>
      </c>
      <c r="B113" s="1" t="n">
        <v>45385.60065972222</v>
      </c>
      <c r="C113" s="1" t="n">
        <v>45989</v>
      </c>
      <c r="D113" t="inlineStr">
        <is>
          <t>KALMAR LÄN</t>
        </is>
      </c>
      <c r="E113" t="inlineStr">
        <is>
          <t>BORGHOLM</t>
        </is>
      </c>
      <c r="G113" t="n">
        <v>0.5</v>
      </c>
      <c r="H113" t="n">
        <v>0</v>
      </c>
      <c r="I113" t="n">
        <v>0</v>
      </c>
      <c r="J113" t="n">
        <v>0</v>
      </c>
      <c r="K113" t="n">
        <v>0</v>
      </c>
      <c r="L113" t="n">
        <v>0</v>
      </c>
      <c r="M113" t="n">
        <v>0</v>
      </c>
      <c r="N113" t="n">
        <v>0</v>
      </c>
      <c r="O113" t="n">
        <v>0</v>
      </c>
      <c r="P113" t="n">
        <v>0</v>
      </c>
      <c r="Q113" t="n">
        <v>0</v>
      </c>
      <c r="R113" s="2" t="inlineStr"/>
    </row>
    <row r="114" ht="15" customHeight="1">
      <c r="A114" t="inlineStr">
        <is>
          <t>A 1614-2025</t>
        </is>
      </c>
      <c r="B114" s="1" t="n">
        <v>45670.60094907408</v>
      </c>
      <c r="C114" s="1" t="n">
        <v>45989</v>
      </c>
      <c r="D114" t="inlineStr">
        <is>
          <t>KALMAR LÄN</t>
        </is>
      </c>
      <c r="E114" t="inlineStr">
        <is>
          <t>BORGHOLM</t>
        </is>
      </c>
      <c r="G114" t="n">
        <v>1.4</v>
      </c>
      <c r="H114" t="n">
        <v>0</v>
      </c>
      <c r="I114" t="n">
        <v>0</v>
      </c>
      <c r="J114" t="n">
        <v>0</v>
      </c>
      <c r="K114" t="n">
        <v>0</v>
      </c>
      <c r="L114" t="n">
        <v>0</v>
      </c>
      <c r="M114" t="n">
        <v>0</v>
      </c>
      <c r="N114" t="n">
        <v>0</v>
      </c>
      <c r="O114" t="n">
        <v>0</v>
      </c>
      <c r="P114" t="n">
        <v>0</v>
      </c>
      <c r="Q114" t="n">
        <v>0</v>
      </c>
      <c r="R114" s="2" t="inlineStr"/>
    </row>
    <row r="115" ht="15" customHeight="1">
      <c r="A115" t="inlineStr">
        <is>
          <t>A 63276-2023</t>
        </is>
      </c>
      <c r="B115" s="1" t="n">
        <v>45273.82195601852</v>
      </c>
      <c r="C115" s="1" t="n">
        <v>45989</v>
      </c>
      <c r="D115" t="inlineStr">
        <is>
          <t>KALMAR LÄN</t>
        </is>
      </c>
      <c r="E115" t="inlineStr">
        <is>
          <t>BORGHOLM</t>
        </is>
      </c>
      <c r="G115" t="n">
        <v>5</v>
      </c>
      <c r="H115" t="n">
        <v>0</v>
      </c>
      <c r="I115" t="n">
        <v>0</v>
      </c>
      <c r="J115" t="n">
        <v>0</v>
      </c>
      <c r="K115" t="n">
        <v>0</v>
      </c>
      <c r="L115" t="n">
        <v>0</v>
      </c>
      <c r="M115" t="n">
        <v>0</v>
      </c>
      <c r="N115" t="n">
        <v>0</v>
      </c>
      <c r="O115" t="n">
        <v>0</v>
      </c>
      <c r="P115" t="n">
        <v>0</v>
      </c>
      <c r="Q115" t="n">
        <v>0</v>
      </c>
      <c r="R115" s="2" t="inlineStr"/>
    </row>
    <row r="116" ht="15" customHeight="1">
      <c r="A116" t="inlineStr">
        <is>
          <t>A 9050-2025</t>
        </is>
      </c>
      <c r="B116" s="1" t="n">
        <v>45713.63512731482</v>
      </c>
      <c r="C116" s="1" t="n">
        <v>45989</v>
      </c>
      <c r="D116" t="inlineStr">
        <is>
          <t>KALMAR LÄN</t>
        </is>
      </c>
      <c r="E116" t="inlineStr">
        <is>
          <t>BORGHOLM</t>
        </is>
      </c>
      <c r="F116" t="inlineStr">
        <is>
          <t>Sveaskog</t>
        </is>
      </c>
      <c r="G116" t="n">
        <v>2.5</v>
      </c>
      <c r="H116" t="n">
        <v>0</v>
      </c>
      <c r="I116" t="n">
        <v>0</v>
      </c>
      <c r="J116" t="n">
        <v>0</v>
      </c>
      <c r="K116" t="n">
        <v>0</v>
      </c>
      <c r="L116" t="n">
        <v>0</v>
      </c>
      <c r="M116" t="n">
        <v>0</v>
      </c>
      <c r="N116" t="n">
        <v>0</v>
      </c>
      <c r="O116" t="n">
        <v>0</v>
      </c>
      <c r="P116" t="n">
        <v>0</v>
      </c>
      <c r="Q116" t="n">
        <v>0</v>
      </c>
      <c r="R116" s="2" t="inlineStr"/>
    </row>
    <row r="117" ht="15" customHeight="1">
      <c r="A117" t="inlineStr">
        <is>
          <t>A 13043-2024</t>
        </is>
      </c>
      <c r="B117" s="1" t="n">
        <v>45385.60111111111</v>
      </c>
      <c r="C117" s="1" t="n">
        <v>45989</v>
      </c>
      <c r="D117" t="inlineStr">
        <is>
          <t>KALMAR LÄN</t>
        </is>
      </c>
      <c r="E117" t="inlineStr">
        <is>
          <t>BORGHOLM</t>
        </is>
      </c>
      <c r="G117" t="n">
        <v>0.4</v>
      </c>
      <c r="H117" t="n">
        <v>0</v>
      </c>
      <c r="I117" t="n">
        <v>0</v>
      </c>
      <c r="J117" t="n">
        <v>0</v>
      </c>
      <c r="K117" t="n">
        <v>0</v>
      </c>
      <c r="L117" t="n">
        <v>0</v>
      </c>
      <c r="M117" t="n">
        <v>0</v>
      </c>
      <c r="N117" t="n">
        <v>0</v>
      </c>
      <c r="O117" t="n">
        <v>0</v>
      </c>
      <c r="P117" t="n">
        <v>0</v>
      </c>
      <c r="Q117" t="n">
        <v>0</v>
      </c>
      <c r="R117" s="2" t="inlineStr"/>
    </row>
    <row r="118" ht="15" customHeight="1">
      <c r="A118" t="inlineStr">
        <is>
          <t>A 17978-2021</t>
        </is>
      </c>
      <c r="B118" s="1" t="n">
        <v>44301</v>
      </c>
      <c r="C118" s="1" t="n">
        <v>45989</v>
      </c>
      <c r="D118" t="inlineStr">
        <is>
          <t>KALMAR LÄN</t>
        </is>
      </c>
      <c r="E118" t="inlineStr">
        <is>
          <t>BORGHOLM</t>
        </is>
      </c>
      <c r="G118" t="n">
        <v>6</v>
      </c>
      <c r="H118" t="n">
        <v>0</v>
      </c>
      <c r="I118" t="n">
        <v>0</v>
      </c>
      <c r="J118" t="n">
        <v>0</v>
      </c>
      <c r="K118" t="n">
        <v>0</v>
      </c>
      <c r="L118" t="n">
        <v>0</v>
      </c>
      <c r="M118" t="n">
        <v>0</v>
      </c>
      <c r="N118" t="n">
        <v>0</v>
      </c>
      <c r="O118" t="n">
        <v>0</v>
      </c>
      <c r="P118" t="n">
        <v>0</v>
      </c>
      <c r="Q118" t="n">
        <v>0</v>
      </c>
      <c r="R118" s="2" t="inlineStr"/>
    </row>
    <row r="119" ht="15" customHeight="1">
      <c r="A119" t="inlineStr">
        <is>
          <t>A 22785-2025</t>
        </is>
      </c>
      <c r="B119" s="1" t="n">
        <v>45789.64186342592</v>
      </c>
      <c r="C119" s="1" t="n">
        <v>45989</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c r="A120" t="inlineStr">
        <is>
          <t>A 12534-2022</t>
        </is>
      </c>
      <c r="B120" s="1" t="n">
        <v>44638</v>
      </c>
      <c r="C120" s="1" t="n">
        <v>45989</v>
      </c>
      <c r="D120" t="inlineStr">
        <is>
          <t>KALMAR LÄN</t>
        </is>
      </c>
      <c r="E120" t="inlineStr">
        <is>
          <t>BORGHOLM</t>
        </is>
      </c>
      <c r="G120" t="n">
        <v>8.6</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2025-11-28T10:19:53Z</dcterms:created>
  <dcterms:modified xmlns:dcterms="http://purl.org/dc/terms/" xmlns:xsi="http://www.w3.org/2001/XMLSchema-instance" xsi:type="dcterms:W3CDTF">2025-11-28T10:19:53Z</dcterms:modified>
</cp:coreProperties>
</file>