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46321</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46321</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46321</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46321</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46321</v>
      </c>
      <c r="F13" t="inlineStr">
        <is>
          <t>KALMAR LÄN</t>
        </is>
      </c>
      <c r="G13" t="inlineStr">
        <is>
          <t>BORGHOLM</t>
        </is>
      </c>
      <c r="I13" t="n">
        <v>7.8</v>
      </c>
      <c r="J13" t="n">
        <v>6</v>
      </c>
      <c r="K13" t="n">
        <v>6</v>
      </c>
      <c r="L13" t="n">
        <v>5</v>
      </c>
      <c r="M13" t="n">
        <v>1</v>
      </c>
      <c r="N13" t="n">
        <v>0</v>
      </c>
      <c r="O13" t="n">
        <v>0</v>
      </c>
      <c r="P13" t="n">
        <v>0</v>
      </c>
      <c r="Q13" t="n">
        <v>6</v>
      </c>
      <c r="R13" t="n">
        <v>1</v>
      </c>
      <c r="S13" t="n">
        <v>15</v>
      </c>
      <c r="T13" t="n">
        <v>22</v>
      </c>
      <c r="U13" t="n">
        <v>21</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46321</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46321</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46321</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46321</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46321</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46321</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46321</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46321</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46321</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31515-2026</t>
        </is>
      </c>
      <c r="B24" t="inlineStr">
        <is>
          <t>avverkningsanmälan</t>
        </is>
      </c>
      <c r="C24" t="inlineStr">
        <is>
          <t>Avverkning för att bevara och utveckla /försöksver</t>
        </is>
      </c>
      <c r="D24" s="1" t="n">
        <v>46223</v>
      </c>
      <c r="E24" s="1" t="n">
        <v>46321</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11</v>
      </c>
      <c r="U24" t="n">
        <v>1</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46321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46321</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46321</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A 13558-2025</t>
        </is>
      </c>
      <c r="B28" t="inlineStr">
        <is>
          <t>avverkningsanmälan</t>
        </is>
      </c>
      <c r="C28" t="inlineStr">
        <is>
          <t>Föryngringsavverkning</t>
        </is>
      </c>
      <c r="D28" s="1" t="n">
        <v>45736</v>
      </c>
      <c r="E28" s="1" t="n">
        <v>46321</v>
      </c>
      <c r="F28" t="inlineStr">
        <is>
          <t>KALMAR LÄN</t>
        </is>
      </c>
      <c r="G28" t="inlineStr">
        <is>
          <t>BORGHOLM</t>
        </is>
      </c>
      <c r="I28" t="n">
        <v>0.7</v>
      </c>
      <c r="J28" t="n">
        <v>4</v>
      </c>
      <c r="K28" t="n">
        <v>1</v>
      </c>
      <c r="L28" t="n">
        <v>4</v>
      </c>
      <c r="M28" t="n">
        <v>1</v>
      </c>
      <c r="N28" t="n">
        <v>0</v>
      </c>
      <c r="O28" t="n">
        <v>0</v>
      </c>
      <c r="P28" t="n">
        <v>0</v>
      </c>
      <c r="Q28" t="n">
        <v>5</v>
      </c>
      <c r="R28" t="n">
        <v>1</v>
      </c>
      <c r="S28" t="n">
        <v>8</v>
      </c>
      <c r="T28" t="n">
        <v>8</v>
      </c>
      <c r="U28" t="n">
        <v>8</v>
      </c>
      <c r="V28" s="2" t="inlineStr">
        <is>
          <t>Honungsblomster
Backruta
Jordtistel
Stallört
Ängsstarr
Tvåblad
Kärrknipprot
Gullviva</t>
        </is>
      </c>
      <c r="W28">
        <f>HYPERLINK("https://klasma.github.io/Logging_0885/artfynd/A 13558-2025 artfynd.xlsx", "A 13558-2025")</f>
        <v/>
      </c>
      <c r="X28">
        <f>HYPERLINK("https://klasma.github.io/Logging_0885/kartor/A 13558-2025 karta.png", "A 13558-2025")</f>
        <v/>
      </c>
      <c r="Y28">
        <f>HYPERLINK("https://klasma.github.io/Logging_0885/kartor_geotiff/A 13558-2025 georefererad karta.tif", "A 13558-2025")</f>
        <v/>
      </c>
      <c r="AA28">
        <f>HYPERLINK("https://klasma.github.io/Logging_0885/klagomål/A 13558-2025 FSC-klagomål.docx", "A 13558-2025")</f>
        <v/>
      </c>
      <c r="AB28">
        <f>HYPERLINK("https://klasma.github.io/Logging_0885/klagomålsmail/A 13558-2025 FSC-klagomål mail.docx", "A 13558-2025")</f>
        <v/>
      </c>
      <c r="AC28">
        <f>HYPERLINK("https://klasma.github.io/Logging_0885/tillsyn/A 13558-2025 tillsynsbegäran.docx", "A 13558-2025")</f>
        <v/>
      </c>
      <c r="AD28">
        <f>HYPERLINK("https://klasma.github.io/Logging_0885/tillsynsmail/A 13558-2025 tillsynsbegäran mail.docx", "A 13558-2025")</f>
        <v/>
      </c>
    </row>
    <row r="29" ht="15" customHeight="1">
      <c r="A29" t="inlineStr">
        <is>
          <t>S 2741-2022</t>
        </is>
      </c>
      <c r="B29" t="inlineStr">
        <is>
          <t>samrådsanmälan</t>
        </is>
      </c>
      <c r="C29" t="inlineStr">
        <is>
          <t>Annan skogsbruksåtgärd</t>
        </is>
      </c>
      <c r="D29" s="1" t="n">
        <v>44704</v>
      </c>
      <c r="E29" s="1" t="n">
        <v>46321</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46321</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46321</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27298-2026</t>
        </is>
      </c>
      <c r="B33" t="inlineStr">
        <is>
          <t>avverkningsanmälan</t>
        </is>
      </c>
      <c r="C33" t="inlineStr">
        <is>
          <t>Avverkning för att bevara och utveckla /försöksver</t>
        </is>
      </c>
      <c r="D33" s="1" t="n">
        <v>46188</v>
      </c>
      <c r="E33" s="1" t="n">
        <v>46321</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46321</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46794-2025</t>
        </is>
      </c>
      <c r="B35" t="inlineStr">
        <is>
          <t>avverkningsanmälan</t>
        </is>
      </c>
      <c r="C35" t="inlineStr">
        <is>
          <t>Avverkning för annat ändamål</t>
        </is>
      </c>
      <c r="D35" s="1" t="n">
        <v>45926</v>
      </c>
      <c r="E35" s="1" t="n">
        <v>46321</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16171-2023</t>
        </is>
      </c>
      <c r="B36" t="inlineStr">
        <is>
          <t>avverkningsanmälan</t>
        </is>
      </c>
      <c r="C36" t="inlineStr">
        <is>
          <t>Föryngringsavverkning</t>
        </is>
      </c>
      <c r="D36" s="1" t="n">
        <v>45027</v>
      </c>
      <c r="E36" s="1" t="n">
        <v>46321</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46321</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46321</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46321</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46321</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46321</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46321</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7960-2023</t>
        </is>
      </c>
      <c r="B43" t="inlineStr">
        <is>
          <t>avverkningsanmälan</t>
        </is>
      </c>
      <c r="C43" t="inlineStr">
        <is>
          <t>Föryngringsavverkning</t>
        </is>
      </c>
      <c r="D43" s="1" t="n">
        <v>44973</v>
      </c>
      <c r="E43" s="1" t="n">
        <v>46321</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46321</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13556-2025</t>
        </is>
      </c>
      <c r="B45" t="inlineStr">
        <is>
          <t>avverkningsanmälan</t>
        </is>
      </c>
      <c r="C45" t="inlineStr">
        <is>
          <t>Föryngringsavverkning</t>
        </is>
      </c>
      <c r="D45" s="1" t="n">
        <v>45736</v>
      </c>
      <c r="E45" s="1" t="n">
        <v>46321</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64303-2023</t>
        </is>
      </c>
      <c r="B46" t="inlineStr">
        <is>
          <t>avverkningsanmälan</t>
        </is>
      </c>
      <c r="C46" t="inlineStr">
        <is>
          <t>Avverkning för annat ändamål</t>
        </is>
      </c>
      <c r="D46" s="1" t="n">
        <v>45280</v>
      </c>
      <c r="E46" s="1" t="n">
        <v>46321</v>
      </c>
      <c r="F46" t="inlineStr">
        <is>
          <t>KALMAR LÄN</t>
        </is>
      </c>
      <c r="G46" t="inlineStr">
        <is>
          <t>BORGHOLM</t>
        </is>
      </c>
      <c r="I46" t="n">
        <v>1.2</v>
      </c>
      <c r="J46" t="n">
        <v>0</v>
      </c>
      <c r="K46" t="n">
        <v>1</v>
      </c>
      <c r="L46" t="n">
        <v>2</v>
      </c>
      <c r="M46" t="n">
        <v>1</v>
      </c>
      <c r="N46" t="n">
        <v>0</v>
      </c>
      <c r="O46" t="n">
        <v>0</v>
      </c>
      <c r="P46" t="n">
        <v>0</v>
      </c>
      <c r="Q46" t="n">
        <v>3</v>
      </c>
      <c r="R46" t="n">
        <v>1</v>
      </c>
      <c r="S46" t="n">
        <v>4</v>
      </c>
      <c r="T46" t="n">
        <v>6</v>
      </c>
      <c r="U46" t="n">
        <v>6</v>
      </c>
      <c r="V46" s="2" t="inlineStr">
        <is>
          <t>Skogskorn
Grisspindling
Sårläka
Myskmadra</t>
        </is>
      </c>
      <c r="W46">
        <f>HYPERLINK("https://klasma.github.io/Logging_0885/artfynd/A 64303-2023 artfynd.xlsx", "A 64303-2023")</f>
        <v/>
      </c>
      <c r="X46">
        <f>HYPERLINK("https://klasma.github.io/Logging_0885/kartor/A 64303-2023 karta.png", "A 64303-2023")</f>
        <v/>
      </c>
      <c r="Y46">
        <f>HYPERLINK("https://klasma.github.io/Logging_0885/kartor_geotiff/A 64303-2023 georefererad karta.tif", "A 64303-2023")</f>
        <v/>
      </c>
      <c r="AA46">
        <f>HYPERLINK("https://klasma.github.io/Logging_0885/klagomål/A 64303-2023 FSC-klagomål.docx", "A 64303-2023")</f>
        <v/>
      </c>
      <c r="AB46">
        <f>HYPERLINK("https://klasma.github.io/Logging_0885/klagomålsmail/A 64303-2023 FSC-klagomål mail.docx", "A 64303-2023")</f>
        <v/>
      </c>
      <c r="AC46">
        <f>HYPERLINK("https://klasma.github.io/Logging_0885/tillsyn/A 64303-2023 tillsynsbegäran.docx", "A 64303-2023")</f>
        <v/>
      </c>
      <c r="AD46">
        <f>HYPERLINK("https://klasma.github.io/Logging_0885/tillsynsmail/A 64303-2023 tillsynsbegäran mail.docx", "A 64303-2023")</f>
        <v/>
      </c>
    </row>
    <row r="47" ht="15" customHeight="1">
      <c r="A47" t="inlineStr">
        <is>
          <t>A 21797-2024</t>
        </is>
      </c>
      <c r="B47" t="inlineStr">
        <is>
          <t>avverkningsanmälan</t>
        </is>
      </c>
      <c r="C47" t="inlineStr">
        <is>
          <t>Föryngringsavverkning</t>
        </is>
      </c>
      <c r="D47" s="1" t="n">
        <v>45442</v>
      </c>
      <c r="E47" s="1" t="n">
        <v>46321</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A 4164-2023</t>
        </is>
      </c>
      <c r="B48" t="inlineStr">
        <is>
          <t>avverkningsanmälan</t>
        </is>
      </c>
      <c r="C48" t="inlineStr">
        <is>
          <t>Föryngringsavverkning</t>
        </is>
      </c>
      <c r="D48" s="1" t="n">
        <v>44953</v>
      </c>
      <c r="E48" s="1" t="n">
        <v>46321</v>
      </c>
      <c r="F48" t="inlineStr">
        <is>
          <t>KALMAR LÄN</t>
        </is>
      </c>
      <c r="G48" t="inlineStr">
        <is>
          <t>BORGHOLM</t>
        </is>
      </c>
      <c r="I48" t="n">
        <v>3.3</v>
      </c>
      <c r="J48" t="n">
        <v>1</v>
      </c>
      <c r="K48" t="n">
        <v>1</v>
      </c>
      <c r="L48" t="n">
        <v>2</v>
      </c>
      <c r="M48" t="n">
        <v>0</v>
      </c>
      <c r="N48" t="n">
        <v>0</v>
      </c>
      <c r="O48" t="n">
        <v>0</v>
      </c>
      <c r="P48" t="n">
        <v>0</v>
      </c>
      <c r="Q48" t="n">
        <v>2</v>
      </c>
      <c r="R48" t="n">
        <v>0</v>
      </c>
      <c r="S48" t="n">
        <v>4</v>
      </c>
      <c r="T48" t="n">
        <v>5</v>
      </c>
      <c r="U48" t="n">
        <v>4</v>
      </c>
      <c r="V48" s="2" t="inlineStr">
        <is>
          <t>Crepis tectorum subsp. tectorum
Kösa
Murgröna
Blåsippa</t>
        </is>
      </c>
      <c r="W48">
        <f>HYPERLINK("https://klasma.github.io/Logging_0885/artfynd/A 4164-2023 artfynd.xlsx", "A 4164-2023")</f>
        <v/>
      </c>
      <c r="X48">
        <f>HYPERLINK("https://klasma.github.io/Logging_0885/kartor/A 4164-2023 karta.png", "A 4164-2023")</f>
        <v/>
      </c>
      <c r="Y48">
        <f>HYPERLINK("https://klasma.github.io/Logging_0885/kartor_geotiff/A 4164-2023 georefererad karta.tif", "A 4164-2023")</f>
        <v/>
      </c>
      <c r="AA48">
        <f>HYPERLINK("https://klasma.github.io/Logging_0885/klagomål/A 4164-2023 FSC-klagomål.docx", "A 4164-2023")</f>
        <v/>
      </c>
      <c r="AB48">
        <f>HYPERLINK("https://klasma.github.io/Logging_0885/klagomålsmail/A 4164-2023 FSC-klagomål mail.docx", "A 4164-2023")</f>
        <v/>
      </c>
      <c r="AC48">
        <f>HYPERLINK("https://klasma.github.io/Logging_0885/tillsyn/A 4164-2023 tillsynsbegäran.docx", "A 4164-2023")</f>
        <v/>
      </c>
      <c r="AD48">
        <f>HYPERLINK("https://klasma.github.io/Logging_0885/tillsynsmail/A 4164-2023 tillsynsbegäran mail.docx", "A 4164-2023")</f>
        <v/>
      </c>
    </row>
    <row r="49" ht="15" customHeight="1">
      <c r="A49" t="inlineStr">
        <is>
          <t>S 2740-2022</t>
        </is>
      </c>
      <c r="B49" t="inlineStr">
        <is>
          <t>samrådsanmälan</t>
        </is>
      </c>
      <c r="C49" t="inlineStr">
        <is>
          <t>Annan skogsbruksåtgärd</t>
        </is>
      </c>
      <c r="D49" s="1" t="n">
        <v>44704</v>
      </c>
      <c r="E49" s="1" t="n">
        <v>46321</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46321</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46321</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46321</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46321</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26849-2026</t>
        </is>
      </c>
      <c r="B54" t="inlineStr">
        <is>
          <t>avverkningsanmälan</t>
        </is>
      </c>
      <c r="C54" t="inlineStr">
        <is>
          <t>Föryngringsavverkning</t>
        </is>
      </c>
      <c r="D54" s="1" t="n">
        <v>46185</v>
      </c>
      <c r="E54" s="1" t="n">
        <v>46321</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27283-2026</t>
        </is>
      </c>
      <c r="B55" t="inlineStr">
        <is>
          <t>avverkningsanmälan</t>
        </is>
      </c>
      <c r="C55" t="inlineStr">
        <is>
          <t>Avverkning för att bevara och utveckla /försöksver</t>
        </is>
      </c>
      <c r="D55" s="1" t="n">
        <v>46188</v>
      </c>
      <c r="E55" s="1" t="n">
        <v>46321</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31520-2026</t>
        </is>
      </c>
      <c r="B56" t="inlineStr">
        <is>
          <t>avverkningsanmälan</t>
        </is>
      </c>
      <c r="C56" t="inlineStr">
        <is>
          <t>Avverkning för att bevara och utveckla /försöksver</t>
        </is>
      </c>
      <c r="D56" s="1" t="n">
        <v>46223</v>
      </c>
      <c r="E56" s="1" t="n">
        <v>46321</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24048-2025</t>
        </is>
      </c>
      <c r="B57" t="inlineStr">
        <is>
          <t>avverkningsanmälan</t>
        </is>
      </c>
      <c r="C57" t="inlineStr">
        <is>
          <t>Föryngringsavverkning</t>
        </is>
      </c>
      <c r="D57" s="1" t="n">
        <v>45796</v>
      </c>
      <c r="E57" s="1" t="n">
        <v>46321</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A 15285-2026</t>
        </is>
      </c>
      <c r="B58" t="inlineStr">
        <is>
          <t>avverkningsanmälan</t>
        </is>
      </c>
      <c r="C58" t="inlineStr">
        <is>
          <t>Avverkning för att bevara och utveckla /försöksver</t>
        </is>
      </c>
      <c r="D58" s="1" t="n">
        <v>46105</v>
      </c>
      <c r="E58" s="1" t="n">
        <v>46321</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32174-2022</t>
        </is>
      </c>
      <c r="B59" t="inlineStr">
        <is>
          <t>avverkningsanmälan</t>
        </is>
      </c>
      <c r="C59" t="inlineStr">
        <is>
          <t>Avverkning för att bevara och utveckla /försöksver</t>
        </is>
      </c>
      <c r="D59" s="1" t="n">
        <v>44781</v>
      </c>
      <c r="E59" s="1" t="n">
        <v>46321</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46321</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46321</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46321</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46321</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46321</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24322-2026</t>
        </is>
      </c>
      <c r="B65" t="inlineStr">
        <is>
          <t>avverkningsanmälan</t>
        </is>
      </c>
      <c r="C65" t="inlineStr">
        <is>
          <t>Föryngringsavverkning</t>
        </is>
      </c>
      <c r="D65" s="1" t="n">
        <v>46169</v>
      </c>
      <c r="E65" s="1" t="n">
        <v>46321</v>
      </c>
      <c r="F65" t="inlineStr">
        <is>
          <t>KALMAR LÄN</t>
        </is>
      </c>
      <c r="G65" t="inlineStr">
        <is>
          <t>BORGHOLM</t>
        </is>
      </c>
      <c r="H65" t="inlineStr">
        <is>
          <t>Sveaskog</t>
        </is>
      </c>
      <c r="I65" t="n">
        <v>5.5</v>
      </c>
      <c r="J65" t="n">
        <v>2</v>
      </c>
      <c r="K65" t="n">
        <v>2</v>
      </c>
      <c r="L65" t="n">
        <v>0</v>
      </c>
      <c r="M65" t="n">
        <v>0</v>
      </c>
      <c r="N65" t="n">
        <v>0</v>
      </c>
      <c r="O65" t="n">
        <v>0</v>
      </c>
      <c r="P65" t="n">
        <v>0</v>
      </c>
      <c r="Q65" t="n">
        <v>0</v>
      </c>
      <c r="R65" t="n">
        <v>0</v>
      </c>
      <c r="S65" t="n">
        <v>2</v>
      </c>
      <c r="T65" t="n">
        <v>2</v>
      </c>
      <c r="U65" t="n">
        <v>0</v>
      </c>
      <c r="V65" s="2" t="inlineStr">
        <is>
          <t>Purpurknipprot
Skogsknipprot</t>
        </is>
      </c>
      <c r="W65">
        <f>HYPERLINK("https://klasma.github.io/Logging_0885/artfynd/A 24322-2026 artfynd.xlsx", "A 24322-2026")</f>
        <v/>
      </c>
      <c r="X65">
        <f>HYPERLINK("https://klasma.github.io/Logging_0885/kartor/A 24322-2026 karta.png", "A 24322-2026")</f>
        <v/>
      </c>
      <c r="Y65">
        <f>HYPERLINK("https://klasma.github.io/Logging_0885/kartor_geotiff/A 24322-2026 georefererad karta.tif", "A 24322-2026")</f>
        <v/>
      </c>
      <c r="AA65">
        <f>HYPERLINK("https://klasma.github.io/Logging_0885/klagomål/A 24322-2026 FSC-klagomål.docx", "A 24322-2026")</f>
        <v/>
      </c>
      <c r="AB65">
        <f>HYPERLINK("https://klasma.github.io/Logging_0885/klagomålsmail/A 24322-2026 FSC-klagomål mail.docx", "A 24322-2026")</f>
        <v/>
      </c>
      <c r="AC65">
        <f>HYPERLINK("https://klasma.github.io/Logging_0885/tillsyn/A 24322-2026 tillsynsbegäran.docx", "A 24322-2026")</f>
        <v/>
      </c>
      <c r="AD65">
        <f>HYPERLINK("https://klasma.github.io/Logging_0885/tillsynsmail/A 24322-2026 tillsynsbegäran mail.docx", "A 24322-2026")</f>
        <v/>
      </c>
    </row>
    <row r="66" ht="15" customHeight="1">
      <c r="A66" t="inlineStr">
        <is>
          <t>A 29411-2026</t>
        </is>
      </c>
      <c r="B66" t="inlineStr">
        <is>
          <t>avverkningsanmälan</t>
        </is>
      </c>
      <c r="C66" t="inlineStr">
        <is>
          <t>Avverkning för att bevara och utveckla /försöksver</t>
        </is>
      </c>
      <c r="D66" s="1" t="n">
        <v>46203</v>
      </c>
      <c r="E66" s="1" t="n">
        <v>46321</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60141-2025</t>
        </is>
      </c>
      <c r="B67" t="inlineStr">
        <is>
          <t>avverkningsanmälan</t>
        </is>
      </c>
      <c r="C67" t="inlineStr">
        <is>
          <t>Föryngringsavverkning</t>
        </is>
      </c>
      <c r="D67" s="1" t="n">
        <v>45994</v>
      </c>
      <c r="E67" s="1" t="n">
        <v>46321</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46321</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24166-2022</t>
        </is>
      </c>
      <c r="B69" t="inlineStr">
        <is>
          <t>avverkningsanmälan</t>
        </is>
      </c>
      <c r="C69" t="inlineStr">
        <is>
          <t>Avverkning för annat ändamål</t>
        </is>
      </c>
      <c r="D69" s="1" t="n">
        <v>44725</v>
      </c>
      <c r="E69" s="1" t="n">
        <v>46321</v>
      </c>
      <c r="F69" t="inlineStr">
        <is>
          <t>KALMAR LÄN</t>
        </is>
      </c>
      <c r="G69" t="inlineStr">
        <is>
          <t>BORGHOLM</t>
        </is>
      </c>
      <c r="I69" t="n">
        <v>10.7</v>
      </c>
      <c r="J69" t="n">
        <v>0</v>
      </c>
      <c r="K69" t="n">
        <v>0</v>
      </c>
      <c r="L69" t="n">
        <v>1</v>
      </c>
      <c r="M69" t="n">
        <v>1</v>
      </c>
      <c r="N69" t="n">
        <v>0</v>
      </c>
      <c r="O69" t="n">
        <v>0</v>
      </c>
      <c r="P69" t="n">
        <v>0</v>
      </c>
      <c r="Q69" t="n">
        <v>2</v>
      </c>
      <c r="R69" t="n">
        <v>1</v>
      </c>
      <c r="S69" t="n">
        <v>2</v>
      </c>
      <c r="T69" t="n">
        <v>2</v>
      </c>
      <c r="U69" t="n">
        <v>1</v>
      </c>
      <c r="V69" s="2" t="inlineStr">
        <is>
          <t>Plattsäv
Jungfrulin</t>
        </is>
      </c>
      <c r="W69">
        <f>HYPERLINK("https://klasma.github.io/Logging_0885/artfynd/A 24166-2022 artfynd.xlsx", "A 24166-2022")</f>
        <v/>
      </c>
      <c r="X69">
        <f>HYPERLINK("https://klasma.github.io/Logging_0885/kartor/A 24166-2022 karta.png", "A 24166-2022")</f>
        <v/>
      </c>
      <c r="Y69">
        <f>HYPERLINK("https://klasma.github.io/Logging_0885/kartor_geotiff/A 24166-2022 georefererad karta.tif", "A 24166-2022")</f>
        <v/>
      </c>
      <c r="AA69">
        <f>HYPERLINK("https://klasma.github.io/Logging_0885/klagomål/A 24166-2022 FSC-klagomål.docx", "A 24166-2022")</f>
        <v/>
      </c>
      <c r="AB69">
        <f>HYPERLINK("https://klasma.github.io/Logging_0885/klagomålsmail/A 24166-2022 FSC-klagomål mail.docx", "A 24166-2022")</f>
        <v/>
      </c>
      <c r="AC69">
        <f>HYPERLINK("https://klasma.github.io/Logging_0885/tillsyn/A 24166-2022 tillsynsbegäran.docx", "A 24166-2022")</f>
        <v/>
      </c>
      <c r="AD69">
        <f>HYPERLINK("https://klasma.github.io/Logging_0885/tillsynsmail/A 24166-2022 tillsynsbegäran mail.docx", "A 24166-2022")</f>
        <v/>
      </c>
    </row>
    <row r="70" ht="15" customHeight="1">
      <c r="A70" t="inlineStr">
        <is>
          <t>A 9253-2026</t>
        </is>
      </c>
      <c r="B70" t="inlineStr">
        <is>
          <t>avverkningsanmälan</t>
        </is>
      </c>
      <c r="C70" t="inlineStr">
        <is>
          <t>Föryngringsavverkning</t>
        </is>
      </c>
      <c r="D70" s="1" t="n">
        <v>46070</v>
      </c>
      <c r="E70" s="1" t="n">
        <v>46321</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29434-2026</t>
        </is>
      </c>
      <c r="B71" t="inlineStr">
        <is>
          <t>avverkningsanmälan</t>
        </is>
      </c>
      <c r="C71" t="inlineStr">
        <is>
          <t>Avverkning för att bevara och utveckla /försöksver</t>
        </is>
      </c>
      <c r="D71" s="1" t="n">
        <v>46203</v>
      </c>
      <c r="E71" s="1" t="n">
        <v>46321</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44678-2022</t>
        </is>
      </c>
      <c r="B72" t="inlineStr">
        <is>
          <t>avverkningsanmälan</t>
        </is>
      </c>
      <c r="C72" t="inlineStr">
        <is>
          <t>Föryngringsavverkning</t>
        </is>
      </c>
      <c r="D72" s="1" t="n">
        <v>44840</v>
      </c>
      <c r="E72" s="1" t="n">
        <v>46321</v>
      </c>
      <c r="F72" t="inlineStr">
        <is>
          <t>KALMAR LÄN</t>
        </is>
      </c>
      <c r="G72" t="inlineStr">
        <is>
          <t>BORGHOLM</t>
        </is>
      </c>
      <c r="I72" t="n">
        <v>2.4</v>
      </c>
      <c r="J72" t="n">
        <v>1</v>
      </c>
      <c r="K72" t="n">
        <v>1</v>
      </c>
      <c r="L72" t="n">
        <v>0</v>
      </c>
      <c r="M72" t="n">
        <v>0</v>
      </c>
      <c r="N72" t="n">
        <v>1</v>
      </c>
      <c r="O72" t="n">
        <v>0</v>
      </c>
      <c r="P72" t="n">
        <v>0</v>
      </c>
      <c r="Q72" t="n">
        <v>1</v>
      </c>
      <c r="R72" t="n">
        <v>1</v>
      </c>
      <c r="S72" t="n">
        <v>2</v>
      </c>
      <c r="T72" t="n">
        <v>2</v>
      </c>
      <c r="U72" t="n">
        <v>1</v>
      </c>
      <c r="V72" s="2" t="inlineStr">
        <is>
          <t>Ask
Skogsknipprot</t>
        </is>
      </c>
      <c r="W72">
        <f>HYPERLINK("https://klasma.github.io/Logging_0885/artfynd/A 44678-2022 artfynd.xlsx", "A 44678-2022")</f>
        <v/>
      </c>
      <c r="X72">
        <f>HYPERLINK("https://klasma.github.io/Logging_0885/kartor/A 44678-2022 karta.png", "A 44678-2022")</f>
        <v/>
      </c>
      <c r="Y72">
        <f>HYPERLINK("https://klasma.github.io/Logging_0885/kartor_geotiff/A 44678-2022 georefererad karta.tif", "A 44678-2022")</f>
        <v/>
      </c>
      <c r="AA72">
        <f>HYPERLINK("https://klasma.github.io/Logging_0885/klagomål/A 44678-2022 FSC-klagomål.docx", "A 44678-2022")</f>
        <v/>
      </c>
      <c r="AB72">
        <f>HYPERLINK("https://klasma.github.io/Logging_0885/klagomålsmail/A 44678-2022 FSC-klagomål mail.docx", "A 44678-2022")</f>
        <v/>
      </c>
      <c r="AC72">
        <f>HYPERLINK("https://klasma.github.io/Logging_0885/tillsyn/A 44678-2022 tillsynsbegäran.docx", "A 44678-2022")</f>
        <v/>
      </c>
      <c r="AD72">
        <f>HYPERLINK("https://klasma.github.io/Logging_0885/tillsynsmail/A 44678-2022 tillsynsbegäran mail.docx", "A 44678-2022")</f>
        <v/>
      </c>
    </row>
    <row r="73" ht="15" customHeight="1">
      <c r="A73" t="inlineStr">
        <is>
          <t>A 17699-2025</t>
        </is>
      </c>
      <c r="B73" t="inlineStr">
        <is>
          <t>avverkningsanmälan</t>
        </is>
      </c>
      <c r="C73" t="inlineStr">
        <is>
          <t>Föryngringsavverkning</t>
        </is>
      </c>
      <c r="D73" s="1" t="n">
        <v>45758</v>
      </c>
      <c r="E73" s="1" t="n">
        <v>46321</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21908-2022</t>
        </is>
      </c>
      <c r="B74" t="inlineStr">
        <is>
          <t>avverkningsanmälan</t>
        </is>
      </c>
      <c r="C74" t="inlineStr">
        <is>
          <t>Föryngringsavverkning</t>
        </is>
      </c>
      <c r="D74" s="1" t="n">
        <v>44711</v>
      </c>
      <c r="E74" s="1" t="n">
        <v>46321</v>
      </c>
      <c r="F74" t="inlineStr">
        <is>
          <t>KALMAR LÄN</t>
        </is>
      </c>
      <c r="G74" t="inlineStr">
        <is>
          <t>BORGHOLM</t>
        </is>
      </c>
      <c r="I74" t="n">
        <v>4.7</v>
      </c>
      <c r="J74" t="n">
        <v>1</v>
      </c>
      <c r="K74" t="n">
        <v>2</v>
      </c>
      <c r="L74" t="n">
        <v>0</v>
      </c>
      <c r="M74" t="n">
        <v>0</v>
      </c>
      <c r="N74" t="n">
        <v>0</v>
      </c>
      <c r="O74" t="n">
        <v>0</v>
      </c>
      <c r="P74" t="n">
        <v>0</v>
      </c>
      <c r="Q74" t="n">
        <v>0</v>
      </c>
      <c r="R74" t="n">
        <v>0</v>
      </c>
      <c r="S74" t="n">
        <v>2</v>
      </c>
      <c r="T74" t="n">
        <v>2</v>
      </c>
      <c r="U74" t="n">
        <v>2</v>
      </c>
      <c r="V74" s="2" t="inlineStr">
        <is>
          <t>Myskmadra
Skogsknipprot</t>
        </is>
      </c>
      <c r="W74">
        <f>HYPERLINK("https://klasma.github.io/Logging_0885/artfynd/A 21908-2022 artfynd.xlsx", "A 21908-2022")</f>
        <v/>
      </c>
      <c r="X74">
        <f>HYPERLINK("https://klasma.github.io/Logging_0885/kartor/A 21908-2022 karta.png", "A 21908-2022")</f>
        <v/>
      </c>
      <c r="Y74">
        <f>HYPERLINK("https://klasma.github.io/Logging_0885/kartor_geotiff/A 21908-2022 georefererad karta.tif", "A 21908-2022")</f>
        <v/>
      </c>
      <c r="AA74">
        <f>HYPERLINK("https://klasma.github.io/Logging_0885/klagomål/A 21908-2022 FSC-klagomål.docx", "A 21908-2022")</f>
        <v/>
      </c>
      <c r="AB74">
        <f>HYPERLINK("https://klasma.github.io/Logging_0885/klagomålsmail/A 21908-2022 FSC-klagomål mail.docx", "A 21908-2022")</f>
        <v/>
      </c>
      <c r="AC74">
        <f>HYPERLINK("https://klasma.github.io/Logging_0885/tillsyn/A 21908-2022 tillsynsbegäran.docx", "A 21908-2022")</f>
        <v/>
      </c>
      <c r="AD74">
        <f>HYPERLINK("https://klasma.github.io/Logging_0885/tillsynsmail/A 21908-2022 tillsynsbegäran mail.docx", "A 21908-2022")</f>
        <v/>
      </c>
    </row>
    <row r="75" ht="15" customHeight="1">
      <c r="A75" t="inlineStr">
        <is>
          <t>S 1650-2022</t>
        </is>
      </c>
      <c r="B75" t="inlineStr">
        <is>
          <t>samrådsanmälan</t>
        </is>
      </c>
      <c r="C75" t="inlineStr">
        <is>
          <t>Åtgärd i nyckelbiotop</t>
        </is>
      </c>
      <c r="D75" s="1" t="n">
        <v>44649</v>
      </c>
      <c r="E75" s="1" t="n">
        <v>46321</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46321</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46321</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46321</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46321</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46321</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41831-2025</t>
        </is>
      </c>
      <c r="B81" t="inlineStr">
        <is>
          <t>avverkningsanmälan</t>
        </is>
      </c>
      <c r="C81" t="inlineStr">
        <is>
          <t>Föryngringsavverkning</t>
        </is>
      </c>
      <c r="D81" s="1" t="n">
        <v>45902</v>
      </c>
      <c r="E81" s="1" t="n">
        <v>46321</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26840-2026</t>
        </is>
      </c>
      <c r="B82" t="inlineStr">
        <is>
          <t>avverkningsanmälan</t>
        </is>
      </c>
      <c r="C82" t="inlineStr">
        <is>
          <t>Avverkning för att bevara och utveckla /försöksver</t>
        </is>
      </c>
      <c r="D82" s="1" t="n">
        <v>46185</v>
      </c>
      <c r="E82" s="1" t="n">
        <v>46321</v>
      </c>
      <c r="F82" t="inlineStr">
        <is>
          <t>KALMAR LÄN</t>
        </is>
      </c>
      <c r="G82" t="inlineStr">
        <is>
          <t>BORGHOLM</t>
        </is>
      </c>
      <c r="H82" t="inlineStr">
        <is>
          <t>Sveaskog</t>
        </is>
      </c>
      <c r="I82" t="n">
        <v>1.4</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26840-2026 artfynd.xlsx", "A 26840-2026")</f>
        <v/>
      </c>
      <c r="X82">
        <f>HYPERLINK("https://klasma.github.io/Logging_0885/kartor/A 26840-2026 karta.png", "A 26840-2026")</f>
        <v/>
      </c>
      <c r="Y82">
        <f>HYPERLINK("https://klasma.github.io/Logging_0885/kartor_geotiff/A 26840-2026 georefererad karta.tif", "A 26840-2026")</f>
        <v/>
      </c>
      <c r="AA82">
        <f>HYPERLINK("https://klasma.github.io/Logging_0885/klagomål/A 26840-2026 FSC-klagomål.docx", "A 26840-2026")</f>
        <v/>
      </c>
      <c r="AB82">
        <f>HYPERLINK("https://klasma.github.io/Logging_0885/klagomålsmail/A 26840-2026 FSC-klagomål mail.docx", "A 26840-2026")</f>
        <v/>
      </c>
      <c r="AC82">
        <f>HYPERLINK("https://klasma.github.io/Logging_0885/tillsyn/A 26840-2026 tillsynsbegäran.docx", "A 26840-2026")</f>
        <v/>
      </c>
      <c r="AD82">
        <f>HYPERLINK("https://klasma.github.io/Logging_0885/tillsynsmail/A 26840-2026 tillsynsbegäran mail.docx", "A 26840-2026")</f>
        <v/>
      </c>
    </row>
    <row r="83" ht="15" customHeight="1">
      <c r="A83" t="inlineStr">
        <is>
          <t>A 63276-2023</t>
        </is>
      </c>
      <c r="B83" t="inlineStr">
        <is>
          <t>avverkningsanmälan</t>
        </is>
      </c>
      <c r="C83" t="inlineStr">
        <is>
          <t>Föryngringsavverkning</t>
        </is>
      </c>
      <c r="D83" s="1" t="n">
        <v>45273</v>
      </c>
      <c r="E83" s="1" t="n">
        <v>46321</v>
      </c>
      <c r="F83" t="inlineStr">
        <is>
          <t>KALMAR LÄN</t>
        </is>
      </c>
      <c r="G83" t="inlineStr">
        <is>
          <t>BORGHOLM</t>
        </is>
      </c>
      <c r="I83" t="n">
        <v>5</v>
      </c>
      <c r="J83" t="n">
        <v>0</v>
      </c>
      <c r="K83" t="n">
        <v>0</v>
      </c>
      <c r="L83" t="n">
        <v>0</v>
      </c>
      <c r="M83" t="n">
        <v>1</v>
      </c>
      <c r="N83" t="n">
        <v>0</v>
      </c>
      <c r="O83" t="n">
        <v>0</v>
      </c>
      <c r="P83" t="n">
        <v>0</v>
      </c>
      <c r="Q83" t="n">
        <v>1</v>
      </c>
      <c r="R83" t="n">
        <v>1</v>
      </c>
      <c r="S83" t="n">
        <v>1</v>
      </c>
      <c r="T83" t="n">
        <v>1</v>
      </c>
      <c r="U83" t="n">
        <v>0</v>
      </c>
      <c r="V83" s="2" t="inlineStr">
        <is>
          <t>Elaphomyces barrioi</t>
        </is>
      </c>
      <c r="W83">
        <f>HYPERLINK("https://klasma.github.io/Logging_0885/artfynd/A 63276-2023 artfynd.xlsx", "A 63276-2023")</f>
        <v/>
      </c>
      <c r="X83">
        <f>HYPERLINK("https://klasma.github.io/Logging_0885/kartor/A 63276-2023 karta.png", "A 63276-2023")</f>
        <v/>
      </c>
      <c r="Y83">
        <f>HYPERLINK("https://klasma.github.io/Logging_0885/kartor_geotiff/A 63276-2023 georefererad karta.tif", "A 63276-2023")</f>
        <v/>
      </c>
      <c r="AA83">
        <f>HYPERLINK("https://klasma.github.io/Logging_0885/klagomål/A 63276-2023 FSC-klagomål.docx", "A 63276-2023")</f>
        <v/>
      </c>
      <c r="AB83">
        <f>HYPERLINK("https://klasma.github.io/Logging_0885/klagomålsmail/A 63276-2023 FSC-klagomål mail.docx", "A 63276-2023")</f>
        <v/>
      </c>
      <c r="AC83">
        <f>HYPERLINK("https://klasma.github.io/Logging_0885/tillsyn/A 63276-2023 tillsynsbegäran.docx", "A 63276-2023")</f>
        <v/>
      </c>
      <c r="AD83">
        <f>HYPERLINK("https://klasma.github.io/Logging_0885/tillsynsmail/A 63276-2023 tillsynsbegäran mail.docx", "A 63276-2023")</f>
        <v/>
      </c>
    </row>
    <row r="84" ht="15" customHeight="1">
      <c r="A84" t="inlineStr">
        <is>
          <t>A 28430-2026</t>
        </is>
      </c>
      <c r="B84" t="inlineStr">
        <is>
          <t>avverkningsanmälan</t>
        </is>
      </c>
      <c r="C84" t="inlineStr">
        <is>
          <t>Avverkning för att bevara och utveckla /försöksver</t>
        </is>
      </c>
      <c r="D84" s="1" t="n">
        <v>46197</v>
      </c>
      <c r="E84" s="1" t="n">
        <v>46321</v>
      </c>
      <c r="F84" t="inlineStr">
        <is>
          <t>KALMAR LÄN</t>
        </is>
      </c>
      <c r="G84" t="inlineStr">
        <is>
          <t>BORGHOLM</t>
        </is>
      </c>
      <c r="H84" t="inlineStr">
        <is>
          <t>Sveaskog</t>
        </is>
      </c>
      <c r="I84" t="n">
        <v>1.8</v>
      </c>
      <c r="J84" t="n">
        <v>0</v>
      </c>
      <c r="K84" t="n">
        <v>0</v>
      </c>
      <c r="L84" t="n">
        <v>1</v>
      </c>
      <c r="M84" t="n">
        <v>0</v>
      </c>
      <c r="N84" t="n">
        <v>0</v>
      </c>
      <c r="O84" t="n">
        <v>0</v>
      </c>
      <c r="P84" t="n">
        <v>0</v>
      </c>
      <c r="Q84" t="n">
        <v>1</v>
      </c>
      <c r="R84" t="n">
        <v>0</v>
      </c>
      <c r="S84" t="n">
        <v>1</v>
      </c>
      <c r="T84" t="n">
        <v>2</v>
      </c>
      <c r="U84" t="n">
        <v>0</v>
      </c>
      <c r="V84" s="2" t="inlineStr">
        <is>
          <t>Oxtungssvamp</t>
        </is>
      </c>
      <c r="W84">
        <f>HYPERLINK("https://klasma.github.io/Logging_0885/artfynd/A 28430-2026 artfynd.xlsx", "A 28430-2026")</f>
        <v/>
      </c>
      <c r="X84">
        <f>HYPERLINK("https://klasma.github.io/Logging_0885/kartor/A 28430-2026 karta.png", "A 28430-2026")</f>
        <v/>
      </c>
      <c r="Y84">
        <f>HYPERLINK("https://klasma.github.io/Logging_0885/kartor_geotiff/A 28430-2026 georefererad karta.tif", "A 28430-2026")</f>
        <v/>
      </c>
      <c r="AA84">
        <f>HYPERLINK("https://klasma.github.io/Logging_0885/klagomål/A 28430-2026 FSC-klagomål.docx", "A 28430-2026")</f>
        <v/>
      </c>
      <c r="AB84">
        <f>HYPERLINK("https://klasma.github.io/Logging_0885/klagomålsmail/A 28430-2026 FSC-klagomål mail.docx", "A 28430-2026")</f>
        <v/>
      </c>
      <c r="AC84">
        <f>HYPERLINK("https://klasma.github.io/Logging_0885/tillsyn/A 28430-2026 tillsynsbegäran.docx", "A 28430-2026")</f>
        <v/>
      </c>
      <c r="AD84">
        <f>HYPERLINK("https://klasma.github.io/Logging_0885/tillsynsmail/A 28430-2026 tillsynsbegäran mail.docx", "A 28430-2026")</f>
        <v/>
      </c>
    </row>
    <row r="85" ht="15" customHeight="1">
      <c r="A85" t="inlineStr">
        <is>
          <t>A 28374-2026</t>
        </is>
      </c>
      <c r="B85" t="inlineStr">
        <is>
          <t>avverkningsanmälan</t>
        </is>
      </c>
      <c r="C85" t="inlineStr">
        <is>
          <t>Avverkning för att bevara och utveckla /försöksver</t>
        </is>
      </c>
      <c r="D85" s="1" t="n">
        <v>46196</v>
      </c>
      <c r="E85" s="1" t="n">
        <v>46321</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t="n">
        <v>0</v>
      </c>
      <c r="V85" s="2" t="inlineStr">
        <is>
          <t>Purpurmusseron</t>
        </is>
      </c>
      <c r="W85">
        <f>HYPERLINK("https://klasma.github.io/Logging_0885/artfynd/A 28374-2026 artfynd.xlsx", "A 28374-2026")</f>
        <v/>
      </c>
      <c r="X85">
        <f>HYPERLINK("https://klasma.github.io/Logging_0885/kartor/A 28374-2026 karta.png", "A 28374-2026")</f>
        <v/>
      </c>
      <c r="Y85">
        <f>HYPERLINK("https://klasma.github.io/Logging_0885/kartor_geotiff/A 28374-2026 georefererad karta.tif", "A 28374-2026")</f>
        <v/>
      </c>
      <c r="AA85">
        <f>HYPERLINK("https://klasma.github.io/Logging_0885/klagomål/A 28374-2026 FSC-klagomål.docx", "A 28374-2026")</f>
        <v/>
      </c>
      <c r="AB85">
        <f>HYPERLINK("https://klasma.github.io/Logging_0885/klagomålsmail/A 28374-2026 FSC-klagomål mail.docx", "A 28374-2026")</f>
        <v/>
      </c>
      <c r="AC85">
        <f>HYPERLINK("https://klasma.github.io/Logging_0885/tillsyn/A 28374-2026 tillsynsbegäran.docx", "A 28374-2026")</f>
        <v/>
      </c>
      <c r="AD85">
        <f>HYPERLINK("https://klasma.github.io/Logging_0885/tillsynsmail/A 28374-2026 tillsynsbegäran mail.docx", "A 28374-2026")</f>
        <v/>
      </c>
    </row>
    <row r="86" ht="15" customHeight="1">
      <c r="A86" t="inlineStr">
        <is>
          <t>A 13043-2024</t>
        </is>
      </c>
      <c r="B86" t="inlineStr">
        <is>
          <t>avverkningsanmälan</t>
        </is>
      </c>
      <c r="C86" t="inlineStr">
        <is>
          <t>Föryngringsavverkning</t>
        </is>
      </c>
      <c r="D86" s="1" t="n">
        <v>45385</v>
      </c>
      <c r="E86" s="1" t="n">
        <v>46321</v>
      </c>
      <c r="F86" t="inlineStr">
        <is>
          <t>KALMAR LÄN</t>
        </is>
      </c>
      <c r="G86" t="inlineStr">
        <is>
          <t>BORGHOLM</t>
        </is>
      </c>
      <c r="I86" t="n">
        <v>0.4</v>
      </c>
      <c r="J86" t="n">
        <v>1</v>
      </c>
      <c r="K86" t="n">
        <v>1</v>
      </c>
      <c r="L86" t="n">
        <v>0</v>
      </c>
      <c r="M86" t="n">
        <v>0</v>
      </c>
      <c r="N86" t="n">
        <v>0</v>
      </c>
      <c r="O86" t="n">
        <v>0</v>
      </c>
      <c r="P86" t="n">
        <v>0</v>
      </c>
      <c r="Q86" t="n">
        <v>0</v>
      </c>
      <c r="R86" t="n">
        <v>0</v>
      </c>
      <c r="S86" t="n">
        <v>1</v>
      </c>
      <c r="T86" t="n">
        <v>1</v>
      </c>
      <c r="U86" t="n">
        <v>0</v>
      </c>
      <c r="V86" s="2" t="inlineStr">
        <is>
          <t>Ekoxe</t>
        </is>
      </c>
      <c r="W86">
        <f>HYPERLINK("https://klasma.github.io/Logging_0885/artfynd/A 13043-2024 artfynd.xlsx", "A 13043-2024")</f>
        <v/>
      </c>
      <c r="X86">
        <f>HYPERLINK("https://klasma.github.io/Logging_0885/kartor/A 13043-2024 karta.png", "A 13043-2024")</f>
        <v/>
      </c>
      <c r="Y86">
        <f>HYPERLINK("https://klasma.github.io/Logging_0885/kartor_geotiff/A 13043-2024 georefererad karta.tif", "A 13043-2024")</f>
        <v/>
      </c>
      <c r="AA86">
        <f>HYPERLINK("https://klasma.github.io/Logging_0885/klagomål/A 13043-2024 FSC-klagomål.docx", "A 13043-2024")</f>
        <v/>
      </c>
      <c r="AB86">
        <f>HYPERLINK("https://klasma.github.io/Logging_0885/klagomålsmail/A 13043-2024 FSC-klagomål mail.docx", "A 13043-2024")</f>
        <v/>
      </c>
      <c r="AC86">
        <f>HYPERLINK("https://klasma.github.io/Logging_0885/tillsyn/A 13043-2024 tillsynsbegäran.docx", "A 13043-2024")</f>
        <v/>
      </c>
      <c r="AD86">
        <f>HYPERLINK("https://klasma.github.io/Logging_0885/tillsynsmail/A 13043-2024 tillsynsbegäran mail.docx", "A 13043-2024")</f>
        <v/>
      </c>
    </row>
    <row r="87" ht="15" customHeight="1">
      <c r="A87" t="inlineStr">
        <is>
          <t>A 3302-2026</t>
        </is>
      </c>
      <c r="B87" t="inlineStr">
        <is>
          <t>avverkningsanmälan</t>
        </is>
      </c>
      <c r="C87" t="inlineStr">
        <is>
          <t>Avverkning för annat ändamål</t>
        </is>
      </c>
      <c r="D87" s="1" t="n">
        <v>46041</v>
      </c>
      <c r="E87" s="1" t="n">
        <v>46321</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40339-2023</t>
        </is>
      </c>
      <c r="B88" t="inlineStr">
        <is>
          <t>avverkningsanmälan</t>
        </is>
      </c>
      <c r="C88" t="inlineStr">
        <is>
          <t>Föryngringsavverkning</t>
        </is>
      </c>
      <c r="D88" s="1" t="n">
        <v>45169</v>
      </c>
      <c r="E88" s="1" t="n">
        <v>46321</v>
      </c>
      <c r="F88" t="inlineStr">
        <is>
          <t>KALMAR LÄN</t>
        </is>
      </c>
      <c r="G88" t="inlineStr">
        <is>
          <t>BORGHOLM</t>
        </is>
      </c>
      <c r="I88" t="n">
        <v>3.8</v>
      </c>
      <c r="J88" t="n">
        <v>1</v>
      </c>
      <c r="K88" t="n">
        <v>1</v>
      </c>
      <c r="L88" t="n">
        <v>0</v>
      </c>
      <c r="M88" t="n">
        <v>0</v>
      </c>
      <c r="N88" t="n">
        <v>0</v>
      </c>
      <c r="O88" t="n">
        <v>0</v>
      </c>
      <c r="P88" t="n">
        <v>0</v>
      </c>
      <c r="Q88" t="n">
        <v>0</v>
      </c>
      <c r="R88" t="n">
        <v>0</v>
      </c>
      <c r="S88" t="n">
        <v>1</v>
      </c>
      <c r="T88" t="n">
        <v>1</v>
      </c>
      <c r="U88" t="n">
        <v>1</v>
      </c>
      <c r="V88" s="2" t="inlineStr">
        <is>
          <t>Ekoxe</t>
        </is>
      </c>
      <c r="W88">
        <f>HYPERLINK("https://klasma.github.io/Logging_0885/artfynd/A 40339-2023 artfynd.xlsx", "A 40339-2023")</f>
        <v/>
      </c>
      <c r="X88">
        <f>HYPERLINK("https://klasma.github.io/Logging_0885/kartor/A 40339-2023 karta.png", "A 40339-2023")</f>
        <v/>
      </c>
      <c r="Y88">
        <f>HYPERLINK("https://klasma.github.io/Logging_0885/kartor_geotiff/A 40339-2023 georefererad karta.tif", "A 40339-2023")</f>
        <v/>
      </c>
      <c r="AA88">
        <f>HYPERLINK("https://klasma.github.io/Logging_0885/klagomål/A 40339-2023 FSC-klagomål.docx", "A 40339-2023")</f>
        <v/>
      </c>
      <c r="AB88">
        <f>HYPERLINK("https://klasma.github.io/Logging_0885/klagomålsmail/A 40339-2023 FSC-klagomål mail.docx", "A 40339-2023")</f>
        <v/>
      </c>
      <c r="AC88">
        <f>HYPERLINK("https://klasma.github.io/Logging_0885/tillsyn/A 40339-2023 tillsynsbegäran.docx", "A 40339-2023")</f>
        <v/>
      </c>
      <c r="AD88">
        <f>HYPERLINK("https://klasma.github.io/Logging_0885/tillsynsmail/A 40339-2023 tillsynsbegäran mail.docx", "A 40339-2023")</f>
        <v/>
      </c>
    </row>
    <row r="89" ht="15" customHeight="1">
      <c r="A89" t="inlineStr">
        <is>
          <t>A 33293-2026</t>
        </is>
      </c>
      <c r="B89" t="inlineStr">
        <is>
          <t>avverkningsanmälan</t>
        </is>
      </c>
      <c r="C89" t="inlineStr">
        <is>
          <t>Avverkning för att bevara och utveckla /försöksver</t>
        </is>
      </c>
      <c r="D89" s="1" t="n">
        <v>46246</v>
      </c>
      <c r="E89" s="1" t="n">
        <v>46321</v>
      </c>
      <c r="F89" t="inlineStr">
        <is>
          <t>KALMAR LÄN</t>
        </is>
      </c>
      <c r="G89" t="inlineStr">
        <is>
          <t>BORGHOLM</t>
        </is>
      </c>
      <c r="H89" t="inlineStr">
        <is>
          <t>Sveaskog</t>
        </is>
      </c>
      <c r="I89" t="n">
        <v>3.8</v>
      </c>
      <c r="J89" t="n">
        <v>1</v>
      </c>
      <c r="K89" t="n">
        <v>1</v>
      </c>
      <c r="L89" t="n">
        <v>0</v>
      </c>
      <c r="M89" t="n">
        <v>0</v>
      </c>
      <c r="N89" t="n">
        <v>0</v>
      </c>
      <c r="O89" t="n">
        <v>0</v>
      </c>
      <c r="P89" t="n">
        <v>0</v>
      </c>
      <c r="Q89" t="n">
        <v>0</v>
      </c>
      <c r="R89" t="n">
        <v>0</v>
      </c>
      <c r="S89" t="n">
        <v>1</v>
      </c>
      <c r="T89" t="n">
        <v>2</v>
      </c>
      <c r="U89" t="n">
        <v>0</v>
      </c>
      <c r="V89" s="2" t="inlineStr">
        <is>
          <t>Skogsknipprot</t>
        </is>
      </c>
      <c r="W89">
        <f>HYPERLINK("https://klasma.github.io/Logging_0885/artfynd/A 33293-2026 artfynd.xlsx", "A 33293-2026")</f>
        <v/>
      </c>
      <c r="X89">
        <f>HYPERLINK("https://klasma.github.io/Logging_0885/kartor/A 33293-2026 karta.png", "A 33293-2026")</f>
        <v/>
      </c>
      <c r="Y89">
        <f>HYPERLINK("https://klasma.github.io/Logging_0885/kartor_geotiff/A 33293-2026 georefererad karta.tif", "A 33293-2026")</f>
        <v/>
      </c>
      <c r="AA89">
        <f>HYPERLINK("https://klasma.github.io/Logging_0885/klagomål/A 33293-2026 FSC-klagomål.docx", "A 33293-2026")</f>
        <v/>
      </c>
      <c r="AB89">
        <f>HYPERLINK("https://klasma.github.io/Logging_0885/klagomålsmail/A 33293-2026 FSC-klagomål mail.docx", "A 33293-2026")</f>
        <v/>
      </c>
      <c r="AC89">
        <f>HYPERLINK("https://klasma.github.io/Logging_0885/tillsyn/A 33293-2026 tillsynsbegäran.docx", "A 33293-2026")</f>
        <v/>
      </c>
      <c r="AD89">
        <f>HYPERLINK("https://klasma.github.io/Logging_0885/tillsynsmail/A 33293-2026 tillsynsbegäran mail.docx", "A 33293-2026")</f>
        <v/>
      </c>
    </row>
    <row r="90" ht="15" customHeight="1">
      <c r="A90" t="inlineStr">
        <is>
          <t>A 7481-2026</t>
        </is>
      </c>
      <c r="B90" t="inlineStr">
        <is>
          <t>avverkningsanmälan</t>
        </is>
      </c>
      <c r="C90" t="inlineStr">
        <is>
          <t>Föryngringsavverkning</t>
        </is>
      </c>
      <c r="D90" s="1" t="n">
        <v>46059</v>
      </c>
      <c r="E90" s="1" t="n">
        <v>46321</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9104-2026</t>
        </is>
      </c>
      <c r="B91" t="inlineStr">
        <is>
          <t>avverkningsanmälan</t>
        </is>
      </c>
      <c r="C91" t="inlineStr">
        <is>
          <t>Avverkning för annat ändamål</t>
        </is>
      </c>
      <c r="D91" s="1" t="n">
        <v>46069</v>
      </c>
      <c r="E91" s="1" t="n">
        <v>46321</v>
      </c>
      <c r="F91" t="inlineStr">
        <is>
          <t>KALMAR LÄN</t>
        </is>
      </c>
      <c r="G91" t="inlineStr">
        <is>
          <t>BORGHOLM</t>
        </is>
      </c>
      <c r="I91" t="n">
        <v>1.3</v>
      </c>
      <c r="J91" t="n">
        <v>0</v>
      </c>
      <c r="K91" t="n">
        <v>0</v>
      </c>
      <c r="L91" t="n">
        <v>0</v>
      </c>
      <c r="M91" t="n">
        <v>0</v>
      </c>
      <c r="N91" t="n">
        <v>0</v>
      </c>
      <c r="O91" t="n">
        <v>0</v>
      </c>
      <c r="P91" t="n">
        <v>0</v>
      </c>
      <c r="Q91" t="n">
        <v>0</v>
      </c>
      <c r="R91" t="n">
        <v>0</v>
      </c>
      <c r="S91" t="n">
        <v>1</v>
      </c>
      <c r="T91" t="n">
        <v>1</v>
      </c>
      <c r="U91" t="n">
        <v>1</v>
      </c>
      <c r="V91" s="2" t="inlineStr">
        <is>
          <t>Liljekonvalj</t>
        </is>
      </c>
      <c r="W91">
        <f>HYPERLINK("https://klasma.github.io/Logging_0885/artfynd/A 9104-2026 artfynd.xlsx", "A 9104-2026")</f>
        <v/>
      </c>
      <c r="X91">
        <f>HYPERLINK("https://klasma.github.io/Logging_0885/kartor/A 9104-2026 karta.png", "A 9104-2026")</f>
        <v/>
      </c>
      <c r="Y91">
        <f>HYPERLINK("https://klasma.github.io/Logging_0885/kartor_geotiff/A 9104-2026 georefererad karta.tif", "A 9104-2026")</f>
        <v/>
      </c>
      <c r="AA91">
        <f>HYPERLINK("https://klasma.github.io/Logging_0885/klagomål/A 9104-2026 FSC-klagomål.docx", "A 9104-2026")</f>
        <v/>
      </c>
      <c r="AB91">
        <f>HYPERLINK("https://klasma.github.io/Logging_0885/klagomålsmail/A 9104-2026 FSC-klagomål mail.docx", "A 9104-2026")</f>
        <v/>
      </c>
      <c r="AC91">
        <f>HYPERLINK("https://klasma.github.io/Logging_0885/tillsyn/A 9104-2026 tillsynsbegäran.docx", "A 9104-2026")</f>
        <v/>
      </c>
      <c r="AD91">
        <f>HYPERLINK("https://klasma.github.io/Logging_0885/tillsynsmail/A 9104-2026 tillsynsbegäran mail.docx", "A 9104-2026")</f>
        <v/>
      </c>
    </row>
    <row r="92" ht="15" customHeight="1">
      <c r="A92" t="inlineStr">
        <is>
          <t>A 28782-2025</t>
        </is>
      </c>
      <c r="B92" t="inlineStr">
        <is>
          <t>avverkningsanmälan</t>
        </is>
      </c>
      <c r="C92" t="inlineStr">
        <is>
          <t>Avverkning för att bevara och utveckla /försöksver</t>
        </is>
      </c>
      <c r="D92" s="1" t="n">
        <v>45820</v>
      </c>
      <c r="E92" s="1" t="n">
        <v>46321</v>
      </c>
      <c r="F92" t="inlineStr">
        <is>
          <t>KALMAR LÄN</t>
        </is>
      </c>
      <c r="G92" t="inlineStr">
        <is>
          <t>BORGHOLM</t>
        </is>
      </c>
      <c r="H92" t="inlineStr">
        <is>
          <t>Sveaskog</t>
        </is>
      </c>
      <c r="I92" t="n">
        <v>0.8</v>
      </c>
      <c r="J92" t="n">
        <v>1</v>
      </c>
      <c r="K92" t="n">
        <v>0</v>
      </c>
      <c r="L92" t="n">
        <v>0</v>
      </c>
      <c r="M92" t="n">
        <v>0</v>
      </c>
      <c r="N92" t="n">
        <v>0</v>
      </c>
      <c r="O92" t="n">
        <v>0</v>
      </c>
      <c r="P92" t="n">
        <v>0</v>
      </c>
      <c r="Q92" t="n">
        <v>0</v>
      </c>
      <c r="R92" t="n">
        <v>0</v>
      </c>
      <c r="S92" t="n">
        <v>1</v>
      </c>
      <c r="T92" t="n">
        <v>1</v>
      </c>
      <c r="U92" t="n">
        <v>0</v>
      </c>
      <c r="V92" s="2" t="inlineStr">
        <is>
          <t>Havsörn</t>
        </is>
      </c>
      <c r="W92">
        <f>HYPERLINK("https://klasma.github.io/Logging_0885/artfynd/A 28782-2025 artfynd.xlsx", "A 28782-2025")</f>
        <v/>
      </c>
      <c r="X92">
        <f>HYPERLINK("https://klasma.github.io/Logging_0885/kartor/A 28782-2025 karta.png", "A 28782-2025")</f>
        <v/>
      </c>
      <c r="Y92">
        <f>HYPERLINK("https://klasma.github.io/Logging_0885/kartor_geotiff/A 28782-2025 georefererad karta.tif", "A 28782-2025")</f>
        <v/>
      </c>
      <c r="AA92">
        <f>HYPERLINK("https://klasma.github.io/Logging_0885/klagomål/A 28782-2025 FSC-klagomål.docx", "A 28782-2025")</f>
        <v/>
      </c>
      <c r="AB92">
        <f>HYPERLINK("https://klasma.github.io/Logging_0885/klagomålsmail/A 28782-2025 FSC-klagomål mail.docx", "A 28782-2025")</f>
        <v/>
      </c>
      <c r="AC92">
        <f>HYPERLINK("https://klasma.github.io/Logging_0885/tillsyn/A 28782-2025 tillsynsbegäran.docx", "A 28782-2025")</f>
        <v/>
      </c>
      <c r="AD92">
        <f>HYPERLINK("https://klasma.github.io/Logging_0885/tillsynsmail/A 28782-2025 tillsynsbegäran mail.docx", "A 28782-2025")</f>
        <v/>
      </c>
      <c r="AE92">
        <f>HYPERLINK("https://klasma.github.io/Logging_0885/fåglar/A 28782-2025 prioriterade fågelarter.docx", "A 28782-2025")</f>
        <v/>
      </c>
    </row>
    <row r="93" ht="15" customHeight="1">
      <c r="A93" t="inlineStr">
        <is>
          <t>A 28785-2025</t>
        </is>
      </c>
      <c r="B93" t="inlineStr">
        <is>
          <t>avverkningsanmälan</t>
        </is>
      </c>
      <c r="C93" t="inlineStr">
        <is>
          <t>Avverkning för att bevara och utveckla /försöksver</t>
        </is>
      </c>
      <c r="D93" s="1" t="n">
        <v>45820</v>
      </c>
      <c r="E93" s="1" t="n">
        <v>46321</v>
      </c>
      <c r="F93" t="inlineStr">
        <is>
          <t>KALMAR LÄN</t>
        </is>
      </c>
      <c r="G93" t="inlineStr">
        <is>
          <t>BORGHOLM</t>
        </is>
      </c>
      <c r="H93" t="inlineStr">
        <is>
          <t>Sveaskog</t>
        </is>
      </c>
      <c r="I93" t="n">
        <v>2.3</v>
      </c>
      <c r="J93" t="n">
        <v>1</v>
      </c>
      <c r="K93" t="n">
        <v>0</v>
      </c>
      <c r="L93" t="n">
        <v>0</v>
      </c>
      <c r="M93" t="n">
        <v>0</v>
      </c>
      <c r="N93" t="n">
        <v>0</v>
      </c>
      <c r="O93" t="n">
        <v>0</v>
      </c>
      <c r="P93" t="n">
        <v>0</v>
      </c>
      <c r="Q93" t="n">
        <v>0</v>
      </c>
      <c r="R93" t="n">
        <v>0</v>
      </c>
      <c r="S93" t="n">
        <v>1</v>
      </c>
      <c r="T93" t="n">
        <v>1</v>
      </c>
      <c r="U93" t="n">
        <v>0</v>
      </c>
      <c r="V93" s="2" t="inlineStr">
        <is>
          <t>Havsörn</t>
        </is>
      </c>
      <c r="W93">
        <f>HYPERLINK("https://klasma.github.io/Logging_0885/artfynd/A 28785-2025 artfynd.xlsx", "A 28785-2025")</f>
        <v/>
      </c>
      <c r="X93">
        <f>HYPERLINK("https://klasma.github.io/Logging_0885/kartor/A 28785-2025 karta.png", "A 28785-2025")</f>
        <v/>
      </c>
      <c r="Y93">
        <f>HYPERLINK("https://klasma.github.io/Logging_0885/kartor_geotiff/A 28785-2025 georefererad karta.tif", "A 28785-2025")</f>
        <v/>
      </c>
      <c r="AA93">
        <f>HYPERLINK("https://klasma.github.io/Logging_0885/klagomål/A 28785-2025 FSC-klagomål.docx", "A 28785-2025")</f>
        <v/>
      </c>
      <c r="AB93">
        <f>HYPERLINK("https://klasma.github.io/Logging_0885/klagomålsmail/A 28785-2025 FSC-klagomål mail.docx", "A 28785-2025")</f>
        <v/>
      </c>
      <c r="AC93">
        <f>HYPERLINK("https://klasma.github.io/Logging_0885/tillsyn/A 28785-2025 tillsynsbegäran.docx", "A 28785-2025")</f>
        <v/>
      </c>
      <c r="AD93">
        <f>HYPERLINK("https://klasma.github.io/Logging_0885/tillsynsmail/A 28785-2025 tillsynsbegäran mail.docx", "A 28785-2025")</f>
        <v/>
      </c>
      <c r="AE93">
        <f>HYPERLINK("https://klasma.github.io/Logging_0885/fåglar/A 28785-2025 prioriterade fågelarter.docx", "A 28785-2025")</f>
        <v/>
      </c>
    </row>
    <row r="94" ht="15" customHeight="1">
      <c r="A94" t="inlineStr">
        <is>
          <t>A 9905-2026</t>
        </is>
      </c>
      <c r="B94" t="inlineStr">
        <is>
          <t>avverkningsanmälan</t>
        </is>
      </c>
      <c r="C94" t="inlineStr">
        <is>
          <t>Föryngringsavverkning</t>
        </is>
      </c>
      <c r="D94" s="1" t="n">
        <v>46073</v>
      </c>
      <c r="E94" s="1" t="n">
        <v>46321</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9745-2023</t>
        </is>
      </c>
      <c r="B95" t="inlineStr">
        <is>
          <t>avverkningsanmälan</t>
        </is>
      </c>
      <c r="C95" t="inlineStr">
        <is>
          <t>Föryngringsavverkning</t>
        </is>
      </c>
      <c r="D95" s="1" t="n">
        <v>44984</v>
      </c>
      <c r="E95" s="1" t="n">
        <v>46321</v>
      </c>
      <c r="F95" t="inlineStr">
        <is>
          <t>KALMAR LÄN</t>
        </is>
      </c>
      <c r="G95" t="inlineStr">
        <is>
          <t>BORGHOLM</t>
        </is>
      </c>
      <c r="I95" t="n">
        <v>1.2</v>
      </c>
      <c r="J95" t="n">
        <v>1</v>
      </c>
      <c r="K95" t="n">
        <v>1</v>
      </c>
      <c r="L95" t="n">
        <v>0</v>
      </c>
      <c r="M95" t="n">
        <v>0</v>
      </c>
      <c r="N95" t="n">
        <v>0</v>
      </c>
      <c r="O95" t="n">
        <v>0</v>
      </c>
      <c r="P95" t="n">
        <v>0</v>
      </c>
      <c r="Q95" t="n">
        <v>0</v>
      </c>
      <c r="R95" t="n">
        <v>0</v>
      </c>
      <c r="S95" t="n">
        <v>1</v>
      </c>
      <c r="T95" t="n">
        <v>2</v>
      </c>
      <c r="U95" t="n">
        <v>1</v>
      </c>
      <c r="V95" s="2" t="inlineStr">
        <is>
          <t>Skogsknipprot</t>
        </is>
      </c>
      <c r="W95">
        <f>HYPERLINK("https://klasma.github.io/Logging_0885/artfynd/A 9745-2023 artfynd.xlsx", "A 9745-2023")</f>
        <v/>
      </c>
      <c r="X95">
        <f>HYPERLINK("https://klasma.github.io/Logging_0885/kartor/A 9745-2023 karta.png", "A 9745-2023")</f>
        <v/>
      </c>
      <c r="Y95">
        <f>HYPERLINK("https://klasma.github.io/Logging_0885/kartor_geotiff/A 9745-2023 georefererad karta.tif", "A 9745-2023")</f>
        <v/>
      </c>
      <c r="AA95">
        <f>HYPERLINK("https://klasma.github.io/Logging_0885/klagomål/A 9745-2023 FSC-klagomål.docx", "A 9745-2023")</f>
        <v/>
      </c>
      <c r="AB95">
        <f>HYPERLINK("https://klasma.github.io/Logging_0885/klagomålsmail/A 9745-2023 FSC-klagomål mail.docx", "A 9745-2023")</f>
        <v/>
      </c>
      <c r="AC95">
        <f>HYPERLINK("https://klasma.github.io/Logging_0885/tillsyn/A 9745-2023 tillsynsbegäran.docx", "A 9745-2023")</f>
        <v/>
      </c>
      <c r="AD95">
        <f>HYPERLINK("https://klasma.github.io/Logging_0885/tillsynsmail/A 9745-2023 tillsynsbegäran mail.docx", "A 9745-2023")</f>
        <v/>
      </c>
    </row>
    <row r="96" ht="15" customHeight="1">
      <c r="A96" t="inlineStr">
        <is>
          <t>A 20878-2024</t>
        </is>
      </c>
      <c r="B96" t="inlineStr">
        <is>
          <t>avverkningsanmälan</t>
        </is>
      </c>
      <c r="C96" t="inlineStr">
        <is>
          <t>Föryngringsavverkning</t>
        </is>
      </c>
      <c r="D96" s="1" t="n">
        <v>45439</v>
      </c>
      <c r="E96" s="1" t="n">
        <v>46321</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31720-2022</t>
        </is>
      </c>
      <c r="B97" t="inlineStr">
        <is>
          <t>avverkningsanmälan</t>
        </is>
      </c>
      <c r="C97" t="inlineStr">
        <is>
          <t>Föryngringsavverkning</t>
        </is>
      </c>
      <c r="D97" s="1" t="n">
        <v>44776</v>
      </c>
      <c r="E97" s="1" t="n">
        <v>46321</v>
      </c>
      <c r="F97" t="inlineStr">
        <is>
          <t>KALMAR LÄN</t>
        </is>
      </c>
      <c r="G97" t="inlineStr">
        <is>
          <t>BORGHOLM</t>
        </is>
      </c>
      <c r="H97" t="inlineStr">
        <is>
          <t>Sveaskog</t>
        </is>
      </c>
      <c r="I97" t="n">
        <v>4.5</v>
      </c>
      <c r="J97" t="n">
        <v>1</v>
      </c>
      <c r="K97" t="n">
        <v>1</v>
      </c>
      <c r="L97" t="n">
        <v>0</v>
      </c>
      <c r="M97" t="n">
        <v>0</v>
      </c>
      <c r="N97" t="n">
        <v>0</v>
      </c>
      <c r="O97" t="n">
        <v>0</v>
      </c>
      <c r="P97" t="n">
        <v>0</v>
      </c>
      <c r="Q97" t="n">
        <v>0</v>
      </c>
      <c r="R97" t="n">
        <v>0</v>
      </c>
      <c r="S97" t="n">
        <v>1</v>
      </c>
      <c r="T97" t="n">
        <v>1</v>
      </c>
      <c r="U97" t="n">
        <v>1</v>
      </c>
      <c r="V97" s="2" t="inlineStr">
        <is>
          <t>Tvåblad</t>
        </is>
      </c>
      <c r="W97">
        <f>HYPERLINK("https://klasma.github.io/Logging_0885/artfynd/A 31720-2022 artfynd.xlsx", "A 31720-2022")</f>
        <v/>
      </c>
      <c r="X97">
        <f>HYPERLINK("https://klasma.github.io/Logging_0885/kartor/A 31720-2022 karta.png", "A 31720-2022")</f>
        <v/>
      </c>
      <c r="Y97">
        <f>HYPERLINK("https://klasma.github.io/Logging_0885/kartor_geotiff/A 31720-2022 georefererad karta.tif", "A 31720-2022")</f>
        <v/>
      </c>
      <c r="AA97">
        <f>HYPERLINK("https://klasma.github.io/Logging_0885/klagomål/A 31720-2022 FSC-klagomål.docx", "A 31720-2022")</f>
        <v/>
      </c>
      <c r="AB97">
        <f>HYPERLINK("https://klasma.github.io/Logging_0885/klagomålsmail/A 31720-2022 FSC-klagomål mail.docx", "A 31720-2022")</f>
        <v/>
      </c>
      <c r="AC97">
        <f>HYPERLINK("https://klasma.github.io/Logging_0885/tillsyn/A 31720-2022 tillsynsbegäran.docx", "A 31720-2022")</f>
        <v/>
      </c>
      <c r="AD97">
        <f>HYPERLINK("https://klasma.github.io/Logging_0885/tillsynsmail/A 31720-2022 tillsynsbegäran mail.docx", "A 31720-2022")</f>
        <v/>
      </c>
    </row>
    <row r="98" ht="15" customHeight="1">
      <c r="A98" t="inlineStr">
        <is>
          <t>A 24701-2023</t>
        </is>
      </c>
      <c r="B98" t="inlineStr">
        <is>
          <t>avverkningsanmälan</t>
        </is>
      </c>
      <c r="C98" t="inlineStr">
        <is>
          <t>Föryngringsavverkning</t>
        </is>
      </c>
      <c r="D98" s="1" t="n">
        <v>45084</v>
      </c>
      <c r="E98" s="1" t="n">
        <v>46321</v>
      </c>
      <c r="F98" t="inlineStr">
        <is>
          <t>KALMAR LÄN</t>
        </is>
      </c>
      <c r="G98" t="inlineStr">
        <is>
          <t>BORGHOLM</t>
        </is>
      </c>
      <c r="I98" t="n">
        <v>3</v>
      </c>
      <c r="J98" t="n">
        <v>0</v>
      </c>
      <c r="K98" t="n">
        <v>0</v>
      </c>
      <c r="L98" t="n">
        <v>0</v>
      </c>
      <c r="M98" t="n">
        <v>0</v>
      </c>
      <c r="N98" t="n">
        <v>1</v>
      </c>
      <c r="O98" t="n">
        <v>0</v>
      </c>
      <c r="P98" t="n">
        <v>0</v>
      </c>
      <c r="Q98" t="n">
        <v>1</v>
      </c>
      <c r="R98" t="n">
        <v>1</v>
      </c>
      <c r="S98" t="n">
        <v>1</v>
      </c>
      <c r="T98" t="n">
        <v>3</v>
      </c>
      <c r="U98" t="n">
        <v>0</v>
      </c>
      <c r="V98" s="2" t="inlineStr">
        <is>
          <t>Ask</t>
        </is>
      </c>
      <c r="W98">
        <f>HYPERLINK("https://klasma.github.io/Logging_0885/artfynd/A 24701-2023 artfynd.xlsx", "A 24701-2023")</f>
        <v/>
      </c>
      <c r="X98">
        <f>HYPERLINK("https://klasma.github.io/Logging_0885/kartor/A 24701-2023 karta.png", "A 24701-2023")</f>
        <v/>
      </c>
      <c r="Y98">
        <f>HYPERLINK("https://klasma.github.io/Logging_0885/kartor_geotiff/A 24701-2023 georefererad karta.tif", "A 24701-2023")</f>
        <v/>
      </c>
      <c r="AA98">
        <f>HYPERLINK("https://klasma.github.io/Logging_0885/klagomål/A 24701-2023 FSC-klagomål.docx", "A 24701-2023")</f>
        <v/>
      </c>
      <c r="AB98">
        <f>HYPERLINK("https://klasma.github.io/Logging_0885/klagomålsmail/A 24701-2023 FSC-klagomål mail.docx", "A 24701-2023")</f>
        <v/>
      </c>
      <c r="AC98">
        <f>HYPERLINK("https://klasma.github.io/Logging_0885/tillsyn/A 24701-2023 tillsynsbegäran.docx", "A 24701-2023")</f>
        <v/>
      </c>
      <c r="AD98">
        <f>HYPERLINK("https://klasma.github.io/Logging_0885/tillsynsmail/A 24701-2023 tillsynsbegäran mail.docx", "A 24701-2023")</f>
        <v/>
      </c>
    </row>
    <row r="99" ht="15" customHeight="1">
      <c r="A99" t="inlineStr">
        <is>
          <t>A 24704-2023</t>
        </is>
      </c>
      <c r="B99" t="inlineStr">
        <is>
          <t>avverkningsanmälan</t>
        </is>
      </c>
      <c r="C99" t="inlineStr">
        <is>
          <t>Föryngringsavverkning</t>
        </is>
      </c>
      <c r="D99" s="1" t="n">
        <v>45084</v>
      </c>
      <c r="E99" s="1" t="n">
        <v>46321</v>
      </c>
      <c r="F99" t="inlineStr">
        <is>
          <t>KALMAR LÄN</t>
        </is>
      </c>
      <c r="G99" t="inlineStr">
        <is>
          <t>BORGHOLM</t>
        </is>
      </c>
      <c r="I99" t="n">
        <v>3.5</v>
      </c>
      <c r="J99" t="n">
        <v>0</v>
      </c>
      <c r="K99" t="n">
        <v>0</v>
      </c>
      <c r="L99" t="n">
        <v>0</v>
      </c>
      <c r="M99" t="n">
        <v>0</v>
      </c>
      <c r="N99" t="n">
        <v>1</v>
      </c>
      <c r="O99" t="n">
        <v>0</v>
      </c>
      <c r="P99" t="n">
        <v>0</v>
      </c>
      <c r="Q99" t="n">
        <v>1</v>
      </c>
      <c r="R99" t="n">
        <v>1</v>
      </c>
      <c r="S99" t="n">
        <v>1</v>
      </c>
      <c r="T99" t="n">
        <v>2</v>
      </c>
      <c r="U99" t="n">
        <v>0</v>
      </c>
      <c r="V99" s="2" t="inlineStr">
        <is>
          <t>Ask</t>
        </is>
      </c>
      <c r="W99">
        <f>HYPERLINK("https://klasma.github.io/Logging_0885/artfynd/A 24704-2023 artfynd.xlsx", "A 24704-2023")</f>
        <v/>
      </c>
      <c r="X99">
        <f>HYPERLINK("https://klasma.github.io/Logging_0885/kartor/A 24704-2023 karta.png", "A 24704-2023")</f>
        <v/>
      </c>
      <c r="Y99">
        <f>HYPERLINK("https://klasma.github.io/Logging_0885/kartor_geotiff/A 24704-2023 georefererad karta.tif", "A 24704-2023")</f>
        <v/>
      </c>
      <c r="AA99">
        <f>HYPERLINK("https://klasma.github.io/Logging_0885/klagomål/A 24704-2023 FSC-klagomål.docx", "A 24704-2023")</f>
        <v/>
      </c>
      <c r="AB99">
        <f>HYPERLINK("https://klasma.github.io/Logging_0885/klagomålsmail/A 24704-2023 FSC-klagomål mail.docx", "A 24704-2023")</f>
        <v/>
      </c>
      <c r="AC99">
        <f>HYPERLINK("https://klasma.github.io/Logging_0885/tillsyn/A 24704-2023 tillsynsbegäran.docx", "A 24704-2023")</f>
        <v/>
      </c>
      <c r="AD99">
        <f>HYPERLINK("https://klasma.github.io/Logging_0885/tillsynsmail/A 24704-2023 tillsynsbegäran mail.docx", "A 24704-2023")</f>
        <v/>
      </c>
    </row>
    <row r="100" ht="15" customHeight="1">
      <c r="A100" t="inlineStr">
        <is>
          <t>A 19867-2024</t>
        </is>
      </c>
      <c r="B100" t="inlineStr">
        <is>
          <t>avverkningsanmälan</t>
        </is>
      </c>
      <c r="C100" t="inlineStr">
        <is>
          <t>Föryngringsavverkning</t>
        </is>
      </c>
      <c r="D100" s="1" t="n">
        <v>45433</v>
      </c>
      <c r="E100" s="1" t="n">
        <v>46321</v>
      </c>
      <c r="F100" t="inlineStr">
        <is>
          <t>KALMAR LÄN</t>
        </is>
      </c>
      <c r="G100" t="inlineStr">
        <is>
          <t>BORGHOLM</t>
        </is>
      </c>
      <c r="I100" t="n">
        <v>3.9</v>
      </c>
      <c r="J100" t="n">
        <v>0</v>
      </c>
      <c r="K100" t="n">
        <v>0</v>
      </c>
      <c r="L100" t="n">
        <v>1</v>
      </c>
      <c r="M100" t="n">
        <v>0</v>
      </c>
      <c r="N100" t="n">
        <v>0</v>
      </c>
      <c r="O100" t="n">
        <v>0</v>
      </c>
      <c r="P100" t="n">
        <v>0</v>
      </c>
      <c r="Q100" t="n">
        <v>1</v>
      </c>
      <c r="R100" t="n">
        <v>0</v>
      </c>
      <c r="S100" t="n">
        <v>1</v>
      </c>
      <c r="T100" t="n">
        <v>1</v>
      </c>
      <c r="U100" t="n">
        <v>1</v>
      </c>
      <c r="V100" s="2" t="inlineStr">
        <is>
          <t>Åkerkulla</t>
        </is>
      </c>
      <c r="W100">
        <f>HYPERLINK("https://klasma.github.io/Logging_0885/artfynd/A 19867-2024 artfynd.xlsx", "A 19867-2024")</f>
        <v/>
      </c>
      <c r="X100">
        <f>HYPERLINK("https://klasma.github.io/Logging_0885/kartor/A 19867-2024 karta.png", "A 19867-2024")</f>
        <v/>
      </c>
      <c r="Y100">
        <f>HYPERLINK("https://klasma.github.io/Logging_0885/kartor_geotiff/A 19867-2024 georefererad karta.tif", "A 19867-2024")</f>
        <v/>
      </c>
      <c r="AA100">
        <f>HYPERLINK("https://klasma.github.io/Logging_0885/klagomål/A 19867-2024 FSC-klagomål.docx", "A 19867-2024")</f>
        <v/>
      </c>
      <c r="AB100">
        <f>HYPERLINK("https://klasma.github.io/Logging_0885/klagomålsmail/A 19867-2024 FSC-klagomål mail.docx", "A 19867-2024")</f>
        <v/>
      </c>
      <c r="AC100">
        <f>HYPERLINK("https://klasma.github.io/Logging_0885/tillsyn/A 19867-2024 tillsynsbegäran.docx", "A 19867-2024")</f>
        <v/>
      </c>
      <c r="AD100">
        <f>HYPERLINK("https://klasma.github.io/Logging_0885/tillsynsmail/A 19867-2024 tillsynsbegäran mail.docx", "A 19867-2024")</f>
        <v/>
      </c>
    </row>
    <row r="101" ht="15" customHeight="1">
      <c r="A101" t="inlineStr">
        <is>
          <t>S 2390-2023</t>
        </is>
      </c>
      <c r="B101" t="inlineStr">
        <is>
          <t>samrådsanmälan</t>
        </is>
      </c>
      <c r="C101" t="inlineStr">
        <is>
          <t>Annan skogsbruksåtgärd</t>
        </is>
      </c>
      <c r="D101" s="1" t="n">
        <v>45111</v>
      </c>
      <c r="E101" s="1" t="n">
        <v>46321</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46321</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46321</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46321</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46321</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46321</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46321</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46321</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46321</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46321</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46321</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46321</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46321</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13383-2023</t>
        </is>
      </c>
      <c r="B114" t="inlineStr">
        <is>
          <t>avverkningsanmälan</t>
        </is>
      </c>
      <c r="C114" t="inlineStr">
        <is>
          <t>Föryngringsavverkning</t>
        </is>
      </c>
      <c r="D114" s="1" t="n">
        <v>45005</v>
      </c>
      <c r="E114" s="1" t="n">
        <v>46321</v>
      </c>
      <c r="F114" t="inlineStr">
        <is>
          <t>KALMAR LÄN</t>
        </is>
      </c>
      <c r="G114" t="inlineStr">
        <is>
          <t>BORGHOLM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46321</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46321</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12937-2022</t>
        </is>
      </c>
      <c r="B117" t="inlineStr">
        <is>
          <t>avverkningsanmälan</t>
        </is>
      </c>
      <c r="C117" t="inlineStr">
        <is>
          <t>Föryngringsavverkning</t>
        </is>
      </c>
      <c r="D117" s="1" t="n">
        <v>44642</v>
      </c>
      <c r="E117" s="1" t="n">
        <v>46321</v>
      </c>
      <c r="F117" t="inlineStr">
        <is>
          <t>KALMAR LÄN</t>
        </is>
      </c>
      <c r="G117" t="inlineStr">
        <is>
          <t>BORGHOLM</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46321</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24323-2026</t>
        </is>
      </c>
      <c r="B119" t="inlineStr">
        <is>
          <t>avverkningsanmälan</t>
        </is>
      </c>
      <c r="C119" t="inlineStr">
        <is>
          <t>Föryngringsavverkning</t>
        </is>
      </c>
      <c r="D119" s="1" t="n">
        <v>46169</v>
      </c>
      <c r="E119" s="1" t="n">
        <v>46321</v>
      </c>
      <c r="F119" t="inlineStr">
        <is>
          <t>KALMAR LÄN</t>
        </is>
      </c>
      <c r="G119" t="inlineStr">
        <is>
          <t>BORGHOLM</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46321</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61438-2023</t>
        </is>
      </c>
      <c r="B121" t="inlineStr">
        <is>
          <t>avverkningsanmälan</t>
        </is>
      </c>
      <c r="C121" t="inlineStr">
        <is>
          <t>Avverkning för annat ändamål</t>
        </is>
      </c>
      <c r="D121" s="1" t="n">
        <v>45264</v>
      </c>
      <c r="E121" s="1" t="n">
        <v>46321</v>
      </c>
      <c r="F121" t="inlineStr">
        <is>
          <t>KALMAR LÄN</t>
        </is>
      </c>
      <c r="G121" t="inlineStr">
        <is>
          <t>BORGHOLM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13041-2024</t>
        </is>
      </c>
      <c r="B122" t="inlineStr">
        <is>
          <t>avverkningsanmälan</t>
        </is>
      </c>
      <c r="C122" t="inlineStr">
        <is>
          <t>Föryngringsavverkning</t>
        </is>
      </c>
      <c r="D122" s="1" t="n">
        <v>45385</v>
      </c>
      <c r="E122" s="1" t="n">
        <v>46321</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26160-2024</t>
        </is>
      </c>
      <c r="B123" t="inlineStr">
        <is>
          <t>avverkningsanmälan</t>
        </is>
      </c>
      <c r="C123" t="inlineStr">
        <is>
          <t>Avverkning för annat ändamål</t>
        </is>
      </c>
      <c r="D123" s="1" t="n">
        <v>45468</v>
      </c>
      <c r="E123" s="1" t="n">
        <v>46321</v>
      </c>
      <c r="F123" t="inlineStr">
        <is>
          <t>KALMAR LÄN</t>
        </is>
      </c>
      <c r="G123" t="inlineStr">
        <is>
          <t>BORGHOLM</t>
        </is>
      </c>
      <c r="I123" t="n">
        <v>0.4</v>
      </c>
      <c r="J123" t="n">
        <v>0</v>
      </c>
      <c r="K123" t="n">
        <v>0</v>
      </c>
      <c r="L123" t="n">
        <v>0</v>
      </c>
      <c r="M123" t="n">
        <v>0</v>
      </c>
      <c r="N123" t="n">
        <v>0</v>
      </c>
      <c r="O123" t="n">
        <v>0</v>
      </c>
      <c r="P123" t="n">
        <v>0</v>
      </c>
      <c r="Q123" t="n">
        <v>0</v>
      </c>
      <c r="R123" t="n">
        <v>0</v>
      </c>
      <c r="S123" t="n">
        <v>0</v>
      </c>
      <c r="T123" t="n">
        <v>0</v>
      </c>
      <c r="U123" t="n">
        <v>0</v>
      </c>
      <c r="V123" s="2" t="inlineStr"/>
      <c r="X123">
        <f>HYPERLINK("https://klasma.github.io/Logging_0885/kartor/A 26160-2024 karta.png", "A 26160-2024")</f>
        <v/>
      </c>
      <c r="Y123">
        <f>HYPERLINK("https://klasma.github.io/Logging_0885/kartor_geotiff/A 26160-2024 georefererad karta.tif", "A 26160-2024")</f>
        <v/>
      </c>
      <c r="AA123">
        <f>HYPERLINK("https://klasma.github.io/Logging_0885/klagomål/A 26160-2024 FSC-klagomål.docx", "A 26160-2024")</f>
        <v/>
      </c>
      <c r="AB123">
        <f>HYPERLINK("https://klasma.github.io/Logging_0885/klagomålsmail/A 26160-2024 FSC-klagomål mail.docx", "A 26160-2024")</f>
        <v/>
      </c>
      <c r="AC123">
        <f>HYPERLINK("https://klasma.github.io/Logging_0885/tillsyn/A 26160-2024 tillsynsbegäran.docx", "A 26160-2024")</f>
        <v/>
      </c>
      <c r="AD123">
        <f>HYPERLINK("https://klasma.github.io/Logging_0885/tillsynsmail/A 26160-2024 tillsynsbegäran mail.docx", "A 26160-2024")</f>
        <v/>
      </c>
    </row>
    <row r="124" ht="15" customHeight="1">
      <c r="A124" t="inlineStr">
        <is>
          <t>A 1614-2025</t>
        </is>
      </c>
      <c r="B124" t="inlineStr">
        <is>
          <t>avverkningsanmälan</t>
        </is>
      </c>
      <c r="C124" t="inlineStr">
        <is>
          <t>Föryngringsavverkning</t>
        </is>
      </c>
      <c r="D124" s="1" t="n">
        <v>45670</v>
      </c>
      <c r="E124" s="1" t="n">
        <v>46321</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28380-2026</t>
        </is>
      </c>
      <c r="B125" t="inlineStr">
        <is>
          <t>avverkningsanmälan</t>
        </is>
      </c>
      <c r="C125" t="inlineStr">
        <is>
          <t>Avverkning för att bevara och utveckla /försöksver</t>
        </is>
      </c>
      <c r="D125" s="1" t="n">
        <v>46196</v>
      </c>
      <c r="E125" s="1" t="n">
        <v>46321</v>
      </c>
      <c r="F125" t="inlineStr">
        <is>
          <t>KALMAR LÄN</t>
        </is>
      </c>
      <c r="G125" t="inlineStr">
        <is>
          <t>BORGHOLM</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28381-2026</t>
        </is>
      </c>
      <c r="B126" t="inlineStr">
        <is>
          <t>avverkningsanmälan</t>
        </is>
      </c>
      <c r="C126" t="inlineStr">
        <is>
          <t>Avverkning för att bevara och utveckla /försöksver</t>
        </is>
      </c>
      <c r="D126" s="1" t="n">
        <v>46196</v>
      </c>
      <c r="E126" s="1" t="n">
        <v>46321</v>
      </c>
      <c r="F126" t="inlineStr">
        <is>
          <t>KALMAR LÄN</t>
        </is>
      </c>
      <c r="G126" t="inlineStr">
        <is>
          <t>BORGHOLM</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28411-2026</t>
        </is>
      </c>
      <c r="B127" t="inlineStr">
        <is>
          <t>avverkningsanmälan</t>
        </is>
      </c>
      <c r="C127" t="inlineStr">
        <is>
          <t>Avverkning för att bevara och utveckla /försöksver</t>
        </is>
      </c>
      <c r="D127" s="1" t="n">
        <v>46197</v>
      </c>
      <c r="E127" s="1" t="n">
        <v>46321</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29413-2026</t>
        </is>
      </c>
      <c r="B128" t="inlineStr">
        <is>
          <t>avverkningsanmälan</t>
        </is>
      </c>
      <c r="C128" t="inlineStr">
        <is>
          <t>Avverkning för att bevara och utveckla /försöksver</t>
        </is>
      </c>
      <c r="D128" s="1" t="n">
        <v>46203</v>
      </c>
      <c r="E128" s="1" t="n">
        <v>46321</v>
      </c>
      <c r="F128" t="inlineStr">
        <is>
          <t>KALMAR LÄN</t>
        </is>
      </c>
      <c r="G128" t="inlineStr">
        <is>
          <t>BORGHOLM</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29414-2026</t>
        </is>
      </c>
      <c r="B129" t="inlineStr">
        <is>
          <t>avverkningsanmälan</t>
        </is>
      </c>
      <c r="C129" t="inlineStr">
        <is>
          <t>Avverkning för att bevara och utveckla /försöksver</t>
        </is>
      </c>
      <c r="D129" s="1" t="n">
        <v>46203</v>
      </c>
      <c r="E129" s="1" t="n">
        <v>46321</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29431-2026</t>
        </is>
      </c>
      <c r="B130" t="inlineStr">
        <is>
          <t>avverkningsanmälan</t>
        </is>
      </c>
      <c r="C130" t="inlineStr">
        <is>
          <t>Avverkning för att bevara och utveckla /försöksver</t>
        </is>
      </c>
      <c r="D130" s="1" t="n">
        <v>46203</v>
      </c>
      <c r="E130" s="1" t="n">
        <v>46321</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29410-2026</t>
        </is>
      </c>
      <c r="B131" t="inlineStr">
        <is>
          <t>avverkningsanmälan</t>
        </is>
      </c>
      <c r="C131" t="inlineStr">
        <is>
          <t>Avverkning för att bevara och utveckla /försöksver</t>
        </is>
      </c>
      <c r="D131" s="1" t="n">
        <v>46203</v>
      </c>
      <c r="E131" s="1" t="n">
        <v>46321</v>
      </c>
      <c r="F131" t="inlineStr">
        <is>
          <t>KALMAR LÄN</t>
        </is>
      </c>
      <c r="G131" t="inlineStr">
        <is>
          <t>BORGHOLM</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9050-2025</t>
        </is>
      </c>
      <c r="B132" t="inlineStr">
        <is>
          <t>avverkningsanmälan</t>
        </is>
      </c>
      <c r="C132" t="inlineStr">
        <is>
          <t>Avverkning för att bevara och utveckla /försöksver</t>
        </is>
      </c>
      <c r="D132" s="1" t="n">
        <v>45713</v>
      </c>
      <c r="E132" s="1" t="n">
        <v>46321</v>
      </c>
      <c r="F132" t="inlineStr">
        <is>
          <t>KALMAR LÄN</t>
        </is>
      </c>
      <c r="G132" t="inlineStr">
        <is>
          <t>BORGHOLM</t>
        </is>
      </c>
      <c r="H132" t="inlineStr">
        <is>
          <t>Sveaskog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22785-2025</t>
        </is>
      </c>
      <c r="B133" t="inlineStr">
        <is>
          <t>avverkningsanmälan</t>
        </is>
      </c>
      <c r="C133" t="inlineStr">
        <is>
          <t>Föryngringsavverkning</t>
        </is>
      </c>
      <c r="D133" s="1" t="n">
        <v>45789</v>
      </c>
      <c r="E133" s="1" t="n">
        <v>46321</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26190-2025</t>
        </is>
      </c>
      <c r="B134" t="inlineStr">
        <is>
          <t>avverkningsanmälan</t>
        </is>
      </c>
      <c r="C134" t="inlineStr">
        <is>
          <t>Föryngringsavverkning</t>
        </is>
      </c>
      <c r="D134" s="1" t="n">
        <v>45805</v>
      </c>
      <c r="E134" s="1" t="n">
        <v>46321</v>
      </c>
      <c r="F134" t="inlineStr">
        <is>
          <t>KALMAR LÄN</t>
        </is>
      </c>
      <c r="G134" t="inlineStr">
        <is>
          <t>BORGHOLM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24338-2026</t>
        </is>
      </c>
      <c r="B135" t="inlineStr">
        <is>
          <t>avverkningsanmälan</t>
        </is>
      </c>
      <c r="C135" t="inlineStr">
        <is>
          <t>Avverkning för att bevara och utveckla /försöksver</t>
        </is>
      </c>
      <c r="D135" s="1" t="n">
        <v>46169</v>
      </c>
      <c r="E135" s="1" t="n">
        <v>46321</v>
      </c>
      <c r="F135" t="inlineStr">
        <is>
          <t>KALMAR LÄN</t>
        </is>
      </c>
      <c r="G135" t="inlineStr">
        <is>
          <t>BORGHOLM</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9259-2026</t>
        </is>
      </c>
      <c r="B136" t="inlineStr">
        <is>
          <t>avverkningsanmälan</t>
        </is>
      </c>
      <c r="C136" t="inlineStr">
        <is>
          <t>Föryngringsavverkning</t>
        </is>
      </c>
      <c r="D136" s="1" t="n">
        <v>46070</v>
      </c>
      <c r="E136" s="1" t="n">
        <v>46321</v>
      </c>
      <c r="F136" t="inlineStr">
        <is>
          <t>KALMAR LÄN</t>
        </is>
      </c>
      <c r="G136" t="inlineStr">
        <is>
          <t>BORGHOLM</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15272-2026</t>
        </is>
      </c>
      <c r="B137" t="inlineStr">
        <is>
          <t>avverkningsanmälan</t>
        </is>
      </c>
      <c r="C137" t="inlineStr">
        <is>
          <t>Avverkning för att bevara och utveckla /försöksver</t>
        </is>
      </c>
      <c r="D137" s="1" t="n">
        <v>46105</v>
      </c>
      <c r="E137" s="1" t="n">
        <v>46321</v>
      </c>
      <c r="F137" t="inlineStr">
        <is>
          <t>KALMAR LÄN</t>
        </is>
      </c>
      <c r="G137" t="inlineStr">
        <is>
          <t>BORGHOLM</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15264-2026</t>
        </is>
      </c>
      <c r="B138" t="inlineStr">
        <is>
          <t>avverkningsanmälan</t>
        </is>
      </c>
      <c r="C138" t="inlineStr">
        <is>
          <t>Avverkning för att bevara och utveckla /försöksver</t>
        </is>
      </c>
      <c r="D138" s="1" t="n">
        <v>46105</v>
      </c>
      <c r="E138" s="1" t="n">
        <v>46321</v>
      </c>
      <c r="F138" t="inlineStr">
        <is>
          <t>KALMAR LÄN</t>
        </is>
      </c>
      <c r="G138" t="inlineStr">
        <is>
          <t>BORGHOLM</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36269-2025</t>
        </is>
      </c>
      <c r="B139" t="inlineStr">
        <is>
          <t>avverkningsanmälan</t>
        </is>
      </c>
      <c r="C139" t="inlineStr">
        <is>
          <t>Föryngringsavverkning</t>
        </is>
      </c>
      <c r="D139" s="1" t="n">
        <v>45867</v>
      </c>
      <c r="E139" s="1" t="n">
        <v>46321</v>
      </c>
      <c r="F139" t="inlineStr">
        <is>
          <t>KALMAR LÄN</t>
        </is>
      </c>
      <c r="G139" t="inlineStr">
        <is>
          <t>BORGHOLM</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4159-2024</t>
        </is>
      </c>
      <c r="B140" t="inlineStr">
        <is>
          <t>avverkningsanmälan</t>
        </is>
      </c>
      <c r="C140" t="inlineStr">
        <is>
          <t>Föryngringsavverkning</t>
        </is>
      </c>
      <c r="D140" s="1" t="n">
        <v>45323</v>
      </c>
      <c r="E140" s="1" t="n">
        <v>46321</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27357-2025</t>
        </is>
      </c>
      <c r="B141" t="inlineStr">
        <is>
          <t>avverkningsanmälan</t>
        </is>
      </c>
      <c r="C141" t="inlineStr">
        <is>
          <t>Avverkning för att bevara och utveckla /försöksver</t>
        </is>
      </c>
      <c r="D141" s="1" t="n">
        <v>45812</v>
      </c>
      <c r="E141" s="1" t="n">
        <v>46321</v>
      </c>
      <c r="F141" t="inlineStr">
        <is>
          <t>KALMAR LÄN</t>
        </is>
      </c>
      <c r="G141" t="inlineStr">
        <is>
          <t>BORGHOLM</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7669-2024</t>
        </is>
      </c>
      <c r="B142" t="inlineStr">
        <is>
          <t>avverkningsanmälan</t>
        </is>
      </c>
      <c r="C142" t="inlineStr">
        <is>
          <t>Föryngringsavverkning</t>
        </is>
      </c>
      <c r="D142" s="1" t="n">
        <v>45348</v>
      </c>
      <c r="E142" s="1" t="n">
        <v>46321</v>
      </c>
      <c r="F142" t="inlineStr">
        <is>
          <t>KALMAR LÄN</t>
        </is>
      </c>
      <c r="G142" t="inlineStr">
        <is>
          <t>BORGHOLM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4165-2023</t>
        </is>
      </c>
      <c r="B143" t="inlineStr">
        <is>
          <t>avverkningsanmälan</t>
        </is>
      </c>
      <c r="C143" t="inlineStr">
        <is>
          <t>Föryngringsavverkning</t>
        </is>
      </c>
      <c r="D143" s="1" t="n">
        <v>44953</v>
      </c>
      <c r="E143" s="1" t="n">
        <v>46321</v>
      </c>
      <c r="F143" t="inlineStr">
        <is>
          <t>KALMAR LÄN</t>
        </is>
      </c>
      <c r="G143" t="inlineStr">
        <is>
          <t>BORGHOLM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32921-2023</t>
        </is>
      </c>
      <c r="B144" t="inlineStr">
        <is>
          <t>avverkningsanmälan</t>
        </is>
      </c>
      <c r="C144" t="inlineStr">
        <is>
          <t>Föryngringsavverkning</t>
        </is>
      </c>
      <c r="D144" s="1" t="n">
        <v>45125</v>
      </c>
      <c r="E144" s="1" t="n">
        <v>46321</v>
      </c>
      <c r="F144" t="inlineStr">
        <is>
          <t>KALMAR LÄN</t>
        </is>
      </c>
      <c r="G144" t="inlineStr">
        <is>
          <t>BORGHOLM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43603-2024</t>
        </is>
      </c>
      <c r="B145" t="inlineStr">
        <is>
          <t>avverkningsanmälan</t>
        </is>
      </c>
      <c r="C145" t="inlineStr">
        <is>
          <t>Föryngringsavverkning</t>
        </is>
      </c>
      <c r="D145" s="1" t="n">
        <v>45569</v>
      </c>
      <c r="E145" s="1" t="n">
        <v>46321</v>
      </c>
      <c r="F145" t="inlineStr">
        <is>
          <t>KALMAR LÄN</t>
        </is>
      </c>
      <c r="G145" t="inlineStr">
        <is>
          <t>BORGHOLM</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63075-2023</t>
        </is>
      </c>
      <c r="B146" t="inlineStr">
        <is>
          <t>avverkningsanmälan</t>
        </is>
      </c>
      <c r="C146" t="inlineStr">
        <is>
          <t>Avverkning för annat ändamål</t>
        </is>
      </c>
      <c r="D146" s="1" t="n">
        <v>45273</v>
      </c>
      <c r="E146" s="1" t="n">
        <v>46321</v>
      </c>
      <c r="F146" t="inlineStr">
        <is>
          <t>KALMAR LÄN</t>
        </is>
      </c>
      <c r="G146" t="inlineStr">
        <is>
          <t>BORGHOLM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46321</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46321</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55367-2024</t>
        </is>
      </c>
      <c r="B149" t="inlineStr">
        <is>
          <t>avverkningsanmälan</t>
        </is>
      </c>
      <c r="C149" t="inlineStr">
        <is>
          <t>Föryngringsavverkning</t>
        </is>
      </c>
      <c r="D149" s="1" t="n">
        <v>45621</v>
      </c>
      <c r="E149" s="1" t="n">
        <v>46321</v>
      </c>
      <c r="F149" t="inlineStr">
        <is>
          <t>KALMAR LÄN</t>
        </is>
      </c>
      <c r="G149" t="inlineStr">
        <is>
          <t>BORGHOLM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20287-2025</t>
        </is>
      </c>
      <c r="B150" t="inlineStr">
        <is>
          <t>avverkningsanmälan</t>
        </is>
      </c>
      <c r="C150" t="inlineStr">
        <is>
          <t>Avverkning för att bevara och utveckla /försöksver</t>
        </is>
      </c>
      <c r="D150" s="1" t="n">
        <v>45774</v>
      </c>
      <c r="E150" s="1" t="n">
        <v>46321</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9076-2025</t>
        </is>
      </c>
      <c r="B151" t="inlineStr">
        <is>
          <t>avverkningsanmälan</t>
        </is>
      </c>
      <c r="C151" t="inlineStr">
        <is>
          <t>Föryngringsavverkning</t>
        </is>
      </c>
      <c r="D151" s="1" t="n">
        <v>45713</v>
      </c>
      <c r="E151" s="1" t="n">
        <v>46321</v>
      </c>
      <c r="F151" t="inlineStr">
        <is>
          <t>KALMAR LÄN</t>
        </is>
      </c>
      <c r="G151" t="inlineStr">
        <is>
          <t>BORGHOLM</t>
        </is>
      </c>
      <c r="H151" t="inlineStr">
        <is>
          <t>Sveaskog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32919-2023</t>
        </is>
      </c>
      <c r="B152" t="inlineStr">
        <is>
          <t>avverkningsanmälan</t>
        </is>
      </c>
      <c r="C152" t="inlineStr">
        <is>
          <t>Föryngringsavverkning</t>
        </is>
      </c>
      <c r="D152" s="1" t="n">
        <v>45125</v>
      </c>
      <c r="E152" s="1" t="n">
        <v>46321</v>
      </c>
      <c r="F152" t="inlineStr">
        <is>
          <t>KALMAR LÄN</t>
        </is>
      </c>
      <c r="G152" t="inlineStr">
        <is>
          <t>BORGHOLM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34951-2022</t>
        </is>
      </c>
      <c r="B153" t="inlineStr">
        <is>
          <t>avverkningsanmälan</t>
        </is>
      </c>
      <c r="C153" t="inlineStr">
        <is>
          <t>Avverkning för att bevara och utveckla /försöksver</t>
        </is>
      </c>
      <c r="D153" s="1" t="n">
        <v>44796</v>
      </c>
      <c r="E153" s="1" t="n">
        <v>46321</v>
      </c>
      <c r="F153" t="inlineStr">
        <is>
          <t>KALMAR LÄN</t>
        </is>
      </c>
      <c r="G153" t="inlineStr">
        <is>
          <t>BORGHOLM</t>
        </is>
      </c>
      <c r="H153" t="inlineStr">
        <is>
          <t>Sveaskog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5175-2024</t>
        </is>
      </c>
      <c r="B154" t="inlineStr">
        <is>
          <t>avverkningsanmälan</t>
        </is>
      </c>
      <c r="C154" t="inlineStr">
        <is>
          <t>Föryngringsavverkning</t>
        </is>
      </c>
      <c r="D154" s="1" t="n">
        <v>45330</v>
      </c>
      <c r="E154" s="1" t="n">
        <v>46321</v>
      </c>
      <c r="F154" t="inlineStr">
        <is>
          <t>KALMAR LÄN</t>
        </is>
      </c>
      <c r="G154" t="inlineStr">
        <is>
          <t>BORGHOLM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3878-2023</t>
        </is>
      </c>
      <c r="B155" t="inlineStr">
        <is>
          <t>avverkningsanmälan</t>
        </is>
      </c>
      <c r="C155" t="inlineStr">
        <is>
          <t>Föryngringsavverkning</t>
        </is>
      </c>
      <c r="D155" s="1" t="n">
        <v>44951</v>
      </c>
      <c r="E155" s="1" t="n">
        <v>46321</v>
      </c>
      <c r="F155" t="inlineStr">
        <is>
          <t>KALMAR LÄN</t>
        </is>
      </c>
      <c r="G155" t="inlineStr">
        <is>
          <t>BORGHOLM</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46321</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46321</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46321</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46321</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46321</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46321</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46321</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46321</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46321</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46321</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46321</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46321</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46321</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46321</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46321</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2026-10-26T03:06:44Z</dcterms:created>
  <dcterms:modified xmlns:dcterms="http://purl.org/dc/terms/" xmlns:xsi="http://www.w3.org/2001/XMLSchema-instance" xsi:type="dcterms:W3CDTF">2026-10-26T03:06:44Z</dcterms:modified>
</cp:coreProperties>
</file>