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45895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45895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45895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45895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45895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45895</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45895</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45895</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45895</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45895</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45895</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45895</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45895</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45895</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45895</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45895</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34944-2022</t>
        </is>
      </c>
      <c r="B18" s="1" t="n">
        <v>44796</v>
      </c>
      <c r="C18" s="1" t="n">
        <v>45895</v>
      </c>
      <c r="D18" t="inlineStr">
        <is>
          <t>KALMAR LÄN</t>
        </is>
      </c>
      <c r="E18" t="inlineStr">
        <is>
          <t>BORGHOLM</t>
        </is>
      </c>
      <c r="F18" t="inlineStr">
        <is>
          <t>Sveaskog</t>
        </is>
      </c>
      <c r="G18" t="n">
        <v>1.7</v>
      </c>
      <c r="H18" t="n">
        <v>2</v>
      </c>
      <c r="I18" t="n">
        <v>0</v>
      </c>
      <c r="J18" t="n">
        <v>2</v>
      </c>
      <c r="K18" t="n">
        <v>0</v>
      </c>
      <c r="L18" t="n">
        <v>0</v>
      </c>
      <c r="M18" t="n">
        <v>0</v>
      </c>
      <c r="N18" t="n">
        <v>0</v>
      </c>
      <c r="O18" t="n">
        <v>2</v>
      </c>
      <c r="P18" t="n">
        <v>0</v>
      </c>
      <c r="Q18" t="n">
        <v>2</v>
      </c>
      <c r="R18" s="2" t="inlineStr">
        <is>
          <t>Entita
Talltita</t>
        </is>
      </c>
      <c r="S18">
        <f>HYPERLINK("https://klasma.github.io/Logging_0885/artfynd/A 34944-2022 artfynd.xlsx", "A 34944-2022")</f>
        <v/>
      </c>
      <c r="T18">
        <f>HYPERLINK("https://klasma.github.io/Logging_0885/kartor/A 34944-2022 karta.png", "A 34944-2022")</f>
        <v/>
      </c>
      <c r="V18">
        <f>HYPERLINK("https://klasma.github.io/Logging_0885/klagomål/A 34944-2022 FSC-klagomål.docx", "A 34944-2022")</f>
        <v/>
      </c>
      <c r="W18">
        <f>HYPERLINK("https://klasma.github.io/Logging_0885/klagomålsmail/A 34944-2022 FSC-klagomål mail.docx", "A 34944-2022")</f>
        <v/>
      </c>
      <c r="X18">
        <f>HYPERLINK("https://klasma.github.io/Logging_0885/tillsyn/A 34944-2022 tillsynsbegäran.docx", "A 34944-2022")</f>
        <v/>
      </c>
      <c r="Y18">
        <f>HYPERLINK("https://klasma.github.io/Logging_0885/tillsynsmail/A 34944-2022 tillsynsbegäran mail.docx", "A 34944-2022")</f>
        <v/>
      </c>
      <c r="Z18">
        <f>HYPERLINK("https://klasma.github.io/Logging_0885/fåglar/A 34944-2022 prioriterade fågelarter.docx", "A 34944-2022")</f>
        <v/>
      </c>
    </row>
    <row r="19" ht="15" customHeight="1">
      <c r="A19" t="inlineStr">
        <is>
          <t>A 28779-2025</t>
        </is>
      </c>
      <c r="B19" s="1" t="n">
        <v>45820.44920138889</v>
      </c>
      <c r="C19" s="1" t="n">
        <v>45895</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4164-2023</t>
        </is>
      </c>
      <c r="B20" s="1" t="n">
        <v>44953</v>
      </c>
      <c r="C20" s="1" t="n">
        <v>45895</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45895</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32174-2022</t>
        </is>
      </c>
      <c r="B22" s="1" t="n">
        <v>44781</v>
      </c>
      <c r="C22" s="1" t="n">
        <v>45895</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38860-2025</t>
        </is>
      </c>
      <c r="B23" s="1" t="n">
        <v>45887.5609375</v>
      </c>
      <c r="C23" s="1" t="n">
        <v>45895</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13556-2025</t>
        </is>
      </c>
      <c r="B24" s="1" t="n">
        <v>45736.54759259259</v>
      </c>
      <c r="C24" s="1" t="n">
        <v>45895</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45895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45895</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45895</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45895</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43603-2024</t>
        </is>
      </c>
      <c r="B29" s="1" t="n">
        <v>45569.44700231482</v>
      </c>
      <c r="C29" s="1" t="n">
        <v>45895</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14789-2021</t>
        </is>
      </c>
      <c r="B30" s="1" t="n">
        <v>44280</v>
      </c>
      <c r="C30" s="1" t="n">
        <v>45895</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24704-2023</t>
        </is>
      </c>
      <c r="B31" s="1" t="n">
        <v>45084</v>
      </c>
      <c r="C31" s="1" t="n">
        <v>45895</v>
      </c>
      <c r="D31" t="inlineStr">
        <is>
          <t>KALMAR LÄN</t>
        </is>
      </c>
      <c r="E31" t="inlineStr">
        <is>
          <t>BORGHOLM</t>
        </is>
      </c>
      <c r="G31" t="n">
        <v>3.5</v>
      </c>
      <c r="H31" t="n">
        <v>0</v>
      </c>
      <c r="I31" t="n">
        <v>0</v>
      </c>
      <c r="J31" t="n">
        <v>0</v>
      </c>
      <c r="K31" t="n">
        <v>0</v>
      </c>
      <c r="L31" t="n">
        <v>1</v>
      </c>
      <c r="M31" t="n">
        <v>0</v>
      </c>
      <c r="N31" t="n">
        <v>0</v>
      </c>
      <c r="O31" t="n">
        <v>1</v>
      </c>
      <c r="P31" t="n">
        <v>1</v>
      </c>
      <c r="Q31" t="n">
        <v>1</v>
      </c>
      <c r="R31" s="2" t="inlineStr">
        <is>
          <t>Ask</t>
        </is>
      </c>
      <c r="S31">
        <f>HYPERLINK("https://klasma.github.io/Logging_0885/artfynd/A 24704-2023 artfynd.xlsx", "A 24704-2023")</f>
        <v/>
      </c>
      <c r="T31">
        <f>HYPERLINK("https://klasma.github.io/Logging_0885/kartor/A 24704-2023 karta.png", "A 24704-2023")</f>
        <v/>
      </c>
      <c r="V31">
        <f>HYPERLINK("https://klasma.github.io/Logging_0885/klagomål/A 24704-2023 FSC-klagomål.docx", "A 24704-2023")</f>
        <v/>
      </c>
      <c r="W31">
        <f>HYPERLINK("https://klasma.github.io/Logging_0885/klagomålsmail/A 24704-2023 FSC-klagomål mail.docx", "A 24704-2023")</f>
        <v/>
      </c>
      <c r="X31">
        <f>HYPERLINK("https://klasma.github.io/Logging_0885/tillsyn/A 24704-2023 tillsynsbegäran.docx", "A 24704-2023")</f>
        <v/>
      </c>
      <c r="Y31">
        <f>HYPERLINK("https://klasma.github.io/Logging_0885/tillsynsmail/A 24704-2023 tillsynsbegäran mail.docx", "A 24704-2023")</f>
        <v/>
      </c>
    </row>
    <row r="32" ht="15" customHeight="1">
      <c r="A32" t="inlineStr">
        <is>
          <t>A 9745-2023</t>
        </is>
      </c>
      <c r="B32" s="1" t="n">
        <v>44984</v>
      </c>
      <c r="C32" s="1" t="n">
        <v>45895</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24048-2025</t>
        </is>
      </c>
      <c r="B33" s="1" t="n">
        <v>45796.4959375</v>
      </c>
      <c r="C33" s="1" t="n">
        <v>45895</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45895</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12785-2021</t>
        </is>
      </c>
      <c r="B35" s="1" t="n">
        <v>44270</v>
      </c>
      <c r="C35" s="1" t="n">
        <v>45895</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28785-2025</t>
        </is>
      </c>
      <c r="B36" s="1" t="n">
        <v>45820.46159722222</v>
      </c>
      <c r="C36" s="1" t="n">
        <v>45895</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45895</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13558-2025</t>
        </is>
      </c>
      <c r="B38" s="1" t="n">
        <v>45736.54974537037</v>
      </c>
      <c r="C38" s="1" t="n">
        <v>45895</v>
      </c>
      <c r="D38" t="inlineStr">
        <is>
          <t>KALMAR LÄN</t>
        </is>
      </c>
      <c r="E38" t="inlineStr">
        <is>
          <t>BORGHOLM</t>
        </is>
      </c>
      <c r="G38" t="n">
        <v>0.7</v>
      </c>
      <c r="H38" t="n">
        <v>0</v>
      </c>
      <c r="I38" t="n">
        <v>0</v>
      </c>
      <c r="J38" t="n">
        <v>1</v>
      </c>
      <c r="K38" t="n">
        <v>0</v>
      </c>
      <c r="L38" t="n">
        <v>0</v>
      </c>
      <c r="M38" t="n">
        <v>0</v>
      </c>
      <c r="N38" t="n">
        <v>0</v>
      </c>
      <c r="O38" t="n">
        <v>1</v>
      </c>
      <c r="P38" t="n">
        <v>0</v>
      </c>
      <c r="Q38" t="n">
        <v>1</v>
      </c>
      <c r="R38" s="2" t="inlineStr">
        <is>
          <t>Backruta</t>
        </is>
      </c>
      <c r="S38">
        <f>HYPERLINK("https://klasma.github.io/Logging_0885/artfynd/A 13558-2025 artfynd.xlsx", "A 13558-2025")</f>
        <v/>
      </c>
      <c r="T38">
        <f>HYPERLINK("https://klasma.github.io/Logging_0885/kartor/A 13558-2025 karta.png", "A 13558-2025")</f>
        <v/>
      </c>
      <c r="V38">
        <f>HYPERLINK("https://klasma.github.io/Logging_0885/klagomål/A 13558-2025 FSC-klagomål.docx", "A 13558-2025")</f>
        <v/>
      </c>
      <c r="W38">
        <f>HYPERLINK("https://klasma.github.io/Logging_0885/klagomålsmail/A 13558-2025 FSC-klagomål mail.docx", "A 13558-2025")</f>
        <v/>
      </c>
      <c r="X38">
        <f>HYPERLINK("https://klasma.github.io/Logging_0885/tillsyn/A 13558-2025 tillsynsbegäran.docx", "A 13558-2025")</f>
        <v/>
      </c>
      <c r="Y38">
        <f>HYPERLINK("https://klasma.github.io/Logging_0885/tillsynsmail/A 13558-2025 tillsynsbegäran mail.docx", "A 13558-2025")</f>
        <v/>
      </c>
    </row>
    <row r="39" ht="15" customHeight="1">
      <c r="A39" t="inlineStr">
        <is>
          <t>A 24701-2023</t>
        </is>
      </c>
      <c r="B39" s="1" t="n">
        <v>45084</v>
      </c>
      <c r="C39" s="1" t="n">
        <v>45895</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34885-2025</t>
        </is>
      </c>
      <c r="B40" s="1" t="n">
        <v>45849.47128472223</v>
      </c>
      <c r="C40" s="1" t="n">
        <v>45895</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58113-2020</t>
        </is>
      </c>
      <c r="B41" s="1" t="n">
        <v>44144</v>
      </c>
      <c r="C41" s="1" t="n">
        <v>45895</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56499-2020</t>
        </is>
      </c>
      <c r="B42" s="1" t="n">
        <v>44137</v>
      </c>
      <c r="C42" s="1" t="n">
        <v>45895</v>
      </c>
      <c r="D42" t="inlineStr">
        <is>
          <t>KALMAR LÄN</t>
        </is>
      </c>
      <c r="E42" t="inlineStr">
        <is>
          <t>BORGHOLM</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45895</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45895</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45895</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45895</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45895</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45895</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45895</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45895</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45895</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45895</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45895</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45895</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45895</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45895</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45895</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45895</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45895</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45895</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45895</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58253-2020</t>
        </is>
      </c>
      <c r="B62" s="1" t="n">
        <v>44144</v>
      </c>
      <c r="C62" s="1" t="n">
        <v>45895</v>
      </c>
      <c r="D62" t="inlineStr">
        <is>
          <t>KALMAR LÄN</t>
        </is>
      </c>
      <c r="E62" t="inlineStr">
        <is>
          <t>BORGHOLM</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56479-2020</t>
        </is>
      </c>
      <c r="B63" s="1" t="n">
        <v>44137</v>
      </c>
      <c r="C63" s="1" t="n">
        <v>45895</v>
      </c>
      <c r="D63" t="inlineStr">
        <is>
          <t>KALMAR LÄN</t>
        </is>
      </c>
      <c r="E63" t="inlineStr">
        <is>
          <t>BORGHOLM</t>
        </is>
      </c>
      <c r="F63" t="inlineStr">
        <is>
          <t>Sveaskog</t>
        </is>
      </c>
      <c r="G63" t="n">
        <v>2.6</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45895</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45895</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45895</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45895</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45895</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31699-2022</t>
        </is>
      </c>
      <c r="B69" s="1" t="n">
        <v>44776</v>
      </c>
      <c r="C69" s="1" t="n">
        <v>45895</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45895</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9044-2025</t>
        </is>
      </c>
      <c r="B71" s="1" t="n">
        <v>45713.6275</v>
      </c>
      <c r="C71" s="1" t="n">
        <v>45895</v>
      </c>
      <c r="D71" t="inlineStr">
        <is>
          <t>KALMAR LÄN</t>
        </is>
      </c>
      <c r="E71" t="inlineStr">
        <is>
          <t>BORGHOLM</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63075-2023</t>
        </is>
      </c>
      <c r="B72" s="1" t="n">
        <v>45273</v>
      </c>
      <c r="C72" s="1" t="n">
        <v>45895</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50129-2021</t>
        </is>
      </c>
      <c r="B73" s="1" t="n">
        <v>44456</v>
      </c>
      <c r="C73" s="1" t="n">
        <v>45895</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12481-2025</t>
        </is>
      </c>
      <c r="B74" s="1" t="n">
        <v>45730.57878472222</v>
      </c>
      <c r="C74" s="1" t="n">
        <v>45895</v>
      </c>
      <c r="D74" t="inlineStr">
        <is>
          <t>KALMAR LÄN</t>
        </is>
      </c>
      <c r="E74" t="inlineStr">
        <is>
          <t>BORGHOLM</t>
        </is>
      </c>
      <c r="G74" t="n">
        <v>7.2</v>
      </c>
      <c r="H74" t="n">
        <v>0</v>
      </c>
      <c r="I74" t="n">
        <v>0</v>
      </c>
      <c r="J74" t="n">
        <v>0</v>
      </c>
      <c r="K74" t="n">
        <v>0</v>
      </c>
      <c r="L74" t="n">
        <v>0</v>
      </c>
      <c r="M74" t="n">
        <v>0</v>
      </c>
      <c r="N74" t="n">
        <v>0</v>
      </c>
      <c r="O74" t="n">
        <v>0</v>
      </c>
      <c r="P74" t="n">
        <v>0</v>
      </c>
      <c r="Q74" t="n">
        <v>0</v>
      </c>
      <c r="R74" s="2" t="inlineStr"/>
    </row>
    <row r="75" ht="15" customHeight="1">
      <c r="A75" t="inlineStr">
        <is>
          <t>A 13043-2024</t>
        </is>
      </c>
      <c r="B75" s="1" t="n">
        <v>45385.60111111111</v>
      </c>
      <c r="C75" s="1" t="n">
        <v>45895</v>
      </c>
      <c r="D75" t="inlineStr">
        <is>
          <t>KALMAR LÄN</t>
        </is>
      </c>
      <c r="E75" t="inlineStr">
        <is>
          <t>BORGHOLM</t>
        </is>
      </c>
      <c r="G75" t="n">
        <v>0.4</v>
      </c>
      <c r="H75" t="n">
        <v>0</v>
      </c>
      <c r="I75" t="n">
        <v>0</v>
      </c>
      <c r="J75" t="n">
        <v>0</v>
      </c>
      <c r="K75" t="n">
        <v>0</v>
      </c>
      <c r="L75" t="n">
        <v>0</v>
      </c>
      <c r="M75" t="n">
        <v>0</v>
      </c>
      <c r="N75" t="n">
        <v>0</v>
      </c>
      <c r="O75" t="n">
        <v>0</v>
      </c>
      <c r="P75" t="n">
        <v>0</v>
      </c>
      <c r="Q75" t="n">
        <v>0</v>
      </c>
      <c r="R75" s="2" t="inlineStr"/>
    </row>
    <row r="76" ht="15" customHeight="1">
      <c r="A76" t="inlineStr">
        <is>
          <t>A 26160-2024</t>
        </is>
      </c>
      <c r="B76" s="1" t="n">
        <v>45468</v>
      </c>
      <c r="C76" s="1" t="n">
        <v>45895</v>
      </c>
      <c r="D76" t="inlineStr">
        <is>
          <t>KALMAR LÄN</t>
        </is>
      </c>
      <c r="E76" t="inlineStr">
        <is>
          <t>BORGHOLM</t>
        </is>
      </c>
      <c r="G76" t="n">
        <v>0.4</v>
      </c>
      <c r="H76" t="n">
        <v>0</v>
      </c>
      <c r="I76" t="n">
        <v>0</v>
      </c>
      <c r="J76" t="n">
        <v>0</v>
      </c>
      <c r="K76" t="n">
        <v>0</v>
      </c>
      <c r="L76" t="n">
        <v>0</v>
      </c>
      <c r="M76" t="n">
        <v>0</v>
      </c>
      <c r="N76" t="n">
        <v>0</v>
      </c>
      <c r="O76" t="n">
        <v>0</v>
      </c>
      <c r="P76" t="n">
        <v>0</v>
      </c>
      <c r="Q76" t="n">
        <v>0</v>
      </c>
      <c r="R76" s="2" t="inlineStr"/>
      <c r="T76">
        <f>HYPERLINK("https://klasma.github.io/Logging_0885/kartor/A 26160-2024 karta.png", "A 26160-2024")</f>
        <v/>
      </c>
      <c r="V76">
        <f>HYPERLINK("https://klasma.github.io/Logging_0885/klagomål/A 26160-2024 FSC-klagomål.docx", "A 26160-2024")</f>
        <v/>
      </c>
      <c r="W76">
        <f>HYPERLINK("https://klasma.github.io/Logging_0885/klagomålsmail/A 26160-2024 FSC-klagomål mail.docx", "A 26160-2024")</f>
        <v/>
      </c>
      <c r="X76">
        <f>HYPERLINK("https://klasma.github.io/Logging_0885/tillsyn/A 26160-2024 tillsynsbegäran.docx", "A 26160-2024")</f>
        <v/>
      </c>
      <c r="Y76">
        <f>HYPERLINK("https://klasma.github.io/Logging_0885/tillsynsmail/A 26160-2024 tillsynsbegäran mail.docx", "A 26160-2024")</f>
        <v/>
      </c>
    </row>
    <row r="77" ht="15" customHeight="1">
      <c r="A77" t="inlineStr">
        <is>
          <t>A 17978-2021</t>
        </is>
      </c>
      <c r="B77" s="1" t="n">
        <v>44301</v>
      </c>
      <c r="C77" s="1" t="n">
        <v>45895</v>
      </c>
      <c r="D77" t="inlineStr">
        <is>
          <t>KALMAR LÄN</t>
        </is>
      </c>
      <c r="E77" t="inlineStr">
        <is>
          <t>BORGHOLM</t>
        </is>
      </c>
      <c r="G77" t="n">
        <v>6</v>
      </c>
      <c r="H77" t="n">
        <v>0</v>
      </c>
      <c r="I77" t="n">
        <v>0</v>
      </c>
      <c r="J77" t="n">
        <v>0</v>
      </c>
      <c r="K77" t="n">
        <v>0</v>
      </c>
      <c r="L77" t="n">
        <v>0</v>
      </c>
      <c r="M77" t="n">
        <v>0</v>
      </c>
      <c r="N77" t="n">
        <v>0</v>
      </c>
      <c r="O77" t="n">
        <v>0</v>
      </c>
      <c r="P77" t="n">
        <v>0</v>
      </c>
      <c r="Q77" t="n">
        <v>0</v>
      </c>
      <c r="R77" s="2" t="inlineStr"/>
    </row>
    <row r="78" ht="15" customHeight="1">
      <c r="A78" t="inlineStr">
        <is>
          <t>A 1757-2025</t>
        </is>
      </c>
      <c r="B78" s="1" t="n">
        <v>45671.42195601852</v>
      </c>
      <c r="C78" s="1" t="n">
        <v>45895</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45895</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7669-2024</t>
        </is>
      </c>
      <c r="B80" s="1" t="n">
        <v>45348.82498842593</v>
      </c>
      <c r="C80" s="1" t="n">
        <v>45895</v>
      </c>
      <c r="D80" t="inlineStr">
        <is>
          <t>KALMAR LÄN</t>
        </is>
      </c>
      <c r="E80" t="inlineStr">
        <is>
          <t>BORGHOLM</t>
        </is>
      </c>
      <c r="G80" t="n">
        <v>2.3</v>
      </c>
      <c r="H80" t="n">
        <v>0</v>
      </c>
      <c r="I80" t="n">
        <v>0</v>
      </c>
      <c r="J80" t="n">
        <v>0</v>
      </c>
      <c r="K80" t="n">
        <v>0</v>
      </c>
      <c r="L80" t="n">
        <v>0</v>
      </c>
      <c r="M80" t="n">
        <v>0</v>
      </c>
      <c r="N80" t="n">
        <v>0</v>
      </c>
      <c r="O80" t="n">
        <v>0</v>
      </c>
      <c r="P80" t="n">
        <v>0</v>
      </c>
      <c r="Q80" t="n">
        <v>0</v>
      </c>
      <c r="R80" s="2" t="inlineStr"/>
    </row>
    <row r="81" ht="15" customHeight="1">
      <c r="A81" t="inlineStr">
        <is>
          <t>A 34780-2022</t>
        </is>
      </c>
      <c r="B81" s="1" t="n">
        <v>44795</v>
      </c>
      <c r="C81" s="1" t="n">
        <v>45895</v>
      </c>
      <c r="D81" t="inlineStr">
        <is>
          <t>KALMAR LÄN</t>
        </is>
      </c>
      <c r="E81" t="inlineStr">
        <is>
          <t>BORGHOLM</t>
        </is>
      </c>
      <c r="F81" t="inlineStr">
        <is>
          <t>Sveaskog</t>
        </is>
      </c>
      <c r="G81" t="n">
        <v>6.7</v>
      </c>
      <c r="H81" t="n">
        <v>0</v>
      </c>
      <c r="I81" t="n">
        <v>0</v>
      </c>
      <c r="J81" t="n">
        <v>0</v>
      </c>
      <c r="K81" t="n">
        <v>0</v>
      </c>
      <c r="L81" t="n">
        <v>0</v>
      </c>
      <c r="M81" t="n">
        <v>0</v>
      </c>
      <c r="N81" t="n">
        <v>0</v>
      </c>
      <c r="O81" t="n">
        <v>0</v>
      </c>
      <c r="P81" t="n">
        <v>0</v>
      </c>
      <c r="Q81" t="n">
        <v>0</v>
      </c>
      <c r="R81" s="2" t="inlineStr"/>
    </row>
    <row r="82" ht="15" customHeight="1">
      <c r="A82" t="inlineStr">
        <is>
          <t>A 55367-2024</t>
        </is>
      </c>
      <c r="B82" s="1" t="n">
        <v>45621.87075231481</v>
      </c>
      <c r="C82" s="1" t="n">
        <v>45895</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22785-2025</t>
        </is>
      </c>
      <c r="B83" s="1" t="n">
        <v>45789.64186342592</v>
      </c>
      <c r="C83" s="1" t="n">
        <v>45895</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20287-2025</t>
        </is>
      </c>
      <c r="B84" s="1" t="n">
        <v>45774.60741898148</v>
      </c>
      <c r="C84" s="1" t="n">
        <v>45895</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45895</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20878-2024</t>
        </is>
      </c>
      <c r="B86" s="1" t="n">
        <v>45439.44748842593</v>
      </c>
      <c r="C86" s="1" t="n">
        <v>45895</v>
      </c>
      <c r="D86" t="inlineStr">
        <is>
          <t>KALMAR LÄN</t>
        </is>
      </c>
      <c r="E86" t="inlineStr">
        <is>
          <t>BORGHOLM</t>
        </is>
      </c>
      <c r="G86" t="n">
        <v>1.9</v>
      </c>
      <c r="H86" t="n">
        <v>0</v>
      </c>
      <c r="I86" t="n">
        <v>0</v>
      </c>
      <c r="J86" t="n">
        <v>0</v>
      </c>
      <c r="K86" t="n">
        <v>0</v>
      </c>
      <c r="L86" t="n">
        <v>0</v>
      </c>
      <c r="M86" t="n">
        <v>0</v>
      </c>
      <c r="N86" t="n">
        <v>0</v>
      </c>
      <c r="O86" t="n">
        <v>0</v>
      </c>
      <c r="P86" t="n">
        <v>0</v>
      </c>
      <c r="Q86" t="n">
        <v>0</v>
      </c>
      <c r="R86" s="2" t="inlineStr"/>
    </row>
    <row r="87" ht="15" customHeight="1">
      <c r="A87" t="inlineStr">
        <is>
          <t>A 12534-2022</t>
        </is>
      </c>
      <c r="B87" s="1" t="n">
        <v>44638</v>
      </c>
      <c r="C87" s="1" t="n">
        <v>45895</v>
      </c>
      <c r="D87" t="inlineStr">
        <is>
          <t>KALMAR LÄN</t>
        </is>
      </c>
      <c r="E87" t="inlineStr">
        <is>
          <t>BORGHOLM</t>
        </is>
      </c>
      <c r="G87" t="n">
        <v>8.6</v>
      </c>
      <c r="H87" t="n">
        <v>0</v>
      </c>
      <c r="I87" t="n">
        <v>0</v>
      </c>
      <c r="J87" t="n">
        <v>0</v>
      </c>
      <c r="K87" t="n">
        <v>0</v>
      </c>
      <c r="L87" t="n">
        <v>0</v>
      </c>
      <c r="M87" t="n">
        <v>0</v>
      </c>
      <c r="N87" t="n">
        <v>0</v>
      </c>
      <c r="O87" t="n">
        <v>0</v>
      </c>
      <c r="P87" t="n">
        <v>0</v>
      </c>
      <c r="Q87" t="n">
        <v>0</v>
      </c>
      <c r="R87" s="2" t="inlineStr"/>
    </row>
    <row r="88" ht="15" customHeight="1">
      <c r="A88" t="inlineStr">
        <is>
          <t>A 40339-2023</t>
        </is>
      </c>
      <c r="B88" s="1" t="n">
        <v>45169.62733796296</v>
      </c>
      <c r="C88" s="1" t="n">
        <v>45895</v>
      </c>
      <c r="D88" t="inlineStr">
        <is>
          <t>KALMAR LÄN</t>
        </is>
      </c>
      <c r="E88" t="inlineStr">
        <is>
          <t>BORGHOLM</t>
        </is>
      </c>
      <c r="G88" t="n">
        <v>3.8</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45895</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45895</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24166-2022</t>
        </is>
      </c>
      <c r="B91" s="1" t="n">
        <v>44725</v>
      </c>
      <c r="C91" s="1" t="n">
        <v>45895</v>
      </c>
      <c r="D91" t="inlineStr">
        <is>
          <t>KALMAR LÄN</t>
        </is>
      </c>
      <c r="E91" t="inlineStr">
        <is>
          <t>BORGHOLM</t>
        </is>
      </c>
      <c r="G91" t="n">
        <v>10.7</v>
      </c>
      <c r="H91" t="n">
        <v>0</v>
      </c>
      <c r="I91" t="n">
        <v>0</v>
      </c>
      <c r="J91" t="n">
        <v>0</v>
      </c>
      <c r="K91" t="n">
        <v>0</v>
      </c>
      <c r="L91" t="n">
        <v>0</v>
      </c>
      <c r="M91" t="n">
        <v>0</v>
      </c>
      <c r="N91" t="n">
        <v>0</v>
      </c>
      <c r="O91" t="n">
        <v>0</v>
      </c>
      <c r="P91" t="n">
        <v>0</v>
      </c>
      <c r="Q91" t="n">
        <v>0</v>
      </c>
      <c r="R91" s="2" t="inlineStr"/>
    </row>
    <row r="92" ht="15" customHeight="1">
      <c r="A92" t="inlineStr">
        <is>
          <t>A 26160-2025</t>
        </is>
      </c>
      <c r="B92" s="1" t="n">
        <v>45805.4490162037</v>
      </c>
      <c r="C92" s="1" t="n">
        <v>45895</v>
      </c>
      <c r="D92" t="inlineStr">
        <is>
          <t>KALMAR LÄN</t>
        </is>
      </c>
      <c r="E92" t="inlineStr">
        <is>
          <t>BORGHOLM</t>
        </is>
      </c>
      <c r="G92" t="n">
        <v>3.7</v>
      </c>
      <c r="H92" t="n">
        <v>0</v>
      </c>
      <c r="I92" t="n">
        <v>0</v>
      </c>
      <c r="J92" t="n">
        <v>0</v>
      </c>
      <c r="K92" t="n">
        <v>0</v>
      </c>
      <c r="L92" t="n">
        <v>0</v>
      </c>
      <c r="M92" t="n">
        <v>0</v>
      </c>
      <c r="N92" t="n">
        <v>0</v>
      </c>
      <c r="O92" t="n">
        <v>0</v>
      </c>
      <c r="P92" t="n">
        <v>0</v>
      </c>
      <c r="Q92" t="n">
        <v>0</v>
      </c>
      <c r="R92" s="2" t="inlineStr"/>
    </row>
    <row r="93" ht="15" customHeight="1">
      <c r="A93" t="inlineStr">
        <is>
          <t>A 65144-2020</t>
        </is>
      </c>
      <c r="B93" s="1" t="n">
        <v>44172</v>
      </c>
      <c r="C93" s="1" t="n">
        <v>45895</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26190-2025</t>
        </is>
      </c>
      <c r="B94" s="1" t="n">
        <v>45805.48349537037</v>
      </c>
      <c r="C94" s="1" t="n">
        <v>45895</v>
      </c>
      <c r="D94" t="inlineStr">
        <is>
          <t>KALMAR LÄN</t>
        </is>
      </c>
      <c r="E94" t="inlineStr">
        <is>
          <t>BORGHOLM</t>
        </is>
      </c>
      <c r="G94" t="n">
        <v>3.2</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45895</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21908-2022</t>
        </is>
      </c>
      <c r="B96" s="1" t="n">
        <v>44711</v>
      </c>
      <c r="C96" s="1" t="n">
        <v>45895</v>
      </c>
      <c r="D96" t="inlineStr">
        <is>
          <t>KALMAR LÄN</t>
        </is>
      </c>
      <c r="E96" t="inlineStr">
        <is>
          <t>BORGHOLM</t>
        </is>
      </c>
      <c r="G96" t="n">
        <v>4.7</v>
      </c>
      <c r="H96" t="n">
        <v>0</v>
      </c>
      <c r="I96" t="n">
        <v>0</v>
      </c>
      <c r="J96" t="n">
        <v>0</v>
      </c>
      <c r="K96" t="n">
        <v>0</v>
      </c>
      <c r="L96" t="n">
        <v>0</v>
      </c>
      <c r="M96" t="n">
        <v>0</v>
      </c>
      <c r="N96" t="n">
        <v>0</v>
      </c>
      <c r="O96" t="n">
        <v>0</v>
      </c>
      <c r="P96" t="n">
        <v>0</v>
      </c>
      <c r="Q96" t="n">
        <v>0</v>
      </c>
      <c r="R96" s="2" t="inlineStr"/>
    </row>
    <row r="97" ht="15" customHeight="1">
      <c r="A97" t="inlineStr">
        <is>
          <t>A 27357-2025</t>
        </is>
      </c>
      <c r="B97" s="1" t="n">
        <v>45812.63650462963</v>
      </c>
      <c r="C97" s="1" t="n">
        <v>45895</v>
      </c>
      <c r="D97" t="inlineStr">
        <is>
          <t>KALMAR LÄN</t>
        </is>
      </c>
      <c r="E97" t="inlineStr">
        <is>
          <t>BORGHOLM</t>
        </is>
      </c>
      <c r="F97" t="inlineStr">
        <is>
          <t>Sveaskog</t>
        </is>
      </c>
      <c r="G97" t="n">
        <v>4.5</v>
      </c>
      <c r="H97" t="n">
        <v>0</v>
      </c>
      <c r="I97" t="n">
        <v>0</v>
      </c>
      <c r="J97" t="n">
        <v>0</v>
      </c>
      <c r="K97" t="n">
        <v>0</v>
      </c>
      <c r="L97" t="n">
        <v>0</v>
      </c>
      <c r="M97" t="n">
        <v>0</v>
      </c>
      <c r="N97" t="n">
        <v>0</v>
      </c>
      <c r="O97" t="n">
        <v>0</v>
      </c>
      <c r="P97" t="n">
        <v>0</v>
      </c>
      <c r="Q97" t="n">
        <v>0</v>
      </c>
      <c r="R97" s="2" t="inlineStr"/>
    </row>
    <row r="98" ht="15" customHeight="1">
      <c r="A98" t="inlineStr">
        <is>
          <t>A 4878-2021</t>
        </is>
      </c>
      <c r="B98" s="1" t="n">
        <v>44225</v>
      </c>
      <c r="C98" s="1" t="n">
        <v>45895</v>
      </c>
      <c r="D98" t="inlineStr">
        <is>
          <t>KALMAR LÄN</t>
        </is>
      </c>
      <c r="E98" t="inlineStr">
        <is>
          <t>BORGHOLM</t>
        </is>
      </c>
      <c r="G98" t="n">
        <v>3</v>
      </c>
      <c r="H98" t="n">
        <v>0</v>
      </c>
      <c r="I98" t="n">
        <v>0</v>
      </c>
      <c r="J98" t="n">
        <v>0</v>
      </c>
      <c r="K98" t="n">
        <v>0</v>
      </c>
      <c r="L98" t="n">
        <v>0</v>
      </c>
      <c r="M98" t="n">
        <v>0</v>
      </c>
      <c r="N98" t="n">
        <v>0</v>
      </c>
      <c r="O98" t="n">
        <v>0</v>
      </c>
      <c r="P98" t="n">
        <v>0</v>
      </c>
      <c r="Q98" t="n">
        <v>0</v>
      </c>
      <c r="R98" s="2" t="inlineStr"/>
    </row>
    <row r="99" ht="15" customHeight="1">
      <c r="A99" t="inlineStr">
        <is>
          <t>A 27366-2025</t>
        </is>
      </c>
      <c r="B99" s="1" t="n">
        <v>45812.64475694444</v>
      </c>
      <c r="C99" s="1" t="n">
        <v>45895</v>
      </c>
      <c r="D99" t="inlineStr">
        <is>
          <t>KALMAR LÄN</t>
        </is>
      </c>
      <c r="E99" t="inlineStr">
        <is>
          <t>BORGHOLM</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34951-2022</t>
        </is>
      </c>
      <c r="B100" s="1" t="n">
        <v>44796</v>
      </c>
      <c r="C100" s="1" t="n">
        <v>45895</v>
      </c>
      <c r="D100" t="inlineStr">
        <is>
          <t>KALMAR LÄN</t>
        </is>
      </c>
      <c r="E100" t="inlineStr">
        <is>
          <t>BORGHOLM</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45895</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9034-2025</t>
        </is>
      </c>
      <c r="B102" s="1" t="n">
        <v>45713</v>
      </c>
      <c r="C102" s="1" t="n">
        <v>45895</v>
      </c>
      <c r="D102" t="inlineStr">
        <is>
          <t>KALMAR LÄN</t>
        </is>
      </c>
      <c r="E102" t="inlineStr">
        <is>
          <t>BORGHOLM</t>
        </is>
      </c>
      <c r="F102" t="inlineStr">
        <is>
          <t>Sveaskog</t>
        </is>
      </c>
      <c r="G102" t="n">
        <v>6.8</v>
      </c>
      <c r="H102" t="n">
        <v>0</v>
      </c>
      <c r="I102" t="n">
        <v>0</v>
      </c>
      <c r="J102" t="n">
        <v>0</v>
      </c>
      <c r="K102" t="n">
        <v>0</v>
      </c>
      <c r="L102" t="n">
        <v>0</v>
      </c>
      <c r="M102" t="n">
        <v>0</v>
      </c>
      <c r="N102" t="n">
        <v>0</v>
      </c>
      <c r="O102" t="n">
        <v>0</v>
      </c>
      <c r="P102" t="n">
        <v>0</v>
      </c>
      <c r="Q102" t="n">
        <v>0</v>
      </c>
      <c r="R102" s="2" t="inlineStr"/>
    </row>
    <row r="103" ht="15" customHeight="1">
      <c r="A103" t="inlineStr">
        <is>
          <t>A 29656-2023</t>
        </is>
      </c>
      <c r="B103" s="1" t="n">
        <v>45107</v>
      </c>
      <c r="C103" s="1" t="n">
        <v>45895</v>
      </c>
      <c r="D103" t="inlineStr">
        <is>
          <t>KALMAR LÄN</t>
        </is>
      </c>
      <c r="E103" t="inlineStr">
        <is>
          <t>BORGHOLM</t>
        </is>
      </c>
      <c r="G103" t="n">
        <v>4.1</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45895</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28782-2025</t>
        </is>
      </c>
      <c r="B105" s="1" t="n">
        <v>45820.45572916666</v>
      </c>
      <c r="C105" s="1" t="n">
        <v>45895</v>
      </c>
      <c r="D105" t="inlineStr">
        <is>
          <t>KALMAR LÄN</t>
        </is>
      </c>
      <c r="E105" t="inlineStr">
        <is>
          <t>BORGHOLM</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4165-2023</t>
        </is>
      </c>
      <c r="B106" s="1" t="n">
        <v>44953</v>
      </c>
      <c r="C106" s="1" t="n">
        <v>45895</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36269-2025</t>
        </is>
      </c>
      <c r="B107" s="1" t="n">
        <v>45867.61736111111</v>
      </c>
      <c r="C107" s="1" t="n">
        <v>45895</v>
      </c>
      <c r="D107" t="inlineStr">
        <is>
          <t>KALMAR LÄN</t>
        </is>
      </c>
      <c r="E107" t="inlineStr">
        <is>
          <t>BORGHOLM</t>
        </is>
      </c>
      <c r="F107" t="inlineStr">
        <is>
          <t>Sveaskog</t>
        </is>
      </c>
      <c r="G107" t="n">
        <v>3.3</v>
      </c>
      <c r="H107" t="n">
        <v>0</v>
      </c>
      <c r="I107" t="n">
        <v>0</v>
      </c>
      <c r="J107" t="n">
        <v>0</v>
      </c>
      <c r="K107" t="n">
        <v>0</v>
      </c>
      <c r="L107" t="n">
        <v>0</v>
      </c>
      <c r="M107" t="n">
        <v>0</v>
      </c>
      <c r="N107" t="n">
        <v>0</v>
      </c>
      <c r="O107" t="n">
        <v>0</v>
      </c>
      <c r="P107" t="n">
        <v>0</v>
      </c>
      <c r="Q107" t="n">
        <v>0</v>
      </c>
      <c r="R107" s="2" t="inlineStr"/>
    </row>
    <row r="108" ht="15" customHeight="1">
      <c r="A108" t="inlineStr">
        <is>
          <t>A 27326-2025</t>
        </is>
      </c>
      <c r="B108" s="1" t="n">
        <v>45812</v>
      </c>
      <c r="C108" s="1" t="n">
        <v>45895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3878-2023</t>
        </is>
      </c>
      <c r="B109" s="1" t="n">
        <v>44951</v>
      </c>
      <c r="C109" s="1" t="n">
        <v>45895</v>
      </c>
      <c r="D109" t="inlineStr">
        <is>
          <t>KALMAR LÄN</t>
        </is>
      </c>
      <c r="E109" t="inlineStr">
        <is>
          <t>BORGHOLM</t>
        </is>
      </c>
      <c r="G109" t="n">
        <v>1.7</v>
      </c>
      <c r="H109" t="n">
        <v>0</v>
      </c>
      <c r="I109" t="n">
        <v>0</v>
      </c>
      <c r="J109" t="n">
        <v>0</v>
      </c>
      <c r="K109" t="n">
        <v>0</v>
      </c>
      <c r="L109" t="n">
        <v>0</v>
      </c>
      <c r="M109" t="n">
        <v>0</v>
      </c>
      <c r="N109" t="n">
        <v>0</v>
      </c>
      <c r="O109" t="n">
        <v>0</v>
      </c>
      <c r="P109" t="n">
        <v>0</v>
      </c>
      <c r="Q109" t="n">
        <v>0</v>
      </c>
      <c r="R109" s="2" t="inlineStr"/>
    </row>
    <row r="110" ht="15" customHeight="1">
      <c r="A110" t="inlineStr">
        <is>
          <t>A 13548-2025</t>
        </is>
      </c>
      <c r="B110" s="1" t="n">
        <v>45736.53827546296</v>
      </c>
      <c r="C110" s="1" t="n">
        <v>45895</v>
      </c>
      <c r="D110" t="inlineStr">
        <is>
          <t>KALMAR LÄN</t>
        </is>
      </c>
      <c r="E110" t="inlineStr">
        <is>
          <t>BORGHOLM</t>
        </is>
      </c>
      <c r="G110" t="n">
        <v>1</v>
      </c>
      <c r="H110" t="n">
        <v>0</v>
      </c>
      <c r="I110" t="n">
        <v>0</v>
      </c>
      <c r="J110" t="n">
        <v>0</v>
      </c>
      <c r="K110" t="n">
        <v>0</v>
      </c>
      <c r="L110" t="n">
        <v>0</v>
      </c>
      <c r="M110" t="n">
        <v>0</v>
      </c>
      <c r="N110" t="n">
        <v>0</v>
      </c>
      <c r="O110" t="n">
        <v>0</v>
      </c>
      <c r="P110" t="n">
        <v>0</v>
      </c>
      <c r="Q110" t="n">
        <v>0</v>
      </c>
      <c r="R110" s="2" t="inlineStr"/>
    </row>
    <row r="111" ht="15" customHeight="1">
      <c r="A111" t="inlineStr">
        <is>
          <t>A 32921-2023</t>
        </is>
      </c>
      <c r="B111" s="1" t="n">
        <v>45125</v>
      </c>
      <c r="C111" s="1" t="n">
        <v>45895</v>
      </c>
      <c r="D111" t="inlineStr">
        <is>
          <t>KALMAR LÄN</t>
        </is>
      </c>
      <c r="E111" t="inlineStr">
        <is>
          <t>BORGHOLM</t>
        </is>
      </c>
      <c r="G111" t="n">
        <v>2.9</v>
      </c>
      <c r="H111" t="n">
        <v>0</v>
      </c>
      <c r="I111" t="n">
        <v>0</v>
      </c>
      <c r="J111" t="n">
        <v>0</v>
      </c>
      <c r="K111" t="n">
        <v>0</v>
      </c>
      <c r="L111" t="n">
        <v>0</v>
      </c>
      <c r="M111" t="n">
        <v>0</v>
      </c>
      <c r="N111" t="n">
        <v>0</v>
      </c>
      <c r="O111" t="n">
        <v>0</v>
      </c>
      <c r="P111" t="n">
        <v>0</v>
      </c>
      <c r="Q111" t="n">
        <v>0</v>
      </c>
      <c r="R111" s="2" t="inlineStr"/>
    </row>
    <row r="112" ht="15" customHeight="1">
      <c r="A112" t="inlineStr">
        <is>
          <t>A 31840-2021</t>
        </is>
      </c>
      <c r="B112" s="1" t="n">
        <v>44370</v>
      </c>
      <c r="C112" s="1" t="n">
        <v>45895</v>
      </c>
      <c r="D112" t="inlineStr">
        <is>
          <t>KALMAR LÄN</t>
        </is>
      </c>
      <c r="E112" t="inlineStr">
        <is>
          <t>BORGHOLM</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45895</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45895</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44840.65100694444</v>
      </c>
      <c r="C115" s="1" t="n">
        <v>45895</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45895</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64303-2023</t>
        </is>
      </c>
      <c r="B117" s="1" t="n">
        <v>45280</v>
      </c>
      <c r="C117" s="1" t="n">
        <v>45895</v>
      </c>
      <c r="D117" t="inlineStr">
        <is>
          <t>KALMAR LÄN</t>
        </is>
      </c>
      <c r="E117" t="inlineStr">
        <is>
          <t>BORGHOLM</t>
        </is>
      </c>
      <c r="G117" t="n">
        <v>1.2</v>
      </c>
      <c r="H117" t="n">
        <v>0</v>
      </c>
      <c r="I117" t="n">
        <v>0</v>
      </c>
      <c r="J117" t="n">
        <v>0</v>
      </c>
      <c r="K117" t="n">
        <v>0</v>
      </c>
      <c r="L117" t="n">
        <v>0</v>
      </c>
      <c r="M117" t="n">
        <v>0</v>
      </c>
      <c r="N117" t="n">
        <v>0</v>
      </c>
      <c r="O117" t="n">
        <v>0</v>
      </c>
      <c r="P117" t="n">
        <v>0</v>
      </c>
      <c r="Q117" t="n">
        <v>0</v>
      </c>
      <c r="R117" s="2" t="inlineStr"/>
    </row>
    <row r="118" ht="15" customHeight="1">
      <c r="A118" t="inlineStr">
        <is>
          <t>A 7960-2023</t>
        </is>
      </c>
      <c r="B118" s="1" t="n">
        <v>44973</v>
      </c>
      <c r="C118" s="1" t="n">
        <v>45895</v>
      </c>
      <c r="D118" t="inlineStr">
        <is>
          <t>KALMAR LÄN</t>
        </is>
      </c>
      <c r="E118" t="inlineStr">
        <is>
          <t>BORGHOLM</t>
        </is>
      </c>
      <c r="G118" t="n">
        <v>2.1</v>
      </c>
      <c r="H118" t="n">
        <v>0</v>
      </c>
      <c r="I118" t="n">
        <v>0</v>
      </c>
      <c r="J118" t="n">
        <v>0</v>
      </c>
      <c r="K118" t="n">
        <v>0</v>
      </c>
      <c r="L118" t="n">
        <v>0</v>
      </c>
      <c r="M118" t="n">
        <v>0</v>
      </c>
      <c r="N118" t="n">
        <v>0</v>
      </c>
      <c r="O118" t="n">
        <v>0</v>
      </c>
      <c r="P118" t="n">
        <v>0</v>
      </c>
      <c r="Q118" t="n">
        <v>0</v>
      </c>
      <c r="R118" s="2" t="inlineStr"/>
    </row>
    <row r="119" ht="15" customHeight="1">
      <c r="A119" t="inlineStr">
        <is>
          <t>A 44547-2021</t>
        </is>
      </c>
      <c r="B119" s="1" t="n">
        <v>44435</v>
      </c>
      <c r="C119" s="1" t="n">
        <v>45895</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61438-2023</t>
        </is>
      </c>
      <c r="B120" s="1" t="n">
        <v>45264</v>
      </c>
      <c r="C120" s="1" t="n">
        <v>45895</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13041-2024</t>
        </is>
      </c>
      <c r="B121" s="1" t="n">
        <v>45385.60065972222</v>
      </c>
      <c r="C121" s="1" t="n">
        <v>45895</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1614-2025</t>
        </is>
      </c>
      <c r="B122" s="1" t="n">
        <v>45670.60094907408</v>
      </c>
      <c r="C122" s="1" t="n">
        <v>45895</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63276-2023</t>
        </is>
      </c>
      <c r="B123" s="1" t="n">
        <v>45273.82195601852</v>
      </c>
      <c r="C123" s="1" t="n">
        <v>45895</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9028-2025</t>
        </is>
      </c>
      <c r="B124" s="1" t="n">
        <v>45713</v>
      </c>
      <c r="C124" s="1" t="n">
        <v>45895</v>
      </c>
      <c r="D124" t="inlineStr">
        <is>
          <t>KALMAR LÄN</t>
        </is>
      </c>
      <c r="E124" t="inlineStr">
        <is>
          <t>BORGHOLM</t>
        </is>
      </c>
      <c r="F124" t="inlineStr">
        <is>
          <t>Sveaskog</t>
        </is>
      </c>
      <c r="G124" t="n">
        <v>3</v>
      </c>
      <c r="H124" t="n">
        <v>0</v>
      </c>
      <c r="I124" t="n">
        <v>0</v>
      </c>
      <c r="J124" t="n">
        <v>0</v>
      </c>
      <c r="K124" t="n">
        <v>0</v>
      </c>
      <c r="L124" t="n">
        <v>0</v>
      </c>
      <c r="M124" t="n">
        <v>0</v>
      </c>
      <c r="N124" t="n">
        <v>0</v>
      </c>
      <c r="O124" t="n">
        <v>0</v>
      </c>
      <c r="P124" t="n">
        <v>0</v>
      </c>
      <c r="Q124" t="n">
        <v>0</v>
      </c>
      <c r="R124" s="2" t="inlineStr"/>
    </row>
    <row r="125">
      <c r="A125" t="inlineStr">
        <is>
          <t>A 9050-2025</t>
        </is>
      </c>
      <c r="B125" s="1" t="n">
        <v>45713.63512731482</v>
      </c>
      <c r="C125" s="1" t="n">
        <v>45895</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2025-08-26T08:33:45Z</dcterms:created>
  <dcterms:modified xmlns:dcterms="http://purl.org/dc/terms/" xmlns:xsi="http://www.w3.org/2001/XMLSchema-instance" xsi:type="dcterms:W3CDTF">2025-08-26T08:33:45Z</dcterms:modified>
</cp:coreProperties>
</file>