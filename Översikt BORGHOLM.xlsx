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46126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46126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46126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46126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46126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46126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46126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46126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46126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46126</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46126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46126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46126</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46126</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46126</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46126</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46126</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46126</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32174-2022</t>
        </is>
      </c>
      <c r="B20" s="1" t="n">
        <v>44781</v>
      </c>
      <c r="C20" s="1" t="n">
        <v>46126</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28779-2025</t>
        </is>
      </c>
      <c r="B21" s="1" t="n">
        <v>45820.44920138889</v>
      </c>
      <c r="C21" s="1" t="n">
        <v>46126</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13556-2025</t>
        </is>
      </c>
      <c r="B22" s="1" t="n">
        <v>45736.54759259259</v>
      </c>
      <c r="C22" s="1" t="n">
        <v>46126</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46126</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15285-2026</t>
        </is>
      </c>
      <c r="B24" s="1" t="n">
        <v>46105.6156712963</v>
      </c>
      <c r="C24" s="1" t="n">
        <v>46126</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9253-2026</t>
        </is>
      </c>
      <c r="B25" s="1" t="n">
        <v>46070.51003472223</v>
      </c>
      <c r="C25" s="1" t="n">
        <v>46126</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34944-2022</t>
        </is>
      </c>
      <c r="B26" s="1" t="n">
        <v>44796</v>
      </c>
      <c r="C26" s="1" t="n">
        <v>46126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46126</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46126</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46126</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46126</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46126</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13558-2025</t>
        </is>
      </c>
      <c r="B32" s="1" t="n">
        <v>45736.54974537037</v>
      </c>
      <c r="C32" s="1" t="n">
        <v>46126</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9745-2023</t>
        </is>
      </c>
      <c r="B33" s="1" t="n">
        <v>44984</v>
      </c>
      <c r="C33" s="1" t="n">
        <v>46126</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24048-2025</t>
        </is>
      </c>
      <c r="B34" s="1" t="n">
        <v>45796.4959375</v>
      </c>
      <c r="C34" s="1" t="n">
        <v>46126</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46126</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45693-2025</t>
        </is>
      </c>
      <c r="B36" s="1" t="n">
        <v>45923</v>
      </c>
      <c r="C36" s="1" t="n">
        <v>46126</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28785-2025</t>
        </is>
      </c>
      <c r="B37" s="1" t="n">
        <v>45820.46159722222</v>
      </c>
      <c r="C37" s="1" t="n">
        <v>46126</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46126</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24701-2023</t>
        </is>
      </c>
      <c r="B39" s="1" t="n">
        <v>45084</v>
      </c>
      <c r="C39" s="1" t="n">
        <v>46126</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34885-2025</t>
        </is>
      </c>
      <c r="B40" s="1" t="n">
        <v>45849.47128472223</v>
      </c>
      <c r="C40" s="1" t="n">
        <v>46126</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43603-2024</t>
        </is>
      </c>
      <c r="B41" s="1" t="n">
        <v>45569.44700231482</v>
      </c>
      <c r="C41" s="1" t="n">
        <v>46126</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24704-2023</t>
        </is>
      </c>
      <c r="B42" s="1" t="n">
        <v>45084</v>
      </c>
      <c r="C42" s="1" t="n">
        <v>46126</v>
      </c>
      <c r="D42" t="inlineStr">
        <is>
          <t>KALMAR LÄN</t>
        </is>
      </c>
      <c r="E42" t="inlineStr">
        <is>
          <t>BORGHOLM</t>
        </is>
      </c>
      <c r="G42" t="n">
        <v>3.5</v>
      </c>
      <c r="H42" t="n">
        <v>0</v>
      </c>
      <c r="I42" t="n">
        <v>0</v>
      </c>
      <c r="J42" t="n">
        <v>0</v>
      </c>
      <c r="K42" t="n">
        <v>0</v>
      </c>
      <c r="L42" t="n">
        <v>1</v>
      </c>
      <c r="M42" t="n">
        <v>0</v>
      </c>
      <c r="N42" t="n">
        <v>0</v>
      </c>
      <c r="O42" t="n">
        <v>1</v>
      </c>
      <c r="P42" t="n">
        <v>1</v>
      </c>
      <c r="Q42" t="n">
        <v>1</v>
      </c>
      <c r="R42" s="2" t="inlineStr">
        <is>
          <t>Ask</t>
        </is>
      </c>
      <c r="S42">
        <f>HYPERLINK("https://klasma.github.io/Logging_0885/artfynd/A 24704-2023 artfynd.xlsx", "A 24704-2023")</f>
        <v/>
      </c>
      <c r="T42">
        <f>HYPERLINK("https://klasma.github.io/Logging_0885/kartor/A 24704-2023 karta.png", "A 24704-2023")</f>
        <v/>
      </c>
      <c r="V42">
        <f>HYPERLINK("https://klasma.github.io/Logging_0885/klagomål/A 24704-2023 FSC-klagomål.docx", "A 24704-2023")</f>
        <v/>
      </c>
      <c r="W42">
        <f>HYPERLINK("https://klasma.github.io/Logging_0885/klagomålsmail/A 24704-2023 FSC-klagomål mail.docx", "A 24704-2023")</f>
        <v/>
      </c>
      <c r="X42">
        <f>HYPERLINK("https://klasma.github.io/Logging_0885/tillsyn/A 24704-2023 tillsynsbegäran.docx", "A 24704-2023")</f>
        <v/>
      </c>
      <c r="Y42">
        <f>HYPERLINK("https://klasma.github.io/Logging_0885/tillsynsmail/A 24704-2023 tillsynsbegäran mail.docx", "A 24704-2023")</f>
        <v/>
      </c>
    </row>
    <row r="43" ht="15" customHeight="1">
      <c r="A43" t="inlineStr">
        <is>
          <t>A 3302-2026</t>
        </is>
      </c>
      <c r="B43" s="1" t="n">
        <v>46041</v>
      </c>
      <c r="C43" s="1" t="n">
        <v>46126</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46126</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46126</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46126</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46126</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46126</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46126</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46126</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46126</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46126</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46126</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46126</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46126</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4165-2023</t>
        </is>
      </c>
      <c r="B56" s="1" t="n">
        <v>44953</v>
      </c>
      <c r="C56" s="1" t="n">
        <v>46126</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46126</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61438-2023</t>
        </is>
      </c>
      <c r="B58" s="1" t="n">
        <v>45264</v>
      </c>
      <c r="C58" s="1" t="n">
        <v>46126</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31699-2022</t>
        </is>
      </c>
      <c r="B59" s="1" t="n">
        <v>44776</v>
      </c>
      <c r="C59" s="1" t="n">
        <v>46126</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13041-2024</t>
        </is>
      </c>
      <c r="B60" s="1" t="n">
        <v>45385.60065972222</v>
      </c>
      <c r="C60" s="1" t="n">
        <v>46126</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46126</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1614-2025</t>
        </is>
      </c>
      <c r="B62" s="1" t="n">
        <v>45670.60094907408</v>
      </c>
      <c r="C62" s="1" t="n">
        <v>46126</v>
      </c>
      <c r="D62" t="inlineStr">
        <is>
          <t>KALMAR LÄN</t>
        </is>
      </c>
      <c r="E62" t="inlineStr">
        <is>
          <t>BORGHOLM</t>
        </is>
      </c>
      <c r="G62" t="n">
        <v>1.4</v>
      </c>
      <c r="H62" t="n">
        <v>0</v>
      </c>
      <c r="I62" t="n">
        <v>0</v>
      </c>
      <c r="J62" t="n">
        <v>0</v>
      </c>
      <c r="K62" t="n">
        <v>0</v>
      </c>
      <c r="L62" t="n">
        <v>0</v>
      </c>
      <c r="M62" t="n">
        <v>0</v>
      </c>
      <c r="N62" t="n">
        <v>0</v>
      </c>
      <c r="O62" t="n">
        <v>0</v>
      </c>
      <c r="P62" t="n">
        <v>0</v>
      </c>
      <c r="Q62" t="n">
        <v>0</v>
      </c>
      <c r="R62" s="2" t="inlineStr"/>
    </row>
    <row r="63" ht="15" customHeight="1">
      <c r="A63" t="inlineStr">
        <is>
          <t>A 63276-2023</t>
        </is>
      </c>
      <c r="B63" s="1" t="n">
        <v>45273.82195601852</v>
      </c>
      <c r="C63" s="1" t="n">
        <v>46126</v>
      </c>
      <c r="D63" t="inlineStr">
        <is>
          <t>KALMAR LÄN</t>
        </is>
      </c>
      <c r="E63" t="inlineStr">
        <is>
          <t>BORGHOLM</t>
        </is>
      </c>
      <c r="G63" t="n">
        <v>5</v>
      </c>
      <c r="H63" t="n">
        <v>0</v>
      </c>
      <c r="I63" t="n">
        <v>0</v>
      </c>
      <c r="J63" t="n">
        <v>0</v>
      </c>
      <c r="K63" t="n">
        <v>0</v>
      </c>
      <c r="L63" t="n">
        <v>0</v>
      </c>
      <c r="M63" t="n">
        <v>0</v>
      </c>
      <c r="N63" t="n">
        <v>0</v>
      </c>
      <c r="O63" t="n">
        <v>0</v>
      </c>
      <c r="P63" t="n">
        <v>0</v>
      </c>
      <c r="Q63" t="n">
        <v>0</v>
      </c>
      <c r="R63" s="2" t="inlineStr"/>
    </row>
    <row r="64" ht="15" customHeight="1">
      <c r="A64" t="inlineStr">
        <is>
          <t>A 26160-2024</t>
        </is>
      </c>
      <c r="B64" s="1" t="n">
        <v>45468</v>
      </c>
      <c r="C64" s="1" t="n">
        <v>46126</v>
      </c>
      <c r="D64" t="inlineStr">
        <is>
          <t>KALMAR LÄN</t>
        </is>
      </c>
      <c r="E64" t="inlineStr">
        <is>
          <t>BORGHOLM</t>
        </is>
      </c>
      <c r="G64" t="n">
        <v>0.4</v>
      </c>
      <c r="H64" t="n">
        <v>0</v>
      </c>
      <c r="I64" t="n">
        <v>0</v>
      </c>
      <c r="J64" t="n">
        <v>0</v>
      </c>
      <c r="K64" t="n">
        <v>0</v>
      </c>
      <c r="L64" t="n">
        <v>0</v>
      </c>
      <c r="M64" t="n">
        <v>0</v>
      </c>
      <c r="N64" t="n">
        <v>0</v>
      </c>
      <c r="O64" t="n">
        <v>0</v>
      </c>
      <c r="P64" t="n">
        <v>0</v>
      </c>
      <c r="Q64" t="n">
        <v>0</v>
      </c>
      <c r="R64" s="2" t="inlineStr"/>
      <c r="T64">
        <f>HYPERLINK("https://klasma.github.io/Logging_0885/kartor/A 26160-2024 karta.png", "A 26160-2024")</f>
        <v/>
      </c>
      <c r="V64">
        <f>HYPERLINK("https://klasma.github.io/Logging_0885/klagomål/A 26160-2024 FSC-klagomål.docx", "A 26160-2024")</f>
        <v/>
      </c>
      <c r="W64">
        <f>HYPERLINK("https://klasma.github.io/Logging_0885/klagomålsmail/A 26160-2024 FSC-klagomål mail.docx", "A 26160-2024")</f>
        <v/>
      </c>
      <c r="X64">
        <f>HYPERLINK("https://klasma.github.io/Logging_0885/tillsyn/A 26160-2024 tillsynsbegäran.docx", "A 26160-2024")</f>
        <v/>
      </c>
      <c r="Y64">
        <f>HYPERLINK("https://klasma.github.io/Logging_0885/tillsynsmail/A 26160-2024 tillsynsbegäran mail.docx", "A 26160-2024")</f>
        <v/>
      </c>
    </row>
    <row r="65" ht="15" customHeight="1">
      <c r="A65" t="inlineStr">
        <is>
          <t>A 13548-2025</t>
        </is>
      </c>
      <c r="B65" s="1" t="n">
        <v>45736.53827546296</v>
      </c>
      <c r="C65" s="1" t="n">
        <v>46126</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9050-2025</t>
        </is>
      </c>
      <c r="B66" s="1" t="n">
        <v>45713.63512731482</v>
      </c>
      <c r="C66" s="1" t="n">
        <v>46126</v>
      </c>
      <c r="D66" t="inlineStr">
        <is>
          <t>KALMAR LÄN</t>
        </is>
      </c>
      <c r="E66" t="inlineStr">
        <is>
          <t>BORGHOLM</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32921-2023</t>
        </is>
      </c>
      <c r="B67" s="1" t="n">
        <v>45125</v>
      </c>
      <c r="C67" s="1" t="n">
        <v>46126</v>
      </c>
      <c r="D67" t="inlineStr">
        <is>
          <t>KALMAR LÄN</t>
        </is>
      </c>
      <c r="E67" t="inlineStr">
        <is>
          <t>BORGHOLM</t>
        </is>
      </c>
      <c r="G67" t="n">
        <v>2.9</v>
      </c>
      <c r="H67" t="n">
        <v>0</v>
      </c>
      <c r="I67" t="n">
        <v>0</v>
      </c>
      <c r="J67" t="n">
        <v>0</v>
      </c>
      <c r="K67" t="n">
        <v>0</v>
      </c>
      <c r="L67" t="n">
        <v>0</v>
      </c>
      <c r="M67" t="n">
        <v>0</v>
      </c>
      <c r="N67" t="n">
        <v>0</v>
      </c>
      <c r="O67" t="n">
        <v>0</v>
      </c>
      <c r="P67" t="n">
        <v>0</v>
      </c>
      <c r="Q67" t="n">
        <v>0</v>
      </c>
      <c r="R67" s="2" t="inlineStr"/>
    </row>
    <row r="68" ht="15" customHeight="1">
      <c r="A68" t="inlineStr">
        <is>
          <t>A 41831-2025</t>
        </is>
      </c>
      <c r="B68" s="1" t="n">
        <v>45902.67887731481</v>
      </c>
      <c r="C68" s="1" t="n">
        <v>46126</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46126</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46126</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13043-2024</t>
        </is>
      </c>
      <c r="B71" s="1" t="n">
        <v>45385.60111111111</v>
      </c>
      <c r="C71" s="1" t="n">
        <v>46126</v>
      </c>
      <c r="D71" t="inlineStr">
        <is>
          <t>KALMAR LÄN</t>
        </is>
      </c>
      <c r="E71" t="inlineStr">
        <is>
          <t>BORGHOLM</t>
        </is>
      </c>
      <c r="G71" t="n">
        <v>0.4</v>
      </c>
      <c r="H71" t="n">
        <v>0</v>
      </c>
      <c r="I71" t="n">
        <v>0</v>
      </c>
      <c r="J71" t="n">
        <v>0</v>
      </c>
      <c r="K71" t="n">
        <v>0</v>
      </c>
      <c r="L71" t="n">
        <v>0</v>
      </c>
      <c r="M71" t="n">
        <v>0</v>
      </c>
      <c r="N71" t="n">
        <v>0</v>
      </c>
      <c r="O71" t="n">
        <v>0</v>
      </c>
      <c r="P71" t="n">
        <v>0</v>
      </c>
      <c r="Q71" t="n">
        <v>0</v>
      </c>
      <c r="R71" s="2" t="inlineStr"/>
    </row>
    <row r="72" ht="15" customHeight="1">
      <c r="A72" t="inlineStr">
        <is>
          <t>A 20878-2024</t>
        </is>
      </c>
      <c r="B72" s="1" t="n">
        <v>45439.44748842593</v>
      </c>
      <c r="C72" s="1" t="n">
        <v>46126</v>
      </c>
      <c r="D72" t="inlineStr">
        <is>
          <t>KALMAR LÄN</t>
        </is>
      </c>
      <c r="E72" t="inlineStr">
        <is>
          <t>BORGHOLM</t>
        </is>
      </c>
      <c r="G72" t="n">
        <v>1.9</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46126</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31840-2021</t>
        </is>
      </c>
      <c r="B74" s="1" t="n">
        <v>44370</v>
      </c>
      <c r="C74" s="1" t="n">
        <v>46126</v>
      </c>
      <c r="D74" t="inlineStr">
        <is>
          <t>KALMAR LÄN</t>
        </is>
      </c>
      <c r="E74" t="inlineStr">
        <is>
          <t>BORGHOLM</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17978-2021</t>
        </is>
      </c>
      <c r="B75" s="1" t="n">
        <v>44301</v>
      </c>
      <c r="C75" s="1" t="n">
        <v>46126</v>
      </c>
      <c r="D75" t="inlineStr">
        <is>
          <t>KALMAR LÄN</t>
        </is>
      </c>
      <c r="E75" t="inlineStr">
        <is>
          <t>BORGHOLM</t>
        </is>
      </c>
      <c r="G75" t="n">
        <v>6</v>
      </c>
      <c r="H75" t="n">
        <v>0</v>
      </c>
      <c r="I75" t="n">
        <v>0</v>
      </c>
      <c r="J75" t="n">
        <v>0</v>
      </c>
      <c r="K75" t="n">
        <v>0</v>
      </c>
      <c r="L75" t="n">
        <v>0</v>
      </c>
      <c r="M75" t="n">
        <v>0</v>
      </c>
      <c r="N75" t="n">
        <v>0</v>
      </c>
      <c r="O75" t="n">
        <v>0</v>
      </c>
      <c r="P75" t="n">
        <v>0</v>
      </c>
      <c r="Q75" t="n">
        <v>0</v>
      </c>
      <c r="R75" s="2" t="inlineStr"/>
    </row>
    <row r="76" ht="15" customHeight="1">
      <c r="A76" t="inlineStr">
        <is>
          <t>A 4159-2024</t>
        </is>
      </c>
      <c r="B76" s="1" t="n">
        <v>45323</v>
      </c>
      <c r="C76" s="1" t="n">
        <v>46126</v>
      </c>
      <c r="D76" t="inlineStr">
        <is>
          <t>KALMAR LÄN</t>
        </is>
      </c>
      <c r="E76" t="inlineStr">
        <is>
          <t>BORGHOLM</t>
        </is>
      </c>
      <c r="G76" t="n">
        <v>0.5</v>
      </c>
      <c r="H76" t="n">
        <v>0</v>
      </c>
      <c r="I76" t="n">
        <v>0</v>
      </c>
      <c r="J76" t="n">
        <v>0</v>
      </c>
      <c r="K76" t="n">
        <v>0</v>
      </c>
      <c r="L76" t="n">
        <v>0</v>
      </c>
      <c r="M76" t="n">
        <v>0</v>
      </c>
      <c r="N76" t="n">
        <v>0</v>
      </c>
      <c r="O76" t="n">
        <v>0</v>
      </c>
      <c r="P76" t="n">
        <v>0</v>
      </c>
      <c r="Q76" t="n">
        <v>0</v>
      </c>
      <c r="R76" s="2" t="inlineStr"/>
    </row>
    <row r="77" ht="15" customHeight="1">
      <c r="A77" t="inlineStr">
        <is>
          <t>A 22785-2025</t>
        </is>
      </c>
      <c r="B77" s="1" t="n">
        <v>45789.64186342592</v>
      </c>
      <c r="C77" s="1" t="n">
        <v>46126</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46126</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46126</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46126</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46845-2025</t>
        </is>
      </c>
      <c r="B81" s="1" t="n">
        <v>45928</v>
      </c>
      <c r="C81" s="1" t="n">
        <v>46126</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53050-2021</t>
        </is>
      </c>
      <c r="B82" s="1" t="n">
        <v>44467</v>
      </c>
      <c r="C82" s="1" t="n">
        <v>46126</v>
      </c>
      <c r="D82" t="inlineStr">
        <is>
          <t>KALMAR LÄN</t>
        </is>
      </c>
      <c r="E82" t="inlineStr">
        <is>
          <t>BORGHOLM</t>
        </is>
      </c>
      <c r="G82" t="n">
        <v>3.6</v>
      </c>
      <c r="H82" t="n">
        <v>0</v>
      </c>
      <c r="I82" t="n">
        <v>0</v>
      </c>
      <c r="J82" t="n">
        <v>0</v>
      </c>
      <c r="K82" t="n">
        <v>0</v>
      </c>
      <c r="L82" t="n">
        <v>0</v>
      </c>
      <c r="M82" t="n">
        <v>0</v>
      </c>
      <c r="N82" t="n">
        <v>0</v>
      </c>
      <c r="O82" t="n">
        <v>0</v>
      </c>
      <c r="P82" t="n">
        <v>0</v>
      </c>
      <c r="Q82" t="n">
        <v>0</v>
      </c>
      <c r="R82" s="2" t="inlineStr"/>
    </row>
    <row r="83" ht="15" customHeight="1">
      <c r="A83" t="inlineStr">
        <is>
          <t>A 40339-2023</t>
        </is>
      </c>
      <c r="B83" s="1" t="n">
        <v>45169.62733796296</v>
      </c>
      <c r="C83" s="1" t="n">
        <v>46126</v>
      </c>
      <c r="D83" t="inlineStr">
        <is>
          <t>KALMAR LÄN</t>
        </is>
      </c>
      <c r="E83" t="inlineStr">
        <is>
          <t>BORGHOLM</t>
        </is>
      </c>
      <c r="G83" t="n">
        <v>3.8</v>
      </c>
      <c r="H83" t="n">
        <v>0</v>
      </c>
      <c r="I83" t="n">
        <v>0</v>
      </c>
      <c r="J83" t="n">
        <v>0</v>
      </c>
      <c r="K83" t="n">
        <v>0</v>
      </c>
      <c r="L83" t="n">
        <v>0</v>
      </c>
      <c r="M83" t="n">
        <v>0</v>
      </c>
      <c r="N83" t="n">
        <v>0</v>
      </c>
      <c r="O83" t="n">
        <v>0</v>
      </c>
      <c r="P83" t="n">
        <v>0</v>
      </c>
      <c r="Q83" t="n">
        <v>0</v>
      </c>
      <c r="R83" s="2" t="inlineStr"/>
    </row>
    <row r="84" ht="15" customHeight="1">
      <c r="A84" t="inlineStr">
        <is>
          <t>A 24166-2022</t>
        </is>
      </c>
      <c r="B84" s="1" t="n">
        <v>44725</v>
      </c>
      <c r="C84" s="1" t="n">
        <v>46126</v>
      </c>
      <c r="D84" t="inlineStr">
        <is>
          <t>KALMAR LÄN</t>
        </is>
      </c>
      <c r="E84" t="inlineStr">
        <is>
          <t>BORGHOLM</t>
        </is>
      </c>
      <c r="G84" t="n">
        <v>10.7</v>
      </c>
      <c r="H84" t="n">
        <v>0</v>
      </c>
      <c r="I84" t="n">
        <v>0</v>
      </c>
      <c r="J84" t="n">
        <v>0</v>
      </c>
      <c r="K84" t="n">
        <v>0</v>
      </c>
      <c r="L84" t="n">
        <v>0</v>
      </c>
      <c r="M84" t="n">
        <v>0</v>
      </c>
      <c r="N84" t="n">
        <v>0</v>
      </c>
      <c r="O84" t="n">
        <v>0</v>
      </c>
      <c r="P84" t="n">
        <v>0</v>
      </c>
      <c r="Q84" t="n">
        <v>0</v>
      </c>
      <c r="R84" s="2" t="inlineStr"/>
    </row>
    <row r="85" ht="15" customHeight="1">
      <c r="A85" t="inlineStr">
        <is>
          <t>A 26160-2025</t>
        </is>
      </c>
      <c r="B85" s="1" t="n">
        <v>45805.4490162037</v>
      </c>
      <c r="C85" s="1" t="n">
        <v>46126</v>
      </c>
      <c r="D85" t="inlineStr">
        <is>
          <t>KALMAR LÄN</t>
        </is>
      </c>
      <c r="E85" t="inlineStr">
        <is>
          <t>BORGHOLM</t>
        </is>
      </c>
      <c r="G85" t="n">
        <v>3.7</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46126</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31720-2022</t>
        </is>
      </c>
      <c r="B87" s="1" t="n">
        <v>44776</v>
      </c>
      <c r="C87" s="1" t="n">
        <v>46126</v>
      </c>
      <c r="D87" t="inlineStr">
        <is>
          <t>KALMAR LÄN</t>
        </is>
      </c>
      <c r="E87" t="inlineStr">
        <is>
          <t>BORGHOLM</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29656-2023</t>
        </is>
      </c>
      <c r="B88" s="1" t="n">
        <v>45107</v>
      </c>
      <c r="C88" s="1" t="n">
        <v>46126</v>
      </c>
      <c r="D88" t="inlineStr">
        <is>
          <t>KALMAR LÄN</t>
        </is>
      </c>
      <c r="E88" t="inlineStr">
        <is>
          <t>BORGHOLM</t>
        </is>
      </c>
      <c r="G88" t="n">
        <v>4.1</v>
      </c>
      <c r="H88" t="n">
        <v>0</v>
      </c>
      <c r="I88" t="n">
        <v>0</v>
      </c>
      <c r="J88" t="n">
        <v>0</v>
      </c>
      <c r="K88" t="n">
        <v>0</v>
      </c>
      <c r="L88" t="n">
        <v>0</v>
      </c>
      <c r="M88" t="n">
        <v>0</v>
      </c>
      <c r="N88" t="n">
        <v>0</v>
      </c>
      <c r="O88" t="n">
        <v>0</v>
      </c>
      <c r="P88" t="n">
        <v>0</v>
      </c>
      <c r="Q88" t="n">
        <v>0</v>
      </c>
      <c r="R88" s="2" t="inlineStr"/>
    </row>
    <row r="89" ht="15" customHeight="1">
      <c r="A89" t="inlineStr">
        <is>
          <t>A 27357-2025</t>
        </is>
      </c>
      <c r="B89" s="1" t="n">
        <v>45812.63650462963</v>
      </c>
      <c r="C89" s="1" t="n">
        <v>46126</v>
      </c>
      <c r="D89" t="inlineStr">
        <is>
          <t>KALMAR LÄN</t>
        </is>
      </c>
      <c r="E89" t="inlineStr">
        <is>
          <t>BORGHOLM</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27366-2025</t>
        </is>
      </c>
      <c r="B90" s="1" t="n">
        <v>45812.64475694444</v>
      </c>
      <c r="C90" s="1" t="n">
        <v>46126</v>
      </c>
      <c r="D90" t="inlineStr">
        <is>
          <t>KALMAR LÄN</t>
        </is>
      </c>
      <c r="E90" t="inlineStr">
        <is>
          <t>BORGHOLM</t>
        </is>
      </c>
      <c r="F90" t="inlineStr">
        <is>
          <t>Sveaskog</t>
        </is>
      </c>
      <c r="G90" t="n">
        <v>2.5</v>
      </c>
      <c r="H90" t="n">
        <v>0</v>
      </c>
      <c r="I90" t="n">
        <v>0</v>
      </c>
      <c r="J90" t="n">
        <v>0</v>
      </c>
      <c r="K90" t="n">
        <v>0</v>
      </c>
      <c r="L90" t="n">
        <v>0</v>
      </c>
      <c r="M90" t="n">
        <v>0</v>
      </c>
      <c r="N90" t="n">
        <v>0</v>
      </c>
      <c r="O90" t="n">
        <v>0</v>
      </c>
      <c r="P90" t="n">
        <v>0</v>
      </c>
      <c r="Q90" t="n">
        <v>0</v>
      </c>
      <c r="R90" s="2" t="inlineStr"/>
    </row>
    <row r="91" ht="15" customHeight="1">
      <c r="A91" t="inlineStr">
        <is>
          <t>A 44678-2022</t>
        </is>
      </c>
      <c r="B91" s="1" t="n">
        <v>44840.65100694444</v>
      </c>
      <c r="C91" s="1" t="n">
        <v>46126</v>
      </c>
      <c r="D91" t="inlineStr">
        <is>
          <t>KALMAR LÄN</t>
        </is>
      </c>
      <c r="E91" t="inlineStr">
        <is>
          <t>BORGHOLM</t>
        </is>
      </c>
      <c r="G91" t="n">
        <v>2.4</v>
      </c>
      <c r="H91" t="n">
        <v>0</v>
      </c>
      <c r="I91" t="n">
        <v>0</v>
      </c>
      <c r="J91" t="n">
        <v>0</v>
      </c>
      <c r="K91" t="n">
        <v>0</v>
      </c>
      <c r="L91" t="n">
        <v>0</v>
      </c>
      <c r="M91" t="n">
        <v>0</v>
      </c>
      <c r="N91" t="n">
        <v>0</v>
      </c>
      <c r="O91" t="n">
        <v>0</v>
      </c>
      <c r="P91" t="n">
        <v>0</v>
      </c>
      <c r="Q91" t="n">
        <v>0</v>
      </c>
      <c r="R91" s="2" t="inlineStr"/>
    </row>
    <row r="92" ht="15" customHeight="1">
      <c r="A92" t="inlineStr">
        <is>
          <t>A 28782-2025</t>
        </is>
      </c>
      <c r="B92" s="1" t="n">
        <v>45820.45572916666</v>
      </c>
      <c r="C92" s="1" t="n">
        <v>46126</v>
      </c>
      <c r="D92" t="inlineStr">
        <is>
          <t>KALMAR LÄN</t>
        </is>
      </c>
      <c r="E92" t="inlineStr">
        <is>
          <t>BORGHOLM</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64303-2023</t>
        </is>
      </c>
      <c r="B93" s="1" t="n">
        <v>45280</v>
      </c>
      <c r="C93" s="1" t="n">
        <v>46126</v>
      </c>
      <c r="D93" t="inlineStr">
        <is>
          <t>KALMAR LÄN</t>
        </is>
      </c>
      <c r="E93" t="inlineStr">
        <is>
          <t>BORGHOLM</t>
        </is>
      </c>
      <c r="G93" t="n">
        <v>1.2</v>
      </c>
      <c r="H93" t="n">
        <v>0</v>
      </c>
      <c r="I93" t="n">
        <v>0</v>
      </c>
      <c r="J93" t="n">
        <v>0</v>
      </c>
      <c r="K93" t="n">
        <v>0</v>
      </c>
      <c r="L93" t="n">
        <v>0</v>
      </c>
      <c r="M93" t="n">
        <v>0</v>
      </c>
      <c r="N93" t="n">
        <v>0</v>
      </c>
      <c r="O93" t="n">
        <v>0</v>
      </c>
      <c r="P93" t="n">
        <v>0</v>
      </c>
      <c r="Q93" t="n">
        <v>0</v>
      </c>
      <c r="R93" s="2" t="inlineStr"/>
    </row>
    <row r="94" ht="15" customHeight="1">
      <c r="A94" t="inlineStr">
        <is>
          <t>A 60141-2025</t>
        </is>
      </c>
      <c r="B94" s="1" t="n">
        <v>45994.36873842592</v>
      </c>
      <c r="C94" s="1" t="n">
        <v>46126</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46126</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36269-2025</t>
        </is>
      </c>
      <c r="B96" s="1" t="n">
        <v>45867.61736111111</v>
      </c>
      <c r="C96" s="1" t="n">
        <v>46126</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61723-2025</t>
        </is>
      </c>
      <c r="B97" s="1" t="n">
        <v>46002.58388888889</v>
      </c>
      <c r="C97" s="1" t="n">
        <v>46126</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63075-2023</t>
        </is>
      </c>
      <c r="B98" s="1" t="n">
        <v>45273</v>
      </c>
      <c r="C98" s="1" t="n">
        <v>46126</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46126</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1757-2025</t>
        </is>
      </c>
      <c r="B100" s="1" t="n">
        <v>45671.42195601852</v>
      </c>
      <c r="C100" s="1" t="n">
        <v>46126</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17699-2025</t>
        </is>
      </c>
      <c r="B101" s="1" t="n">
        <v>45758.41846064815</v>
      </c>
      <c r="C101" s="1" t="n">
        <v>46126</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7669-2024</t>
        </is>
      </c>
      <c r="B102" s="1" t="n">
        <v>45348.82498842593</v>
      </c>
      <c r="C102" s="1" t="n">
        <v>46126</v>
      </c>
      <c r="D102" t="inlineStr">
        <is>
          <t>KALMAR LÄN</t>
        </is>
      </c>
      <c r="E102" t="inlineStr">
        <is>
          <t>BORGHOLM</t>
        </is>
      </c>
      <c r="G102" t="n">
        <v>2.3</v>
      </c>
      <c r="H102" t="n">
        <v>0</v>
      </c>
      <c r="I102" t="n">
        <v>0</v>
      </c>
      <c r="J102" t="n">
        <v>0</v>
      </c>
      <c r="K102" t="n">
        <v>0</v>
      </c>
      <c r="L102" t="n">
        <v>0</v>
      </c>
      <c r="M102" t="n">
        <v>0</v>
      </c>
      <c r="N102" t="n">
        <v>0</v>
      </c>
      <c r="O102" t="n">
        <v>0</v>
      </c>
      <c r="P102" t="n">
        <v>0</v>
      </c>
      <c r="Q102" t="n">
        <v>0</v>
      </c>
      <c r="R102" s="2" t="inlineStr"/>
    </row>
    <row r="103" ht="15" customHeight="1">
      <c r="A103" t="inlineStr">
        <is>
          <t>A 34780-2022</t>
        </is>
      </c>
      <c r="B103" s="1" t="n">
        <v>44795</v>
      </c>
      <c r="C103" s="1" t="n">
        <v>46126</v>
      </c>
      <c r="D103" t="inlineStr">
        <is>
          <t>KALMAR LÄN</t>
        </is>
      </c>
      <c r="E103" t="inlineStr">
        <is>
          <t>BORGHOLM</t>
        </is>
      </c>
      <c r="F103" t="inlineStr">
        <is>
          <t>Sveaskog</t>
        </is>
      </c>
      <c r="G103" t="n">
        <v>6.7</v>
      </c>
      <c r="H103" t="n">
        <v>0</v>
      </c>
      <c r="I103" t="n">
        <v>0</v>
      </c>
      <c r="J103" t="n">
        <v>0</v>
      </c>
      <c r="K103" t="n">
        <v>0</v>
      </c>
      <c r="L103" t="n">
        <v>0</v>
      </c>
      <c r="M103" t="n">
        <v>0</v>
      </c>
      <c r="N103" t="n">
        <v>0</v>
      </c>
      <c r="O103" t="n">
        <v>0</v>
      </c>
      <c r="P103" t="n">
        <v>0</v>
      </c>
      <c r="Q103" t="n">
        <v>0</v>
      </c>
      <c r="R103" s="2" t="inlineStr"/>
    </row>
    <row r="104" ht="15" customHeight="1">
      <c r="A104" t="inlineStr">
        <is>
          <t>A 55367-2024</t>
        </is>
      </c>
      <c r="B104" s="1" t="n">
        <v>45621.87075231481</v>
      </c>
      <c r="C104" s="1" t="n">
        <v>46126</v>
      </c>
      <c r="D104" t="inlineStr">
        <is>
          <t>KALMAR LÄN</t>
        </is>
      </c>
      <c r="E104" t="inlineStr">
        <is>
          <t>BORGHOLM</t>
        </is>
      </c>
      <c r="G104" t="n">
        <v>0.7</v>
      </c>
      <c r="H104" t="n">
        <v>0</v>
      </c>
      <c r="I104" t="n">
        <v>0</v>
      </c>
      <c r="J104" t="n">
        <v>0</v>
      </c>
      <c r="K104" t="n">
        <v>0</v>
      </c>
      <c r="L104" t="n">
        <v>0</v>
      </c>
      <c r="M104" t="n">
        <v>0</v>
      </c>
      <c r="N104" t="n">
        <v>0</v>
      </c>
      <c r="O104" t="n">
        <v>0</v>
      </c>
      <c r="P104" t="n">
        <v>0</v>
      </c>
      <c r="Q104" t="n">
        <v>0</v>
      </c>
      <c r="R104" s="2" t="inlineStr"/>
    </row>
    <row r="105" ht="15" customHeight="1">
      <c r="A105" t="inlineStr">
        <is>
          <t>A 20287-2025</t>
        </is>
      </c>
      <c r="B105" s="1" t="n">
        <v>45774.60741898148</v>
      </c>
      <c r="C105" s="1" t="n">
        <v>46126</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9076-2025</t>
        </is>
      </c>
      <c r="B106" s="1" t="n">
        <v>45713.6596875</v>
      </c>
      <c r="C106" s="1" t="n">
        <v>46126</v>
      </c>
      <c r="D106" t="inlineStr">
        <is>
          <t>KALMAR LÄN</t>
        </is>
      </c>
      <c r="E106" t="inlineStr">
        <is>
          <t>BORGHOLM</t>
        </is>
      </c>
      <c r="F106" t="inlineStr">
        <is>
          <t>Sveaskog</t>
        </is>
      </c>
      <c r="G106" t="n">
        <v>4.2</v>
      </c>
      <c r="H106" t="n">
        <v>0</v>
      </c>
      <c r="I106" t="n">
        <v>0</v>
      </c>
      <c r="J106" t="n">
        <v>0</v>
      </c>
      <c r="K106" t="n">
        <v>0</v>
      </c>
      <c r="L106" t="n">
        <v>0</v>
      </c>
      <c r="M106" t="n">
        <v>0</v>
      </c>
      <c r="N106" t="n">
        <v>0</v>
      </c>
      <c r="O106" t="n">
        <v>0</v>
      </c>
      <c r="P106" t="n">
        <v>0</v>
      </c>
      <c r="Q106" t="n">
        <v>0</v>
      </c>
      <c r="R106" s="2" t="inlineStr"/>
    </row>
    <row r="107" ht="15" customHeight="1">
      <c r="A107" t="inlineStr">
        <is>
          <t>A 7481-2026</t>
        </is>
      </c>
      <c r="B107" s="1" t="n">
        <v>46059.51359953704</v>
      </c>
      <c r="C107" s="1" t="n">
        <v>46126</v>
      </c>
      <c r="D107" t="inlineStr">
        <is>
          <t>KALMAR LÄN</t>
        </is>
      </c>
      <c r="E107" t="inlineStr">
        <is>
          <t>BORGHOLM</t>
        </is>
      </c>
      <c r="G107" t="n">
        <v>1.9</v>
      </c>
      <c r="H107" t="n">
        <v>0</v>
      </c>
      <c r="I107" t="n">
        <v>0</v>
      </c>
      <c r="J107" t="n">
        <v>0</v>
      </c>
      <c r="K107" t="n">
        <v>0</v>
      </c>
      <c r="L107" t="n">
        <v>0</v>
      </c>
      <c r="M107" t="n">
        <v>0</v>
      </c>
      <c r="N107" t="n">
        <v>0</v>
      </c>
      <c r="O107" t="n">
        <v>0</v>
      </c>
      <c r="P107" t="n">
        <v>0</v>
      </c>
      <c r="Q107" t="n">
        <v>0</v>
      </c>
      <c r="R107" s="2" t="inlineStr"/>
    </row>
    <row r="108" ht="15" customHeight="1">
      <c r="A108" t="inlineStr">
        <is>
          <t>A 32919-2023</t>
        </is>
      </c>
      <c r="B108" s="1" t="n">
        <v>45125</v>
      </c>
      <c r="C108" s="1" t="n">
        <v>46126</v>
      </c>
      <c r="D108" t="inlineStr">
        <is>
          <t>KALMAR LÄN</t>
        </is>
      </c>
      <c r="E108" t="inlineStr">
        <is>
          <t>BORGHOLM</t>
        </is>
      </c>
      <c r="G108" t="n">
        <v>2.7</v>
      </c>
      <c r="H108" t="n">
        <v>0</v>
      </c>
      <c r="I108" t="n">
        <v>0</v>
      </c>
      <c r="J108" t="n">
        <v>0</v>
      </c>
      <c r="K108" t="n">
        <v>0</v>
      </c>
      <c r="L108" t="n">
        <v>0</v>
      </c>
      <c r="M108" t="n">
        <v>0</v>
      </c>
      <c r="N108" t="n">
        <v>0</v>
      </c>
      <c r="O108" t="n">
        <v>0</v>
      </c>
      <c r="P108" t="n">
        <v>0</v>
      </c>
      <c r="Q108" t="n">
        <v>0</v>
      </c>
      <c r="R108" s="2" t="inlineStr"/>
    </row>
    <row r="109" ht="15" customHeight="1">
      <c r="A109" t="inlineStr">
        <is>
          <t>A 15264-2026</t>
        </is>
      </c>
      <c r="B109" s="1" t="n">
        <v>46105.59372685185</v>
      </c>
      <c r="C109" s="1" t="n">
        <v>46126</v>
      </c>
      <c r="D109" t="inlineStr">
        <is>
          <t>KALMAR LÄN</t>
        </is>
      </c>
      <c r="E109" t="inlineStr">
        <is>
          <t>BORGHOLM</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15272-2026</t>
        </is>
      </c>
      <c r="B110" s="1" t="n">
        <v>46105.60017361111</v>
      </c>
      <c r="C110" s="1" t="n">
        <v>46126</v>
      </c>
      <c r="D110" t="inlineStr">
        <is>
          <t>KALMAR LÄN</t>
        </is>
      </c>
      <c r="E110" t="inlineStr">
        <is>
          <t>BORGHOLM</t>
        </is>
      </c>
      <c r="F110" t="inlineStr">
        <is>
          <t>Sveaskog</t>
        </is>
      </c>
      <c r="G110" t="n">
        <v>2.9</v>
      </c>
      <c r="H110" t="n">
        <v>0</v>
      </c>
      <c r="I110" t="n">
        <v>0</v>
      </c>
      <c r="J110" t="n">
        <v>0</v>
      </c>
      <c r="K110" t="n">
        <v>0</v>
      </c>
      <c r="L110" t="n">
        <v>0</v>
      </c>
      <c r="M110" t="n">
        <v>0</v>
      </c>
      <c r="N110" t="n">
        <v>0</v>
      </c>
      <c r="O110" t="n">
        <v>0</v>
      </c>
      <c r="P110" t="n">
        <v>0</v>
      </c>
      <c r="Q110" t="n">
        <v>0</v>
      </c>
      <c r="R110" s="2" t="inlineStr"/>
    </row>
    <row r="111" ht="15" customHeight="1">
      <c r="A111" t="inlineStr">
        <is>
          <t>A 15279-2026</t>
        </is>
      </c>
      <c r="B111" s="1" t="n">
        <v>46105.61030092592</v>
      </c>
      <c r="C111" s="1" t="n">
        <v>46126</v>
      </c>
      <c r="D111" t="inlineStr">
        <is>
          <t>KALMAR LÄN</t>
        </is>
      </c>
      <c r="E111" t="inlineStr">
        <is>
          <t>BORGHOLM</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9104-2026</t>
        </is>
      </c>
      <c r="B112" s="1" t="n">
        <v>46069</v>
      </c>
      <c r="C112" s="1" t="n">
        <v>46126</v>
      </c>
      <c r="D112" t="inlineStr">
        <is>
          <t>KALMAR LÄN</t>
        </is>
      </c>
      <c r="E112" t="inlineStr">
        <is>
          <t>BORGHOLM</t>
        </is>
      </c>
      <c r="G112" t="n">
        <v>1.3</v>
      </c>
      <c r="H112" t="n">
        <v>0</v>
      </c>
      <c r="I112" t="n">
        <v>0</v>
      </c>
      <c r="J112" t="n">
        <v>0</v>
      </c>
      <c r="K112" t="n">
        <v>0</v>
      </c>
      <c r="L112" t="n">
        <v>0</v>
      </c>
      <c r="M112" t="n">
        <v>0</v>
      </c>
      <c r="N112" t="n">
        <v>0</v>
      </c>
      <c r="O112" t="n">
        <v>0</v>
      </c>
      <c r="P112" t="n">
        <v>0</v>
      </c>
      <c r="Q112" t="n">
        <v>0</v>
      </c>
      <c r="R112" s="2" t="inlineStr"/>
    </row>
    <row r="113" ht="15" customHeight="1">
      <c r="A113" t="inlineStr">
        <is>
          <t>A 9259-2026</t>
        </is>
      </c>
      <c r="B113" s="1" t="n">
        <v>46070.51917824074</v>
      </c>
      <c r="C113" s="1" t="n">
        <v>46126</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21908-2022</t>
        </is>
      </c>
      <c r="B114" s="1" t="n">
        <v>44711</v>
      </c>
      <c r="C114" s="1" t="n">
        <v>46126</v>
      </c>
      <c r="D114" t="inlineStr">
        <is>
          <t>KALMAR LÄN</t>
        </is>
      </c>
      <c r="E114" t="inlineStr">
        <is>
          <t>BORGHOLM</t>
        </is>
      </c>
      <c r="G114" t="n">
        <v>4.7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46126</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9905-2026</t>
        </is>
      </c>
      <c r="B116" s="1" t="n">
        <v>46073.4108912037</v>
      </c>
      <c r="C116" s="1" t="n">
        <v>46126</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9034-2025</t>
        </is>
      </c>
      <c r="B117" s="1" t="n">
        <v>45713</v>
      </c>
      <c r="C117" s="1" t="n">
        <v>46126</v>
      </c>
      <c r="D117" t="inlineStr">
        <is>
          <t>KALMAR LÄN</t>
        </is>
      </c>
      <c r="E117" t="inlineStr">
        <is>
          <t>BORGHOLM</t>
        </is>
      </c>
      <c r="F117" t="inlineStr">
        <is>
          <t>Sveaskog</t>
        </is>
      </c>
      <c r="G117" t="n">
        <v>6.8</v>
      </c>
      <c r="H117" t="n">
        <v>0</v>
      </c>
      <c r="I117" t="n">
        <v>0</v>
      </c>
      <c r="J117" t="n">
        <v>0</v>
      </c>
      <c r="K117" t="n">
        <v>0</v>
      </c>
      <c r="L117" t="n">
        <v>0</v>
      </c>
      <c r="M117" t="n">
        <v>0</v>
      </c>
      <c r="N117" t="n">
        <v>0</v>
      </c>
      <c r="O117" t="n">
        <v>0</v>
      </c>
      <c r="P117" t="n">
        <v>0</v>
      </c>
      <c r="Q117" t="n">
        <v>0</v>
      </c>
      <c r="R117" s="2" t="inlineStr"/>
    </row>
    <row r="118" ht="15" customHeight="1">
      <c r="A118" t="inlineStr">
        <is>
          <t>A 5175-2024</t>
        </is>
      </c>
      <c r="B118" s="1" t="n">
        <v>45330</v>
      </c>
      <c r="C118" s="1" t="n">
        <v>46126</v>
      </c>
      <c r="D118" t="inlineStr">
        <is>
          <t>KALMAR LÄN</t>
        </is>
      </c>
      <c r="E118" t="inlineStr">
        <is>
          <t>BORGHOLM</t>
        </is>
      </c>
      <c r="G118" t="n">
        <v>1.5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46126</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19867-2024</t>
        </is>
      </c>
      <c r="B120" s="1" t="n">
        <v>45433</v>
      </c>
      <c r="C120" s="1" t="n">
        <v>46126</v>
      </c>
      <c r="D120" t="inlineStr">
        <is>
          <t>KALMAR LÄN</t>
        </is>
      </c>
      <c r="E120" t="inlineStr">
        <is>
          <t>BORGHOLM</t>
        </is>
      </c>
      <c r="G120" t="n">
        <v>3.9</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46126</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12937-2022</t>
        </is>
      </c>
      <c r="B122" s="1" t="n">
        <v>44642</v>
      </c>
      <c r="C122" s="1" t="n">
        <v>46126</v>
      </c>
      <c r="D122" t="inlineStr">
        <is>
          <t>KALMAR LÄN</t>
        </is>
      </c>
      <c r="E122" t="inlineStr">
        <is>
          <t>BORGHOLM</t>
        </is>
      </c>
      <c r="F122" t="inlineStr">
        <is>
          <t>Sveaskog</t>
        </is>
      </c>
      <c r="G122" t="n">
        <v>1.8</v>
      </c>
      <c r="H122" t="n">
        <v>0</v>
      </c>
      <c r="I122" t="n">
        <v>0</v>
      </c>
      <c r="J122" t="n">
        <v>0</v>
      </c>
      <c r="K122" t="n">
        <v>0</v>
      </c>
      <c r="L122" t="n">
        <v>0</v>
      </c>
      <c r="M122" t="n">
        <v>0</v>
      </c>
      <c r="N122" t="n">
        <v>0</v>
      </c>
      <c r="O122" t="n">
        <v>0</v>
      </c>
      <c r="P122" t="n">
        <v>0</v>
      </c>
      <c r="Q122" t="n">
        <v>0</v>
      </c>
      <c r="R122" s="2" t="inlineStr"/>
    </row>
    <row r="123">
      <c r="A123" t="inlineStr">
        <is>
          <t>A 7960-2023</t>
        </is>
      </c>
      <c r="B123" s="1" t="n">
        <v>44973</v>
      </c>
      <c r="C123" s="1" t="n">
        <v>46126</v>
      </c>
      <c r="D123" t="inlineStr">
        <is>
          <t>KALMAR LÄN</t>
        </is>
      </c>
      <c r="E123" t="inlineStr">
        <is>
          <t>BORGHOLM</t>
        </is>
      </c>
      <c r="G123" t="n">
        <v>2.1</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2026-04-14T10:32:25Z</dcterms:created>
  <dcterms:modified xmlns:dcterms="http://purl.org/dc/terms/" xmlns:xsi="http://www.w3.org/2001/XMLSchema-instance" xsi:type="dcterms:W3CDTF">2026-04-14T10:32:25Z</dcterms:modified>
</cp:coreProperties>
</file>