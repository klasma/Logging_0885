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46120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46120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46120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46120</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15285-2026</t>
        </is>
      </c>
      <c r="B20" s="1" t="n">
        <v>46105.6156712963</v>
      </c>
      <c r="C20" s="1" t="n">
        <v>46120</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Havsörn
Talltita</t>
        </is>
      </c>
      <c r="S20">
        <f>HYPERLINK("https://klasma.github.io/Logging_0885/artfynd/A 15285-2026 artfynd.xlsx", "A 15285-2026")</f>
        <v/>
      </c>
      <c r="T20">
        <f>HYPERLINK("https://klasma.github.io/Logging_0885/kartor/A 15285-2026 karta.png", "A 15285-2026")</f>
        <v/>
      </c>
      <c r="V20">
        <f>HYPERLINK("https://klasma.github.io/Logging_0885/klagomål/A 15285-2026 FSC-klagomål.docx", "A 15285-2026")</f>
        <v/>
      </c>
      <c r="W20">
        <f>HYPERLINK("https://klasma.github.io/Logging_0885/klagomålsmail/A 15285-2026 FSC-klagomål mail.docx", "A 15285-2026")</f>
        <v/>
      </c>
      <c r="X20">
        <f>HYPERLINK("https://klasma.github.io/Logging_0885/tillsyn/A 15285-2026 tillsynsbegäran.docx", "A 15285-2026")</f>
        <v/>
      </c>
      <c r="Y20">
        <f>HYPERLINK("https://klasma.github.io/Logging_0885/tillsynsmail/A 15285-2026 tillsynsbegäran mail.docx", "A 15285-2026")</f>
        <v/>
      </c>
      <c r="Z20">
        <f>HYPERLINK("https://klasma.github.io/Logging_0885/fåglar/A 15285-2026 prioriterade fågelarter.docx", "A 15285-2026")</f>
        <v/>
      </c>
    </row>
    <row r="21" ht="15" customHeight="1">
      <c r="A21" t="inlineStr">
        <is>
          <t>A 32174-2022</t>
        </is>
      </c>
      <c r="B21" s="1" t="n">
        <v>44781</v>
      </c>
      <c r="C21" s="1" t="n">
        <v>46120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9253-2026</t>
        </is>
      </c>
      <c r="B22" s="1" t="n">
        <v>46070.51003472223</v>
      </c>
      <c r="C22" s="1" t="n">
        <v>46120</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28779-2025</t>
        </is>
      </c>
      <c r="B23" s="1" t="n">
        <v>45820.44920138889</v>
      </c>
      <c r="C23" s="1" t="n">
        <v>46120</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13556-2025</t>
        </is>
      </c>
      <c r="B24" s="1" t="n">
        <v>45736.54759259259</v>
      </c>
      <c r="C24" s="1" t="n">
        <v>46120</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60140-2025</t>
        </is>
      </c>
      <c r="B25" s="1" t="n">
        <v>45994.36274305556</v>
      </c>
      <c r="C25" s="1" t="n">
        <v>46120</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34944-2022</t>
        </is>
      </c>
      <c r="B26" s="1" t="n">
        <v>44796</v>
      </c>
      <c r="C26" s="1" t="n">
        <v>46120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46120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46120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46120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46120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46120</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41640-2023</t>
        </is>
      </c>
      <c r="B33" s="1" t="n">
        <v>45175</v>
      </c>
      <c r="C33" s="1" t="n">
        <v>46120</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3302-2026</t>
        </is>
      </c>
      <c r="B34" s="1" t="n">
        <v>46041</v>
      </c>
      <c r="C34" s="1" t="n">
        <v>46120</v>
      </c>
      <c r="D34" t="inlineStr">
        <is>
          <t>KALMAR LÄN</t>
        </is>
      </c>
      <c r="E34" t="inlineStr">
        <is>
          <t>BORGHOLM</t>
        </is>
      </c>
      <c r="G34" t="n">
        <v>3.9</v>
      </c>
      <c r="H34" t="n">
        <v>1</v>
      </c>
      <c r="I34" t="n">
        <v>0</v>
      </c>
      <c r="J34" t="n">
        <v>0</v>
      </c>
      <c r="K34" t="n">
        <v>0</v>
      </c>
      <c r="L34" t="n">
        <v>0</v>
      </c>
      <c r="M34" t="n">
        <v>0</v>
      </c>
      <c r="N34" t="n">
        <v>0</v>
      </c>
      <c r="O34" t="n">
        <v>0</v>
      </c>
      <c r="P34" t="n">
        <v>0</v>
      </c>
      <c r="Q34" t="n">
        <v>1</v>
      </c>
      <c r="R34" s="2" t="inlineStr">
        <is>
          <t>Blåsippa</t>
        </is>
      </c>
      <c r="S34">
        <f>HYPERLINK("https://klasma.github.io/Logging_0885/artfynd/A 3302-2026 artfynd.xlsx", "A 3302-2026")</f>
        <v/>
      </c>
      <c r="T34">
        <f>HYPERLINK("https://klasma.github.io/Logging_0885/kartor/A 3302-2026 karta.png", "A 3302-2026")</f>
        <v/>
      </c>
      <c r="V34">
        <f>HYPERLINK("https://klasma.github.io/Logging_0885/klagomål/A 3302-2026 FSC-klagomål.docx", "A 3302-2026")</f>
        <v/>
      </c>
      <c r="W34">
        <f>HYPERLINK("https://klasma.github.io/Logging_0885/klagomålsmail/A 3302-2026 FSC-klagomål mail.docx", "A 3302-2026")</f>
        <v/>
      </c>
      <c r="X34">
        <f>HYPERLINK("https://klasma.github.io/Logging_0885/tillsyn/A 3302-2026 tillsynsbegäran.docx", "A 3302-2026")</f>
        <v/>
      </c>
      <c r="Y34">
        <f>HYPERLINK("https://klasma.github.io/Logging_0885/tillsynsmail/A 3302-2026 tillsynsbegäran mail.docx", "A 3302-2026")</f>
        <v/>
      </c>
    </row>
    <row r="35" ht="15" customHeight="1">
      <c r="A35" t="inlineStr">
        <is>
          <t>A 13558-2025</t>
        </is>
      </c>
      <c r="B35" s="1" t="n">
        <v>45736.54974537037</v>
      </c>
      <c r="C35" s="1" t="n">
        <v>46120</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45693-2025</t>
        </is>
      </c>
      <c r="B36" s="1" t="n">
        <v>45923</v>
      </c>
      <c r="C36" s="1" t="n">
        <v>46120</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24701-2023</t>
        </is>
      </c>
      <c r="B37" s="1" t="n">
        <v>45084</v>
      </c>
      <c r="C37" s="1" t="n">
        <v>46120</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28785-2025</t>
        </is>
      </c>
      <c r="B38" s="1" t="n">
        <v>45820.46159722222</v>
      </c>
      <c r="C38" s="1" t="n">
        <v>46120</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46120</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43603-2024</t>
        </is>
      </c>
      <c r="B40" s="1" t="n">
        <v>45569.44700231482</v>
      </c>
      <c r="C40" s="1" t="n">
        <v>46120</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46120</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34885-2025</t>
        </is>
      </c>
      <c r="B42" s="1" t="n">
        <v>45849.47128472223</v>
      </c>
      <c r="C42" s="1" t="n">
        <v>46120</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24048-2025</t>
        </is>
      </c>
      <c r="B43" s="1" t="n">
        <v>45796.4959375</v>
      </c>
      <c r="C43" s="1" t="n">
        <v>46120</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42761-2021</t>
        </is>
      </c>
      <c r="B44" s="1" t="n">
        <v>44428</v>
      </c>
      <c r="C44" s="1" t="n">
        <v>46120</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46120</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46120</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46120</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46120</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46120</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46120</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46120</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46120</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46120</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46120</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46120</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46120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40339-2023</t>
        </is>
      </c>
      <c r="B60" s="1" t="n">
        <v>45169.62733796296</v>
      </c>
      <c r="C60" s="1" t="n">
        <v>46120</v>
      </c>
      <c r="D60" t="inlineStr">
        <is>
          <t>KALMAR LÄN</t>
        </is>
      </c>
      <c r="E60" t="inlineStr">
        <is>
          <t>BORGHOLM</t>
        </is>
      </c>
      <c r="G60" t="n">
        <v>3.8</v>
      </c>
      <c r="H60" t="n">
        <v>0</v>
      </c>
      <c r="I60" t="n">
        <v>0</v>
      </c>
      <c r="J60" t="n">
        <v>0</v>
      </c>
      <c r="K60" t="n">
        <v>0</v>
      </c>
      <c r="L60" t="n">
        <v>0</v>
      </c>
      <c r="M60" t="n">
        <v>0</v>
      </c>
      <c r="N60" t="n">
        <v>0</v>
      </c>
      <c r="O60" t="n">
        <v>0</v>
      </c>
      <c r="P60" t="n">
        <v>0</v>
      </c>
      <c r="Q60" t="n">
        <v>0</v>
      </c>
      <c r="R60" s="2" t="inlineStr"/>
    </row>
    <row r="61" ht="15" customHeight="1">
      <c r="A61" t="inlineStr">
        <is>
          <t>A 20878-2024</t>
        </is>
      </c>
      <c r="B61" s="1" t="n">
        <v>45439.44748842593</v>
      </c>
      <c r="C61" s="1" t="n">
        <v>46120</v>
      </c>
      <c r="D61" t="inlineStr">
        <is>
          <t>KALMAR LÄN</t>
        </is>
      </c>
      <c r="E61" t="inlineStr">
        <is>
          <t>BORGHOLM</t>
        </is>
      </c>
      <c r="G61" t="n">
        <v>1.9</v>
      </c>
      <c r="H61" t="n">
        <v>0</v>
      </c>
      <c r="I61" t="n">
        <v>0</v>
      </c>
      <c r="J61" t="n">
        <v>0</v>
      </c>
      <c r="K61" t="n">
        <v>0</v>
      </c>
      <c r="L61" t="n">
        <v>0</v>
      </c>
      <c r="M61" t="n">
        <v>0</v>
      </c>
      <c r="N61" t="n">
        <v>0</v>
      </c>
      <c r="O61" t="n">
        <v>0</v>
      </c>
      <c r="P61" t="n">
        <v>0</v>
      </c>
      <c r="Q61" t="n">
        <v>0</v>
      </c>
      <c r="R61" s="2" t="inlineStr"/>
    </row>
    <row r="62" ht="15" customHeight="1">
      <c r="A62" t="inlineStr">
        <is>
          <t>A 24166-2022</t>
        </is>
      </c>
      <c r="B62" s="1" t="n">
        <v>44725</v>
      </c>
      <c r="C62" s="1" t="n">
        <v>46120</v>
      </c>
      <c r="D62" t="inlineStr">
        <is>
          <t>KALMAR LÄN</t>
        </is>
      </c>
      <c r="E62" t="inlineStr">
        <is>
          <t>BORGHOLM</t>
        </is>
      </c>
      <c r="G62" t="n">
        <v>10.7</v>
      </c>
      <c r="H62" t="n">
        <v>0</v>
      </c>
      <c r="I62" t="n">
        <v>0</v>
      </c>
      <c r="J62" t="n">
        <v>0</v>
      </c>
      <c r="K62" t="n">
        <v>0</v>
      </c>
      <c r="L62" t="n">
        <v>0</v>
      </c>
      <c r="M62" t="n">
        <v>0</v>
      </c>
      <c r="N62" t="n">
        <v>0</v>
      </c>
      <c r="O62" t="n">
        <v>0</v>
      </c>
      <c r="P62" t="n">
        <v>0</v>
      </c>
      <c r="Q62" t="n">
        <v>0</v>
      </c>
      <c r="R62" s="2" t="inlineStr"/>
    </row>
    <row r="63" ht="15" customHeight="1">
      <c r="A63" t="inlineStr">
        <is>
          <t>A 4159-2024</t>
        </is>
      </c>
      <c r="B63" s="1" t="n">
        <v>45323</v>
      </c>
      <c r="C63" s="1" t="n">
        <v>46120</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46120</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46120</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46120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53050-2021</t>
        </is>
      </c>
      <c r="B67" s="1" t="n">
        <v>44467</v>
      </c>
      <c r="C67" s="1" t="n">
        <v>46120</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46120</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46120</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31720-2022</t>
        </is>
      </c>
      <c r="B70" s="1" t="n">
        <v>44776</v>
      </c>
      <c r="C70" s="1" t="n">
        <v>46120</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46120</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46120</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29656-2023</t>
        </is>
      </c>
      <c r="B73" s="1" t="n">
        <v>45107</v>
      </c>
      <c r="C73" s="1" t="n">
        <v>46120</v>
      </c>
      <c r="D73" t="inlineStr">
        <is>
          <t>KALMAR LÄN</t>
        </is>
      </c>
      <c r="E73" t="inlineStr">
        <is>
          <t>BORGHOLM</t>
        </is>
      </c>
      <c r="G73" t="n">
        <v>4.1</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46120</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4165-2023</t>
        </is>
      </c>
      <c r="B75" s="1" t="n">
        <v>44953</v>
      </c>
      <c r="C75" s="1" t="n">
        <v>46120</v>
      </c>
      <c r="D75" t="inlineStr">
        <is>
          <t>KALMAR LÄN</t>
        </is>
      </c>
      <c r="E75" t="inlineStr">
        <is>
          <t>BORGHOLM</t>
        </is>
      </c>
      <c r="G75" t="n">
        <v>0.6</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46120</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46120</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7481-2026</t>
        </is>
      </c>
      <c r="B78" s="1" t="n">
        <v>46059.51359953704</v>
      </c>
      <c r="C78" s="1" t="n">
        <v>46120</v>
      </c>
      <c r="D78" t="inlineStr">
        <is>
          <t>KALMAR LÄN</t>
        </is>
      </c>
      <c r="E78" t="inlineStr">
        <is>
          <t>BORGHOLM</t>
        </is>
      </c>
      <c r="G78" t="n">
        <v>1.9</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46120</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15264-2026</t>
        </is>
      </c>
      <c r="B80" s="1" t="n">
        <v>46105.59372685185</v>
      </c>
      <c r="C80" s="1" t="n">
        <v>46120</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15272-2026</t>
        </is>
      </c>
      <c r="B81" s="1" t="n">
        <v>46105.60017361111</v>
      </c>
      <c r="C81" s="1" t="n">
        <v>46120</v>
      </c>
      <c r="D81" t="inlineStr">
        <is>
          <t>KALMAR LÄN</t>
        </is>
      </c>
      <c r="E81" t="inlineStr">
        <is>
          <t>BORGHOLM</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15279-2026</t>
        </is>
      </c>
      <c r="B82" s="1" t="n">
        <v>46105.61030092592</v>
      </c>
      <c r="C82" s="1" t="n">
        <v>46120</v>
      </c>
      <c r="D82" t="inlineStr">
        <is>
          <t>KALMAR LÄN</t>
        </is>
      </c>
      <c r="E82" t="inlineStr">
        <is>
          <t>BORGHOLM</t>
        </is>
      </c>
      <c r="F82" t="inlineStr">
        <is>
          <t>Sveaskog</t>
        </is>
      </c>
      <c r="G82" t="n">
        <v>4.6</v>
      </c>
      <c r="H82" t="n">
        <v>0</v>
      </c>
      <c r="I82" t="n">
        <v>0</v>
      </c>
      <c r="J82" t="n">
        <v>0</v>
      </c>
      <c r="K82" t="n">
        <v>0</v>
      </c>
      <c r="L82" t="n">
        <v>0</v>
      </c>
      <c r="M82" t="n">
        <v>0</v>
      </c>
      <c r="N82" t="n">
        <v>0</v>
      </c>
      <c r="O82" t="n">
        <v>0</v>
      </c>
      <c r="P82" t="n">
        <v>0</v>
      </c>
      <c r="Q82" t="n">
        <v>0</v>
      </c>
      <c r="R82" s="2" t="inlineStr"/>
    </row>
    <row r="83" ht="15" customHeight="1">
      <c r="A83" t="inlineStr">
        <is>
          <t>A 13548-2025</t>
        </is>
      </c>
      <c r="B83" s="1" t="n">
        <v>45736.53827546296</v>
      </c>
      <c r="C83" s="1" t="n">
        <v>46120</v>
      </c>
      <c r="D83" t="inlineStr">
        <is>
          <t>KALMAR LÄN</t>
        </is>
      </c>
      <c r="E83" t="inlineStr">
        <is>
          <t>BORGHOLM</t>
        </is>
      </c>
      <c r="G83" t="n">
        <v>1</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46120</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9104-2026</t>
        </is>
      </c>
      <c r="B85" s="1" t="n">
        <v>46069</v>
      </c>
      <c r="C85" s="1" t="n">
        <v>46120</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31840-2021</t>
        </is>
      </c>
      <c r="B86" s="1" t="n">
        <v>44370</v>
      </c>
      <c r="C86" s="1" t="n">
        <v>46120</v>
      </c>
      <c r="D86" t="inlineStr">
        <is>
          <t>KALMAR LÄN</t>
        </is>
      </c>
      <c r="E86" t="inlineStr">
        <is>
          <t>BORGHOLM</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9259-2026</t>
        </is>
      </c>
      <c r="B87" s="1" t="n">
        <v>46070.51917824074</v>
      </c>
      <c r="C87" s="1" t="n">
        <v>46120</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44678-2022</t>
        </is>
      </c>
      <c r="B88" s="1" t="n">
        <v>44840.65100694444</v>
      </c>
      <c r="C88" s="1" t="n">
        <v>46120</v>
      </c>
      <c r="D88" t="inlineStr">
        <is>
          <t>KALMAR LÄN</t>
        </is>
      </c>
      <c r="E88" t="inlineStr">
        <is>
          <t>BORGHOLM</t>
        </is>
      </c>
      <c r="G88" t="n">
        <v>2.4</v>
      </c>
      <c r="H88" t="n">
        <v>0</v>
      </c>
      <c r="I88" t="n">
        <v>0</v>
      </c>
      <c r="J88" t="n">
        <v>0</v>
      </c>
      <c r="K88" t="n">
        <v>0</v>
      </c>
      <c r="L88" t="n">
        <v>0</v>
      </c>
      <c r="M88" t="n">
        <v>0</v>
      </c>
      <c r="N88" t="n">
        <v>0</v>
      </c>
      <c r="O88" t="n">
        <v>0</v>
      </c>
      <c r="P88" t="n">
        <v>0</v>
      </c>
      <c r="Q88" t="n">
        <v>0</v>
      </c>
      <c r="R88" s="2" t="inlineStr"/>
    </row>
    <row r="89" ht="15" customHeight="1">
      <c r="A89" t="inlineStr">
        <is>
          <t>A 9905-2026</t>
        </is>
      </c>
      <c r="B89" s="1" t="n">
        <v>46073.4108912037</v>
      </c>
      <c r="C89" s="1" t="n">
        <v>46120</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46120</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46120</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46120</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63075-2023</t>
        </is>
      </c>
      <c r="B93" s="1" t="n">
        <v>45273</v>
      </c>
      <c r="C93" s="1" t="n">
        <v>46120</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46120</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46120</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61723-2025</t>
        </is>
      </c>
      <c r="B96" s="1" t="n">
        <v>46002.58388888889</v>
      </c>
      <c r="C96" s="1" t="n">
        <v>46120</v>
      </c>
      <c r="D96" t="inlineStr">
        <is>
          <t>KALMAR LÄN</t>
        </is>
      </c>
      <c r="E96" t="inlineStr">
        <is>
          <t>BORGHOLM</t>
        </is>
      </c>
      <c r="G96" t="n">
        <v>1.1</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46120</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46120</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46120</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46120</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46120</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46120</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46120</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36269-2025</t>
        </is>
      </c>
      <c r="B104" s="1" t="n">
        <v>45867.61736111111</v>
      </c>
      <c r="C104" s="1" t="n">
        <v>46120</v>
      </c>
      <c r="D104" t="inlineStr">
        <is>
          <t>KALMAR LÄN</t>
        </is>
      </c>
      <c r="E104" t="inlineStr">
        <is>
          <t>BORGHOLM</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32919-2023</t>
        </is>
      </c>
      <c r="B105" s="1" t="n">
        <v>45125</v>
      </c>
      <c r="C105" s="1" t="n">
        <v>46120</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46120</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46120</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46120</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46120</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46120</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46120</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46120</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46120</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46120</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46120</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46120</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46120</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46120</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46120</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13043-2024</t>
        </is>
      </c>
      <c r="B120" s="1" t="n">
        <v>45385.60111111111</v>
      </c>
      <c r="C120" s="1" t="n">
        <v>46120</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row r="121" ht="15" customHeight="1">
      <c r="A121" t="inlineStr">
        <is>
          <t>A 17978-2021</t>
        </is>
      </c>
      <c r="B121" s="1" t="n">
        <v>44301</v>
      </c>
      <c r="C121" s="1" t="n">
        <v>46120</v>
      </c>
      <c r="D121" t="inlineStr">
        <is>
          <t>KALMAR LÄN</t>
        </is>
      </c>
      <c r="E121" t="inlineStr">
        <is>
          <t>BORGHOLM</t>
        </is>
      </c>
      <c r="G121" t="n">
        <v>6</v>
      </c>
      <c r="H121" t="n">
        <v>0</v>
      </c>
      <c r="I121" t="n">
        <v>0</v>
      </c>
      <c r="J121" t="n">
        <v>0</v>
      </c>
      <c r="K121" t="n">
        <v>0</v>
      </c>
      <c r="L121" t="n">
        <v>0</v>
      </c>
      <c r="M121" t="n">
        <v>0</v>
      </c>
      <c r="N121" t="n">
        <v>0</v>
      </c>
      <c r="O121" t="n">
        <v>0</v>
      </c>
      <c r="P121" t="n">
        <v>0</v>
      </c>
      <c r="Q121" t="n">
        <v>0</v>
      </c>
      <c r="R121" s="2" t="inlineStr"/>
    </row>
    <row r="122" ht="15" customHeight="1">
      <c r="A122" t="inlineStr">
        <is>
          <t>A 22785-2025</t>
        </is>
      </c>
      <c r="B122" s="1" t="n">
        <v>45789.64186342592</v>
      </c>
      <c r="C122" s="1" t="n">
        <v>46120</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c r="A123" t="inlineStr">
        <is>
          <t>A 12534-2022</t>
        </is>
      </c>
      <c r="B123" s="1" t="n">
        <v>44638</v>
      </c>
      <c r="C123" s="1" t="n">
        <v>46120</v>
      </c>
      <c r="D123" t="inlineStr">
        <is>
          <t>KALMAR LÄN</t>
        </is>
      </c>
      <c r="E123" t="inlineStr">
        <is>
          <t>BORGHOLM</t>
        </is>
      </c>
      <c r="G123" t="n">
        <v>8.6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2026-04-08T10:47:19Z</dcterms:created>
  <dcterms:modified xmlns:dcterms="http://purl.org/dc/terms/" xmlns:xsi="http://www.w3.org/2001/XMLSchema-instance" xsi:type="dcterms:W3CDTF">2026-04-08T10:47:19Z</dcterms:modified>
</cp:coreProperties>
</file>