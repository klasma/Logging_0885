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46076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46076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46076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46076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46076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46076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46076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46076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46076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46076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46076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46076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46076</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46076</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46076</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46076</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46076</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46076</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46076</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46076</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46076</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46076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46076</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46076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46076</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9253-2026</t>
        </is>
      </c>
      <c r="B27" s="1" t="n">
        <v>46070.51003472223</v>
      </c>
      <c r="C27" s="1" t="n">
        <v>46076</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46076</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46076</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46076</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46076</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46076</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28785-2025</t>
        </is>
      </c>
      <c r="B33" s="1" t="n">
        <v>45820.46159722222</v>
      </c>
      <c r="C33" s="1" t="n">
        <v>46076</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46076</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34885-2025</t>
        </is>
      </c>
      <c r="B35" s="1" t="n">
        <v>45849.47128472223</v>
      </c>
      <c r="C35" s="1" t="n">
        <v>46076</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24704-2023</t>
        </is>
      </c>
      <c r="B36" s="1" t="n">
        <v>45084</v>
      </c>
      <c r="C36" s="1" t="n">
        <v>46076</v>
      </c>
      <c r="D36" t="inlineStr">
        <is>
          <t>KALMAR LÄN</t>
        </is>
      </c>
      <c r="E36" t="inlineStr">
        <is>
          <t>BORGHOLM</t>
        </is>
      </c>
      <c r="G36" t="n">
        <v>3.5</v>
      </c>
      <c r="H36" t="n">
        <v>0</v>
      </c>
      <c r="I36" t="n">
        <v>0</v>
      </c>
      <c r="J36" t="n">
        <v>0</v>
      </c>
      <c r="K36" t="n">
        <v>0</v>
      </c>
      <c r="L36" t="n">
        <v>1</v>
      </c>
      <c r="M36" t="n">
        <v>0</v>
      </c>
      <c r="N36" t="n">
        <v>0</v>
      </c>
      <c r="O36" t="n">
        <v>1</v>
      </c>
      <c r="P36" t="n">
        <v>1</v>
      </c>
      <c r="Q36" t="n">
        <v>1</v>
      </c>
      <c r="R36" s="2" t="inlineStr">
        <is>
          <t>Ask</t>
        </is>
      </c>
      <c r="S36">
        <f>HYPERLINK("https://klasma.github.io/Logging_0885/artfynd/A 24704-2023 artfynd.xlsx", "A 24704-2023")</f>
        <v/>
      </c>
      <c r="T36">
        <f>HYPERLINK("https://klasma.github.io/Logging_0885/kartor/A 24704-2023 karta.png", "A 24704-2023")</f>
        <v/>
      </c>
      <c r="V36">
        <f>HYPERLINK("https://klasma.github.io/Logging_0885/klagomål/A 24704-2023 FSC-klagomål.docx", "A 24704-2023")</f>
        <v/>
      </c>
      <c r="W36">
        <f>HYPERLINK("https://klasma.github.io/Logging_0885/klagomålsmail/A 24704-2023 FSC-klagomål mail.docx", "A 24704-2023")</f>
        <v/>
      </c>
      <c r="X36">
        <f>HYPERLINK("https://klasma.github.io/Logging_0885/tillsyn/A 24704-2023 tillsynsbegäran.docx", "A 24704-2023")</f>
        <v/>
      </c>
      <c r="Y36">
        <f>HYPERLINK("https://klasma.github.io/Logging_0885/tillsynsmail/A 24704-2023 tillsynsbegäran mail.docx", "A 24704-2023")</f>
        <v/>
      </c>
    </row>
    <row r="37" ht="15" customHeight="1">
      <c r="A37" t="inlineStr">
        <is>
          <t>A 45693-2025</t>
        </is>
      </c>
      <c r="B37" s="1" t="n">
        <v>45923</v>
      </c>
      <c r="C37" s="1" t="n">
        <v>46076</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9745-2023</t>
        </is>
      </c>
      <c r="B38" s="1" t="n">
        <v>44984</v>
      </c>
      <c r="C38" s="1" t="n">
        <v>46076</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43603-2024</t>
        </is>
      </c>
      <c r="B39" s="1" t="n">
        <v>45569.44700231482</v>
      </c>
      <c r="C39" s="1" t="n">
        <v>46076</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14789-2021</t>
        </is>
      </c>
      <c r="B40" s="1" t="n">
        <v>44280</v>
      </c>
      <c r="C40" s="1" t="n">
        <v>46076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3302-2026</t>
        </is>
      </c>
      <c r="B41" s="1" t="n">
        <v>46041</v>
      </c>
      <c r="C41" s="1" t="n">
        <v>46076</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12785-2021</t>
        </is>
      </c>
      <c r="B42" s="1" t="n">
        <v>44270</v>
      </c>
      <c r="C42" s="1" t="n">
        <v>46076</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24048-2025</t>
        </is>
      </c>
      <c r="B43" s="1" t="n">
        <v>45796.4959375</v>
      </c>
      <c r="C43" s="1" t="n">
        <v>46076</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46076</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46076</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46076</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46076</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46076</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46076</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46076</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46076</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46076</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46076</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46076</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46076</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46076</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46076</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46076</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46076</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46076</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46076</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3878-2023</t>
        </is>
      </c>
      <c r="B62" s="1" t="n">
        <v>44951</v>
      </c>
      <c r="C62" s="1" t="n">
        <v>46076</v>
      </c>
      <c r="D62" t="inlineStr">
        <is>
          <t>KALMAR LÄN</t>
        </is>
      </c>
      <c r="E62" t="inlineStr">
        <is>
          <t>BORGHOLM</t>
        </is>
      </c>
      <c r="G62" t="n">
        <v>1.7</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46076</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46076</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21908-2022</t>
        </is>
      </c>
      <c r="B65" s="1" t="n">
        <v>44711</v>
      </c>
      <c r="C65" s="1" t="n">
        <v>46076</v>
      </c>
      <c r="D65" t="inlineStr">
        <is>
          <t>KALMAR LÄN</t>
        </is>
      </c>
      <c r="E65" t="inlineStr">
        <is>
          <t>BORGHOLM</t>
        </is>
      </c>
      <c r="G65" t="n">
        <v>4.7</v>
      </c>
      <c r="H65" t="n">
        <v>0</v>
      </c>
      <c r="I65" t="n">
        <v>0</v>
      </c>
      <c r="J65" t="n">
        <v>0</v>
      </c>
      <c r="K65" t="n">
        <v>0</v>
      </c>
      <c r="L65" t="n">
        <v>0</v>
      </c>
      <c r="M65" t="n">
        <v>0</v>
      </c>
      <c r="N65" t="n">
        <v>0</v>
      </c>
      <c r="O65" t="n">
        <v>0</v>
      </c>
      <c r="P65" t="n">
        <v>0</v>
      </c>
      <c r="Q65" t="n">
        <v>0</v>
      </c>
      <c r="R65" s="2" t="inlineStr"/>
    </row>
    <row r="66" ht="15" customHeight="1">
      <c r="A66" t="inlineStr">
        <is>
          <t>A 55367-2024</t>
        </is>
      </c>
      <c r="B66" s="1" t="n">
        <v>45621.87075231481</v>
      </c>
      <c r="C66" s="1" t="n">
        <v>46076</v>
      </c>
      <c r="D66" t="inlineStr">
        <is>
          <t>KALMAR LÄN</t>
        </is>
      </c>
      <c r="E66" t="inlineStr">
        <is>
          <t>BORGHOLM</t>
        </is>
      </c>
      <c r="G66" t="n">
        <v>0.7</v>
      </c>
      <c r="H66" t="n">
        <v>0</v>
      </c>
      <c r="I66" t="n">
        <v>0</v>
      </c>
      <c r="J66" t="n">
        <v>0</v>
      </c>
      <c r="K66" t="n">
        <v>0</v>
      </c>
      <c r="L66" t="n">
        <v>0</v>
      </c>
      <c r="M66" t="n">
        <v>0</v>
      </c>
      <c r="N66" t="n">
        <v>0</v>
      </c>
      <c r="O66" t="n">
        <v>0</v>
      </c>
      <c r="P66" t="n">
        <v>0</v>
      </c>
      <c r="Q66" t="n">
        <v>0</v>
      </c>
      <c r="R66" s="2" t="inlineStr"/>
    </row>
    <row r="67" ht="15" customHeight="1">
      <c r="A67" t="inlineStr">
        <is>
          <t>A 28782-2025</t>
        </is>
      </c>
      <c r="B67" s="1" t="n">
        <v>45820.45572916666</v>
      </c>
      <c r="C67" s="1" t="n">
        <v>46076</v>
      </c>
      <c r="D67" t="inlineStr">
        <is>
          <t>KALMAR LÄN</t>
        </is>
      </c>
      <c r="E67" t="inlineStr">
        <is>
          <t>BORGHOLM</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4159-2024</t>
        </is>
      </c>
      <c r="B68" s="1" t="n">
        <v>45323</v>
      </c>
      <c r="C68" s="1" t="n">
        <v>46076</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32921-2023</t>
        </is>
      </c>
      <c r="B69" s="1" t="n">
        <v>45125</v>
      </c>
      <c r="C69" s="1" t="n">
        <v>46076</v>
      </c>
      <c r="D69" t="inlineStr">
        <is>
          <t>KALMAR LÄN</t>
        </is>
      </c>
      <c r="E69" t="inlineStr">
        <is>
          <t>BORGHOLM</t>
        </is>
      </c>
      <c r="G69" t="n">
        <v>2.9</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46076</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46076</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46076</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46076</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63276-2023</t>
        </is>
      </c>
      <c r="B74" s="1" t="n">
        <v>45273.82195601852</v>
      </c>
      <c r="C74" s="1" t="n">
        <v>46076</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43542-2025</t>
        </is>
      </c>
      <c r="B75" s="1" t="n">
        <v>45911.61123842592</v>
      </c>
      <c r="C75" s="1" t="n">
        <v>46076</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1614-2025</t>
        </is>
      </c>
      <c r="B76" s="1" t="n">
        <v>45670.60094907408</v>
      </c>
      <c r="C76" s="1" t="n">
        <v>46076</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46076</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46076</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36269-2025</t>
        </is>
      </c>
      <c r="B79" s="1" t="n">
        <v>45867.61736111111</v>
      </c>
      <c r="C79" s="1" t="n">
        <v>46076</v>
      </c>
      <c r="D79" t="inlineStr">
        <is>
          <t>KALMAR LÄN</t>
        </is>
      </c>
      <c r="E79" t="inlineStr">
        <is>
          <t>BORGHOLM</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46076</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9076-2025</t>
        </is>
      </c>
      <c r="B81" s="1" t="n">
        <v>45713.6596875</v>
      </c>
      <c r="C81" s="1" t="n">
        <v>46076</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1757-2025</t>
        </is>
      </c>
      <c r="B82" s="1" t="n">
        <v>45671.42195601852</v>
      </c>
      <c r="C82" s="1" t="n">
        <v>46076</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7960-2023</t>
        </is>
      </c>
      <c r="B83" s="1" t="n">
        <v>44973</v>
      </c>
      <c r="C83" s="1" t="n">
        <v>46076</v>
      </c>
      <c r="D83" t="inlineStr">
        <is>
          <t>KALMAR LÄN</t>
        </is>
      </c>
      <c r="E83" t="inlineStr">
        <is>
          <t>BORGHOLM</t>
        </is>
      </c>
      <c r="G83" t="n">
        <v>2.1</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46076</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9050-2025</t>
        </is>
      </c>
      <c r="B85" s="1" t="n">
        <v>45713.63512731482</v>
      </c>
      <c r="C85" s="1" t="n">
        <v>46076</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7669-2024</t>
        </is>
      </c>
      <c r="B86" s="1" t="n">
        <v>45348.82498842593</v>
      </c>
      <c r="C86" s="1" t="n">
        <v>46076</v>
      </c>
      <c r="D86" t="inlineStr">
        <is>
          <t>KALMAR LÄN</t>
        </is>
      </c>
      <c r="E86" t="inlineStr">
        <is>
          <t>BORGHOLM</t>
        </is>
      </c>
      <c r="G86" t="n">
        <v>2.3</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46076</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46076</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46076</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46076</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46076</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31720-2022</t>
        </is>
      </c>
      <c r="B92" s="1" t="n">
        <v>44776</v>
      </c>
      <c r="C92" s="1" t="n">
        <v>46076</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7481-2026</t>
        </is>
      </c>
      <c r="B93" s="1" t="n">
        <v>46059.51359953704</v>
      </c>
      <c r="C93" s="1" t="n">
        <v>46076</v>
      </c>
      <c r="D93" t="inlineStr">
        <is>
          <t>KALMAR LÄN</t>
        </is>
      </c>
      <c r="E93" t="inlineStr">
        <is>
          <t>BORGHOLM</t>
        </is>
      </c>
      <c r="G93" t="n">
        <v>1.9</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46076</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5175-2024</t>
        </is>
      </c>
      <c r="B95" s="1" t="n">
        <v>45330</v>
      </c>
      <c r="C95" s="1" t="n">
        <v>46076</v>
      </c>
      <c r="D95" t="inlineStr">
        <is>
          <t>KALMAR LÄN</t>
        </is>
      </c>
      <c r="E95" t="inlineStr">
        <is>
          <t>BORGHOLM</t>
        </is>
      </c>
      <c r="G95" t="n">
        <v>1.5</v>
      </c>
      <c r="H95" t="n">
        <v>0</v>
      </c>
      <c r="I95" t="n">
        <v>0</v>
      </c>
      <c r="J95" t="n">
        <v>0</v>
      </c>
      <c r="K95" t="n">
        <v>0</v>
      </c>
      <c r="L95" t="n">
        <v>0</v>
      </c>
      <c r="M95" t="n">
        <v>0</v>
      </c>
      <c r="N95" t="n">
        <v>0</v>
      </c>
      <c r="O95" t="n">
        <v>0</v>
      </c>
      <c r="P95" t="n">
        <v>0</v>
      </c>
      <c r="Q95" t="n">
        <v>0</v>
      </c>
      <c r="R95" s="2" t="inlineStr"/>
    </row>
    <row r="96" ht="15" customHeight="1">
      <c r="A96" t="inlineStr">
        <is>
          <t>A 34951-2022</t>
        </is>
      </c>
      <c r="B96" s="1" t="n">
        <v>44796</v>
      </c>
      <c r="C96" s="1" t="n">
        <v>46076</v>
      </c>
      <c r="D96" t="inlineStr">
        <is>
          <t>KALMAR LÄN</t>
        </is>
      </c>
      <c r="E96" t="inlineStr">
        <is>
          <t>BORGHOLM</t>
        </is>
      </c>
      <c r="F96" t="inlineStr">
        <is>
          <t>Sveaskog</t>
        </is>
      </c>
      <c r="G96" t="n">
        <v>4.6</v>
      </c>
      <c r="H96" t="n">
        <v>0</v>
      </c>
      <c r="I96" t="n">
        <v>0</v>
      </c>
      <c r="J96" t="n">
        <v>0</v>
      </c>
      <c r="K96" t="n">
        <v>0</v>
      </c>
      <c r="L96" t="n">
        <v>0</v>
      </c>
      <c r="M96" t="n">
        <v>0</v>
      </c>
      <c r="N96" t="n">
        <v>0</v>
      </c>
      <c r="O96" t="n">
        <v>0</v>
      </c>
      <c r="P96" t="n">
        <v>0</v>
      </c>
      <c r="Q96" t="n">
        <v>0</v>
      </c>
      <c r="R96" s="2" t="inlineStr"/>
    </row>
    <row r="97" ht="15" customHeight="1">
      <c r="A97" t="inlineStr">
        <is>
          <t>A 19867-2024</t>
        </is>
      </c>
      <c r="B97" s="1" t="n">
        <v>45433</v>
      </c>
      <c r="C97" s="1" t="n">
        <v>46076</v>
      </c>
      <c r="D97" t="inlineStr">
        <is>
          <t>KALMAR LÄN</t>
        </is>
      </c>
      <c r="E97" t="inlineStr">
        <is>
          <t>BORGHOLM</t>
        </is>
      </c>
      <c r="G97" t="n">
        <v>3.9</v>
      </c>
      <c r="H97" t="n">
        <v>0</v>
      </c>
      <c r="I97" t="n">
        <v>0</v>
      </c>
      <c r="J97" t="n">
        <v>0</v>
      </c>
      <c r="K97" t="n">
        <v>0</v>
      </c>
      <c r="L97" t="n">
        <v>0</v>
      </c>
      <c r="M97" t="n">
        <v>0</v>
      </c>
      <c r="N97" t="n">
        <v>0</v>
      </c>
      <c r="O97" t="n">
        <v>0</v>
      </c>
      <c r="P97" t="n">
        <v>0</v>
      </c>
      <c r="Q97" t="n">
        <v>0</v>
      </c>
      <c r="R97" s="2" t="inlineStr"/>
    </row>
    <row r="98" ht="15" customHeight="1">
      <c r="A98" t="inlineStr">
        <is>
          <t>A 13383-2023</t>
        </is>
      </c>
      <c r="B98" s="1" t="n">
        <v>45005</v>
      </c>
      <c r="C98" s="1" t="n">
        <v>46076</v>
      </c>
      <c r="D98" t="inlineStr">
        <is>
          <t>KALMAR LÄN</t>
        </is>
      </c>
      <c r="E98" t="inlineStr">
        <is>
          <t>BORGHOLM</t>
        </is>
      </c>
      <c r="G98" t="n">
        <v>0.8</v>
      </c>
      <c r="H98" t="n">
        <v>0</v>
      </c>
      <c r="I98" t="n">
        <v>0</v>
      </c>
      <c r="J98" t="n">
        <v>0</v>
      </c>
      <c r="K98" t="n">
        <v>0</v>
      </c>
      <c r="L98" t="n">
        <v>0</v>
      </c>
      <c r="M98" t="n">
        <v>0</v>
      </c>
      <c r="N98" t="n">
        <v>0</v>
      </c>
      <c r="O98" t="n">
        <v>0</v>
      </c>
      <c r="P98" t="n">
        <v>0</v>
      </c>
      <c r="Q98" t="n">
        <v>0</v>
      </c>
      <c r="R98" s="2" t="inlineStr"/>
    </row>
    <row r="99" ht="15" customHeight="1">
      <c r="A99" t="inlineStr">
        <is>
          <t>A 61438-2023</t>
        </is>
      </c>
      <c r="B99" s="1" t="n">
        <v>45264</v>
      </c>
      <c r="C99" s="1" t="n">
        <v>46076</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13041-2024</t>
        </is>
      </c>
      <c r="B100" s="1" t="n">
        <v>45385.60065972222</v>
      </c>
      <c r="C100" s="1" t="n">
        <v>46076</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46076</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4165-2023</t>
        </is>
      </c>
      <c r="B102" s="1" t="n">
        <v>44953</v>
      </c>
      <c r="C102" s="1" t="n">
        <v>46076</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46076</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9104-2026</t>
        </is>
      </c>
      <c r="B104" s="1" t="n">
        <v>46069</v>
      </c>
      <c r="C104" s="1" t="n">
        <v>46076</v>
      </c>
      <c r="D104" t="inlineStr">
        <is>
          <t>KALMAR LÄN</t>
        </is>
      </c>
      <c r="E104" t="inlineStr">
        <is>
          <t>BORGHOLM</t>
        </is>
      </c>
      <c r="G104" t="n">
        <v>1.3</v>
      </c>
      <c r="H104" t="n">
        <v>0</v>
      </c>
      <c r="I104" t="n">
        <v>0</v>
      </c>
      <c r="J104" t="n">
        <v>0</v>
      </c>
      <c r="K104" t="n">
        <v>0</v>
      </c>
      <c r="L104" t="n">
        <v>0</v>
      </c>
      <c r="M104" t="n">
        <v>0</v>
      </c>
      <c r="N104" t="n">
        <v>0</v>
      </c>
      <c r="O104" t="n">
        <v>0</v>
      </c>
      <c r="P104" t="n">
        <v>0</v>
      </c>
      <c r="Q104" t="n">
        <v>0</v>
      </c>
      <c r="R104" s="2" t="inlineStr"/>
    </row>
    <row r="105" ht="15" customHeight="1">
      <c r="A105" t="inlineStr">
        <is>
          <t>A 9259-2026</t>
        </is>
      </c>
      <c r="B105" s="1" t="n">
        <v>46070.51917824074</v>
      </c>
      <c r="C105" s="1" t="n">
        <v>46076</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9905-2026</t>
        </is>
      </c>
      <c r="B106" s="1" t="n">
        <v>46073.4108912037</v>
      </c>
      <c r="C106" s="1" t="n">
        <v>46076</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13043-2024</t>
        </is>
      </c>
      <c r="B107" s="1" t="n">
        <v>45385.60111111111</v>
      </c>
      <c r="C107" s="1" t="n">
        <v>46076</v>
      </c>
      <c r="D107" t="inlineStr">
        <is>
          <t>KALMAR LÄN</t>
        </is>
      </c>
      <c r="E107" t="inlineStr">
        <is>
          <t>BORGHOLM</t>
        </is>
      </c>
      <c r="G107" t="n">
        <v>0.4</v>
      </c>
      <c r="H107" t="n">
        <v>0</v>
      </c>
      <c r="I107" t="n">
        <v>0</v>
      </c>
      <c r="J107" t="n">
        <v>0</v>
      </c>
      <c r="K107" t="n">
        <v>0</v>
      </c>
      <c r="L107" t="n">
        <v>0</v>
      </c>
      <c r="M107" t="n">
        <v>0</v>
      </c>
      <c r="N107" t="n">
        <v>0</v>
      </c>
      <c r="O107" t="n">
        <v>0</v>
      </c>
      <c r="P107" t="n">
        <v>0</v>
      </c>
      <c r="Q107" t="n">
        <v>0</v>
      </c>
      <c r="R107" s="2" t="inlineStr"/>
    </row>
    <row r="108" ht="15" customHeight="1">
      <c r="A108" t="inlineStr">
        <is>
          <t>A 34780-2022</t>
        </is>
      </c>
      <c r="B108" s="1" t="n">
        <v>44795</v>
      </c>
      <c r="C108" s="1" t="n">
        <v>46076</v>
      </c>
      <c r="D108" t="inlineStr">
        <is>
          <t>KALMAR LÄN</t>
        </is>
      </c>
      <c r="E108" t="inlineStr">
        <is>
          <t>BORGHOLM</t>
        </is>
      </c>
      <c r="F108" t="inlineStr">
        <is>
          <t>Sveaskog</t>
        </is>
      </c>
      <c r="G108" t="n">
        <v>6.7</v>
      </c>
      <c r="H108" t="n">
        <v>0</v>
      </c>
      <c r="I108" t="n">
        <v>0</v>
      </c>
      <c r="J108" t="n">
        <v>0</v>
      </c>
      <c r="K108" t="n">
        <v>0</v>
      </c>
      <c r="L108" t="n">
        <v>0</v>
      </c>
      <c r="M108" t="n">
        <v>0</v>
      </c>
      <c r="N108" t="n">
        <v>0</v>
      </c>
      <c r="O108" t="n">
        <v>0</v>
      </c>
      <c r="P108" t="n">
        <v>0</v>
      </c>
      <c r="Q108" t="n">
        <v>0</v>
      </c>
      <c r="R108" s="2" t="inlineStr"/>
    </row>
    <row r="109" ht="15" customHeight="1">
      <c r="A109" t="inlineStr">
        <is>
          <t>A 9044-2025</t>
        </is>
      </c>
      <c r="B109" s="1" t="n">
        <v>45713.6275</v>
      </c>
      <c r="C109" s="1" t="n">
        <v>46076</v>
      </c>
      <c r="D109" t="inlineStr">
        <is>
          <t>KALMAR LÄN</t>
        </is>
      </c>
      <c r="E109" t="inlineStr">
        <is>
          <t>BORGHOLM</t>
        </is>
      </c>
      <c r="F109" t="inlineStr">
        <is>
          <t>Sveaskog</t>
        </is>
      </c>
      <c r="G109" t="n">
        <v>4</v>
      </c>
      <c r="H109" t="n">
        <v>0</v>
      </c>
      <c r="I109" t="n">
        <v>0</v>
      </c>
      <c r="J109" t="n">
        <v>0</v>
      </c>
      <c r="K109" t="n">
        <v>0</v>
      </c>
      <c r="L109" t="n">
        <v>0</v>
      </c>
      <c r="M109" t="n">
        <v>0</v>
      </c>
      <c r="N109" t="n">
        <v>0</v>
      </c>
      <c r="O109" t="n">
        <v>0</v>
      </c>
      <c r="P109" t="n">
        <v>0</v>
      </c>
      <c r="Q109" t="n">
        <v>0</v>
      </c>
      <c r="R109" s="2" t="inlineStr"/>
    </row>
    <row r="110" ht="15" customHeight="1">
      <c r="A110" t="inlineStr">
        <is>
          <t>A 20878-2024</t>
        </is>
      </c>
      <c r="B110" s="1" t="n">
        <v>45439.44748842593</v>
      </c>
      <c r="C110" s="1" t="n">
        <v>46076</v>
      </c>
      <c r="D110" t="inlineStr">
        <is>
          <t>KALMAR LÄN</t>
        </is>
      </c>
      <c r="E110" t="inlineStr">
        <is>
          <t>BORGHOLM</t>
        </is>
      </c>
      <c r="G110" t="n">
        <v>1.9</v>
      </c>
      <c r="H110" t="n">
        <v>0</v>
      </c>
      <c r="I110" t="n">
        <v>0</v>
      </c>
      <c r="J110" t="n">
        <v>0</v>
      </c>
      <c r="K110" t="n">
        <v>0</v>
      </c>
      <c r="L110" t="n">
        <v>0</v>
      </c>
      <c r="M110" t="n">
        <v>0</v>
      </c>
      <c r="N110" t="n">
        <v>0</v>
      </c>
      <c r="O110" t="n">
        <v>0</v>
      </c>
      <c r="P110" t="n">
        <v>0</v>
      </c>
      <c r="Q110" t="n">
        <v>0</v>
      </c>
      <c r="R110" s="2" t="inlineStr"/>
    </row>
    <row r="111" ht="15" customHeight="1">
      <c r="A111" t="inlineStr">
        <is>
          <t>A 17699-2025</t>
        </is>
      </c>
      <c r="B111" s="1" t="n">
        <v>45758.41846064815</v>
      </c>
      <c r="C111" s="1" t="n">
        <v>46076</v>
      </c>
      <c r="D111" t="inlineStr">
        <is>
          <t>KALMAR LÄN</t>
        </is>
      </c>
      <c r="E111" t="inlineStr">
        <is>
          <t>BORGHOLM</t>
        </is>
      </c>
      <c r="G111" t="n">
        <v>0.7</v>
      </c>
      <c r="H111" t="n">
        <v>0</v>
      </c>
      <c r="I111" t="n">
        <v>0</v>
      </c>
      <c r="J111" t="n">
        <v>0</v>
      </c>
      <c r="K111" t="n">
        <v>0</v>
      </c>
      <c r="L111" t="n">
        <v>0</v>
      </c>
      <c r="M111" t="n">
        <v>0</v>
      </c>
      <c r="N111" t="n">
        <v>0</v>
      </c>
      <c r="O111" t="n">
        <v>0</v>
      </c>
      <c r="P111" t="n">
        <v>0</v>
      </c>
      <c r="Q111" t="n">
        <v>0</v>
      </c>
      <c r="R111" s="2" t="inlineStr"/>
    </row>
    <row r="112" ht="15" customHeight="1">
      <c r="A112" t="inlineStr">
        <is>
          <t>A 20287-2025</t>
        </is>
      </c>
      <c r="B112" s="1" t="n">
        <v>45774.60741898148</v>
      </c>
      <c r="C112" s="1" t="n">
        <v>46076</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26160-2024</t>
        </is>
      </c>
      <c r="B113" s="1" t="n">
        <v>45468</v>
      </c>
      <c r="C113" s="1" t="n">
        <v>46076</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c r="T113">
        <f>HYPERLINK("https://klasma.github.io/Logging_0885/kartor/A 26160-2024 karta.png", "A 26160-2024")</f>
        <v/>
      </c>
      <c r="V113">
        <f>HYPERLINK("https://klasma.github.io/Logging_0885/klagomål/A 26160-2024 FSC-klagomål.docx", "A 26160-2024")</f>
        <v/>
      </c>
      <c r="W113">
        <f>HYPERLINK("https://klasma.github.io/Logging_0885/klagomålsmail/A 26160-2024 FSC-klagomål mail.docx", "A 26160-2024")</f>
        <v/>
      </c>
      <c r="X113">
        <f>HYPERLINK("https://klasma.github.io/Logging_0885/tillsyn/A 26160-2024 tillsynsbegäran.docx", "A 26160-2024")</f>
        <v/>
      </c>
      <c r="Y113">
        <f>HYPERLINK("https://klasma.github.io/Logging_0885/tillsynsmail/A 26160-2024 tillsynsbegäran mail.docx", "A 26160-2024")</f>
        <v/>
      </c>
    </row>
    <row r="114" ht="15" customHeight="1">
      <c r="A114" t="inlineStr">
        <is>
          <t>A 63075-2023</t>
        </is>
      </c>
      <c r="B114" s="1" t="n">
        <v>45273</v>
      </c>
      <c r="C114" s="1" t="n">
        <v>46076</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17978-2021</t>
        </is>
      </c>
      <c r="B115" s="1" t="n">
        <v>44301</v>
      </c>
      <c r="C115" s="1" t="n">
        <v>46076</v>
      </c>
      <c r="D115" t="inlineStr">
        <is>
          <t>KALMAR LÄN</t>
        </is>
      </c>
      <c r="E115" t="inlineStr">
        <is>
          <t>BORGHOLM</t>
        </is>
      </c>
      <c r="G115" t="n">
        <v>6</v>
      </c>
      <c r="H115" t="n">
        <v>0</v>
      </c>
      <c r="I115" t="n">
        <v>0</v>
      </c>
      <c r="J115" t="n">
        <v>0</v>
      </c>
      <c r="K115" t="n">
        <v>0</v>
      </c>
      <c r="L115" t="n">
        <v>0</v>
      </c>
      <c r="M115" t="n">
        <v>0</v>
      </c>
      <c r="N115" t="n">
        <v>0</v>
      </c>
      <c r="O115" t="n">
        <v>0</v>
      </c>
      <c r="P115" t="n">
        <v>0</v>
      </c>
      <c r="Q115" t="n">
        <v>0</v>
      </c>
      <c r="R115" s="2" t="inlineStr"/>
    </row>
    <row r="116" ht="15" customHeight="1">
      <c r="A116" t="inlineStr">
        <is>
          <t>A 22785-2025</t>
        </is>
      </c>
      <c r="B116" s="1" t="n">
        <v>45789.64186342592</v>
      </c>
      <c r="C116" s="1" t="n">
        <v>46076</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12534-2022</t>
        </is>
      </c>
      <c r="B117" s="1" t="n">
        <v>44638</v>
      </c>
      <c r="C117" s="1" t="n">
        <v>46076</v>
      </c>
      <c r="D117" t="inlineStr">
        <is>
          <t>KALMAR LÄN</t>
        </is>
      </c>
      <c r="E117" t="inlineStr">
        <is>
          <t>BORGHOLM</t>
        </is>
      </c>
      <c r="G117" t="n">
        <v>8.6</v>
      </c>
      <c r="H117" t="n">
        <v>0</v>
      </c>
      <c r="I117" t="n">
        <v>0</v>
      </c>
      <c r="J117" t="n">
        <v>0</v>
      </c>
      <c r="K117" t="n">
        <v>0</v>
      </c>
      <c r="L117" t="n">
        <v>0</v>
      </c>
      <c r="M117" t="n">
        <v>0</v>
      </c>
      <c r="N117" t="n">
        <v>0</v>
      </c>
      <c r="O117" t="n">
        <v>0</v>
      </c>
      <c r="P117" t="n">
        <v>0</v>
      </c>
      <c r="Q117" t="n">
        <v>0</v>
      </c>
      <c r="R117" s="2" t="inlineStr"/>
    </row>
    <row r="118" ht="15" customHeight="1">
      <c r="A118" t="inlineStr">
        <is>
          <t>A 40339-2023</t>
        </is>
      </c>
      <c r="B118" s="1" t="n">
        <v>45169.62733796296</v>
      </c>
      <c r="C118" s="1" t="n">
        <v>46076</v>
      </c>
      <c r="D118" t="inlineStr">
        <is>
          <t>KALMAR LÄN</t>
        </is>
      </c>
      <c r="E118" t="inlineStr">
        <is>
          <t>BORGHOLM</t>
        </is>
      </c>
      <c r="G118" t="n">
        <v>3.8</v>
      </c>
      <c r="H118" t="n">
        <v>0</v>
      </c>
      <c r="I118" t="n">
        <v>0</v>
      </c>
      <c r="J118" t="n">
        <v>0</v>
      </c>
      <c r="K118" t="n">
        <v>0</v>
      </c>
      <c r="L118" t="n">
        <v>0</v>
      </c>
      <c r="M118" t="n">
        <v>0</v>
      </c>
      <c r="N118" t="n">
        <v>0</v>
      </c>
      <c r="O118" t="n">
        <v>0</v>
      </c>
      <c r="P118" t="n">
        <v>0</v>
      </c>
      <c r="Q118" t="n">
        <v>0</v>
      </c>
      <c r="R118" s="2" t="inlineStr"/>
    </row>
    <row r="119" ht="15" customHeight="1">
      <c r="A119" t="inlineStr">
        <is>
          <t>A 24166-2022</t>
        </is>
      </c>
      <c r="B119" s="1" t="n">
        <v>44725</v>
      </c>
      <c r="C119" s="1" t="n">
        <v>46076</v>
      </c>
      <c r="D119" t="inlineStr">
        <is>
          <t>KALMAR LÄN</t>
        </is>
      </c>
      <c r="E119" t="inlineStr">
        <is>
          <t>BORGHOLM</t>
        </is>
      </c>
      <c r="G119" t="n">
        <v>10.7</v>
      </c>
      <c r="H119" t="n">
        <v>0</v>
      </c>
      <c r="I119" t="n">
        <v>0</v>
      </c>
      <c r="J119" t="n">
        <v>0</v>
      </c>
      <c r="K119" t="n">
        <v>0</v>
      </c>
      <c r="L119" t="n">
        <v>0</v>
      </c>
      <c r="M119" t="n">
        <v>0</v>
      </c>
      <c r="N119" t="n">
        <v>0</v>
      </c>
      <c r="O119" t="n">
        <v>0</v>
      </c>
      <c r="P119" t="n">
        <v>0</v>
      </c>
      <c r="Q119" t="n">
        <v>0</v>
      </c>
      <c r="R119" s="2" t="inlineStr"/>
    </row>
    <row r="120" ht="15" customHeight="1">
      <c r="A120" t="inlineStr">
        <is>
          <t>A 26190-2025</t>
        </is>
      </c>
      <c r="B120" s="1" t="n">
        <v>45805.48349537037</v>
      </c>
      <c r="C120" s="1" t="n">
        <v>46076</v>
      </c>
      <c r="D120" t="inlineStr">
        <is>
          <t>KALMAR LÄN</t>
        </is>
      </c>
      <c r="E120" t="inlineStr">
        <is>
          <t>BORGHOLM</t>
        </is>
      </c>
      <c r="G120" t="n">
        <v>3.2</v>
      </c>
      <c r="H120" t="n">
        <v>0</v>
      </c>
      <c r="I120" t="n">
        <v>0</v>
      </c>
      <c r="J120" t="n">
        <v>0</v>
      </c>
      <c r="K120" t="n">
        <v>0</v>
      </c>
      <c r="L120" t="n">
        <v>0</v>
      </c>
      <c r="M120" t="n">
        <v>0</v>
      </c>
      <c r="N120" t="n">
        <v>0</v>
      </c>
      <c r="O120" t="n">
        <v>0</v>
      </c>
      <c r="P120" t="n">
        <v>0</v>
      </c>
      <c r="Q120" t="n">
        <v>0</v>
      </c>
      <c r="R120" s="2" t="inlineStr"/>
    </row>
    <row r="121" ht="15" customHeight="1">
      <c r="A121" t="inlineStr">
        <is>
          <t>A 26160-2025</t>
        </is>
      </c>
      <c r="B121" s="1" t="n">
        <v>45805.4490162037</v>
      </c>
      <c r="C121" s="1" t="n">
        <v>46076</v>
      </c>
      <c r="D121" t="inlineStr">
        <is>
          <t>KALMAR LÄN</t>
        </is>
      </c>
      <c r="E121" t="inlineStr">
        <is>
          <t>BORGHOLM</t>
        </is>
      </c>
      <c r="G121" t="n">
        <v>3.7</v>
      </c>
      <c r="H121" t="n">
        <v>0</v>
      </c>
      <c r="I121" t="n">
        <v>0</v>
      </c>
      <c r="J121" t="n">
        <v>0</v>
      </c>
      <c r="K121" t="n">
        <v>0</v>
      </c>
      <c r="L121" t="n">
        <v>0</v>
      </c>
      <c r="M121" t="n">
        <v>0</v>
      </c>
      <c r="N121" t="n">
        <v>0</v>
      </c>
      <c r="O121" t="n">
        <v>0</v>
      </c>
      <c r="P121" t="n">
        <v>0</v>
      </c>
      <c r="Q121" t="n">
        <v>0</v>
      </c>
      <c r="R121" s="2" t="inlineStr"/>
    </row>
    <row r="122" ht="15" customHeight="1">
      <c r="A122" t="inlineStr">
        <is>
          <t>A 27357-2025</t>
        </is>
      </c>
      <c r="B122" s="1" t="n">
        <v>45812.63650462963</v>
      </c>
      <c r="C122" s="1" t="n">
        <v>46076</v>
      </c>
      <c r="D122" t="inlineStr">
        <is>
          <t>KALMAR LÄN</t>
        </is>
      </c>
      <c r="E122" t="inlineStr">
        <is>
          <t>BORGHOLM</t>
        </is>
      </c>
      <c r="F122" t="inlineStr">
        <is>
          <t>Sveaskog</t>
        </is>
      </c>
      <c r="G122" t="n">
        <v>4.5</v>
      </c>
      <c r="H122" t="n">
        <v>0</v>
      </c>
      <c r="I122" t="n">
        <v>0</v>
      </c>
      <c r="J122" t="n">
        <v>0</v>
      </c>
      <c r="K122" t="n">
        <v>0</v>
      </c>
      <c r="L122" t="n">
        <v>0</v>
      </c>
      <c r="M122" t="n">
        <v>0</v>
      </c>
      <c r="N122" t="n">
        <v>0</v>
      </c>
      <c r="O122" t="n">
        <v>0</v>
      </c>
      <c r="P122" t="n">
        <v>0</v>
      </c>
      <c r="Q122" t="n">
        <v>0</v>
      </c>
      <c r="R122" s="2" t="inlineStr"/>
    </row>
    <row r="123">
      <c r="A123" t="inlineStr">
        <is>
          <t>A 27366-2025</t>
        </is>
      </c>
      <c r="B123" s="1" t="n">
        <v>45812.64475694444</v>
      </c>
      <c r="C123" s="1" t="n">
        <v>46076</v>
      </c>
      <c r="D123" t="inlineStr">
        <is>
          <t>KALMAR LÄN</t>
        </is>
      </c>
      <c r="E123" t="inlineStr">
        <is>
          <t>BORGHOLM</t>
        </is>
      </c>
      <c r="F123" t="inlineStr">
        <is>
          <t>Sveaskog</t>
        </is>
      </c>
      <c r="G123" t="n">
        <v>2.5</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2026-02-23T11:10:37Z</dcterms:created>
  <dcterms:modified xmlns:dcterms="http://purl.org/dc/terms/" xmlns:xsi="http://www.w3.org/2001/XMLSchema-instance" xsi:type="dcterms:W3CDTF">2026-02-23T11:10:37Z</dcterms:modified>
</cp:coreProperties>
</file>