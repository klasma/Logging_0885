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46190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46190</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46190</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46190</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46190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46190</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46190</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46190</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46190</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46190</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46190</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46190</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46190</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27298-2026</t>
        </is>
      </c>
      <c r="B15" s="1" t="n">
        <v>46188.60951388889</v>
      </c>
      <c r="C15" s="1" t="n">
        <v>46190</v>
      </c>
      <c r="D15" t="inlineStr">
        <is>
          <t>KALMAR LÄN</t>
        </is>
      </c>
      <c r="E15" t="inlineStr">
        <is>
          <t>BORGHOLM</t>
        </is>
      </c>
      <c r="F15" t="inlineStr">
        <is>
          <t>Sveaskog</t>
        </is>
      </c>
      <c r="G15" t="n">
        <v>3.3</v>
      </c>
      <c r="H15" t="n">
        <v>0</v>
      </c>
      <c r="I15" t="n">
        <v>2</v>
      </c>
      <c r="J15" t="n">
        <v>2</v>
      </c>
      <c r="K15" t="n">
        <v>0</v>
      </c>
      <c r="L15" t="n">
        <v>0</v>
      </c>
      <c r="M15" t="n">
        <v>0</v>
      </c>
      <c r="N15" t="n">
        <v>0</v>
      </c>
      <c r="O15" t="n">
        <v>2</v>
      </c>
      <c r="P15" t="n">
        <v>0</v>
      </c>
      <c r="Q15" t="n">
        <v>4</v>
      </c>
      <c r="R15" s="2" t="inlineStr">
        <is>
          <t>Grenplattnos
Skugglosta
Murgröna
Sårläka</t>
        </is>
      </c>
      <c r="S15">
        <f>HYPERLINK("https://klasma.github.io/Logging_0885/artfynd/A 27298-2026 artfynd.xlsx", "A 27298-2026")</f>
        <v/>
      </c>
      <c r="T15">
        <f>HYPERLINK("https://klasma.github.io/Logging_0885/kartor/A 27298-2026 karta.png", "A 27298-2026")</f>
        <v/>
      </c>
      <c r="V15">
        <f>HYPERLINK("https://klasma.github.io/Logging_0885/klagomål/A 27298-2026 FSC-klagomål.docx", "A 27298-2026")</f>
        <v/>
      </c>
      <c r="W15">
        <f>HYPERLINK("https://klasma.github.io/Logging_0885/klagomålsmail/A 27298-2026 FSC-klagomål mail.docx", "A 27298-2026")</f>
        <v/>
      </c>
      <c r="X15">
        <f>HYPERLINK("https://klasma.github.io/Logging_0885/tillsyn/A 27298-2026 tillsynsbegäran.docx", "A 27298-2026")</f>
        <v/>
      </c>
      <c r="Y15">
        <f>HYPERLINK("https://klasma.github.io/Logging_0885/tillsynsmail/A 27298-2026 tillsynsbegäran mail.docx", "A 27298-2026")</f>
        <v/>
      </c>
    </row>
    <row r="16" ht="15" customHeight="1">
      <c r="A16" t="inlineStr">
        <is>
          <t>A 32640-2022</t>
        </is>
      </c>
      <c r="B16" s="1" t="n">
        <v>44783</v>
      </c>
      <c r="C16" s="1" t="n">
        <v>46190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46190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46190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46190</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46190</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32174-2022</t>
        </is>
      </c>
      <c r="B21" s="1" t="n">
        <v>44781</v>
      </c>
      <c r="C21" s="1" t="n">
        <v>46190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43756-2022</t>
        </is>
      </c>
      <c r="B22" s="1" t="n">
        <v>44837</v>
      </c>
      <c r="C22" s="1" t="n">
        <v>46190</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60140-2025</t>
        </is>
      </c>
      <c r="B23" s="1" t="n">
        <v>45994.36274305556</v>
      </c>
      <c r="C23" s="1" t="n">
        <v>46190</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9253-2026</t>
        </is>
      </c>
      <c r="B24" s="1" t="n">
        <v>46070.51003472223</v>
      </c>
      <c r="C24" s="1" t="n">
        <v>46190</v>
      </c>
      <c r="D24" t="inlineStr">
        <is>
          <t>KALMAR LÄN</t>
        </is>
      </c>
      <c r="E24" t="inlineStr">
        <is>
          <t>BORGHOLM</t>
        </is>
      </c>
      <c r="G24" t="n">
        <v>1.1</v>
      </c>
      <c r="H24" t="n">
        <v>1</v>
      </c>
      <c r="I24" t="n">
        <v>1</v>
      </c>
      <c r="J24" t="n">
        <v>0</v>
      </c>
      <c r="K24" t="n">
        <v>0</v>
      </c>
      <c r="L24" t="n">
        <v>0</v>
      </c>
      <c r="M24" t="n">
        <v>0</v>
      </c>
      <c r="N24" t="n">
        <v>0</v>
      </c>
      <c r="O24" t="n">
        <v>0</v>
      </c>
      <c r="P24" t="n">
        <v>0</v>
      </c>
      <c r="Q24" t="n">
        <v>2</v>
      </c>
      <c r="R24" s="2" t="inlineStr">
        <is>
          <t>Murgröna
Gullviva</t>
        </is>
      </c>
      <c r="S24">
        <f>HYPERLINK("https://klasma.github.io/Logging_0885/artfynd/A 9253-2026 artfynd.xlsx", "A 9253-2026")</f>
        <v/>
      </c>
      <c r="T24">
        <f>HYPERLINK("https://klasma.github.io/Logging_0885/kartor/A 9253-2026 karta.png", "A 9253-2026")</f>
        <v/>
      </c>
      <c r="V24">
        <f>HYPERLINK("https://klasma.github.io/Logging_0885/klagomål/A 9253-2026 FSC-klagomål.docx", "A 9253-2026")</f>
        <v/>
      </c>
      <c r="W24">
        <f>HYPERLINK("https://klasma.github.io/Logging_0885/klagomålsmail/A 9253-2026 FSC-klagomål mail.docx", "A 9253-2026")</f>
        <v/>
      </c>
      <c r="X24">
        <f>HYPERLINK("https://klasma.github.io/Logging_0885/tillsyn/A 9253-2026 tillsynsbegäran.docx", "A 9253-2026")</f>
        <v/>
      </c>
      <c r="Y24">
        <f>HYPERLINK("https://klasma.github.io/Logging_0885/tillsynsmail/A 9253-2026 tillsynsbegäran mail.docx", "A 9253-2026")</f>
        <v/>
      </c>
    </row>
    <row r="25" ht="15" customHeight="1">
      <c r="A25" t="inlineStr">
        <is>
          <t>A 15285-2026</t>
        </is>
      </c>
      <c r="B25" s="1" t="n">
        <v>46105.6156712963</v>
      </c>
      <c r="C25" s="1" t="n">
        <v>46190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4164-2023</t>
        </is>
      </c>
      <c r="B26" s="1" t="n">
        <v>44953</v>
      </c>
      <c r="C26" s="1" t="n">
        <v>46190</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24322-2026</t>
        </is>
      </c>
      <c r="B27" s="1" t="n">
        <v>46169.48598379629</v>
      </c>
      <c r="C27" s="1" t="n">
        <v>46190</v>
      </c>
      <c r="D27" t="inlineStr">
        <is>
          <t>KALMAR LÄN</t>
        </is>
      </c>
      <c r="E27" t="inlineStr">
        <is>
          <t>BORGHOLM</t>
        </is>
      </c>
      <c r="F27" t="inlineStr">
        <is>
          <t>Sveaskog</t>
        </is>
      </c>
      <c r="G27" t="n">
        <v>5.5</v>
      </c>
      <c r="H27" t="n">
        <v>2</v>
      </c>
      <c r="I27" t="n">
        <v>2</v>
      </c>
      <c r="J27" t="n">
        <v>0</v>
      </c>
      <c r="K27" t="n">
        <v>0</v>
      </c>
      <c r="L27" t="n">
        <v>0</v>
      </c>
      <c r="M27" t="n">
        <v>0</v>
      </c>
      <c r="N27" t="n">
        <v>0</v>
      </c>
      <c r="O27" t="n">
        <v>0</v>
      </c>
      <c r="P27" t="n">
        <v>0</v>
      </c>
      <c r="Q27" t="n">
        <v>2</v>
      </c>
      <c r="R27" s="2" t="inlineStr">
        <is>
          <t>Purpurknipprot
Skogsknipprot</t>
        </is>
      </c>
      <c r="S27">
        <f>HYPERLINK("https://klasma.github.io/Logging_0885/artfynd/A 24322-2026 artfynd.xlsx", "A 24322-2026")</f>
        <v/>
      </c>
      <c r="T27">
        <f>HYPERLINK("https://klasma.github.io/Logging_0885/kartor/A 24322-2026 karta.png", "A 24322-2026")</f>
        <v/>
      </c>
      <c r="V27">
        <f>HYPERLINK("https://klasma.github.io/Logging_0885/klagomål/A 24322-2026 FSC-klagomål.docx", "A 24322-2026")</f>
        <v/>
      </c>
      <c r="W27">
        <f>HYPERLINK("https://klasma.github.io/Logging_0885/klagomålsmail/A 24322-2026 FSC-klagomål mail.docx", "A 24322-2026")</f>
        <v/>
      </c>
      <c r="X27">
        <f>HYPERLINK("https://klasma.github.io/Logging_0885/tillsyn/A 24322-2026 tillsynsbegäran.docx", "A 24322-2026")</f>
        <v/>
      </c>
      <c r="Y27">
        <f>HYPERLINK("https://klasma.github.io/Logging_0885/tillsynsmail/A 24322-2026 tillsynsbegäran mail.docx", "A 24322-2026")</f>
        <v/>
      </c>
    </row>
    <row r="28" ht="15" customHeight="1">
      <c r="A28" t="inlineStr">
        <is>
          <t>A 26849-2026</t>
        </is>
      </c>
      <c r="B28" s="1" t="n">
        <v>46185.41702546296</v>
      </c>
      <c r="C28" s="1" t="n">
        <v>46190</v>
      </c>
      <c r="D28" t="inlineStr">
        <is>
          <t>KALMAR LÄN</t>
        </is>
      </c>
      <c r="E28" t="inlineStr">
        <is>
          <t>BORGHOLM</t>
        </is>
      </c>
      <c r="F28" t="inlineStr">
        <is>
          <t>Sveaskog</t>
        </is>
      </c>
      <c r="G28" t="n">
        <v>8.1</v>
      </c>
      <c r="H28" t="n">
        <v>1</v>
      </c>
      <c r="I28" t="n">
        <v>2</v>
      </c>
      <c r="J28" t="n">
        <v>0</v>
      </c>
      <c r="K28" t="n">
        <v>0</v>
      </c>
      <c r="L28" t="n">
        <v>0</v>
      </c>
      <c r="M28" t="n">
        <v>0</v>
      </c>
      <c r="N28" t="n">
        <v>0</v>
      </c>
      <c r="O28" t="n">
        <v>0</v>
      </c>
      <c r="P28" t="n">
        <v>0</v>
      </c>
      <c r="Q28" t="n">
        <v>2</v>
      </c>
      <c r="R28" s="2" t="inlineStr">
        <is>
          <t>Myskmadra
Vit skogslilja</t>
        </is>
      </c>
      <c r="S28">
        <f>HYPERLINK("https://klasma.github.io/Logging_0885/artfynd/A 26849-2026 artfynd.xlsx", "A 26849-2026")</f>
        <v/>
      </c>
      <c r="T28">
        <f>HYPERLINK("https://klasma.github.io/Logging_0885/kartor/A 26849-2026 karta.png", "A 26849-2026")</f>
        <v/>
      </c>
      <c r="V28">
        <f>HYPERLINK("https://klasma.github.io/Logging_0885/klagomål/A 26849-2026 FSC-klagomål.docx", "A 26849-2026")</f>
        <v/>
      </c>
      <c r="W28">
        <f>HYPERLINK("https://klasma.github.io/Logging_0885/klagomålsmail/A 26849-2026 FSC-klagomål mail.docx", "A 26849-2026")</f>
        <v/>
      </c>
      <c r="X28">
        <f>HYPERLINK("https://klasma.github.io/Logging_0885/tillsyn/A 26849-2026 tillsynsbegäran.docx", "A 26849-2026")</f>
        <v/>
      </c>
      <c r="Y28">
        <f>HYPERLINK("https://klasma.github.io/Logging_0885/tillsynsmail/A 26849-2026 tillsynsbegäran mail.docx", "A 26849-2026")</f>
        <v/>
      </c>
    </row>
    <row r="29" ht="15" customHeight="1">
      <c r="A29" t="inlineStr">
        <is>
          <t>A 27290-2026</t>
        </is>
      </c>
      <c r="B29" s="1" t="n">
        <v>46188.6028125</v>
      </c>
      <c r="C29" s="1" t="n">
        <v>46190</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27290-2026 artfynd.xlsx", "A 27290-2026")</f>
        <v/>
      </c>
      <c r="T29">
        <f>HYPERLINK("https://klasma.github.io/Logging_0885/kartor/A 27290-2026 karta.png", "A 27290-2026")</f>
        <v/>
      </c>
      <c r="V29">
        <f>HYPERLINK("https://klasma.github.io/Logging_0885/klagomål/A 27290-2026 FSC-klagomål.docx", "A 27290-2026")</f>
        <v/>
      </c>
      <c r="W29">
        <f>HYPERLINK("https://klasma.github.io/Logging_0885/klagomålsmail/A 27290-2026 FSC-klagomål mail.docx", "A 27290-2026")</f>
        <v/>
      </c>
      <c r="X29">
        <f>HYPERLINK("https://klasma.github.io/Logging_0885/tillsyn/A 27290-2026 tillsynsbegäran.docx", "A 27290-2026")</f>
        <v/>
      </c>
      <c r="Y29">
        <f>HYPERLINK("https://klasma.github.io/Logging_0885/tillsynsmail/A 27290-2026 tillsynsbegäran mail.docx", "A 27290-2026")</f>
        <v/>
      </c>
      <c r="Z29">
        <f>HYPERLINK("https://klasma.github.io/Logging_0885/fåglar/A 27290-2026 prioriterade fågelarter.docx", "A 27290-2026")</f>
        <v/>
      </c>
    </row>
    <row r="30" ht="15" customHeight="1">
      <c r="A30" t="inlineStr">
        <is>
          <t>A 31790-2021</t>
        </is>
      </c>
      <c r="B30" s="1" t="n">
        <v>44370</v>
      </c>
      <c r="C30" s="1" t="n">
        <v>46190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46190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46190</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24704-2023</t>
        </is>
      </c>
      <c r="B33" s="1" t="n">
        <v>45084</v>
      </c>
      <c r="C33" s="1" t="n">
        <v>46190</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13558-2025</t>
        </is>
      </c>
      <c r="B34" s="1" t="n">
        <v>45736.54974537037</v>
      </c>
      <c r="C34" s="1" t="n">
        <v>46190</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24048-2025</t>
        </is>
      </c>
      <c r="B35" s="1" t="n">
        <v>45796.4959375</v>
      </c>
      <c r="C35" s="1" t="n">
        <v>46190</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46190</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9745-2023</t>
        </is>
      </c>
      <c r="B37" s="1" t="n">
        <v>44984</v>
      </c>
      <c r="C37" s="1" t="n">
        <v>46190</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28785-2025</t>
        </is>
      </c>
      <c r="B38" s="1" t="n">
        <v>45820.46159722222</v>
      </c>
      <c r="C38" s="1" t="n">
        <v>46190</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43603-2024</t>
        </is>
      </c>
      <c r="B39" s="1" t="n">
        <v>45569.44700231482</v>
      </c>
      <c r="C39" s="1" t="n">
        <v>46190</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3302-2026</t>
        </is>
      </c>
      <c r="B40" s="1" t="n">
        <v>46041</v>
      </c>
      <c r="C40" s="1" t="n">
        <v>46190</v>
      </c>
      <c r="D40" t="inlineStr">
        <is>
          <t>KALMAR LÄN</t>
        </is>
      </c>
      <c r="E40" t="inlineStr">
        <is>
          <t>BORGHOLM</t>
        </is>
      </c>
      <c r="G40" t="n">
        <v>3.9</v>
      </c>
      <c r="H40" t="n">
        <v>1</v>
      </c>
      <c r="I40" t="n">
        <v>0</v>
      </c>
      <c r="J40" t="n">
        <v>0</v>
      </c>
      <c r="K40" t="n">
        <v>0</v>
      </c>
      <c r="L40" t="n">
        <v>0</v>
      </c>
      <c r="M40" t="n">
        <v>0</v>
      </c>
      <c r="N40" t="n">
        <v>0</v>
      </c>
      <c r="O40" t="n">
        <v>0</v>
      </c>
      <c r="P40" t="n">
        <v>0</v>
      </c>
      <c r="Q40" t="n">
        <v>1</v>
      </c>
      <c r="R40" s="2" t="inlineStr">
        <is>
          <t>Blåsippa</t>
        </is>
      </c>
      <c r="S40">
        <f>HYPERLINK("https://klasma.github.io/Logging_0885/artfynd/A 3302-2026 artfynd.xlsx", "A 3302-2026")</f>
        <v/>
      </c>
      <c r="T40">
        <f>HYPERLINK("https://klasma.github.io/Logging_0885/kartor/A 3302-2026 karta.png", "A 3302-2026")</f>
        <v/>
      </c>
      <c r="V40">
        <f>HYPERLINK("https://klasma.github.io/Logging_0885/klagomål/A 3302-2026 FSC-klagomål.docx", "A 3302-2026")</f>
        <v/>
      </c>
      <c r="W40">
        <f>HYPERLINK("https://klasma.github.io/Logging_0885/klagomålsmail/A 3302-2026 FSC-klagomål mail.docx", "A 3302-2026")</f>
        <v/>
      </c>
      <c r="X40">
        <f>HYPERLINK("https://klasma.github.io/Logging_0885/tillsyn/A 3302-2026 tillsynsbegäran.docx", "A 3302-2026")</f>
        <v/>
      </c>
      <c r="Y40">
        <f>HYPERLINK("https://klasma.github.io/Logging_0885/tillsynsmail/A 3302-2026 tillsynsbegäran mail.docx", "A 3302-2026")</f>
        <v/>
      </c>
    </row>
    <row r="41" ht="15" customHeight="1">
      <c r="A41" t="inlineStr">
        <is>
          <t>A 26840-2026</t>
        </is>
      </c>
      <c r="B41" s="1" t="n">
        <v>46185.38869212963</v>
      </c>
      <c r="C41" s="1" t="n">
        <v>46190</v>
      </c>
      <c r="D41" t="inlineStr">
        <is>
          <t>KALMAR LÄN</t>
        </is>
      </c>
      <c r="E41" t="inlineStr">
        <is>
          <t>BORGHOLM</t>
        </is>
      </c>
      <c r="F41" t="inlineStr">
        <is>
          <t>Sveaskog</t>
        </is>
      </c>
      <c r="G41" t="n">
        <v>1.4</v>
      </c>
      <c r="H41" t="n">
        <v>0</v>
      </c>
      <c r="I41" t="n">
        <v>0</v>
      </c>
      <c r="J41" t="n">
        <v>0</v>
      </c>
      <c r="K41" t="n">
        <v>0</v>
      </c>
      <c r="L41" t="n">
        <v>1</v>
      </c>
      <c r="M41" t="n">
        <v>0</v>
      </c>
      <c r="N41" t="n">
        <v>0</v>
      </c>
      <c r="O41" t="n">
        <v>1</v>
      </c>
      <c r="P41" t="n">
        <v>1</v>
      </c>
      <c r="Q41" t="n">
        <v>1</v>
      </c>
      <c r="R41" s="2" t="inlineStr">
        <is>
          <t>Ask</t>
        </is>
      </c>
      <c r="S41">
        <f>HYPERLINK("https://klasma.github.io/Logging_0885/artfynd/A 26840-2026 artfynd.xlsx", "A 26840-2026")</f>
        <v/>
      </c>
      <c r="T41">
        <f>HYPERLINK("https://klasma.github.io/Logging_0885/kartor/A 26840-2026 karta.png", "A 26840-2026")</f>
        <v/>
      </c>
      <c r="V41">
        <f>HYPERLINK("https://klasma.github.io/Logging_0885/klagomål/A 26840-2026 FSC-klagomål.docx", "A 26840-2026")</f>
        <v/>
      </c>
      <c r="W41">
        <f>HYPERLINK("https://klasma.github.io/Logging_0885/klagomålsmail/A 26840-2026 FSC-klagomål mail.docx", "A 26840-2026")</f>
        <v/>
      </c>
      <c r="X41">
        <f>HYPERLINK("https://klasma.github.io/Logging_0885/tillsyn/A 26840-2026 tillsynsbegäran.docx", "A 26840-2026")</f>
        <v/>
      </c>
      <c r="Y41">
        <f>HYPERLINK("https://klasma.github.io/Logging_0885/tillsynsmail/A 26840-2026 tillsynsbegäran mail.docx", "A 26840-2026")</f>
        <v/>
      </c>
    </row>
    <row r="42" ht="15" customHeight="1">
      <c r="A42" t="inlineStr">
        <is>
          <t>A 27283-2026</t>
        </is>
      </c>
      <c r="B42" s="1" t="n">
        <v>46188.5978587963</v>
      </c>
      <c r="C42" s="1" t="n">
        <v>46190</v>
      </c>
      <c r="D42" t="inlineStr">
        <is>
          <t>KALMAR LÄN</t>
        </is>
      </c>
      <c r="E42" t="inlineStr">
        <is>
          <t>BORGHOLM</t>
        </is>
      </c>
      <c r="F42" t="inlineStr">
        <is>
          <t>Sveaskog</t>
        </is>
      </c>
      <c r="G42" t="n">
        <v>2</v>
      </c>
      <c r="H42" t="n">
        <v>0</v>
      </c>
      <c r="I42" t="n">
        <v>0</v>
      </c>
      <c r="J42" t="n">
        <v>1</v>
      </c>
      <c r="K42" t="n">
        <v>0</v>
      </c>
      <c r="L42" t="n">
        <v>0</v>
      </c>
      <c r="M42" t="n">
        <v>0</v>
      </c>
      <c r="N42" t="n">
        <v>0</v>
      </c>
      <c r="O42" t="n">
        <v>1</v>
      </c>
      <c r="P42" t="n">
        <v>0</v>
      </c>
      <c r="Q42" t="n">
        <v>1</v>
      </c>
      <c r="R42" s="2" t="inlineStr">
        <is>
          <t>Mindre poppelglasvinge</t>
        </is>
      </c>
      <c r="S42">
        <f>HYPERLINK("https://klasma.github.io/Logging_0885/artfynd/A 27283-2026 artfynd.xlsx", "A 27283-2026")</f>
        <v/>
      </c>
      <c r="T42">
        <f>HYPERLINK("https://klasma.github.io/Logging_0885/kartor/A 27283-2026 karta.png", "A 27283-2026")</f>
        <v/>
      </c>
      <c r="V42">
        <f>HYPERLINK("https://klasma.github.io/Logging_0885/klagomål/A 27283-2026 FSC-klagomål.docx", "A 27283-2026")</f>
        <v/>
      </c>
      <c r="W42">
        <f>HYPERLINK("https://klasma.github.io/Logging_0885/klagomålsmail/A 27283-2026 FSC-klagomål mail.docx", "A 27283-2026")</f>
        <v/>
      </c>
      <c r="X42">
        <f>HYPERLINK("https://klasma.github.io/Logging_0885/tillsyn/A 27283-2026 tillsynsbegäran.docx", "A 27283-2026")</f>
        <v/>
      </c>
      <c r="Y42">
        <f>HYPERLINK("https://klasma.github.io/Logging_0885/tillsynsmail/A 27283-2026 tillsynsbegäran mail.docx", "A 27283-2026")</f>
        <v/>
      </c>
    </row>
    <row r="43" ht="15" customHeight="1">
      <c r="A43" t="inlineStr">
        <is>
          <t>A 42761-2021</t>
        </is>
      </c>
      <c r="B43" s="1" t="n">
        <v>44428</v>
      </c>
      <c r="C43" s="1" t="n">
        <v>46190</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46190</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46190</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46190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46190</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46190</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46190</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46190</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46190</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46190</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46190</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46190</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46190</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63276-2023</t>
        </is>
      </c>
      <c r="B56" s="1" t="n">
        <v>45273.82195601852</v>
      </c>
      <c r="C56" s="1" t="n">
        <v>46190</v>
      </c>
      <c r="D56" t="inlineStr">
        <is>
          <t>KALMAR LÄN</t>
        </is>
      </c>
      <c r="E56" t="inlineStr">
        <is>
          <t>BORGHOLM</t>
        </is>
      </c>
      <c r="G56" t="n">
        <v>5</v>
      </c>
      <c r="H56" t="n">
        <v>0</v>
      </c>
      <c r="I56" t="n">
        <v>0</v>
      </c>
      <c r="J56" t="n">
        <v>0</v>
      </c>
      <c r="K56" t="n">
        <v>0</v>
      </c>
      <c r="L56" t="n">
        <v>0</v>
      </c>
      <c r="M56" t="n">
        <v>0</v>
      </c>
      <c r="N56" t="n">
        <v>0</v>
      </c>
      <c r="O56" t="n">
        <v>0</v>
      </c>
      <c r="P56" t="n">
        <v>0</v>
      </c>
      <c r="Q56" t="n">
        <v>0</v>
      </c>
      <c r="R56" s="2" t="inlineStr"/>
    </row>
    <row r="57" ht="15" customHeight="1">
      <c r="A57" t="inlineStr">
        <is>
          <t>A 63075-2023</t>
        </is>
      </c>
      <c r="B57" s="1" t="n">
        <v>45273</v>
      </c>
      <c r="C57" s="1" t="n">
        <v>46190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3878-2023</t>
        </is>
      </c>
      <c r="B58" s="1" t="n">
        <v>44951</v>
      </c>
      <c r="C58" s="1" t="n">
        <v>46190</v>
      </c>
      <c r="D58" t="inlineStr">
        <is>
          <t>KALMAR LÄN</t>
        </is>
      </c>
      <c r="E58" t="inlineStr">
        <is>
          <t>BORGHOLM</t>
        </is>
      </c>
      <c r="G58" t="n">
        <v>1.7</v>
      </c>
      <c r="H58" t="n">
        <v>0</v>
      </c>
      <c r="I58" t="n">
        <v>0</v>
      </c>
      <c r="J58" t="n">
        <v>0</v>
      </c>
      <c r="K58" t="n">
        <v>0</v>
      </c>
      <c r="L58" t="n">
        <v>0</v>
      </c>
      <c r="M58" t="n">
        <v>0</v>
      </c>
      <c r="N58" t="n">
        <v>0</v>
      </c>
      <c r="O58" t="n">
        <v>0</v>
      </c>
      <c r="P58" t="n">
        <v>0</v>
      </c>
      <c r="Q58" t="n">
        <v>0</v>
      </c>
      <c r="R58" s="2" t="inlineStr"/>
    </row>
    <row r="59" ht="15" customHeight="1">
      <c r="A59" t="inlineStr">
        <is>
          <t>A 1614-2025</t>
        </is>
      </c>
      <c r="B59" s="1" t="n">
        <v>45670.60094907408</v>
      </c>
      <c r="C59" s="1" t="n">
        <v>46190</v>
      </c>
      <c r="D59" t="inlineStr">
        <is>
          <t>KALMAR LÄN</t>
        </is>
      </c>
      <c r="E59" t="inlineStr">
        <is>
          <t>BORGHOLM</t>
        </is>
      </c>
      <c r="G59" t="n">
        <v>1.4</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46190</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13548-2025</t>
        </is>
      </c>
      <c r="B61" s="1" t="n">
        <v>45736.53827546296</v>
      </c>
      <c r="C61" s="1" t="n">
        <v>46190</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46190</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9076-2025</t>
        </is>
      </c>
      <c r="B63" s="1" t="n">
        <v>45713.6596875</v>
      </c>
      <c r="C63" s="1" t="n">
        <v>46190</v>
      </c>
      <c r="D63" t="inlineStr">
        <is>
          <t>KALMAR LÄN</t>
        </is>
      </c>
      <c r="E63" t="inlineStr">
        <is>
          <t>BORGHOLM</t>
        </is>
      </c>
      <c r="F63" t="inlineStr">
        <is>
          <t>Sveaskog</t>
        </is>
      </c>
      <c r="G63" t="n">
        <v>4.2</v>
      </c>
      <c r="H63" t="n">
        <v>0</v>
      </c>
      <c r="I63" t="n">
        <v>0</v>
      </c>
      <c r="J63" t="n">
        <v>0</v>
      </c>
      <c r="K63" t="n">
        <v>0</v>
      </c>
      <c r="L63" t="n">
        <v>0</v>
      </c>
      <c r="M63" t="n">
        <v>0</v>
      </c>
      <c r="N63" t="n">
        <v>0</v>
      </c>
      <c r="O63" t="n">
        <v>0</v>
      </c>
      <c r="P63" t="n">
        <v>0</v>
      </c>
      <c r="Q63" t="n">
        <v>0</v>
      </c>
      <c r="R63" s="2" t="inlineStr"/>
    </row>
    <row r="64" ht="15" customHeight="1">
      <c r="A64" t="inlineStr">
        <is>
          <t>A 1757-2025</t>
        </is>
      </c>
      <c r="B64" s="1" t="n">
        <v>45671.42195601852</v>
      </c>
      <c r="C64" s="1" t="n">
        <v>46190</v>
      </c>
      <c r="D64" t="inlineStr">
        <is>
          <t>KALMAR LÄN</t>
        </is>
      </c>
      <c r="E64" t="inlineStr">
        <is>
          <t>BORGHOLM</t>
        </is>
      </c>
      <c r="G64" t="n">
        <v>1.4</v>
      </c>
      <c r="H64" t="n">
        <v>0</v>
      </c>
      <c r="I64" t="n">
        <v>0</v>
      </c>
      <c r="J64" t="n">
        <v>0</v>
      </c>
      <c r="K64" t="n">
        <v>0</v>
      </c>
      <c r="L64" t="n">
        <v>0</v>
      </c>
      <c r="M64" t="n">
        <v>0</v>
      </c>
      <c r="N64" t="n">
        <v>0</v>
      </c>
      <c r="O64" t="n">
        <v>0</v>
      </c>
      <c r="P64" t="n">
        <v>0</v>
      </c>
      <c r="Q64" t="n">
        <v>0</v>
      </c>
      <c r="R64" s="2" t="inlineStr"/>
    </row>
    <row r="65" ht="15" customHeight="1">
      <c r="A65" t="inlineStr">
        <is>
          <t>A 7960-2023</t>
        </is>
      </c>
      <c r="B65" s="1" t="n">
        <v>44973</v>
      </c>
      <c r="C65" s="1" t="n">
        <v>46190</v>
      </c>
      <c r="D65" t="inlineStr">
        <is>
          <t>KALMAR LÄN</t>
        </is>
      </c>
      <c r="E65" t="inlineStr">
        <is>
          <t>BORGHOLM</t>
        </is>
      </c>
      <c r="G65" t="n">
        <v>2.1</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46190</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46190</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46190</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29656-2023</t>
        </is>
      </c>
      <c r="B69" s="1" t="n">
        <v>45107</v>
      </c>
      <c r="C69" s="1" t="n">
        <v>46190</v>
      </c>
      <c r="D69" t="inlineStr">
        <is>
          <t>KALMAR LÄN</t>
        </is>
      </c>
      <c r="E69" t="inlineStr">
        <is>
          <t>BORGHOLM</t>
        </is>
      </c>
      <c r="G69" t="n">
        <v>4.1</v>
      </c>
      <c r="H69" t="n">
        <v>0</v>
      </c>
      <c r="I69" t="n">
        <v>0</v>
      </c>
      <c r="J69" t="n">
        <v>0</v>
      </c>
      <c r="K69" t="n">
        <v>0</v>
      </c>
      <c r="L69" t="n">
        <v>0</v>
      </c>
      <c r="M69" t="n">
        <v>0</v>
      </c>
      <c r="N69" t="n">
        <v>0</v>
      </c>
      <c r="O69" t="n">
        <v>0</v>
      </c>
      <c r="P69" t="n">
        <v>0</v>
      </c>
      <c r="Q69" t="n">
        <v>0</v>
      </c>
      <c r="R69" s="2" t="inlineStr"/>
    </row>
    <row r="70" ht="15" customHeight="1">
      <c r="A70" t="inlineStr">
        <is>
          <t>A 64303-2023</t>
        </is>
      </c>
      <c r="B70" s="1" t="n">
        <v>45280</v>
      </c>
      <c r="C70" s="1" t="n">
        <v>46190</v>
      </c>
      <c r="D70" t="inlineStr">
        <is>
          <t>KALMAR LÄN</t>
        </is>
      </c>
      <c r="E70" t="inlineStr">
        <is>
          <t>BORGHOLM</t>
        </is>
      </c>
      <c r="G70" t="n">
        <v>1.2</v>
      </c>
      <c r="H70" t="n">
        <v>0</v>
      </c>
      <c r="I70" t="n">
        <v>0</v>
      </c>
      <c r="J70" t="n">
        <v>0</v>
      </c>
      <c r="K70" t="n">
        <v>0</v>
      </c>
      <c r="L70" t="n">
        <v>0</v>
      </c>
      <c r="M70" t="n">
        <v>0</v>
      </c>
      <c r="N70" t="n">
        <v>0</v>
      </c>
      <c r="O70" t="n">
        <v>0</v>
      </c>
      <c r="P70" t="n">
        <v>0</v>
      </c>
      <c r="Q70" t="n">
        <v>0</v>
      </c>
      <c r="R70" s="2" t="inlineStr"/>
    </row>
    <row r="71" ht="15" customHeight="1">
      <c r="A71" t="inlineStr">
        <is>
          <t>A 26190-2025</t>
        </is>
      </c>
      <c r="B71" s="1" t="n">
        <v>45805.48349537037</v>
      </c>
      <c r="C71" s="1" t="n">
        <v>46190</v>
      </c>
      <c r="D71" t="inlineStr">
        <is>
          <t>KALMAR LÄN</t>
        </is>
      </c>
      <c r="E71" t="inlineStr">
        <is>
          <t>BORGHOLM</t>
        </is>
      </c>
      <c r="G71" t="n">
        <v>3.2</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46190</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46190</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9050-2025</t>
        </is>
      </c>
      <c r="B74" s="1" t="n">
        <v>45713.63512731482</v>
      </c>
      <c r="C74" s="1" t="n">
        <v>46190</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21908-2022</t>
        </is>
      </c>
      <c r="B75" s="1" t="n">
        <v>44711</v>
      </c>
      <c r="C75" s="1" t="n">
        <v>46190</v>
      </c>
      <c r="D75" t="inlineStr">
        <is>
          <t>KALMAR LÄN</t>
        </is>
      </c>
      <c r="E75" t="inlineStr">
        <is>
          <t>BORGHOLM</t>
        </is>
      </c>
      <c r="G75" t="n">
        <v>4.7</v>
      </c>
      <c r="H75" t="n">
        <v>0</v>
      </c>
      <c r="I75" t="n">
        <v>0</v>
      </c>
      <c r="J75" t="n">
        <v>0</v>
      </c>
      <c r="K75" t="n">
        <v>0</v>
      </c>
      <c r="L75" t="n">
        <v>0</v>
      </c>
      <c r="M75" t="n">
        <v>0</v>
      </c>
      <c r="N75" t="n">
        <v>0</v>
      </c>
      <c r="O75" t="n">
        <v>0</v>
      </c>
      <c r="P75" t="n">
        <v>0</v>
      </c>
      <c r="Q75" t="n">
        <v>0</v>
      </c>
      <c r="R75" s="2" t="inlineStr"/>
    </row>
    <row r="76" ht="15" customHeight="1">
      <c r="A76" t="inlineStr">
        <is>
          <t>A 27366-2025</t>
        </is>
      </c>
      <c r="B76" s="1" t="n">
        <v>45812.64475694444</v>
      </c>
      <c r="C76" s="1" t="n">
        <v>46190</v>
      </c>
      <c r="D76" t="inlineStr">
        <is>
          <t>KALMAR LÄN</t>
        </is>
      </c>
      <c r="E76" t="inlineStr">
        <is>
          <t>BORGHOLM</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46190</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28782-2025</t>
        </is>
      </c>
      <c r="B78" s="1" t="n">
        <v>45820.45572916666</v>
      </c>
      <c r="C78" s="1" t="n">
        <v>46190</v>
      </c>
      <c r="D78" t="inlineStr">
        <is>
          <t>KALMAR LÄN</t>
        </is>
      </c>
      <c r="E78" t="inlineStr">
        <is>
          <t>BORGHOLM</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46190</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4159-2024</t>
        </is>
      </c>
      <c r="B80" s="1" t="n">
        <v>45323</v>
      </c>
      <c r="C80" s="1" t="n">
        <v>46190</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41831-2025</t>
        </is>
      </c>
      <c r="B81" s="1" t="n">
        <v>45902.67887731481</v>
      </c>
      <c r="C81" s="1" t="n">
        <v>46190</v>
      </c>
      <c r="D81" t="inlineStr">
        <is>
          <t>KALMAR LÄN</t>
        </is>
      </c>
      <c r="E81" t="inlineStr">
        <is>
          <t>BORGHOLM</t>
        </is>
      </c>
      <c r="G81" t="n">
        <v>1.5</v>
      </c>
      <c r="H81" t="n">
        <v>0</v>
      </c>
      <c r="I81" t="n">
        <v>0</v>
      </c>
      <c r="J81" t="n">
        <v>0</v>
      </c>
      <c r="K81" t="n">
        <v>0</v>
      </c>
      <c r="L81" t="n">
        <v>0</v>
      </c>
      <c r="M81" t="n">
        <v>0</v>
      </c>
      <c r="N81" t="n">
        <v>0</v>
      </c>
      <c r="O81" t="n">
        <v>0</v>
      </c>
      <c r="P81" t="n">
        <v>0</v>
      </c>
      <c r="Q81" t="n">
        <v>0</v>
      </c>
      <c r="R81" s="2" t="inlineStr"/>
    </row>
    <row r="82" ht="15" customHeight="1">
      <c r="A82" t="inlineStr">
        <is>
          <t>A 41950-2025</t>
        </is>
      </c>
      <c r="B82" s="1" t="n">
        <v>45903.45767361111</v>
      </c>
      <c r="C82" s="1" t="n">
        <v>46190</v>
      </c>
      <c r="D82" t="inlineStr">
        <is>
          <t>KALMAR LÄN</t>
        </is>
      </c>
      <c r="E82" t="inlineStr">
        <is>
          <t>BORGHOLM</t>
        </is>
      </c>
      <c r="G82" t="n">
        <v>1.8</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46190</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36269-2025</t>
        </is>
      </c>
      <c r="B84" s="1" t="n">
        <v>45867.61736111111</v>
      </c>
      <c r="C84" s="1" t="n">
        <v>46190</v>
      </c>
      <c r="D84" t="inlineStr">
        <is>
          <t>KALMAR LÄN</t>
        </is>
      </c>
      <c r="E84" t="inlineStr">
        <is>
          <t>BORGHOLM</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31699-2022</t>
        </is>
      </c>
      <c r="B85" s="1" t="n">
        <v>44776</v>
      </c>
      <c r="C85" s="1" t="n">
        <v>46190</v>
      </c>
      <c r="D85" t="inlineStr">
        <is>
          <t>KALMAR LÄN</t>
        </is>
      </c>
      <c r="E85" t="inlineStr">
        <is>
          <t>BORGHOLM</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31840-2021</t>
        </is>
      </c>
      <c r="B86" s="1" t="n">
        <v>44370</v>
      </c>
      <c r="C86" s="1" t="n">
        <v>46190</v>
      </c>
      <c r="D86" t="inlineStr">
        <is>
          <t>KALMAR LÄN</t>
        </is>
      </c>
      <c r="E86" t="inlineStr">
        <is>
          <t>BORGHOLM</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43542-2025</t>
        </is>
      </c>
      <c r="B87" s="1" t="n">
        <v>45911.61123842592</v>
      </c>
      <c r="C87" s="1" t="n">
        <v>46190</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45734-2025</t>
        </is>
      </c>
      <c r="B88" s="1" t="n">
        <v>45923.46512731481</v>
      </c>
      <c r="C88" s="1" t="n">
        <v>46190</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45869-2025</t>
        </is>
      </c>
      <c r="B89" s="1" t="n">
        <v>45923.65313657407</v>
      </c>
      <c r="C89" s="1" t="n">
        <v>46190</v>
      </c>
      <c r="D89" t="inlineStr">
        <is>
          <t>KALMAR LÄN</t>
        </is>
      </c>
      <c r="E89" t="inlineStr">
        <is>
          <t>BORGHOLM</t>
        </is>
      </c>
      <c r="G89" t="n">
        <v>4.5</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46190</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32919-2023</t>
        </is>
      </c>
      <c r="B91" s="1" t="n">
        <v>45125</v>
      </c>
      <c r="C91" s="1" t="n">
        <v>46190</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46190</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44678-2022</t>
        </is>
      </c>
      <c r="B93" s="1" t="n">
        <v>44840.65100694444</v>
      </c>
      <c r="C93" s="1" t="n">
        <v>46190</v>
      </c>
      <c r="D93" t="inlineStr">
        <is>
          <t>KALMAR LÄN</t>
        </is>
      </c>
      <c r="E93" t="inlineStr">
        <is>
          <t>BORGHOLM</t>
        </is>
      </c>
      <c r="G93" t="n">
        <v>2.4</v>
      </c>
      <c r="H93" t="n">
        <v>0</v>
      </c>
      <c r="I93" t="n">
        <v>0</v>
      </c>
      <c r="J93" t="n">
        <v>0</v>
      </c>
      <c r="K93" t="n">
        <v>0</v>
      </c>
      <c r="L93" t="n">
        <v>0</v>
      </c>
      <c r="M93" t="n">
        <v>0</v>
      </c>
      <c r="N93" t="n">
        <v>0</v>
      </c>
      <c r="O93" t="n">
        <v>0</v>
      </c>
      <c r="P93" t="n">
        <v>0</v>
      </c>
      <c r="Q93" t="n">
        <v>0</v>
      </c>
      <c r="R93" s="2" t="inlineStr"/>
    </row>
    <row r="94" ht="15" customHeight="1">
      <c r="A94" t="inlineStr">
        <is>
          <t>A 31720-2022</t>
        </is>
      </c>
      <c r="B94" s="1" t="n">
        <v>44776</v>
      </c>
      <c r="C94" s="1" t="n">
        <v>46190</v>
      </c>
      <c r="D94" t="inlineStr">
        <is>
          <t>KALMAR LÄN</t>
        </is>
      </c>
      <c r="E94" t="inlineStr">
        <is>
          <t>BORGHOLM</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46190</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5175-2024</t>
        </is>
      </c>
      <c r="B96" s="1" t="n">
        <v>45330</v>
      </c>
      <c r="C96" s="1" t="n">
        <v>46190</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34951-2022</t>
        </is>
      </c>
      <c r="B97" s="1" t="n">
        <v>44796</v>
      </c>
      <c r="C97" s="1" t="n">
        <v>46190</v>
      </c>
      <c r="D97" t="inlineStr">
        <is>
          <t>KALMAR LÄN</t>
        </is>
      </c>
      <c r="E97" t="inlineStr">
        <is>
          <t>BORGHOLM</t>
        </is>
      </c>
      <c r="F97" t="inlineStr">
        <is>
          <t>Sveaskog</t>
        </is>
      </c>
      <c r="G97" t="n">
        <v>4.6</v>
      </c>
      <c r="H97" t="n">
        <v>0</v>
      </c>
      <c r="I97" t="n">
        <v>0</v>
      </c>
      <c r="J97" t="n">
        <v>0</v>
      </c>
      <c r="K97" t="n">
        <v>0</v>
      </c>
      <c r="L97" t="n">
        <v>0</v>
      </c>
      <c r="M97" t="n">
        <v>0</v>
      </c>
      <c r="N97" t="n">
        <v>0</v>
      </c>
      <c r="O97" t="n">
        <v>0</v>
      </c>
      <c r="P97" t="n">
        <v>0</v>
      </c>
      <c r="Q97" t="n">
        <v>0</v>
      </c>
      <c r="R97" s="2" t="inlineStr"/>
    </row>
    <row r="98" ht="15" customHeight="1">
      <c r="A98" t="inlineStr">
        <is>
          <t>A 19867-2024</t>
        </is>
      </c>
      <c r="B98" s="1" t="n">
        <v>45433</v>
      </c>
      <c r="C98" s="1" t="n">
        <v>46190</v>
      </c>
      <c r="D98" t="inlineStr">
        <is>
          <t>KALMAR LÄN</t>
        </is>
      </c>
      <c r="E98" t="inlineStr">
        <is>
          <t>BORGHOLM</t>
        </is>
      </c>
      <c r="G98" t="n">
        <v>3.9</v>
      </c>
      <c r="H98" t="n">
        <v>0</v>
      </c>
      <c r="I98" t="n">
        <v>0</v>
      </c>
      <c r="J98" t="n">
        <v>0</v>
      </c>
      <c r="K98" t="n">
        <v>0</v>
      </c>
      <c r="L98" t="n">
        <v>0</v>
      </c>
      <c r="M98" t="n">
        <v>0</v>
      </c>
      <c r="N98" t="n">
        <v>0</v>
      </c>
      <c r="O98" t="n">
        <v>0</v>
      </c>
      <c r="P98" t="n">
        <v>0</v>
      </c>
      <c r="Q98" t="n">
        <v>0</v>
      </c>
      <c r="R98" s="2" t="inlineStr"/>
    </row>
    <row r="99" ht="15" customHeight="1">
      <c r="A99" t="inlineStr">
        <is>
          <t>A 13383-2023</t>
        </is>
      </c>
      <c r="B99" s="1" t="n">
        <v>45005</v>
      </c>
      <c r="C99" s="1" t="n">
        <v>46190</v>
      </c>
      <c r="D99" t="inlineStr">
        <is>
          <t>KALMAR LÄN</t>
        </is>
      </c>
      <c r="E99" t="inlineStr">
        <is>
          <t>BORGHOLM</t>
        </is>
      </c>
      <c r="G99" t="n">
        <v>0.8</v>
      </c>
      <c r="H99" t="n">
        <v>0</v>
      </c>
      <c r="I99" t="n">
        <v>0</v>
      </c>
      <c r="J99" t="n">
        <v>0</v>
      </c>
      <c r="K99" t="n">
        <v>0</v>
      </c>
      <c r="L99" t="n">
        <v>0</v>
      </c>
      <c r="M99" t="n">
        <v>0</v>
      </c>
      <c r="N99" t="n">
        <v>0</v>
      </c>
      <c r="O99" t="n">
        <v>0</v>
      </c>
      <c r="P99" t="n">
        <v>0</v>
      </c>
      <c r="Q99" t="n">
        <v>0</v>
      </c>
      <c r="R99" s="2" t="inlineStr"/>
    </row>
    <row r="100" ht="15" customHeight="1">
      <c r="A100" t="inlineStr">
        <is>
          <t>A 61438-2023</t>
        </is>
      </c>
      <c r="B100" s="1" t="n">
        <v>45264</v>
      </c>
      <c r="C100" s="1" t="n">
        <v>46190</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13041-2024</t>
        </is>
      </c>
      <c r="B101" s="1" t="n">
        <v>45385.60065972222</v>
      </c>
      <c r="C101" s="1" t="n">
        <v>46190</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53050-2021</t>
        </is>
      </c>
      <c r="B102" s="1" t="n">
        <v>44467</v>
      </c>
      <c r="C102" s="1" t="n">
        <v>46190</v>
      </c>
      <c r="D102" t="inlineStr">
        <is>
          <t>KALMAR LÄN</t>
        </is>
      </c>
      <c r="E102" t="inlineStr">
        <is>
          <t>BORGHOLM</t>
        </is>
      </c>
      <c r="G102" t="n">
        <v>3.6</v>
      </c>
      <c r="H102" t="n">
        <v>0</v>
      </c>
      <c r="I102" t="n">
        <v>0</v>
      </c>
      <c r="J102" t="n">
        <v>0</v>
      </c>
      <c r="K102" t="n">
        <v>0</v>
      </c>
      <c r="L102" t="n">
        <v>0</v>
      </c>
      <c r="M102" t="n">
        <v>0</v>
      </c>
      <c r="N102" t="n">
        <v>0</v>
      </c>
      <c r="O102" t="n">
        <v>0</v>
      </c>
      <c r="P102" t="n">
        <v>0</v>
      </c>
      <c r="Q102" t="n">
        <v>0</v>
      </c>
      <c r="R102" s="2" t="inlineStr"/>
    </row>
    <row r="103" ht="15" customHeight="1">
      <c r="A103" t="inlineStr">
        <is>
          <t>A 4165-2023</t>
        </is>
      </c>
      <c r="B103" s="1" t="n">
        <v>44953</v>
      </c>
      <c r="C103" s="1" t="n">
        <v>46190</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46190</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7481-2026</t>
        </is>
      </c>
      <c r="B105" s="1" t="n">
        <v>46059.51359953704</v>
      </c>
      <c r="C105" s="1" t="n">
        <v>46190</v>
      </c>
      <c r="D105" t="inlineStr">
        <is>
          <t>KALMAR LÄN</t>
        </is>
      </c>
      <c r="E105" t="inlineStr">
        <is>
          <t>BORGHOLM</t>
        </is>
      </c>
      <c r="G105" t="n">
        <v>1.9</v>
      </c>
      <c r="H105" t="n">
        <v>0</v>
      </c>
      <c r="I105" t="n">
        <v>0</v>
      </c>
      <c r="J105" t="n">
        <v>0</v>
      </c>
      <c r="K105" t="n">
        <v>0</v>
      </c>
      <c r="L105" t="n">
        <v>0</v>
      </c>
      <c r="M105" t="n">
        <v>0</v>
      </c>
      <c r="N105" t="n">
        <v>0</v>
      </c>
      <c r="O105" t="n">
        <v>0</v>
      </c>
      <c r="P105" t="n">
        <v>0</v>
      </c>
      <c r="Q105" t="n">
        <v>0</v>
      </c>
      <c r="R105" s="2" t="inlineStr"/>
    </row>
    <row r="106" ht="15" customHeight="1">
      <c r="A106" t="inlineStr">
        <is>
          <t>A 9104-2026</t>
        </is>
      </c>
      <c r="B106" s="1" t="n">
        <v>46069</v>
      </c>
      <c r="C106" s="1" t="n">
        <v>46190</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9259-2026</t>
        </is>
      </c>
      <c r="B107" s="1" t="n">
        <v>46070.51917824074</v>
      </c>
      <c r="C107" s="1" t="n">
        <v>46190</v>
      </c>
      <c r="D107" t="inlineStr">
        <is>
          <t>KALMAR LÄN</t>
        </is>
      </c>
      <c r="E107" t="inlineStr">
        <is>
          <t>BORGHOLM</t>
        </is>
      </c>
      <c r="G107" t="n">
        <v>1.6</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46190</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13043-2024</t>
        </is>
      </c>
      <c r="B109" s="1" t="n">
        <v>45385.60111111111</v>
      </c>
      <c r="C109" s="1" t="n">
        <v>46190</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46190</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15272-2026</t>
        </is>
      </c>
      <c r="B111" s="1" t="n">
        <v>46105.60017361111</v>
      </c>
      <c r="C111" s="1" t="n">
        <v>46190</v>
      </c>
      <c r="D111" t="inlineStr">
        <is>
          <t>KALMAR LÄN</t>
        </is>
      </c>
      <c r="E111" t="inlineStr">
        <is>
          <t>BORGHOLM</t>
        </is>
      </c>
      <c r="F111" t="inlineStr">
        <is>
          <t>Sveaskog</t>
        </is>
      </c>
      <c r="G111" t="n">
        <v>2.9</v>
      </c>
      <c r="H111" t="n">
        <v>0</v>
      </c>
      <c r="I111" t="n">
        <v>0</v>
      </c>
      <c r="J111" t="n">
        <v>0</v>
      </c>
      <c r="K111" t="n">
        <v>0</v>
      </c>
      <c r="L111" t="n">
        <v>0</v>
      </c>
      <c r="M111" t="n">
        <v>0</v>
      </c>
      <c r="N111" t="n">
        <v>0</v>
      </c>
      <c r="O111" t="n">
        <v>0</v>
      </c>
      <c r="P111" t="n">
        <v>0</v>
      </c>
      <c r="Q111" t="n">
        <v>0</v>
      </c>
      <c r="R111" s="2" t="inlineStr"/>
    </row>
    <row r="112" ht="15" customHeight="1">
      <c r="A112" t="inlineStr">
        <is>
          <t>A 15279-2026</t>
        </is>
      </c>
      <c r="B112" s="1" t="n">
        <v>46105.61030092592</v>
      </c>
      <c r="C112" s="1" t="n">
        <v>46190</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15264-2026</t>
        </is>
      </c>
      <c r="B113" s="1" t="n">
        <v>46105.59372685185</v>
      </c>
      <c r="C113" s="1" t="n">
        <v>46190</v>
      </c>
      <c r="D113" t="inlineStr">
        <is>
          <t>KALMAR LÄN</t>
        </is>
      </c>
      <c r="E113" t="inlineStr">
        <is>
          <t>BORGHOLM</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20878-2024</t>
        </is>
      </c>
      <c r="B114" s="1" t="n">
        <v>45439.44748842593</v>
      </c>
      <c r="C114" s="1" t="n">
        <v>46190</v>
      </c>
      <c r="D114" t="inlineStr">
        <is>
          <t>KALMAR LÄN</t>
        </is>
      </c>
      <c r="E114" t="inlineStr">
        <is>
          <t>BORGHOLM</t>
        </is>
      </c>
      <c r="G114" t="n">
        <v>1.9</v>
      </c>
      <c r="H114" t="n">
        <v>0</v>
      </c>
      <c r="I114" t="n">
        <v>0</v>
      </c>
      <c r="J114" t="n">
        <v>0</v>
      </c>
      <c r="K114" t="n">
        <v>0</v>
      </c>
      <c r="L114" t="n">
        <v>0</v>
      </c>
      <c r="M114" t="n">
        <v>0</v>
      </c>
      <c r="N114" t="n">
        <v>0</v>
      </c>
      <c r="O114" t="n">
        <v>0</v>
      </c>
      <c r="P114" t="n">
        <v>0</v>
      </c>
      <c r="Q114" t="n">
        <v>0</v>
      </c>
      <c r="R114" s="2" t="inlineStr"/>
    </row>
    <row r="115" ht="15" customHeight="1">
      <c r="A115" t="inlineStr">
        <is>
          <t>A 24338-2026</t>
        </is>
      </c>
      <c r="B115" s="1" t="n">
        <v>46169.54258101852</v>
      </c>
      <c r="C115" s="1" t="n">
        <v>46190</v>
      </c>
      <c r="D115" t="inlineStr">
        <is>
          <t>KALMAR LÄN</t>
        </is>
      </c>
      <c r="E115" t="inlineStr">
        <is>
          <t>BORGHOLM</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24323-2026</t>
        </is>
      </c>
      <c r="B116" s="1" t="n">
        <v>46169.49458333333</v>
      </c>
      <c r="C116" s="1" t="n">
        <v>46190</v>
      </c>
      <c r="D116" t="inlineStr">
        <is>
          <t>KALMAR LÄN</t>
        </is>
      </c>
      <c r="E116" t="inlineStr">
        <is>
          <t>BORGHOLM</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46190</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46190</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46190</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24345-2026</t>
        </is>
      </c>
      <c r="B120" s="1" t="n">
        <v>46169.55112268519</v>
      </c>
      <c r="C120" s="1" t="n">
        <v>46190</v>
      </c>
      <c r="D120" t="inlineStr">
        <is>
          <t>KALMAR LÄN</t>
        </is>
      </c>
      <c r="E120" t="inlineStr">
        <is>
          <t>BORGHOLM</t>
        </is>
      </c>
      <c r="F120" t="inlineStr">
        <is>
          <t>Sveaskog</t>
        </is>
      </c>
      <c r="G120" t="n">
        <v>7.3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2026-06-17T09:18:37Z</dcterms:created>
  <dcterms:modified xmlns:dcterms="http://purl.org/dc/terms/" xmlns:xsi="http://www.w3.org/2001/XMLSchema-instance" xsi:type="dcterms:W3CDTF">2026-06-17T09:18:38Z</dcterms:modified>
</cp:coreProperties>
</file>