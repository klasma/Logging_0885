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46036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46036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46036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46036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46036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46036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46036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46036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46036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46036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46036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46036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46036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46036</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46036</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46036</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46036</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46036</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46036</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46036</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46036</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46036</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46036</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46036</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46036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46036</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46036</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46036</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46036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46036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46036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46036</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28785-2025</t>
        </is>
      </c>
      <c r="B34" s="1" t="n">
        <v>45820.46159722222</v>
      </c>
      <c r="C34" s="1" t="n">
        <v>46036</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46036</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46036</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46036</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45693-2025</t>
        </is>
      </c>
      <c r="B38" s="1" t="n">
        <v>45923</v>
      </c>
      <c r="C38" s="1" t="n">
        <v>46036</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9745-2023</t>
        </is>
      </c>
      <c r="B39" s="1" t="n">
        <v>44984</v>
      </c>
      <c r="C39" s="1" t="n">
        <v>46036</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46036</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14789-2021</t>
        </is>
      </c>
      <c r="B41" s="1" t="n">
        <v>44280</v>
      </c>
      <c r="C41" s="1" t="n">
        <v>46036</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12785-2021</t>
        </is>
      </c>
      <c r="B42" s="1" t="n">
        <v>44270</v>
      </c>
      <c r="C42" s="1" t="n">
        <v>46036</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46036</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46036</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46036</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46036</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46036</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46036</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46036</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46036</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46036</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46036</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46036</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46036</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46036</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46036</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46036</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46036</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46036</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46036</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46036</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46036</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46036</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46036</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21908-2022</t>
        </is>
      </c>
      <c r="B65" s="1" t="n">
        <v>44711</v>
      </c>
      <c r="C65" s="1" t="n">
        <v>46036</v>
      </c>
      <c r="D65" t="inlineStr">
        <is>
          <t>KALMAR LÄN</t>
        </is>
      </c>
      <c r="E65" t="inlineStr">
        <is>
          <t>BORGHOLM</t>
        </is>
      </c>
      <c r="G65" t="n">
        <v>4.7</v>
      </c>
      <c r="H65" t="n">
        <v>0</v>
      </c>
      <c r="I65" t="n">
        <v>0</v>
      </c>
      <c r="J65" t="n">
        <v>0</v>
      </c>
      <c r="K65" t="n">
        <v>0</v>
      </c>
      <c r="L65" t="n">
        <v>0</v>
      </c>
      <c r="M65" t="n">
        <v>0</v>
      </c>
      <c r="N65" t="n">
        <v>0</v>
      </c>
      <c r="O65" t="n">
        <v>0</v>
      </c>
      <c r="P65" t="n">
        <v>0</v>
      </c>
      <c r="Q65" t="n">
        <v>0</v>
      </c>
      <c r="R65" s="2" t="inlineStr"/>
    </row>
    <row r="66" ht="15" customHeight="1">
      <c r="A66" t="inlineStr">
        <is>
          <t>A 55367-2024</t>
        </is>
      </c>
      <c r="B66" s="1" t="n">
        <v>45621.87075231481</v>
      </c>
      <c r="C66" s="1" t="n">
        <v>46036</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27357-2025</t>
        </is>
      </c>
      <c r="B67" s="1" t="n">
        <v>45812.63650462963</v>
      </c>
      <c r="C67" s="1" t="n">
        <v>46036</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27366-2025</t>
        </is>
      </c>
      <c r="B68" s="1" t="n">
        <v>45812.64475694444</v>
      </c>
      <c r="C68" s="1" t="n">
        <v>46036</v>
      </c>
      <c r="D68" t="inlineStr">
        <is>
          <t>KALMAR LÄN</t>
        </is>
      </c>
      <c r="E68" t="inlineStr">
        <is>
          <t>BORGHOLM</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4878-2021</t>
        </is>
      </c>
      <c r="B69" s="1" t="n">
        <v>44225</v>
      </c>
      <c r="C69" s="1" t="n">
        <v>46036</v>
      </c>
      <c r="D69" t="inlineStr">
        <is>
          <t>KALMAR LÄN</t>
        </is>
      </c>
      <c r="E69" t="inlineStr">
        <is>
          <t>BORGHOLM</t>
        </is>
      </c>
      <c r="G69" t="n">
        <v>3</v>
      </c>
      <c r="H69" t="n">
        <v>0</v>
      </c>
      <c r="I69" t="n">
        <v>0</v>
      </c>
      <c r="J69" t="n">
        <v>0</v>
      </c>
      <c r="K69" t="n">
        <v>0</v>
      </c>
      <c r="L69" t="n">
        <v>0</v>
      </c>
      <c r="M69" t="n">
        <v>0</v>
      </c>
      <c r="N69" t="n">
        <v>0</v>
      </c>
      <c r="O69" t="n">
        <v>0</v>
      </c>
      <c r="P69" t="n">
        <v>0</v>
      </c>
      <c r="Q69" t="n">
        <v>0</v>
      </c>
      <c r="R69" s="2" t="inlineStr"/>
    </row>
    <row r="70" ht="15" customHeight="1">
      <c r="A70" t="inlineStr">
        <is>
          <t>A 28782-2025</t>
        </is>
      </c>
      <c r="B70" s="1" t="n">
        <v>45820.45572916666</v>
      </c>
      <c r="C70" s="1" t="n">
        <v>46036</v>
      </c>
      <c r="D70" t="inlineStr">
        <is>
          <t>KALMAR LÄN</t>
        </is>
      </c>
      <c r="E70" t="inlineStr">
        <is>
          <t>BORGHOLM</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4159-2024</t>
        </is>
      </c>
      <c r="B71" s="1" t="n">
        <v>45323</v>
      </c>
      <c r="C71" s="1" t="n">
        <v>46036</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46036</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32921-2023</t>
        </is>
      </c>
      <c r="B73" s="1" t="n">
        <v>45125</v>
      </c>
      <c r="C73" s="1" t="n">
        <v>46036</v>
      </c>
      <c r="D73" t="inlineStr">
        <is>
          <t>KALMAR LÄN</t>
        </is>
      </c>
      <c r="E73" t="inlineStr">
        <is>
          <t>BORGHOLM</t>
        </is>
      </c>
      <c r="G73" t="n">
        <v>2.9</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46036</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42232-2025</t>
        </is>
      </c>
      <c r="B75" s="1" t="n">
        <v>45904.55591435185</v>
      </c>
      <c r="C75" s="1" t="n">
        <v>46036</v>
      </c>
      <c r="D75" t="inlineStr">
        <is>
          <t>KALMAR LÄN</t>
        </is>
      </c>
      <c r="E75" t="inlineStr">
        <is>
          <t>BORGHOLM</t>
        </is>
      </c>
      <c r="F75" t="inlineStr">
        <is>
          <t>Sveaskog</t>
        </is>
      </c>
      <c r="G75" t="n">
        <v>1.7</v>
      </c>
      <c r="H75" t="n">
        <v>0</v>
      </c>
      <c r="I75" t="n">
        <v>0</v>
      </c>
      <c r="J75" t="n">
        <v>0</v>
      </c>
      <c r="K75" t="n">
        <v>0</v>
      </c>
      <c r="L75" t="n">
        <v>0</v>
      </c>
      <c r="M75" t="n">
        <v>0</v>
      </c>
      <c r="N75" t="n">
        <v>0</v>
      </c>
      <c r="O75" t="n">
        <v>0</v>
      </c>
      <c r="P75" t="n">
        <v>0</v>
      </c>
      <c r="Q75" t="n">
        <v>0</v>
      </c>
      <c r="R75" s="2" t="inlineStr"/>
    </row>
    <row r="76" ht="15" customHeight="1">
      <c r="A76" t="inlineStr">
        <is>
          <t>A 31699-2022</t>
        </is>
      </c>
      <c r="B76" s="1" t="n">
        <v>44776</v>
      </c>
      <c r="C76" s="1" t="n">
        <v>46036</v>
      </c>
      <c r="D76" t="inlineStr">
        <is>
          <t>KALMAR LÄN</t>
        </is>
      </c>
      <c r="E76" t="inlineStr">
        <is>
          <t>BORGHOLM</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63276-2023</t>
        </is>
      </c>
      <c r="B77" s="1" t="n">
        <v>45273.82195601852</v>
      </c>
      <c r="C77" s="1" t="n">
        <v>46036</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46036</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44224-2025</t>
        </is>
      </c>
      <c r="B79" s="1" t="n">
        <v>45915</v>
      </c>
      <c r="C79" s="1" t="n">
        <v>46036</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36269-2025</t>
        </is>
      </c>
      <c r="B80" s="1" t="n">
        <v>45867.61736111111</v>
      </c>
      <c r="C80" s="1" t="n">
        <v>46036</v>
      </c>
      <c r="D80" t="inlineStr">
        <is>
          <t>KALMAR LÄN</t>
        </is>
      </c>
      <c r="E80" t="inlineStr">
        <is>
          <t>BORGHOLM</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1614-2025</t>
        </is>
      </c>
      <c r="B81" s="1" t="n">
        <v>45670.60094907408</v>
      </c>
      <c r="C81" s="1" t="n">
        <v>46036</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45734-2025</t>
        </is>
      </c>
      <c r="B82" s="1" t="n">
        <v>45923.46512731481</v>
      </c>
      <c r="C82" s="1" t="n">
        <v>46036</v>
      </c>
      <c r="D82" t="inlineStr">
        <is>
          <t>KALMAR LÄN</t>
        </is>
      </c>
      <c r="E82" t="inlineStr">
        <is>
          <t>BORGHOLM</t>
        </is>
      </c>
      <c r="G82" t="n">
        <v>5</v>
      </c>
      <c r="H82" t="n">
        <v>0</v>
      </c>
      <c r="I82" t="n">
        <v>0</v>
      </c>
      <c r="J82" t="n">
        <v>0</v>
      </c>
      <c r="K82" t="n">
        <v>0</v>
      </c>
      <c r="L82" t="n">
        <v>0</v>
      </c>
      <c r="M82" t="n">
        <v>0</v>
      </c>
      <c r="N82" t="n">
        <v>0</v>
      </c>
      <c r="O82" t="n">
        <v>0</v>
      </c>
      <c r="P82" t="n">
        <v>0</v>
      </c>
      <c r="Q82" t="n">
        <v>0</v>
      </c>
      <c r="R82" s="2" t="inlineStr"/>
    </row>
    <row r="83" ht="15" customHeight="1">
      <c r="A83" t="inlineStr">
        <is>
          <t>A 45869-2025</t>
        </is>
      </c>
      <c r="B83" s="1" t="n">
        <v>45923.65313657407</v>
      </c>
      <c r="C83" s="1" t="n">
        <v>46036</v>
      </c>
      <c r="D83" t="inlineStr">
        <is>
          <t>KALMAR LÄN</t>
        </is>
      </c>
      <c r="E83" t="inlineStr">
        <is>
          <t>BORGHOLM</t>
        </is>
      </c>
      <c r="G83" t="n">
        <v>4.5</v>
      </c>
      <c r="H83" t="n">
        <v>0</v>
      </c>
      <c r="I83" t="n">
        <v>0</v>
      </c>
      <c r="J83" t="n">
        <v>0</v>
      </c>
      <c r="K83" t="n">
        <v>0</v>
      </c>
      <c r="L83" t="n">
        <v>0</v>
      </c>
      <c r="M83" t="n">
        <v>0</v>
      </c>
      <c r="N83" t="n">
        <v>0</v>
      </c>
      <c r="O83" t="n">
        <v>0</v>
      </c>
      <c r="P83" t="n">
        <v>0</v>
      </c>
      <c r="Q83" t="n">
        <v>0</v>
      </c>
      <c r="R83" s="2" t="inlineStr"/>
    </row>
    <row r="84" ht="15" customHeight="1">
      <c r="A84" t="inlineStr">
        <is>
          <t>A 46845-2025</t>
        </is>
      </c>
      <c r="B84" s="1" t="n">
        <v>45928</v>
      </c>
      <c r="C84" s="1" t="n">
        <v>46036</v>
      </c>
      <c r="D84" t="inlineStr">
        <is>
          <t>KALMAR LÄN</t>
        </is>
      </c>
      <c r="E84" t="inlineStr">
        <is>
          <t>BORGHOLM</t>
        </is>
      </c>
      <c r="G84" t="n">
        <v>2.7</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46036</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1757-2025</t>
        </is>
      </c>
      <c r="B86" s="1" t="n">
        <v>45671.42195601852</v>
      </c>
      <c r="C86" s="1" t="n">
        <v>46036</v>
      </c>
      <c r="D86" t="inlineStr">
        <is>
          <t>KALMAR LÄN</t>
        </is>
      </c>
      <c r="E86" t="inlineStr">
        <is>
          <t>BORGHOLM</t>
        </is>
      </c>
      <c r="G86" t="n">
        <v>1.4</v>
      </c>
      <c r="H86" t="n">
        <v>0</v>
      </c>
      <c r="I86" t="n">
        <v>0</v>
      </c>
      <c r="J86" t="n">
        <v>0</v>
      </c>
      <c r="K86" t="n">
        <v>0</v>
      </c>
      <c r="L86" t="n">
        <v>0</v>
      </c>
      <c r="M86" t="n">
        <v>0</v>
      </c>
      <c r="N86" t="n">
        <v>0</v>
      </c>
      <c r="O86" t="n">
        <v>0</v>
      </c>
      <c r="P86" t="n">
        <v>0</v>
      </c>
      <c r="Q86" t="n">
        <v>0</v>
      </c>
      <c r="R86" s="2" t="inlineStr"/>
    </row>
    <row r="87" ht="15" customHeight="1">
      <c r="A87" t="inlineStr">
        <is>
          <t>A 7960-2023</t>
        </is>
      </c>
      <c r="B87" s="1" t="n">
        <v>44973</v>
      </c>
      <c r="C87" s="1" t="n">
        <v>46036</v>
      </c>
      <c r="D87" t="inlineStr">
        <is>
          <t>KALMAR LÄN</t>
        </is>
      </c>
      <c r="E87" t="inlineStr">
        <is>
          <t>BORGHOLM</t>
        </is>
      </c>
      <c r="G87" t="n">
        <v>2.1</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46036</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29656-2023</t>
        </is>
      </c>
      <c r="B89" s="1" t="n">
        <v>45107</v>
      </c>
      <c r="C89" s="1" t="n">
        <v>46036</v>
      </c>
      <c r="D89" t="inlineStr">
        <is>
          <t>KALMAR LÄN</t>
        </is>
      </c>
      <c r="E89" t="inlineStr">
        <is>
          <t>BORGHOLM</t>
        </is>
      </c>
      <c r="G89" t="n">
        <v>4.1</v>
      </c>
      <c r="H89" t="n">
        <v>0</v>
      </c>
      <c r="I89" t="n">
        <v>0</v>
      </c>
      <c r="J89" t="n">
        <v>0</v>
      </c>
      <c r="K89" t="n">
        <v>0</v>
      </c>
      <c r="L89" t="n">
        <v>0</v>
      </c>
      <c r="M89" t="n">
        <v>0</v>
      </c>
      <c r="N89" t="n">
        <v>0</v>
      </c>
      <c r="O89" t="n">
        <v>0</v>
      </c>
      <c r="P89" t="n">
        <v>0</v>
      </c>
      <c r="Q89" t="n">
        <v>0</v>
      </c>
      <c r="R89" s="2" t="inlineStr"/>
    </row>
    <row r="90" ht="15" customHeight="1">
      <c r="A90" t="inlineStr">
        <is>
          <t>A 61723-2025</t>
        </is>
      </c>
      <c r="B90" s="1" t="n">
        <v>46002.58388888889</v>
      </c>
      <c r="C90" s="1" t="n">
        <v>46036</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9050-2025</t>
        </is>
      </c>
      <c r="B91" s="1" t="n">
        <v>45713.63512731482</v>
      </c>
      <c r="C91" s="1" t="n">
        <v>46036</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46036</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46036</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32919-2023</t>
        </is>
      </c>
      <c r="B94" s="1" t="n">
        <v>45125</v>
      </c>
      <c r="C94" s="1" t="n">
        <v>46036</v>
      </c>
      <c r="D94" t="inlineStr">
        <is>
          <t>KALMAR LÄN</t>
        </is>
      </c>
      <c r="E94" t="inlineStr">
        <is>
          <t>BORGHOLM</t>
        </is>
      </c>
      <c r="G94" t="n">
        <v>2.7</v>
      </c>
      <c r="H94" t="n">
        <v>0</v>
      </c>
      <c r="I94" t="n">
        <v>0</v>
      </c>
      <c r="J94" t="n">
        <v>0</v>
      </c>
      <c r="K94" t="n">
        <v>0</v>
      </c>
      <c r="L94" t="n">
        <v>0</v>
      </c>
      <c r="M94" t="n">
        <v>0</v>
      </c>
      <c r="N94" t="n">
        <v>0</v>
      </c>
      <c r="O94" t="n">
        <v>0</v>
      </c>
      <c r="P94" t="n">
        <v>0</v>
      </c>
      <c r="Q94" t="n">
        <v>0</v>
      </c>
      <c r="R94" s="2" t="inlineStr"/>
    </row>
    <row r="95" ht="15" customHeight="1">
      <c r="A95" t="inlineStr">
        <is>
          <t>A 44678-2022</t>
        </is>
      </c>
      <c r="B95" s="1" t="n">
        <v>44840.65100694444</v>
      </c>
      <c r="C95" s="1" t="n">
        <v>46036</v>
      </c>
      <c r="D95" t="inlineStr">
        <is>
          <t>KALMAR LÄN</t>
        </is>
      </c>
      <c r="E95" t="inlineStr">
        <is>
          <t>BORGHOLM</t>
        </is>
      </c>
      <c r="G95" t="n">
        <v>2.4</v>
      </c>
      <c r="H95" t="n">
        <v>0</v>
      </c>
      <c r="I95" t="n">
        <v>0</v>
      </c>
      <c r="J95" t="n">
        <v>0</v>
      </c>
      <c r="K95" t="n">
        <v>0</v>
      </c>
      <c r="L95" t="n">
        <v>0</v>
      </c>
      <c r="M95" t="n">
        <v>0</v>
      </c>
      <c r="N95" t="n">
        <v>0</v>
      </c>
      <c r="O95" t="n">
        <v>0</v>
      </c>
      <c r="P95" t="n">
        <v>0</v>
      </c>
      <c r="Q95" t="n">
        <v>0</v>
      </c>
      <c r="R95" s="2" t="inlineStr"/>
    </row>
    <row r="96" ht="15" customHeight="1">
      <c r="A96" t="inlineStr">
        <is>
          <t>A 31720-2022</t>
        </is>
      </c>
      <c r="B96" s="1" t="n">
        <v>44776</v>
      </c>
      <c r="C96" s="1" t="n">
        <v>46036</v>
      </c>
      <c r="D96" t="inlineStr">
        <is>
          <t>KALMAR LÄN</t>
        </is>
      </c>
      <c r="E96" t="inlineStr">
        <is>
          <t>BORGHOLM</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44547-2021</t>
        </is>
      </c>
      <c r="B97" s="1" t="n">
        <v>44435</v>
      </c>
      <c r="C97" s="1" t="n">
        <v>46036</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5175-2024</t>
        </is>
      </c>
      <c r="B98" s="1" t="n">
        <v>45330</v>
      </c>
      <c r="C98" s="1" t="n">
        <v>46036</v>
      </c>
      <c r="D98" t="inlineStr">
        <is>
          <t>KALMAR LÄN</t>
        </is>
      </c>
      <c r="E98" t="inlineStr">
        <is>
          <t>BORGHOLM</t>
        </is>
      </c>
      <c r="G98" t="n">
        <v>1.5</v>
      </c>
      <c r="H98" t="n">
        <v>0</v>
      </c>
      <c r="I98" t="n">
        <v>0</v>
      </c>
      <c r="J98" t="n">
        <v>0</v>
      </c>
      <c r="K98" t="n">
        <v>0</v>
      </c>
      <c r="L98" t="n">
        <v>0</v>
      </c>
      <c r="M98" t="n">
        <v>0</v>
      </c>
      <c r="N98" t="n">
        <v>0</v>
      </c>
      <c r="O98" t="n">
        <v>0</v>
      </c>
      <c r="P98" t="n">
        <v>0</v>
      </c>
      <c r="Q98" t="n">
        <v>0</v>
      </c>
      <c r="R98" s="2" t="inlineStr"/>
    </row>
    <row r="99" ht="15" customHeight="1">
      <c r="A99" t="inlineStr">
        <is>
          <t>A 34951-2022</t>
        </is>
      </c>
      <c r="B99" s="1" t="n">
        <v>44796</v>
      </c>
      <c r="C99" s="1" t="n">
        <v>46036</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19867-2024</t>
        </is>
      </c>
      <c r="B100" s="1" t="n">
        <v>45433</v>
      </c>
      <c r="C100" s="1" t="n">
        <v>46036</v>
      </c>
      <c r="D100" t="inlineStr">
        <is>
          <t>KALMAR LÄN</t>
        </is>
      </c>
      <c r="E100" t="inlineStr">
        <is>
          <t>BORGHOLM</t>
        </is>
      </c>
      <c r="G100" t="n">
        <v>3.9</v>
      </c>
      <c r="H100" t="n">
        <v>0</v>
      </c>
      <c r="I100" t="n">
        <v>0</v>
      </c>
      <c r="J100" t="n">
        <v>0</v>
      </c>
      <c r="K100" t="n">
        <v>0</v>
      </c>
      <c r="L100" t="n">
        <v>0</v>
      </c>
      <c r="M100" t="n">
        <v>0</v>
      </c>
      <c r="N100" t="n">
        <v>0</v>
      </c>
      <c r="O100" t="n">
        <v>0</v>
      </c>
      <c r="P100" t="n">
        <v>0</v>
      </c>
      <c r="Q100" t="n">
        <v>0</v>
      </c>
      <c r="R100" s="2" t="inlineStr"/>
    </row>
    <row r="101" ht="15" customHeight="1">
      <c r="A101" t="inlineStr">
        <is>
          <t>A 13383-2023</t>
        </is>
      </c>
      <c r="B101" s="1" t="n">
        <v>45005</v>
      </c>
      <c r="C101" s="1" t="n">
        <v>46036</v>
      </c>
      <c r="D101" t="inlineStr">
        <is>
          <t>KALMAR LÄN</t>
        </is>
      </c>
      <c r="E101" t="inlineStr">
        <is>
          <t>BORGHOLM</t>
        </is>
      </c>
      <c r="G101" t="n">
        <v>0.8</v>
      </c>
      <c r="H101" t="n">
        <v>0</v>
      </c>
      <c r="I101" t="n">
        <v>0</v>
      </c>
      <c r="J101" t="n">
        <v>0</v>
      </c>
      <c r="K101" t="n">
        <v>0</v>
      </c>
      <c r="L101" t="n">
        <v>0</v>
      </c>
      <c r="M101" t="n">
        <v>0</v>
      </c>
      <c r="N101" t="n">
        <v>0</v>
      </c>
      <c r="O101" t="n">
        <v>0</v>
      </c>
      <c r="P101" t="n">
        <v>0</v>
      </c>
      <c r="Q101" t="n">
        <v>0</v>
      </c>
      <c r="R101" s="2" t="inlineStr"/>
    </row>
    <row r="102" ht="15" customHeight="1">
      <c r="A102" t="inlineStr">
        <is>
          <t>A 61438-2023</t>
        </is>
      </c>
      <c r="B102" s="1" t="n">
        <v>45264</v>
      </c>
      <c r="C102" s="1" t="n">
        <v>46036</v>
      </c>
      <c r="D102" t="inlineStr">
        <is>
          <t>KALMAR LÄN</t>
        </is>
      </c>
      <c r="E102" t="inlineStr">
        <is>
          <t>BORGHOLM</t>
        </is>
      </c>
      <c r="G102" t="n">
        <v>1.1</v>
      </c>
      <c r="H102" t="n">
        <v>0</v>
      </c>
      <c r="I102" t="n">
        <v>0</v>
      </c>
      <c r="J102" t="n">
        <v>0</v>
      </c>
      <c r="K102" t="n">
        <v>0</v>
      </c>
      <c r="L102" t="n">
        <v>0</v>
      </c>
      <c r="M102" t="n">
        <v>0</v>
      </c>
      <c r="N102" t="n">
        <v>0</v>
      </c>
      <c r="O102" t="n">
        <v>0</v>
      </c>
      <c r="P102" t="n">
        <v>0</v>
      </c>
      <c r="Q102" t="n">
        <v>0</v>
      </c>
      <c r="R102" s="2" t="inlineStr"/>
    </row>
    <row r="103" ht="15" customHeight="1">
      <c r="A103" t="inlineStr">
        <is>
          <t>A 13041-2024</t>
        </is>
      </c>
      <c r="B103" s="1" t="n">
        <v>45385.60065972222</v>
      </c>
      <c r="C103" s="1" t="n">
        <v>46036</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46036</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46036</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46036</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46036</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34780-2022</t>
        </is>
      </c>
      <c r="B108" s="1" t="n">
        <v>44795</v>
      </c>
      <c r="C108" s="1" t="n">
        <v>46036</v>
      </c>
      <c r="D108" t="inlineStr">
        <is>
          <t>KALMAR LÄN</t>
        </is>
      </c>
      <c r="E108" t="inlineStr">
        <is>
          <t>BORGHOLM</t>
        </is>
      </c>
      <c r="F108" t="inlineStr">
        <is>
          <t>Sveaskog</t>
        </is>
      </c>
      <c r="G108" t="n">
        <v>6.7</v>
      </c>
      <c r="H108" t="n">
        <v>0</v>
      </c>
      <c r="I108" t="n">
        <v>0</v>
      </c>
      <c r="J108" t="n">
        <v>0</v>
      </c>
      <c r="K108" t="n">
        <v>0</v>
      </c>
      <c r="L108" t="n">
        <v>0</v>
      </c>
      <c r="M108" t="n">
        <v>0</v>
      </c>
      <c r="N108" t="n">
        <v>0</v>
      </c>
      <c r="O108" t="n">
        <v>0</v>
      </c>
      <c r="P108" t="n">
        <v>0</v>
      </c>
      <c r="Q108" t="n">
        <v>0</v>
      </c>
      <c r="R108" s="2" t="inlineStr"/>
    </row>
    <row r="109" ht="15" customHeight="1">
      <c r="A109" t="inlineStr">
        <is>
          <t>A 9044-2025</t>
        </is>
      </c>
      <c r="B109" s="1" t="n">
        <v>45713.6275</v>
      </c>
      <c r="C109" s="1" t="n">
        <v>46036</v>
      </c>
      <c r="D109" t="inlineStr">
        <is>
          <t>KALMAR LÄN</t>
        </is>
      </c>
      <c r="E109" t="inlineStr">
        <is>
          <t>BORGHOLM</t>
        </is>
      </c>
      <c r="F109" t="inlineStr">
        <is>
          <t>Sveaskog</t>
        </is>
      </c>
      <c r="G109" t="n">
        <v>4</v>
      </c>
      <c r="H109" t="n">
        <v>0</v>
      </c>
      <c r="I109" t="n">
        <v>0</v>
      </c>
      <c r="J109" t="n">
        <v>0</v>
      </c>
      <c r="K109" t="n">
        <v>0</v>
      </c>
      <c r="L109" t="n">
        <v>0</v>
      </c>
      <c r="M109" t="n">
        <v>0</v>
      </c>
      <c r="N109" t="n">
        <v>0</v>
      </c>
      <c r="O109" t="n">
        <v>0</v>
      </c>
      <c r="P109" t="n">
        <v>0</v>
      </c>
      <c r="Q109" t="n">
        <v>0</v>
      </c>
      <c r="R109" s="2" t="inlineStr"/>
    </row>
    <row r="110" ht="15" customHeight="1">
      <c r="A110" t="inlineStr">
        <is>
          <t>A 20878-2024</t>
        </is>
      </c>
      <c r="B110" s="1" t="n">
        <v>45439.44748842593</v>
      </c>
      <c r="C110" s="1" t="n">
        <v>46036</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17699-2025</t>
        </is>
      </c>
      <c r="B111" s="1" t="n">
        <v>45758.41846064815</v>
      </c>
      <c r="C111" s="1" t="n">
        <v>46036</v>
      </c>
      <c r="D111" t="inlineStr">
        <is>
          <t>KALMAR LÄN</t>
        </is>
      </c>
      <c r="E111" t="inlineStr">
        <is>
          <t>BORGHOLM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20287-2025</t>
        </is>
      </c>
      <c r="B112" s="1" t="n">
        <v>45774.60741898148</v>
      </c>
      <c r="C112" s="1" t="n">
        <v>46036</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26160-2024</t>
        </is>
      </c>
      <c r="B113" s="1" t="n">
        <v>45468</v>
      </c>
      <c r="C113" s="1" t="n">
        <v>46036</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c r="T113">
        <f>HYPERLINK("https://klasma.github.io/Logging_0885/kartor/A 26160-2024 karta.png", "A 26160-2024")</f>
        <v/>
      </c>
      <c r="V113">
        <f>HYPERLINK("https://klasma.github.io/Logging_0885/klagomål/A 26160-2024 FSC-klagomål.docx", "A 26160-2024")</f>
        <v/>
      </c>
      <c r="W113">
        <f>HYPERLINK("https://klasma.github.io/Logging_0885/klagomålsmail/A 26160-2024 FSC-klagomål mail.docx", "A 26160-2024")</f>
        <v/>
      </c>
      <c r="X113">
        <f>HYPERLINK("https://klasma.github.io/Logging_0885/tillsyn/A 26160-2024 tillsynsbegäran.docx", "A 26160-2024")</f>
        <v/>
      </c>
      <c r="Y113">
        <f>HYPERLINK("https://klasma.github.io/Logging_0885/tillsynsmail/A 26160-2024 tillsynsbegäran mail.docx", "A 26160-2024")</f>
        <v/>
      </c>
    </row>
    <row r="114" ht="15" customHeight="1">
      <c r="A114" t="inlineStr">
        <is>
          <t>A 63075-2023</t>
        </is>
      </c>
      <c r="B114" s="1" t="n">
        <v>45273</v>
      </c>
      <c r="C114" s="1" t="n">
        <v>46036</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17978-2021</t>
        </is>
      </c>
      <c r="B115" s="1" t="n">
        <v>44301</v>
      </c>
      <c r="C115" s="1" t="n">
        <v>46036</v>
      </c>
      <c r="D115" t="inlineStr">
        <is>
          <t>KALMAR LÄN</t>
        </is>
      </c>
      <c r="E115" t="inlineStr">
        <is>
          <t>BORGHOLM</t>
        </is>
      </c>
      <c r="G115" t="n">
        <v>6</v>
      </c>
      <c r="H115" t="n">
        <v>0</v>
      </c>
      <c r="I115" t="n">
        <v>0</v>
      </c>
      <c r="J115" t="n">
        <v>0</v>
      </c>
      <c r="K115" t="n">
        <v>0</v>
      </c>
      <c r="L115" t="n">
        <v>0</v>
      </c>
      <c r="M115" t="n">
        <v>0</v>
      </c>
      <c r="N115" t="n">
        <v>0</v>
      </c>
      <c r="O115" t="n">
        <v>0</v>
      </c>
      <c r="P115" t="n">
        <v>0</v>
      </c>
      <c r="Q115" t="n">
        <v>0</v>
      </c>
      <c r="R115" s="2" t="inlineStr"/>
    </row>
    <row r="116" ht="15" customHeight="1">
      <c r="A116" t="inlineStr">
        <is>
          <t>A 22785-2025</t>
        </is>
      </c>
      <c r="B116" s="1" t="n">
        <v>45789.64186342592</v>
      </c>
      <c r="C116" s="1" t="n">
        <v>46036</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12534-2022</t>
        </is>
      </c>
      <c r="B117" s="1" t="n">
        <v>44638</v>
      </c>
      <c r="C117" s="1" t="n">
        <v>46036</v>
      </c>
      <c r="D117" t="inlineStr">
        <is>
          <t>KALMAR LÄN</t>
        </is>
      </c>
      <c r="E117" t="inlineStr">
        <is>
          <t>BORGHOLM</t>
        </is>
      </c>
      <c r="G117" t="n">
        <v>8.6</v>
      </c>
      <c r="H117" t="n">
        <v>0</v>
      </c>
      <c r="I117" t="n">
        <v>0</v>
      </c>
      <c r="J117" t="n">
        <v>0</v>
      </c>
      <c r="K117" t="n">
        <v>0</v>
      </c>
      <c r="L117" t="n">
        <v>0</v>
      </c>
      <c r="M117" t="n">
        <v>0</v>
      </c>
      <c r="N117" t="n">
        <v>0</v>
      </c>
      <c r="O117" t="n">
        <v>0</v>
      </c>
      <c r="P117" t="n">
        <v>0</v>
      </c>
      <c r="Q117" t="n">
        <v>0</v>
      </c>
      <c r="R117" s="2" t="inlineStr"/>
    </row>
    <row r="118" ht="15" customHeight="1">
      <c r="A118" t="inlineStr">
        <is>
          <t>A 40339-2023</t>
        </is>
      </c>
      <c r="B118" s="1" t="n">
        <v>45169.62733796296</v>
      </c>
      <c r="C118" s="1" t="n">
        <v>46036</v>
      </c>
      <c r="D118" t="inlineStr">
        <is>
          <t>KALMAR LÄN</t>
        </is>
      </c>
      <c r="E118" t="inlineStr">
        <is>
          <t>BORGHOLM</t>
        </is>
      </c>
      <c r="G118" t="n">
        <v>3.8</v>
      </c>
      <c r="H118" t="n">
        <v>0</v>
      </c>
      <c r="I118" t="n">
        <v>0</v>
      </c>
      <c r="J118" t="n">
        <v>0</v>
      </c>
      <c r="K118" t="n">
        <v>0</v>
      </c>
      <c r="L118" t="n">
        <v>0</v>
      </c>
      <c r="M118" t="n">
        <v>0</v>
      </c>
      <c r="N118" t="n">
        <v>0</v>
      </c>
      <c r="O118" t="n">
        <v>0</v>
      </c>
      <c r="P118" t="n">
        <v>0</v>
      </c>
      <c r="Q118" t="n">
        <v>0</v>
      </c>
      <c r="R118" s="2" t="inlineStr"/>
    </row>
    <row r="119" ht="15" customHeight="1">
      <c r="A119" t="inlineStr">
        <is>
          <t>A 24166-2022</t>
        </is>
      </c>
      <c r="B119" s="1" t="n">
        <v>44725</v>
      </c>
      <c r="C119" s="1" t="n">
        <v>46036</v>
      </c>
      <c r="D119" t="inlineStr">
        <is>
          <t>KALMAR LÄN</t>
        </is>
      </c>
      <c r="E119" t="inlineStr">
        <is>
          <t>BORGHOLM</t>
        </is>
      </c>
      <c r="G119" t="n">
        <v>10.7</v>
      </c>
      <c r="H119" t="n">
        <v>0</v>
      </c>
      <c r="I119" t="n">
        <v>0</v>
      </c>
      <c r="J119" t="n">
        <v>0</v>
      </c>
      <c r="K119" t="n">
        <v>0</v>
      </c>
      <c r="L119" t="n">
        <v>0</v>
      </c>
      <c r="M119" t="n">
        <v>0</v>
      </c>
      <c r="N119" t="n">
        <v>0</v>
      </c>
      <c r="O119" t="n">
        <v>0</v>
      </c>
      <c r="P119" t="n">
        <v>0</v>
      </c>
      <c r="Q119" t="n">
        <v>0</v>
      </c>
      <c r="R119" s="2" t="inlineStr"/>
    </row>
    <row r="120" ht="15" customHeight="1">
      <c r="A120" t="inlineStr">
        <is>
          <t>A 26190-2025</t>
        </is>
      </c>
      <c r="B120" s="1" t="n">
        <v>45805.48349537037</v>
      </c>
      <c r="C120" s="1" t="n">
        <v>46036</v>
      </c>
      <c r="D120" t="inlineStr">
        <is>
          <t>KALMAR LÄN</t>
        </is>
      </c>
      <c r="E120" t="inlineStr">
        <is>
          <t>BORGHOLM</t>
        </is>
      </c>
      <c r="G120" t="n">
        <v>3.2</v>
      </c>
      <c r="H120" t="n">
        <v>0</v>
      </c>
      <c r="I120" t="n">
        <v>0</v>
      </c>
      <c r="J120" t="n">
        <v>0</v>
      </c>
      <c r="K120" t="n">
        <v>0</v>
      </c>
      <c r="L120" t="n">
        <v>0</v>
      </c>
      <c r="M120" t="n">
        <v>0</v>
      </c>
      <c r="N120" t="n">
        <v>0</v>
      </c>
      <c r="O120" t="n">
        <v>0</v>
      </c>
      <c r="P120" t="n">
        <v>0</v>
      </c>
      <c r="Q120" t="n">
        <v>0</v>
      </c>
      <c r="R120" s="2" t="inlineStr"/>
    </row>
    <row r="121">
      <c r="A121" t="inlineStr">
        <is>
          <t>A 26160-2025</t>
        </is>
      </c>
      <c r="B121" s="1" t="n">
        <v>45805.4490162037</v>
      </c>
      <c r="C121" s="1" t="n">
        <v>46036</v>
      </c>
      <c r="D121" t="inlineStr">
        <is>
          <t>KALMAR LÄN</t>
        </is>
      </c>
      <c r="E121" t="inlineStr">
        <is>
          <t>BORGHOLM</t>
        </is>
      </c>
      <c r="G121" t="n">
        <v>3.7</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2026-01-14T10:55:18Z</dcterms:created>
  <dcterms:modified xmlns:dcterms="http://purl.org/dc/terms/" xmlns:xsi="http://www.w3.org/2001/XMLSchema-instance" xsi:type="dcterms:W3CDTF">2026-01-14T10:55:18Z</dcterms:modified>
</cp:coreProperties>
</file>