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45731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45731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45731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45731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45731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45731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45731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45731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45731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45731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45731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45731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45731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45731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45731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45731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45731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45731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45731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45731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45731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45731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45731</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45731</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45731</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45731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45731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45731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45731</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45731</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45731</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45731</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45731</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45731</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45731</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45731</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45731</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45731</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45731</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45731</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45731</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45731</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45731</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45731</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45731</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45731</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45731</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45731</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45731</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45731</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45731</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45731</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11673-2025</t>
        </is>
      </c>
      <c r="B54" s="1" t="n">
        <v>45727</v>
      </c>
      <c r="C54" s="1" t="n">
        <v>45731</v>
      </c>
      <c r="D54" t="inlineStr">
        <is>
          <t>KALMAR LÄN</t>
        </is>
      </c>
      <c r="E54" t="inlineStr">
        <is>
          <t>BORGHOLM</t>
        </is>
      </c>
      <c r="G54" t="n">
        <v>0.9</v>
      </c>
      <c r="H54" t="n">
        <v>0</v>
      </c>
      <c r="I54" t="n">
        <v>1</v>
      </c>
      <c r="J54" t="n">
        <v>0</v>
      </c>
      <c r="K54" t="n">
        <v>0</v>
      </c>
      <c r="L54" t="n">
        <v>0</v>
      </c>
      <c r="M54" t="n">
        <v>0</v>
      </c>
      <c r="N54" t="n">
        <v>0</v>
      </c>
      <c r="O54" t="n">
        <v>0</v>
      </c>
      <c r="P54" t="n">
        <v>0</v>
      </c>
      <c r="Q54" t="n">
        <v>1</v>
      </c>
      <c r="R54" s="2" t="inlineStr">
        <is>
          <t>Myskmadra</t>
        </is>
      </c>
      <c r="S54">
        <f>HYPERLINK("https://klasma.github.io/Logging_0885/artfynd/A 11673-2025 artfynd.xlsx", "A 11673-2025")</f>
        <v/>
      </c>
      <c r="T54">
        <f>HYPERLINK("https://klasma.github.io/Logging_0885/kartor/A 11673-2025 karta.png", "A 11673-2025")</f>
        <v/>
      </c>
      <c r="V54">
        <f>HYPERLINK("https://klasma.github.io/Logging_0885/klagomål/A 11673-2025 FSC-klagomål.docx", "A 11673-2025")</f>
        <v/>
      </c>
      <c r="W54">
        <f>HYPERLINK("https://klasma.github.io/Logging_0885/klagomålsmail/A 11673-2025 FSC-klagomål mail.docx", "A 11673-2025")</f>
        <v/>
      </c>
      <c r="X54">
        <f>HYPERLINK("https://klasma.github.io/Logging_0885/tillsyn/A 11673-2025 tillsynsbegäran.docx", "A 11673-2025")</f>
        <v/>
      </c>
      <c r="Y54">
        <f>HYPERLINK("https://klasma.github.io/Logging_0885/tillsynsmail/A 11673-2025 tillsynsbegäran mail.docx", "A 11673-2025")</f>
        <v/>
      </c>
    </row>
    <row r="55" ht="15" customHeight="1">
      <c r="A55" t="inlineStr">
        <is>
          <t>A 23036-2019</t>
        </is>
      </c>
      <c r="B55" s="1" t="n">
        <v>43591</v>
      </c>
      <c r="C55" s="1" t="n">
        <v>45731</v>
      </c>
      <c r="D55" t="inlineStr">
        <is>
          <t>KALMAR LÄN</t>
        </is>
      </c>
      <c r="E55" t="inlineStr">
        <is>
          <t>BORGHOLM</t>
        </is>
      </c>
      <c r="G55" t="n">
        <v>1.1</v>
      </c>
      <c r="H55" t="n">
        <v>0</v>
      </c>
      <c r="I55" t="n">
        <v>0</v>
      </c>
      <c r="J55" t="n">
        <v>0</v>
      </c>
      <c r="K55" t="n">
        <v>0</v>
      </c>
      <c r="L55" t="n">
        <v>0</v>
      </c>
      <c r="M55" t="n">
        <v>0</v>
      </c>
      <c r="N55" t="n">
        <v>0</v>
      </c>
      <c r="O55" t="n">
        <v>0</v>
      </c>
      <c r="P55" t="n">
        <v>0</v>
      </c>
      <c r="Q55" t="n">
        <v>0</v>
      </c>
      <c r="R55" s="2" t="inlineStr"/>
    </row>
    <row r="56" ht="15" customHeight="1">
      <c r="A56" t="inlineStr">
        <is>
          <t>A 23191-2019</t>
        </is>
      </c>
      <c r="B56" s="1" t="n">
        <v>43592</v>
      </c>
      <c r="C56" s="1" t="n">
        <v>45731</v>
      </c>
      <c r="D56" t="inlineStr">
        <is>
          <t>KALMAR LÄN</t>
        </is>
      </c>
      <c r="E56" t="inlineStr">
        <is>
          <t>BORGHOLM</t>
        </is>
      </c>
      <c r="G56" t="n">
        <v>6</v>
      </c>
      <c r="H56" t="n">
        <v>0</v>
      </c>
      <c r="I56" t="n">
        <v>0</v>
      </c>
      <c r="J56" t="n">
        <v>0</v>
      </c>
      <c r="K56" t="n">
        <v>0</v>
      </c>
      <c r="L56" t="n">
        <v>0</v>
      </c>
      <c r="M56" t="n">
        <v>0</v>
      </c>
      <c r="N56" t="n">
        <v>0</v>
      </c>
      <c r="O56" t="n">
        <v>0</v>
      </c>
      <c r="P56" t="n">
        <v>0</v>
      </c>
      <c r="Q56" t="n">
        <v>0</v>
      </c>
      <c r="R56" s="2" t="inlineStr"/>
    </row>
    <row r="57" ht="15" customHeight="1">
      <c r="A57" t="inlineStr">
        <is>
          <t>A 26571-2019</t>
        </is>
      </c>
      <c r="B57" s="1" t="n">
        <v>43612</v>
      </c>
      <c r="C57" s="1" t="n">
        <v>45731</v>
      </c>
      <c r="D57" t="inlineStr">
        <is>
          <t>KALMAR LÄN</t>
        </is>
      </c>
      <c r="E57" t="inlineStr">
        <is>
          <t>BORGHOLM</t>
        </is>
      </c>
      <c r="G57" t="n">
        <v>0.4</v>
      </c>
      <c r="H57" t="n">
        <v>0</v>
      </c>
      <c r="I57" t="n">
        <v>0</v>
      </c>
      <c r="J57" t="n">
        <v>0</v>
      </c>
      <c r="K57" t="n">
        <v>0</v>
      </c>
      <c r="L57" t="n">
        <v>0</v>
      </c>
      <c r="M57" t="n">
        <v>0</v>
      </c>
      <c r="N57" t="n">
        <v>0</v>
      </c>
      <c r="O57" t="n">
        <v>0</v>
      </c>
      <c r="P57" t="n">
        <v>0</v>
      </c>
      <c r="Q57" t="n">
        <v>0</v>
      </c>
      <c r="R57" s="2" t="inlineStr"/>
    </row>
    <row r="58" ht="15" customHeight="1">
      <c r="A58" t="inlineStr">
        <is>
          <t>A 30589-2019</t>
        </is>
      </c>
      <c r="B58" s="1" t="n">
        <v>43635</v>
      </c>
      <c r="C58" s="1" t="n">
        <v>45731</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56638-2019</t>
        </is>
      </c>
      <c r="B59" s="1" t="n">
        <v>43763</v>
      </c>
      <c r="C59" s="1" t="n">
        <v>45731</v>
      </c>
      <c r="D59" t="inlineStr">
        <is>
          <t>KALMAR LÄN</t>
        </is>
      </c>
      <c r="E59" t="inlineStr">
        <is>
          <t>BORGHOLM</t>
        </is>
      </c>
      <c r="G59" t="n">
        <v>2.6</v>
      </c>
      <c r="H59" t="n">
        <v>0</v>
      </c>
      <c r="I59" t="n">
        <v>0</v>
      </c>
      <c r="J59" t="n">
        <v>0</v>
      </c>
      <c r="K59" t="n">
        <v>0</v>
      </c>
      <c r="L59" t="n">
        <v>0</v>
      </c>
      <c r="M59" t="n">
        <v>0</v>
      </c>
      <c r="N59" t="n">
        <v>0</v>
      </c>
      <c r="O59" t="n">
        <v>0</v>
      </c>
      <c r="P59" t="n">
        <v>0</v>
      </c>
      <c r="Q59" t="n">
        <v>0</v>
      </c>
      <c r="R59" s="2" t="inlineStr"/>
    </row>
    <row r="60" ht="15" customHeight="1">
      <c r="A60" t="inlineStr">
        <is>
          <t>A 65975-2019</t>
        </is>
      </c>
      <c r="B60" s="1" t="n">
        <v>43805</v>
      </c>
      <c r="C60" s="1" t="n">
        <v>45731</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67231-2019</t>
        </is>
      </c>
      <c r="B61" s="1" t="n">
        <v>43812</v>
      </c>
      <c r="C61" s="1" t="n">
        <v>45731</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68381-2019</t>
        </is>
      </c>
      <c r="B62" s="1" t="n">
        <v>43818</v>
      </c>
      <c r="C62" s="1" t="n">
        <v>45731</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68593-2019</t>
        </is>
      </c>
      <c r="B63" s="1" t="n">
        <v>43818</v>
      </c>
      <c r="C63" s="1" t="n">
        <v>45731</v>
      </c>
      <c r="D63" t="inlineStr">
        <is>
          <t>KALMAR LÄN</t>
        </is>
      </c>
      <c r="E63" t="inlineStr">
        <is>
          <t>BORGHOLM</t>
        </is>
      </c>
      <c r="G63" t="n">
        <v>6.6</v>
      </c>
      <c r="H63" t="n">
        <v>0</v>
      </c>
      <c r="I63" t="n">
        <v>0</v>
      </c>
      <c r="J63" t="n">
        <v>0</v>
      </c>
      <c r="K63" t="n">
        <v>0</v>
      </c>
      <c r="L63" t="n">
        <v>0</v>
      </c>
      <c r="M63" t="n">
        <v>0</v>
      </c>
      <c r="N63" t="n">
        <v>0</v>
      </c>
      <c r="O63" t="n">
        <v>0</v>
      </c>
      <c r="P63" t="n">
        <v>0</v>
      </c>
      <c r="Q63" t="n">
        <v>0</v>
      </c>
      <c r="R63" s="2" t="inlineStr"/>
    </row>
    <row r="64" ht="15" customHeight="1">
      <c r="A64" t="inlineStr">
        <is>
          <t>A 9908-2020</t>
        </is>
      </c>
      <c r="B64" s="1" t="n">
        <v>43882</v>
      </c>
      <c r="C64" s="1" t="n">
        <v>45731</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12849-2020</t>
        </is>
      </c>
      <c r="B65" s="1" t="n">
        <v>43899</v>
      </c>
      <c r="C65" s="1" t="n">
        <v>45731</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15521-2020</t>
        </is>
      </c>
      <c r="B66" s="1" t="n">
        <v>43914</v>
      </c>
      <c r="C66" s="1" t="n">
        <v>45731</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16271-2020</t>
        </is>
      </c>
      <c r="B67" s="1" t="n">
        <v>43917</v>
      </c>
      <c r="C67" s="1" t="n">
        <v>45731</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22244-2020</t>
        </is>
      </c>
      <c r="B68" s="1" t="n">
        <v>43962</v>
      </c>
      <c r="C68" s="1" t="n">
        <v>45731</v>
      </c>
      <c r="D68" t="inlineStr">
        <is>
          <t>KALMAR LÄN</t>
        </is>
      </c>
      <c r="E68" t="inlineStr">
        <is>
          <t>BORGHOLM</t>
        </is>
      </c>
      <c r="G68" t="n">
        <v>1.6</v>
      </c>
      <c r="H68" t="n">
        <v>0</v>
      </c>
      <c r="I68" t="n">
        <v>0</v>
      </c>
      <c r="J68" t="n">
        <v>0</v>
      </c>
      <c r="K68" t="n">
        <v>0</v>
      </c>
      <c r="L68" t="n">
        <v>0</v>
      </c>
      <c r="M68" t="n">
        <v>0</v>
      </c>
      <c r="N68" t="n">
        <v>0</v>
      </c>
      <c r="O68" t="n">
        <v>0</v>
      </c>
      <c r="P68" t="n">
        <v>0</v>
      </c>
      <c r="Q68" t="n">
        <v>0</v>
      </c>
      <c r="R68" s="2" t="inlineStr"/>
    </row>
    <row r="69" ht="15" customHeight="1">
      <c r="A69" t="inlineStr">
        <is>
          <t>A 22722-2020</t>
        </is>
      </c>
      <c r="B69" s="1" t="n">
        <v>43962</v>
      </c>
      <c r="C69" s="1" t="n">
        <v>45731</v>
      </c>
      <c r="D69" t="inlineStr">
        <is>
          <t>KALMAR LÄN</t>
        </is>
      </c>
      <c r="E69" t="inlineStr">
        <is>
          <t>BORGHOLM</t>
        </is>
      </c>
      <c r="G69" t="n">
        <v>4.5</v>
      </c>
      <c r="H69" t="n">
        <v>0</v>
      </c>
      <c r="I69" t="n">
        <v>0</v>
      </c>
      <c r="J69" t="n">
        <v>0</v>
      </c>
      <c r="K69" t="n">
        <v>0</v>
      </c>
      <c r="L69" t="n">
        <v>0</v>
      </c>
      <c r="M69" t="n">
        <v>0</v>
      </c>
      <c r="N69" t="n">
        <v>0</v>
      </c>
      <c r="O69" t="n">
        <v>0</v>
      </c>
      <c r="P69" t="n">
        <v>0</v>
      </c>
      <c r="Q69" t="n">
        <v>0</v>
      </c>
      <c r="R69" s="2" t="inlineStr"/>
    </row>
    <row r="70" ht="15" customHeight="1">
      <c r="A70" t="inlineStr">
        <is>
          <t>A 22838-2020</t>
        </is>
      </c>
      <c r="B70" s="1" t="n">
        <v>43964</v>
      </c>
      <c r="C70" s="1" t="n">
        <v>45731</v>
      </c>
      <c r="D70" t="inlineStr">
        <is>
          <t>KALMAR LÄN</t>
        </is>
      </c>
      <c r="E70" t="inlineStr">
        <is>
          <t>BORGHOLM</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28584-2020</t>
        </is>
      </c>
      <c r="B71" s="1" t="n">
        <v>43999</v>
      </c>
      <c r="C71" s="1" t="n">
        <v>45731</v>
      </c>
      <c r="D71" t="inlineStr">
        <is>
          <t>KALMAR LÄN</t>
        </is>
      </c>
      <c r="E71" t="inlineStr">
        <is>
          <t>BORGHOLM</t>
        </is>
      </c>
      <c r="G71" t="n">
        <v>10.9</v>
      </c>
      <c r="H71" t="n">
        <v>0</v>
      </c>
      <c r="I71" t="n">
        <v>0</v>
      </c>
      <c r="J71" t="n">
        <v>0</v>
      </c>
      <c r="K71" t="n">
        <v>0</v>
      </c>
      <c r="L71" t="n">
        <v>0</v>
      </c>
      <c r="M71" t="n">
        <v>0</v>
      </c>
      <c r="N71" t="n">
        <v>0</v>
      </c>
      <c r="O71" t="n">
        <v>0</v>
      </c>
      <c r="P71" t="n">
        <v>0</v>
      </c>
      <c r="Q71" t="n">
        <v>0</v>
      </c>
      <c r="R71" s="2" t="inlineStr"/>
    </row>
    <row r="72" ht="15" customHeight="1">
      <c r="A72" t="inlineStr">
        <is>
          <t>A 40884-2020</t>
        </is>
      </c>
      <c r="B72" s="1" t="n">
        <v>44070</v>
      </c>
      <c r="C72" s="1" t="n">
        <v>45731</v>
      </c>
      <c r="D72" t="inlineStr">
        <is>
          <t>KALMAR LÄN</t>
        </is>
      </c>
      <c r="E72" t="inlineStr">
        <is>
          <t>BORGHOLM</t>
        </is>
      </c>
      <c r="G72" t="n">
        <v>7.3</v>
      </c>
      <c r="H72" t="n">
        <v>0</v>
      </c>
      <c r="I72" t="n">
        <v>0</v>
      </c>
      <c r="J72" t="n">
        <v>0</v>
      </c>
      <c r="K72" t="n">
        <v>0</v>
      </c>
      <c r="L72" t="n">
        <v>0</v>
      </c>
      <c r="M72" t="n">
        <v>0</v>
      </c>
      <c r="N72" t="n">
        <v>0</v>
      </c>
      <c r="O72" t="n">
        <v>0</v>
      </c>
      <c r="P72" t="n">
        <v>0</v>
      </c>
      <c r="Q72" t="n">
        <v>0</v>
      </c>
      <c r="R72" s="2" t="inlineStr"/>
    </row>
    <row r="73" ht="15" customHeight="1">
      <c r="A73" t="inlineStr">
        <is>
          <t>A 56479-2020</t>
        </is>
      </c>
      <c r="B73" s="1" t="n">
        <v>44137</v>
      </c>
      <c r="C73" s="1" t="n">
        <v>45731</v>
      </c>
      <c r="D73" t="inlineStr">
        <is>
          <t>KALMAR LÄN</t>
        </is>
      </c>
      <c r="E73" t="inlineStr">
        <is>
          <t>BORGHOLM</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56492-2020</t>
        </is>
      </c>
      <c r="B74" s="1" t="n">
        <v>44137</v>
      </c>
      <c r="C74" s="1" t="n">
        <v>45731</v>
      </c>
      <c r="D74" t="inlineStr">
        <is>
          <t>KALMAR LÄN</t>
        </is>
      </c>
      <c r="E74" t="inlineStr">
        <is>
          <t>BORGHOLM</t>
        </is>
      </c>
      <c r="F74" t="inlineStr">
        <is>
          <t>Sveaskog</t>
        </is>
      </c>
      <c r="G74" t="n">
        <v>10.9</v>
      </c>
      <c r="H74" t="n">
        <v>0</v>
      </c>
      <c r="I74" t="n">
        <v>0</v>
      </c>
      <c r="J74" t="n">
        <v>0</v>
      </c>
      <c r="K74" t="n">
        <v>0</v>
      </c>
      <c r="L74" t="n">
        <v>0</v>
      </c>
      <c r="M74" t="n">
        <v>0</v>
      </c>
      <c r="N74" t="n">
        <v>0</v>
      </c>
      <c r="O74" t="n">
        <v>0</v>
      </c>
      <c r="P74" t="n">
        <v>0</v>
      </c>
      <c r="Q74" t="n">
        <v>0</v>
      </c>
      <c r="R74" s="2" t="inlineStr"/>
    </row>
    <row r="75" ht="15" customHeight="1">
      <c r="A75" t="inlineStr">
        <is>
          <t>A 56475-2020</t>
        </is>
      </c>
      <c r="B75" s="1" t="n">
        <v>44137</v>
      </c>
      <c r="C75" s="1" t="n">
        <v>45731</v>
      </c>
      <c r="D75" t="inlineStr">
        <is>
          <t>KALMAR LÄN</t>
        </is>
      </c>
      <c r="E75" t="inlineStr">
        <is>
          <t>BORGHOLM</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56488-2020</t>
        </is>
      </c>
      <c r="B76" s="1" t="n">
        <v>44137</v>
      </c>
      <c r="C76" s="1" t="n">
        <v>45731</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56499-2020</t>
        </is>
      </c>
      <c r="B77" s="1" t="n">
        <v>44137</v>
      </c>
      <c r="C77" s="1" t="n">
        <v>45731</v>
      </c>
      <c r="D77" t="inlineStr">
        <is>
          <t>KALMAR LÄN</t>
        </is>
      </c>
      <c r="E77" t="inlineStr">
        <is>
          <t>BORGHOLM</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56421-2020</t>
        </is>
      </c>
      <c r="B78" s="1" t="n">
        <v>44137</v>
      </c>
      <c r="C78" s="1" t="n">
        <v>45731</v>
      </c>
      <c r="D78" t="inlineStr">
        <is>
          <t>KALMAR LÄN</t>
        </is>
      </c>
      <c r="E78" t="inlineStr">
        <is>
          <t>BORGHOLM</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56495-2020</t>
        </is>
      </c>
      <c r="B79" s="1" t="n">
        <v>44137</v>
      </c>
      <c r="C79" s="1" t="n">
        <v>45731</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56506-2020</t>
        </is>
      </c>
      <c r="B80" s="1" t="n">
        <v>44137</v>
      </c>
      <c r="C80" s="1" t="n">
        <v>45731</v>
      </c>
      <c r="D80" t="inlineStr">
        <is>
          <t>KALMAR LÄN</t>
        </is>
      </c>
      <c r="E80" t="inlineStr">
        <is>
          <t>BORGHOLM</t>
        </is>
      </c>
      <c r="F80" t="inlineStr">
        <is>
          <t>Sveaskog</t>
        </is>
      </c>
      <c r="G80" t="n">
        <v>1.7</v>
      </c>
      <c r="H80" t="n">
        <v>0</v>
      </c>
      <c r="I80" t="n">
        <v>0</v>
      </c>
      <c r="J80" t="n">
        <v>0</v>
      </c>
      <c r="K80" t="n">
        <v>0</v>
      </c>
      <c r="L80" t="n">
        <v>0</v>
      </c>
      <c r="M80" t="n">
        <v>0</v>
      </c>
      <c r="N80" t="n">
        <v>0</v>
      </c>
      <c r="O80" t="n">
        <v>0</v>
      </c>
      <c r="P80" t="n">
        <v>0</v>
      </c>
      <c r="Q80" t="n">
        <v>0</v>
      </c>
      <c r="R80" s="2" t="inlineStr"/>
    </row>
    <row r="81" ht="15" customHeight="1">
      <c r="A81" t="inlineStr">
        <is>
          <t>A 56434-2020</t>
        </is>
      </c>
      <c r="B81" s="1" t="n">
        <v>44137</v>
      </c>
      <c r="C81" s="1" t="n">
        <v>45731</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58113-2020</t>
        </is>
      </c>
      <c r="B82" s="1" t="n">
        <v>44144</v>
      </c>
      <c r="C82" s="1" t="n">
        <v>45731</v>
      </c>
      <c r="D82" t="inlineStr">
        <is>
          <t>KALMAR LÄN</t>
        </is>
      </c>
      <c r="E82" t="inlineStr">
        <is>
          <t>BORGHOLM</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58253-2020</t>
        </is>
      </c>
      <c r="B83" s="1" t="n">
        <v>44144</v>
      </c>
      <c r="C83" s="1" t="n">
        <v>45731</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58394-2020</t>
        </is>
      </c>
      <c r="B84" s="1" t="n">
        <v>44145</v>
      </c>
      <c r="C84" s="1" t="n">
        <v>45731</v>
      </c>
      <c r="D84" t="inlineStr">
        <is>
          <t>KALMAR LÄN</t>
        </is>
      </c>
      <c r="E84" t="inlineStr">
        <is>
          <t>BORGHOLM</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60735-2020</t>
        </is>
      </c>
      <c r="B85" s="1" t="n">
        <v>44153</v>
      </c>
      <c r="C85" s="1" t="n">
        <v>45731</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65144-2020</t>
        </is>
      </c>
      <c r="B86" s="1" t="n">
        <v>44172</v>
      </c>
      <c r="C86" s="1" t="n">
        <v>45731</v>
      </c>
      <c r="D86" t="inlineStr">
        <is>
          <t>KALMAR LÄN</t>
        </is>
      </c>
      <c r="E86" t="inlineStr">
        <is>
          <t>BORGHOLM</t>
        </is>
      </c>
      <c r="G86" t="n">
        <v>1.7</v>
      </c>
      <c r="H86" t="n">
        <v>0</v>
      </c>
      <c r="I86" t="n">
        <v>0</v>
      </c>
      <c r="J86" t="n">
        <v>0</v>
      </c>
      <c r="K86" t="n">
        <v>0</v>
      </c>
      <c r="L86" t="n">
        <v>0</v>
      </c>
      <c r="M86" t="n">
        <v>0</v>
      </c>
      <c r="N86" t="n">
        <v>0</v>
      </c>
      <c r="O86" t="n">
        <v>0</v>
      </c>
      <c r="P86" t="n">
        <v>0</v>
      </c>
      <c r="Q86" t="n">
        <v>0</v>
      </c>
      <c r="R86" s="2" t="inlineStr"/>
    </row>
    <row r="87" ht="15" customHeight="1">
      <c r="A87" t="inlineStr">
        <is>
          <t>A 65139-2020</t>
        </is>
      </c>
      <c r="B87" s="1" t="n">
        <v>44172</v>
      </c>
      <c r="C87" s="1" t="n">
        <v>45731</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4878-2021</t>
        </is>
      </c>
      <c r="B88" s="1" t="n">
        <v>44225</v>
      </c>
      <c r="C88" s="1" t="n">
        <v>45731</v>
      </c>
      <c r="D88" t="inlineStr">
        <is>
          <t>KALMAR LÄN</t>
        </is>
      </c>
      <c r="E88" t="inlineStr">
        <is>
          <t>BORGHOLM</t>
        </is>
      </c>
      <c r="G88" t="n">
        <v>3</v>
      </c>
      <c r="H88" t="n">
        <v>0</v>
      </c>
      <c r="I88" t="n">
        <v>0</v>
      </c>
      <c r="J88" t="n">
        <v>0</v>
      </c>
      <c r="K88" t="n">
        <v>0</v>
      </c>
      <c r="L88" t="n">
        <v>0</v>
      </c>
      <c r="M88" t="n">
        <v>0</v>
      </c>
      <c r="N88" t="n">
        <v>0</v>
      </c>
      <c r="O88" t="n">
        <v>0</v>
      </c>
      <c r="P88" t="n">
        <v>0</v>
      </c>
      <c r="Q88" t="n">
        <v>0</v>
      </c>
      <c r="R88" s="2" t="inlineStr"/>
    </row>
    <row r="89" ht="15" customHeight="1">
      <c r="A89" t="inlineStr">
        <is>
          <t>A 12711-2021</t>
        </is>
      </c>
      <c r="B89" s="1" t="n">
        <v>44270</v>
      </c>
      <c r="C89" s="1" t="n">
        <v>45731</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13325-2021</t>
        </is>
      </c>
      <c r="B90" s="1" t="n">
        <v>44273</v>
      </c>
      <c r="C90" s="1" t="n">
        <v>45731</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45731</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31840-2021</t>
        </is>
      </c>
      <c r="B92" s="1" t="n">
        <v>44370</v>
      </c>
      <c r="C92" s="1" t="n">
        <v>45731</v>
      </c>
      <c r="D92" t="inlineStr">
        <is>
          <t>KALMAR LÄN</t>
        </is>
      </c>
      <c r="E92" t="inlineStr">
        <is>
          <t>BORGHOLM</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31790-2021</t>
        </is>
      </c>
      <c r="B93" s="1" t="n">
        <v>44370</v>
      </c>
      <c r="C93" s="1" t="n">
        <v>45731</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42761-2021</t>
        </is>
      </c>
      <c r="B94" s="1" t="n">
        <v>44428</v>
      </c>
      <c r="C94" s="1" t="n">
        <v>45731</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42785-2021</t>
        </is>
      </c>
      <c r="B95" s="1" t="n">
        <v>44428</v>
      </c>
      <c r="C95" s="1" t="n">
        <v>45731</v>
      </c>
      <c r="D95" t="inlineStr">
        <is>
          <t>KALMAR LÄN</t>
        </is>
      </c>
      <c r="E95" t="inlineStr">
        <is>
          <t>BORGHOLM</t>
        </is>
      </c>
      <c r="G95" t="n">
        <v>2.8</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45731</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50129-2021</t>
        </is>
      </c>
      <c r="B97" s="1" t="n">
        <v>44456</v>
      </c>
      <c r="C97" s="1" t="n">
        <v>45731</v>
      </c>
      <c r="D97" t="inlineStr">
        <is>
          <t>KALMAR LÄN</t>
        </is>
      </c>
      <c r="E97" t="inlineStr">
        <is>
          <t>BORGHOLM</t>
        </is>
      </c>
      <c r="G97" t="n">
        <v>1.6</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45731</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56188-2021</t>
        </is>
      </c>
      <c r="B99" s="1" t="n">
        <v>44477</v>
      </c>
      <c r="C99" s="1" t="n">
        <v>45731</v>
      </c>
      <c r="D99" t="inlineStr">
        <is>
          <t>KALMAR LÄN</t>
        </is>
      </c>
      <c r="E99" t="inlineStr">
        <is>
          <t>BORGHOLM</t>
        </is>
      </c>
      <c r="G99" t="n">
        <v>1.8</v>
      </c>
      <c r="H99" t="n">
        <v>0</v>
      </c>
      <c r="I99" t="n">
        <v>0</v>
      </c>
      <c r="J99" t="n">
        <v>0</v>
      </c>
      <c r="K99" t="n">
        <v>0</v>
      </c>
      <c r="L99" t="n">
        <v>0</v>
      </c>
      <c r="M99" t="n">
        <v>0</v>
      </c>
      <c r="N99" t="n">
        <v>0</v>
      </c>
      <c r="O99" t="n">
        <v>0</v>
      </c>
      <c r="P99" t="n">
        <v>0</v>
      </c>
      <c r="Q99" t="n">
        <v>0</v>
      </c>
      <c r="R99" s="2" t="inlineStr"/>
    </row>
    <row r="100" ht="15" customHeight="1">
      <c r="A100" t="inlineStr">
        <is>
          <t>A 56983-2021</t>
        </is>
      </c>
      <c r="B100" s="1" t="n">
        <v>44482</v>
      </c>
      <c r="C100" s="1" t="n">
        <v>45731</v>
      </c>
      <c r="D100" t="inlineStr">
        <is>
          <t>KALMAR LÄN</t>
        </is>
      </c>
      <c r="E100" t="inlineStr">
        <is>
          <t>BORGHOLM</t>
        </is>
      </c>
      <c r="G100" t="n">
        <v>1.2</v>
      </c>
      <c r="H100" t="n">
        <v>0</v>
      </c>
      <c r="I100" t="n">
        <v>0</v>
      </c>
      <c r="J100" t="n">
        <v>0</v>
      </c>
      <c r="K100" t="n">
        <v>0</v>
      </c>
      <c r="L100" t="n">
        <v>0</v>
      </c>
      <c r="M100" t="n">
        <v>0</v>
      </c>
      <c r="N100" t="n">
        <v>0</v>
      </c>
      <c r="O100" t="n">
        <v>0</v>
      </c>
      <c r="P100" t="n">
        <v>0</v>
      </c>
      <c r="Q100" t="n">
        <v>0</v>
      </c>
      <c r="R100" s="2" t="inlineStr"/>
    </row>
    <row r="101" ht="15" customHeight="1">
      <c r="A101" t="inlineStr">
        <is>
          <t>A 61828-2021</t>
        </is>
      </c>
      <c r="B101" s="1" t="n">
        <v>44501</v>
      </c>
      <c r="C101" s="1" t="n">
        <v>45731</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62631-2021</t>
        </is>
      </c>
      <c r="B102" s="1" t="n">
        <v>44503</v>
      </c>
      <c r="C102" s="1" t="n">
        <v>45731</v>
      </c>
      <c r="D102" t="inlineStr">
        <is>
          <t>KALMAR LÄN</t>
        </is>
      </c>
      <c r="E102" t="inlineStr">
        <is>
          <t>BORGHOLM</t>
        </is>
      </c>
      <c r="G102" t="n">
        <v>1</v>
      </c>
      <c r="H102" t="n">
        <v>0</v>
      </c>
      <c r="I102" t="n">
        <v>0</v>
      </c>
      <c r="J102" t="n">
        <v>0</v>
      </c>
      <c r="K102" t="n">
        <v>0</v>
      </c>
      <c r="L102" t="n">
        <v>0</v>
      </c>
      <c r="M102" t="n">
        <v>0</v>
      </c>
      <c r="N102" t="n">
        <v>0</v>
      </c>
      <c r="O102" t="n">
        <v>0</v>
      </c>
      <c r="P102" t="n">
        <v>0</v>
      </c>
      <c r="Q102" t="n">
        <v>0</v>
      </c>
      <c r="R102" s="2" t="inlineStr"/>
    </row>
    <row r="103" ht="15" customHeight="1">
      <c r="A103" t="inlineStr">
        <is>
          <t>A 10348-2022</t>
        </is>
      </c>
      <c r="B103" s="1" t="n">
        <v>44623</v>
      </c>
      <c r="C103" s="1" t="n">
        <v>45731</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row>
    <row r="104" ht="15" customHeight="1">
      <c r="A104" t="inlineStr">
        <is>
          <t>A 12534-2022</t>
        </is>
      </c>
      <c r="B104" s="1" t="n">
        <v>44638</v>
      </c>
      <c r="C104" s="1" t="n">
        <v>45731</v>
      </c>
      <c r="D104" t="inlineStr">
        <is>
          <t>KALMAR LÄN</t>
        </is>
      </c>
      <c r="E104" t="inlineStr">
        <is>
          <t>BORGHOLM</t>
        </is>
      </c>
      <c r="G104" t="n">
        <v>8.6</v>
      </c>
      <c r="H104" t="n">
        <v>0</v>
      </c>
      <c r="I104" t="n">
        <v>0</v>
      </c>
      <c r="J104" t="n">
        <v>0</v>
      </c>
      <c r="K104" t="n">
        <v>0</v>
      </c>
      <c r="L104" t="n">
        <v>0</v>
      </c>
      <c r="M104" t="n">
        <v>0</v>
      </c>
      <c r="N104" t="n">
        <v>0</v>
      </c>
      <c r="O104" t="n">
        <v>0</v>
      </c>
      <c r="P104" t="n">
        <v>0</v>
      </c>
      <c r="Q104" t="n">
        <v>0</v>
      </c>
      <c r="R104" s="2" t="inlineStr"/>
    </row>
    <row r="105" ht="15" customHeight="1">
      <c r="A105" t="inlineStr">
        <is>
          <t>A 12937-2022</t>
        </is>
      </c>
      <c r="B105" s="1" t="n">
        <v>44642</v>
      </c>
      <c r="C105" s="1" t="n">
        <v>45731</v>
      </c>
      <c r="D105" t="inlineStr">
        <is>
          <t>KALMAR LÄN</t>
        </is>
      </c>
      <c r="E105" t="inlineStr">
        <is>
          <t>BORGHOLM</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21908-2022</t>
        </is>
      </c>
      <c r="B106" s="1" t="n">
        <v>44711</v>
      </c>
      <c r="C106" s="1" t="n">
        <v>45731</v>
      </c>
      <c r="D106" t="inlineStr">
        <is>
          <t>KALMAR LÄN</t>
        </is>
      </c>
      <c r="E106" t="inlineStr">
        <is>
          <t>BORGHOLM</t>
        </is>
      </c>
      <c r="G106" t="n">
        <v>4.7</v>
      </c>
      <c r="H106" t="n">
        <v>0</v>
      </c>
      <c r="I106" t="n">
        <v>0</v>
      </c>
      <c r="J106" t="n">
        <v>0</v>
      </c>
      <c r="K106" t="n">
        <v>0</v>
      </c>
      <c r="L106" t="n">
        <v>0</v>
      </c>
      <c r="M106" t="n">
        <v>0</v>
      </c>
      <c r="N106" t="n">
        <v>0</v>
      </c>
      <c r="O106" t="n">
        <v>0</v>
      </c>
      <c r="P106" t="n">
        <v>0</v>
      </c>
      <c r="Q106" t="n">
        <v>0</v>
      </c>
      <c r="R106" s="2" t="inlineStr"/>
    </row>
    <row r="107" ht="15" customHeight="1">
      <c r="A107" t="inlineStr">
        <is>
          <t>A 24166-2022</t>
        </is>
      </c>
      <c r="B107" s="1" t="n">
        <v>44725</v>
      </c>
      <c r="C107" s="1" t="n">
        <v>45731</v>
      </c>
      <c r="D107" t="inlineStr">
        <is>
          <t>KALMAR LÄN</t>
        </is>
      </c>
      <c r="E107" t="inlineStr">
        <is>
          <t>BORGHOLM</t>
        </is>
      </c>
      <c r="G107" t="n">
        <v>10.7</v>
      </c>
      <c r="H107" t="n">
        <v>0</v>
      </c>
      <c r="I107" t="n">
        <v>0</v>
      </c>
      <c r="J107" t="n">
        <v>0</v>
      </c>
      <c r="K107" t="n">
        <v>0</v>
      </c>
      <c r="L107" t="n">
        <v>0</v>
      </c>
      <c r="M107" t="n">
        <v>0</v>
      </c>
      <c r="N107" t="n">
        <v>0</v>
      </c>
      <c r="O107" t="n">
        <v>0</v>
      </c>
      <c r="P107" t="n">
        <v>0</v>
      </c>
      <c r="Q107" t="n">
        <v>0</v>
      </c>
      <c r="R107" s="2" t="inlineStr"/>
    </row>
    <row r="108" ht="15" customHeight="1">
      <c r="A108" t="inlineStr">
        <is>
          <t>A 24065-2022</t>
        </is>
      </c>
      <c r="B108" s="1" t="n">
        <v>44725</v>
      </c>
      <c r="C108" s="1" t="n">
        <v>45731</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27437-2022</t>
        </is>
      </c>
      <c r="B109" s="1" t="n">
        <v>44742</v>
      </c>
      <c r="C109" s="1" t="n">
        <v>45731</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28345-2022</t>
        </is>
      </c>
      <c r="B110" s="1" t="n">
        <v>44747</v>
      </c>
      <c r="C110" s="1" t="n">
        <v>45731</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31699-2022</t>
        </is>
      </c>
      <c r="B111" s="1" t="n">
        <v>44776</v>
      </c>
      <c r="C111" s="1" t="n">
        <v>45731</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31720-2022</t>
        </is>
      </c>
      <c r="B112" s="1" t="n">
        <v>44776</v>
      </c>
      <c r="C112" s="1" t="n">
        <v>45731</v>
      </c>
      <c r="D112" t="inlineStr">
        <is>
          <t>KALMAR LÄN</t>
        </is>
      </c>
      <c r="E112" t="inlineStr">
        <is>
          <t>BORGHOLM</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32180-2022</t>
        </is>
      </c>
      <c r="B113" s="1" t="n">
        <v>44781</v>
      </c>
      <c r="C113" s="1" t="n">
        <v>45731</v>
      </c>
      <c r="D113" t="inlineStr">
        <is>
          <t>KALMAR LÄN</t>
        </is>
      </c>
      <c r="E113" t="inlineStr">
        <is>
          <t>BORGHOLM</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32608-2022</t>
        </is>
      </c>
      <c r="B114" s="1" t="n">
        <v>44783</v>
      </c>
      <c r="C114" s="1" t="n">
        <v>45731</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32665-2022</t>
        </is>
      </c>
      <c r="B115" s="1" t="n">
        <v>44783</v>
      </c>
      <c r="C115" s="1" t="n">
        <v>45731</v>
      </c>
      <c r="D115" t="inlineStr">
        <is>
          <t>KALMAR LÄN</t>
        </is>
      </c>
      <c r="E115" t="inlineStr">
        <is>
          <t>BORGHOLM</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45731</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34951-2022</t>
        </is>
      </c>
      <c r="B117" s="1" t="n">
        <v>44796</v>
      </c>
      <c r="C117" s="1" t="n">
        <v>45731</v>
      </c>
      <c r="D117" t="inlineStr">
        <is>
          <t>KALMAR LÄN</t>
        </is>
      </c>
      <c r="E117" t="inlineStr">
        <is>
          <t>BORGHOLM</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44678-2022</t>
        </is>
      </c>
      <c r="B118" s="1" t="n">
        <v>44840</v>
      </c>
      <c r="C118" s="1" t="n">
        <v>45731</v>
      </c>
      <c r="D118" t="inlineStr">
        <is>
          <t>KALMAR LÄN</t>
        </is>
      </c>
      <c r="E118" t="inlineStr">
        <is>
          <t>BORGHOLM</t>
        </is>
      </c>
      <c r="G118" t="n">
        <v>2.4</v>
      </c>
      <c r="H118" t="n">
        <v>0</v>
      </c>
      <c r="I118" t="n">
        <v>0</v>
      </c>
      <c r="J118" t="n">
        <v>0</v>
      </c>
      <c r="K118" t="n">
        <v>0</v>
      </c>
      <c r="L118" t="n">
        <v>0</v>
      </c>
      <c r="M118" t="n">
        <v>0</v>
      </c>
      <c r="N118" t="n">
        <v>0</v>
      </c>
      <c r="O118" t="n">
        <v>0</v>
      </c>
      <c r="P118" t="n">
        <v>0</v>
      </c>
      <c r="Q118" t="n">
        <v>0</v>
      </c>
      <c r="R118" s="2" t="inlineStr"/>
    </row>
    <row r="119" ht="15" customHeight="1">
      <c r="A119" t="inlineStr">
        <is>
          <t>A 44681-2022</t>
        </is>
      </c>
      <c r="B119" s="1" t="n">
        <v>44840</v>
      </c>
      <c r="C119" s="1" t="n">
        <v>45731</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3878-2023</t>
        </is>
      </c>
      <c r="B120" s="1" t="n">
        <v>44951</v>
      </c>
      <c r="C120" s="1" t="n">
        <v>45731</v>
      </c>
      <c r="D120" t="inlineStr">
        <is>
          <t>KALMAR LÄN</t>
        </is>
      </c>
      <c r="E120" t="inlineStr">
        <is>
          <t>BORGHOLM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4176-2023</t>
        </is>
      </c>
      <c r="B121" s="1" t="n">
        <v>44953</v>
      </c>
      <c r="C121" s="1" t="n">
        <v>45731</v>
      </c>
      <c r="D121" t="inlineStr">
        <is>
          <t>KALMAR LÄN</t>
        </is>
      </c>
      <c r="E121" t="inlineStr">
        <is>
          <t>BORGHOLM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4165-2023</t>
        </is>
      </c>
      <c r="B122" s="1" t="n">
        <v>44953</v>
      </c>
      <c r="C122" s="1" t="n">
        <v>45731</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7960-2023</t>
        </is>
      </c>
      <c r="B123" s="1" t="n">
        <v>44973</v>
      </c>
      <c r="C123" s="1" t="n">
        <v>45731</v>
      </c>
      <c r="D123" t="inlineStr">
        <is>
          <t>KALMAR LÄN</t>
        </is>
      </c>
      <c r="E123" t="inlineStr">
        <is>
          <t>BORGHOLM</t>
        </is>
      </c>
      <c r="G123" t="n">
        <v>2.1</v>
      </c>
      <c r="H123" t="n">
        <v>0</v>
      </c>
      <c r="I123" t="n">
        <v>0</v>
      </c>
      <c r="J123" t="n">
        <v>0</v>
      </c>
      <c r="K123" t="n">
        <v>0</v>
      </c>
      <c r="L123" t="n">
        <v>0</v>
      </c>
      <c r="M123" t="n">
        <v>0</v>
      </c>
      <c r="N123" t="n">
        <v>0</v>
      </c>
      <c r="O123" t="n">
        <v>0</v>
      </c>
      <c r="P123" t="n">
        <v>0</v>
      </c>
      <c r="Q123" t="n">
        <v>0</v>
      </c>
      <c r="R123" s="2" t="inlineStr"/>
    </row>
    <row r="124" ht="15" customHeight="1">
      <c r="A124" t="inlineStr">
        <is>
          <t>A 8039-2023</t>
        </is>
      </c>
      <c r="B124" s="1" t="n">
        <v>44974</v>
      </c>
      <c r="C124" s="1" t="n">
        <v>45731</v>
      </c>
      <c r="D124" t="inlineStr">
        <is>
          <t>KALMAR LÄN</t>
        </is>
      </c>
      <c r="E124" t="inlineStr">
        <is>
          <t>BORGHOLM</t>
        </is>
      </c>
      <c r="G124" t="n">
        <v>2</v>
      </c>
      <c r="H124" t="n">
        <v>0</v>
      </c>
      <c r="I124" t="n">
        <v>0</v>
      </c>
      <c r="J124" t="n">
        <v>0</v>
      </c>
      <c r="K124" t="n">
        <v>0</v>
      </c>
      <c r="L124" t="n">
        <v>0</v>
      </c>
      <c r="M124" t="n">
        <v>0</v>
      </c>
      <c r="N124" t="n">
        <v>0</v>
      </c>
      <c r="O124" t="n">
        <v>0</v>
      </c>
      <c r="P124" t="n">
        <v>0</v>
      </c>
      <c r="Q124" t="n">
        <v>0</v>
      </c>
      <c r="R124" s="2" t="inlineStr"/>
    </row>
    <row r="125" ht="15" customHeight="1">
      <c r="A125" t="inlineStr">
        <is>
          <t>A 13383-2023</t>
        </is>
      </c>
      <c r="B125" s="1" t="n">
        <v>45005</v>
      </c>
      <c r="C125" s="1" t="n">
        <v>45731</v>
      </c>
      <c r="D125" t="inlineStr">
        <is>
          <t>KALMAR LÄN</t>
        </is>
      </c>
      <c r="E125" t="inlineStr">
        <is>
          <t>BORGHOLM</t>
        </is>
      </c>
      <c r="G125" t="n">
        <v>0.8</v>
      </c>
      <c r="H125" t="n">
        <v>0</v>
      </c>
      <c r="I125" t="n">
        <v>0</v>
      </c>
      <c r="J125" t="n">
        <v>0</v>
      </c>
      <c r="K125" t="n">
        <v>0</v>
      </c>
      <c r="L125" t="n">
        <v>0</v>
      </c>
      <c r="M125" t="n">
        <v>0</v>
      </c>
      <c r="N125" t="n">
        <v>0</v>
      </c>
      <c r="O125" t="n">
        <v>0</v>
      </c>
      <c r="P125" t="n">
        <v>0</v>
      </c>
      <c r="Q125" t="n">
        <v>0</v>
      </c>
      <c r="R125" s="2" t="inlineStr"/>
    </row>
    <row r="126" ht="15" customHeight="1">
      <c r="A126" t="inlineStr">
        <is>
          <t>A 19387-2023</t>
        </is>
      </c>
      <c r="B126" s="1" t="n">
        <v>45049</v>
      </c>
      <c r="C126" s="1" t="n">
        <v>45731</v>
      </c>
      <c r="D126" t="inlineStr">
        <is>
          <t>KALMAR LÄN</t>
        </is>
      </c>
      <c r="E126" t="inlineStr">
        <is>
          <t>BORGHOLM</t>
        </is>
      </c>
      <c r="G126" t="n">
        <v>11.7</v>
      </c>
      <c r="H126" t="n">
        <v>0</v>
      </c>
      <c r="I126" t="n">
        <v>0</v>
      </c>
      <c r="J126" t="n">
        <v>0</v>
      </c>
      <c r="K126" t="n">
        <v>0</v>
      </c>
      <c r="L126" t="n">
        <v>0</v>
      </c>
      <c r="M126" t="n">
        <v>0</v>
      </c>
      <c r="N126" t="n">
        <v>0</v>
      </c>
      <c r="O126" t="n">
        <v>0</v>
      </c>
      <c r="P126" t="n">
        <v>0</v>
      </c>
      <c r="Q126" t="n">
        <v>0</v>
      </c>
      <c r="R126" s="2" t="inlineStr"/>
    </row>
    <row r="127" ht="15" customHeight="1">
      <c r="A127" t="inlineStr">
        <is>
          <t>A 29656-2023</t>
        </is>
      </c>
      <c r="B127" s="1" t="n">
        <v>45107</v>
      </c>
      <c r="C127" s="1" t="n">
        <v>45731</v>
      </c>
      <c r="D127" t="inlineStr">
        <is>
          <t>KALMAR LÄN</t>
        </is>
      </c>
      <c r="E127" t="inlineStr">
        <is>
          <t>BORGHOLM</t>
        </is>
      </c>
      <c r="G127" t="n">
        <v>4.1</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45731</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32921-2023</t>
        </is>
      </c>
      <c r="B129" s="1" t="n">
        <v>45125</v>
      </c>
      <c r="C129" s="1" t="n">
        <v>45731</v>
      </c>
      <c r="D129" t="inlineStr">
        <is>
          <t>KALMAR LÄN</t>
        </is>
      </c>
      <c r="E129" t="inlineStr">
        <is>
          <t>BORGHOLM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39114-2023</t>
        </is>
      </c>
      <c r="B130" s="1" t="n">
        <v>45165</v>
      </c>
      <c r="C130" s="1" t="n">
        <v>45731</v>
      </c>
      <c r="D130" t="inlineStr">
        <is>
          <t>KALMAR LÄN</t>
        </is>
      </c>
      <c r="E130" t="inlineStr">
        <is>
          <t>BORGHOLM</t>
        </is>
      </c>
      <c r="G130" t="n">
        <v>1</v>
      </c>
      <c r="H130" t="n">
        <v>0</v>
      </c>
      <c r="I130" t="n">
        <v>0</v>
      </c>
      <c r="J130" t="n">
        <v>0</v>
      </c>
      <c r="K130" t="n">
        <v>0</v>
      </c>
      <c r="L130" t="n">
        <v>0</v>
      </c>
      <c r="M130" t="n">
        <v>0</v>
      </c>
      <c r="N130" t="n">
        <v>0</v>
      </c>
      <c r="O130" t="n">
        <v>0</v>
      </c>
      <c r="P130" t="n">
        <v>0</v>
      </c>
      <c r="Q130" t="n">
        <v>0</v>
      </c>
      <c r="R130" s="2" t="inlineStr"/>
    </row>
    <row r="131" ht="15" customHeight="1">
      <c r="A131" t="inlineStr">
        <is>
          <t>A 40339-2023</t>
        </is>
      </c>
      <c r="B131" s="1" t="n">
        <v>45169</v>
      </c>
      <c r="C131" s="1" t="n">
        <v>45731</v>
      </c>
      <c r="D131" t="inlineStr">
        <is>
          <t>KALMAR LÄN</t>
        </is>
      </c>
      <c r="E131" t="inlineStr">
        <is>
          <t>BORGHOLM</t>
        </is>
      </c>
      <c r="G131" t="n">
        <v>3.8</v>
      </c>
      <c r="H131" t="n">
        <v>0</v>
      </c>
      <c r="I131" t="n">
        <v>0</v>
      </c>
      <c r="J131" t="n">
        <v>0</v>
      </c>
      <c r="K131" t="n">
        <v>0</v>
      </c>
      <c r="L131" t="n">
        <v>0</v>
      </c>
      <c r="M131" t="n">
        <v>0</v>
      </c>
      <c r="N131" t="n">
        <v>0</v>
      </c>
      <c r="O131" t="n">
        <v>0</v>
      </c>
      <c r="P131" t="n">
        <v>0</v>
      </c>
      <c r="Q131" t="n">
        <v>0</v>
      </c>
      <c r="R131" s="2" t="inlineStr"/>
    </row>
    <row r="132" ht="15" customHeight="1">
      <c r="A132" t="inlineStr">
        <is>
          <t>A 45985-2023</t>
        </is>
      </c>
      <c r="B132" s="1" t="n">
        <v>45196</v>
      </c>
      <c r="C132" s="1" t="n">
        <v>45731</v>
      </c>
      <c r="D132" t="inlineStr">
        <is>
          <t>KALMAR LÄN</t>
        </is>
      </c>
      <c r="E132" t="inlineStr">
        <is>
          <t>BORGHOLM</t>
        </is>
      </c>
      <c r="G132" t="n">
        <v>1.3</v>
      </c>
      <c r="H132" t="n">
        <v>0</v>
      </c>
      <c r="I132" t="n">
        <v>0</v>
      </c>
      <c r="J132" t="n">
        <v>0</v>
      </c>
      <c r="K132" t="n">
        <v>0</v>
      </c>
      <c r="L132" t="n">
        <v>0</v>
      </c>
      <c r="M132" t="n">
        <v>0</v>
      </c>
      <c r="N132" t="n">
        <v>0</v>
      </c>
      <c r="O132" t="n">
        <v>0</v>
      </c>
      <c r="P132" t="n">
        <v>0</v>
      </c>
      <c r="Q132" t="n">
        <v>0</v>
      </c>
      <c r="R132" s="2" t="inlineStr"/>
    </row>
    <row r="133" ht="15" customHeight="1">
      <c r="A133" t="inlineStr">
        <is>
          <t>A 61429-2023</t>
        </is>
      </c>
      <c r="B133" s="1" t="n">
        <v>45264</v>
      </c>
      <c r="C133" s="1" t="n">
        <v>45731</v>
      </c>
      <c r="D133" t="inlineStr">
        <is>
          <t>KALMAR LÄN</t>
        </is>
      </c>
      <c r="E133" t="inlineStr">
        <is>
          <t>BORGHOLM</t>
        </is>
      </c>
      <c r="G133" t="n">
        <v>0.8</v>
      </c>
      <c r="H133" t="n">
        <v>0</v>
      </c>
      <c r="I133" t="n">
        <v>0</v>
      </c>
      <c r="J133" t="n">
        <v>0</v>
      </c>
      <c r="K133" t="n">
        <v>0</v>
      </c>
      <c r="L133" t="n">
        <v>0</v>
      </c>
      <c r="M133" t="n">
        <v>0</v>
      </c>
      <c r="N133" t="n">
        <v>0</v>
      </c>
      <c r="O133" t="n">
        <v>0</v>
      </c>
      <c r="P133" t="n">
        <v>0</v>
      </c>
      <c r="Q133" t="n">
        <v>0</v>
      </c>
      <c r="R133" s="2" t="inlineStr"/>
    </row>
    <row r="134" ht="15" customHeight="1">
      <c r="A134" t="inlineStr">
        <is>
          <t>A 61438-2023</t>
        </is>
      </c>
      <c r="B134" s="1" t="n">
        <v>45264</v>
      </c>
      <c r="C134" s="1" t="n">
        <v>45731</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63075-2023</t>
        </is>
      </c>
      <c r="B135" s="1" t="n">
        <v>45273</v>
      </c>
      <c r="C135" s="1" t="n">
        <v>45731</v>
      </c>
      <c r="D135" t="inlineStr">
        <is>
          <t>KALMAR LÄN</t>
        </is>
      </c>
      <c r="E135" t="inlineStr">
        <is>
          <t>BORGHOLM</t>
        </is>
      </c>
      <c r="G135" t="n">
        <v>1.1</v>
      </c>
      <c r="H135" t="n">
        <v>0</v>
      </c>
      <c r="I135" t="n">
        <v>0</v>
      </c>
      <c r="J135" t="n">
        <v>0</v>
      </c>
      <c r="K135" t="n">
        <v>0</v>
      </c>
      <c r="L135" t="n">
        <v>0</v>
      </c>
      <c r="M135" t="n">
        <v>0</v>
      </c>
      <c r="N135" t="n">
        <v>0</v>
      </c>
      <c r="O135" t="n">
        <v>0</v>
      </c>
      <c r="P135" t="n">
        <v>0</v>
      </c>
      <c r="Q135" t="n">
        <v>0</v>
      </c>
      <c r="R135" s="2" t="inlineStr"/>
    </row>
    <row r="136" ht="15" customHeight="1">
      <c r="A136" t="inlineStr">
        <is>
          <t>A 63240-2023</t>
        </is>
      </c>
      <c r="B136" s="1" t="n">
        <v>45273</v>
      </c>
      <c r="C136" s="1" t="n">
        <v>45731</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63276-2023</t>
        </is>
      </c>
      <c r="B137" s="1" t="n">
        <v>45273</v>
      </c>
      <c r="C137" s="1" t="n">
        <v>45731</v>
      </c>
      <c r="D137" t="inlineStr">
        <is>
          <t>KALMAR LÄN</t>
        </is>
      </c>
      <c r="E137" t="inlineStr">
        <is>
          <t>BORGHOLM</t>
        </is>
      </c>
      <c r="G137" t="n">
        <v>5</v>
      </c>
      <c r="H137" t="n">
        <v>0</v>
      </c>
      <c r="I137" t="n">
        <v>0</v>
      </c>
      <c r="J137" t="n">
        <v>0</v>
      </c>
      <c r="K137" t="n">
        <v>0</v>
      </c>
      <c r="L137" t="n">
        <v>0</v>
      </c>
      <c r="M137" t="n">
        <v>0</v>
      </c>
      <c r="N137" t="n">
        <v>0</v>
      </c>
      <c r="O137" t="n">
        <v>0</v>
      </c>
      <c r="P137" t="n">
        <v>0</v>
      </c>
      <c r="Q137" t="n">
        <v>0</v>
      </c>
      <c r="R137" s="2" t="inlineStr"/>
    </row>
    <row r="138" ht="15" customHeight="1">
      <c r="A138" t="inlineStr">
        <is>
          <t>A 64303-2023</t>
        </is>
      </c>
      <c r="B138" s="1" t="n">
        <v>45280</v>
      </c>
      <c r="C138" s="1" t="n">
        <v>45731</v>
      </c>
      <c r="D138" t="inlineStr">
        <is>
          <t>KALMAR LÄN</t>
        </is>
      </c>
      <c r="E138" t="inlineStr">
        <is>
          <t>BORGHOLM</t>
        </is>
      </c>
      <c r="G138" t="n">
        <v>1.2</v>
      </c>
      <c r="H138" t="n">
        <v>0</v>
      </c>
      <c r="I138" t="n">
        <v>0</v>
      </c>
      <c r="J138" t="n">
        <v>0</v>
      </c>
      <c r="K138" t="n">
        <v>0</v>
      </c>
      <c r="L138" t="n">
        <v>0</v>
      </c>
      <c r="M138" t="n">
        <v>0</v>
      </c>
      <c r="N138" t="n">
        <v>0</v>
      </c>
      <c r="O138" t="n">
        <v>0</v>
      </c>
      <c r="P138" t="n">
        <v>0</v>
      </c>
      <c r="Q138" t="n">
        <v>0</v>
      </c>
      <c r="R138" s="2" t="inlineStr"/>
    </row>
    <row r="139" ht="15" customHeight="1">
      <c r="A139" t="inlineStr">
        <is>
          <t>A 2380-2024</t>
        </is>
      </c>
      <c r="B139" s="1" t="n">
        <v>45310</v>
      </c>
      <c r="C139" s="1" t="n">
        <v>45731</v>
      </c>
      <c r="D139" t="inlineStr">
        <is>
          <t>KALMAR LÄN</t>
        </is>
      </c>
      <c r="E139" t="inlineStr">
        <is>
          <t>BORGHOLM</t>
        </is>
      </c>
      <c r="G139" t="n">
        <v>2.4</v>
      </c>
      <c r="H139" t="n">
        <v>0</v>
      </c>
      <c r="I139" t="n">
        <v>0</v>
      </c>
      <c r="J139" t="n">
        <v>0</v>
      </c>
      <c r="K139" t="n">
        <v>0</v>
      </c>
      <c r="L139" t="n">
        <v>0</v>
      </c>
      <c r="M139" t="n">
        <v>0</v>
      </c>
      <c r="N139" t="n">
        <v>0</v>
      </c>
      <c r="O139" t="n">
        <v>0</v>
      </c>
      <c r="P139" t="n">
        <v>0</v>
      </c>
      <c r="Q139" t="n">
        <v>0</v>
      </c>
      <c r="R139" s="2" t="inlineStr"/>
    </row>
    <row r="140" ht="15" customHeight="1">
      <c r="A140" t="inlineStr">
        <is>
          <t>A 4159-2024</t>
        </is>
      </c>
      <c r="B140" s="1" t="n">
        <v>45323</v>
      </c>
      <c r="C140" s="1" t="n">
        <v>45731</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4160-2024</t>
        </is>
      </c>
      <c r="B141" s="1" t="n">
        <v>45323</v>
      </c>
      <c r="C141" s="1" t="n">
        <v>45731</v>
      </c>
      <c r="D141" t="inlineStr">
        <is>
          <t>KALMAR LÄN</t>
        </is>
      </c>
      <c r="E141" t="inlineStr">
        <is>
          <t>BORGHOLM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5178-2024</t>
        </is>
      </c>
      <c r="B142" s="1" t="n">
        <v>45330</v>
      </c>
      <c r="C142" s="1" t="n">
        <v>45731</v>
      </c>
      <c r="D142" t="inlineStr">
        <is>
          <t>KALMAR LÄN</t>
        </is>
      </c>
      <c r="E142" t="inlineStr">
        <is>
          <t>BORGHOLM</t>
        </is>
      </c>
      <c r="G142" t="n">
        <v>1</v>
      </c>
      <c r="H142" t="n">
        <v>0</v>
      </c>
      <c r="I142" t="n">
        <v>0</v>
      </c>
      <c r="J142" t="n">
        <v>0</v>
      </c>
      <c r="K142" t="n">
        <v>0</v>
      </c>
      <c r="L142" t="n">
        <v>0</v>
      </c>
      <c r="M142" t="n">
        <v>0</v>
      </c>
      <c r="N142" t="n">
        <v>0</v>
      </c>
      <c r="O142" t="n">
        <v>0</v>
      </c>
      <c r="P142" t="n">
        <v>0</v>
      </c>
      <c r="Q142" t="n">
        <v>0</v>
      </c>
      <c r="R142" s="2" t="inlineStr"/>
    </row>
    <row r="143" ht="15" customHeight="1">
      <c r="A143" t="inlineStr">
        <is>
          <t>A 5175-2024</t>
        </is>
      </c>
      <c r="B143" s="1" t="n">
        <v>45330</v>
      </c>
      <c r="C143" s="1" t="n">
        <v>45731</v>
      </c>
      <c r="D143" t="inlineStr">
        <is>
          <t>KALMAR LÄN</t>
        </is>
      </c>
      <c r="E143" t="inlineStr">
        <is>
          <t>BORGHOLM</t>
        </is>
      </c>
      <c r="G143" t="n">
        <v>1.5</v>
      </c>
      <c r="H143" t="n">
        <v>0</v>
      </c>
      <c r="I143" t="n">
        <v>0</v>
      </c>
      <c r="J143" t="n">
        <v>0</v>
      </c>
      <c r="K143" t="n">
        <v>0</v>
      </c>
      <c r="L143" t="n">
        <v>0</v>
      </c>
      <c r="M143" t="n">
        <v>0</v>
      </c>
      <c r="N143" t="n">
        <v>0</v>
      </c>
      <c r="O143" t="n">
        <v>0</v>
      </c>
      <c r="P143" t="n">
        <v>0</v>
      </c>
      <c r="Q143" t="n">
        <v>0</v>
      </c>
      <c r="R143" s="2" t="inlineStr"/>
    </row>
    <row r="144" ht="15" customHeight="1">
      <c r="A144" t="inlineStr">
        <is>
          <t>A 6291-2024</t>
        </is>
      </c>
      <c r="B144" s="1" t="n">
        <v>45338</v>
      </c>
      <c r="C144" s="1" t="n">
        <v>45731</v>
      </c>
      <c r="D144" t="inlineStr">
        <is>
          <t>KALMAR LÄN</t>
        </is>
      </c>
      <c r="E144" t="inlineStr">
        <is>
          <t>BORGHOLM</t>
        </is>
      </c>
      <c r="G144" t="n">
        <v>5.3</v>
      </c>
      <c r="H144" t="n">
        <v>0</v>
      </c>
      <c r="I144" t="n">
        <v>0</v>
      </c>
      <c r="J144" t="n">
        <v>0</v>
      </c>
      <c r="K144" t="n">
        <v>0</v>
      </c>
      <c r="L144" t="n">
        <v>0</v>
      </c>
      <c r="M144" t="n">
        <v>0</v>
      </c>
      <c r="N144" t="n">
        <v>0</v>
      </c>
      <c r="O144" t="n">
        <v>0</v>
      </c>
      <c r="P144" t="n">
        <v>0</v>
      </c>
      <c r="Q144" t="n">
        <v>0</v>
      </c>
      <c r="R144" s="2" t="inlineStr"/>
    </row>
    <row r="145" ht="15" customHeight="1">
      <c r="A145" t="inlineStr">
        <is>
          <t>A 7669-2024</t>
        </is>
      </c>
      <c r="B145" s="1" t="n">
        <v>45348</v>
      </c>
      <c r="C145" s="1" t="n">
        <v>45731</v>
      </c>
      <c r="D145" t="inlineStr">
        <is>
          <t>KALMAR LÄN</t>
        </is>
      </c>
      <c r="E145" t="inlineStr">
        <is>
          <t>BORGHOLM</t>
        </is>
      </c>
      <c r="G145" t="n">
        <v>2.3</v>
      </c>
      <c r="H145" t="n">
        <v>0</v>
      </c>
      <c r="I145" t="n">
        <v>0</v>
      </c>
      <c r="J145" t="n">
        <v>0</v>
      </c>
      <c r="K145" t="n">
        <v>0</v>
      </c>
      <c r="L145" t="n">
        <v>0</v>
      </c>
      <c r="M145" t="n">
        <v>0</v>
      </c>
      <c r="N145" t="n">
        <v>0</v>
      </c>
      <c r="O145" t="n">
        <v>0</v>
      </c>
      <c r="P145" t="n">
        <v>0</v>
      </c>
      <c r="Q145" t="n">
        <v>0</v>
      </c>
      <c r="R145" s="2" t="inlineStr"/>
    </row>
    <row r="146" ht="15" customHeight="1">
      <c r="A146" t="inlineStr">
        <is>
          <t>A 13043-2024</t>
        </is>
      </c>
      <c r="B146" s="1" t="n">
        <v>45385</v>
      </c>
      <c r="C146" s="1" t="n">
        <v>45731</v>
      </c>
      <c r="D146" t="inlineStr">
        <is>
          <t>KALMAR LÄN</t>
        </is>
      </c>
      <c r="E146" t="inlineStr">
        <is>
          <t>BORGHOLM</t>
        </is>
      </c>
      <c r="G146" t="n">
        <v>0.4</v>
      </c>
      <c r="H146" t="n">
        <v>0</v>
      </c>
      <c r="I146" t="n">
        <v>0</v>
      </c>
      <c r="J146" t="n">
        <v>0</v>
      </c>
      <c r="K146" t="n">
        <v>0</v>
      </c>
      <c r="L146" t="n">
        <v>0</v>
      </c>
      <c r="M146" t="n">
        <v>0</v>
      </c>
      <c r="N146" t="n">
        <v>0</v>
      </c>
      <c r="O146" t="n">
        <v>0</v>
      </c>
      <c r="P146" t="n">
        <v>0</v>
      </c>
      <c r="Q146" t="n">
        <v>0</v>
      </c>
      <c r="R146" s="2" t="inlineStr"/>
    </row>
    <row r="147" ht="15" customHeight="1">
      <c r="A147" t="inlineStr">
        <is>
          <t>A 13041-2024</t>
        </is>
      </c>
      <c r="B147" s="1" t="n">
        <v>45385</v>
      </c>
      <c r="C147" s="1" t="n">
        <v>45731</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19867-2024</t>
        </is>
      </c>
      <c r="B148" s="1" t="n">
        <v>45433</v>
      </c>
      <c r="C148" s="1" t="n">
        <v>45731</v>
      </c>
      <c r="D148" t="inlineStr">
        <is>
          <t>KALMAR LÄN</t>
        </is>
      </c>
      <c r="E148" t="inlineStr">
        <is>
          <t>BORGHOLM</t>
        </is>
      </c>
      <c r="G148" t="n">
        <v>3.9</v>
      </c>
      <c r="H148" t="n">
        <v>0</v>
      </c>
      <c r="I148" t="n">
        <v>0</v>
      </c>
      <c r="J148" t="n">
        <v>0</v>
      </c>
      <c r="K148" t="n">
        <v>0</v>
      </c>
      <c r="L148" t="n">
        <v>0</v>
      </c>
      <c r="M148" t="n">
        <v>0</v>
      </c>
      <c r="N148" t="n">
        <v>0</v>
      </c>
      <c r="O148" t="n">
        <v>0</v>
      </c>
      <c r="P148" t="n">
        <v>0</v>
      </c>
      <c r="Q148" t="n">
        <v>0</v>
      </c>
      <c r="R148" s="2" t="inlineStr"/>
    </row>
    <row r="149" ht="15" customHeight="1">
      <c r="A149" t="inlineStr">
        <is>
          <t>A 20878-2024</t>
        </is>
      </c>
      <c r="B149" s="1" t="n">
        <v>45439</v>
      </c>
      <c r="C149" s="1" t="n">
        <v>45731</v>
      </c>
      <c r="D149" t="inlineStr">
        <is>
          <t>KALMAR LÄN</t>
        </is>
      </c>
      <c r="E149" t="inlineStr">
        <is>
          <t>BORGHOLM</t>
        </is>
      </c>
      <c r="G149" t="n">
        <v>1.9</v>
      </c>
      <c r="H149" t="n">
        <v>0</v>
      </c>
      <c r="I149" t="n">
        <v>0</v>
      </c>
      <c r="J149" t="n">
        <v>0</v>
      </c>
      <c r="K149" t="n">
        <v>0</v>
      </c>
      <c r="L149" t="n">
        <v>0</v>
      </c>
      <c r="M149" t="n">
        <v>0</v>
      </c>
      <c r="N149" t="n">
        <v>0</v>
      </c>
      <c r="O149" t="n">
        <v>0</v>
      </c>
      <c r="P149" t="n">
        <v>0</v>
      </c>
      <c r="Q149" t="n">
        <v>0</v>
      </c>
      <c r="R149" s="2" t="inlineStr"/>
    </row>
    <row r="150" ht="15" customHeight="1">
      <c r="A150" t="inlineStr">
        <is>
          <t>A 29060-2024</t>
        </is>
      </c>
      <c r="B150" s="1" t="n">
        <v>45481</v>
      </c>
      <c r="C150" s="1" t="n">
        <v>45731</v>
      </c>
      <c r="D150" t="inlineStr">
        <is>
          <t>KALMAR LÄN</t>
        </is>
      </c>
      <c r="E150" t="inlineStr">
        <is>
          <t>BORGHOLM</t>
        </is>
      </c>
      <c r="G150" t="n">
        <v>3.2</v>
      </c>
      <c r="H150" t="n">
        <v>0</v>
      </c>
      <c r="I150" t="n">
        <v>0</v>
      </c>
      <c r="J150" t="n">
        <v>0</v>
      </c>
      <c r="K150" t="n">
        <v>0</v>
      </c>
      <c r="L150" t="n">
        <v>0</v>
      </c>
      <c r="M150" t="n">
        <v>0</v>
      </c>
      <c r="N150" t="n">
        <v>0</v>
      </c>
      <c r="O150" t="n">
        <v>0</v>
      </c>
      <c r="P150" t="n">
        <v>0</v>
      </c>
      <c r="Q150" t="n">
        <v>0</v>
      </c>
      <c r="R150" s="2" t="inlineStr"/>
    </row>
    <row r="151" ht="15" customHeight="1">
      <c r="A151" t="inlineStr">
        <is>
          <t>A 39488-2024</t>
        </is>
      </c>
      <c r="B151" s="1" t="n">
        <v>45551</v>
      </c>
      <c r="C151" s="1" t="n">
        <v>45731</v>
      </c>
      <c r="D151" t="inlineStr">
        <is>
          <t>KALMAR LÄN</t>
        </is>
      </c>
      <c r="E151" t="inlineStr">
        <is>
          <t>BORGHOLM</t>
        </is>
      </c>
      <c r="G151" t="n">
        <v>1.6</v>
      </c>
      <c r="H151" t="n">
        <v>0</v>
      </c>
      <c r="I151" t="n">
        <v>0</v>
      </c>
      <c r="J151" t="n">
        <v>0</v>
      </c>
      <c r="K151" t="n">
        <v>0</v>
      </c>
      <c r="L151" t="n">
        <v>0</v>
      </c>
      <c r="M151" t="n">
        <v>0</v>
      </c>
      <c r="N151" t="n">
        <v>0</v>
      </c>
      <c r="O151" t="n">
        <v>0</v>
      </c>
      <c r="P151" t="n">
        <v>0</v>
      </c>
      <c r="Q151" t="n">
        <v>0</v>
      </c>
      <c r="R151" s="2" t="inlineStr"/>
    </row>
    <row r="152" ht="15" customHeight="1">
      <c r="A152" t="inlineStr">
        <is>
          <t>A 43293-2024</t>
        </is>
      </c>
      <c r="B152" s="1" t="n">
        <v>45568</v>
      </c>
      <c r="C152" s="1" t="n">
        <v>45731</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43590-2024</t>
        </is>
      </c>
      <c r="B153" s="1" t="n">
        <v>45569</v>
      </c>
      <c r="C153" s="1" t="n">
        <v>45731</v>
      </c>
      <c r="D153" t="inlineStr">
        <is>
          <t>KALMAR LÄN</t>
        </is>
      </c>
      <c r="E153" t="inlineStr">
        <is>
          <t>BORGHOLM</t>
        </is>
      </c>
      <c r="G153" t="n">
        <v>1.7</v>
      </c>
      <c r="H153" t="n">
        <v>0</v>
      </c>
      <c r="I153" t="n">
        <v>0</v>
      </c>
      <c r="J153" t="n">
        <v>0</v>
      </c>
      <c r="K153" t="n">
        <v>0</v>
      </c>
      <c r="L153" t="n">
        <v>0</v>
      </c>
      <c r="M153" t="n">
        <v>0</v>
      </c>
      <c r="N153" t="n">
        <v>0</v>
      </c>
      <c r="O153" t="n">
        <v>0</v>
      </c>
      <c r="P153" t="n">
        <v>0</v>
      </c>
      <c r="Q153" t="n">
        <v>0</v>
      </c>
      <c r="R153" s="2" t="inlineStr"/>
    </row>
    <row r="154" ht="15" customHeight="1">
      <c r="A154" t="inlineStr">
        <is>
          <t>A 55363-2024</t>
        </is>
      </c>
      <c r="B154" s="1" t="n">
        <v>45621</v>
      </c>
      <c r="C154" s="1" t="n">
        <v>45731</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55367-2024</t>
        </is>
      </c>
      <c r="B155" s="1" t="n">
        <v>45621</v>
      </c>
      <c r="C155" s="1" t="n">
        <v>45731</v>
      </c>
      <c r="D155" t="inlineStr">
        <is>
          <t>KALMAR LÄN</t>
        </is>
      </c>
      <c r="E155" t="inlineStr">
        <is>
          <t>BORGHOLM</t>
        </is>
      </c>
      <c r="G155" t="n">
        <v>0.7</v>
      </c>
      <c r="H155" t="n">
        <v>0</v>
      </c>
      <c r="I155" t="n">
        <v>0</v>
      </c>
      <c r="J155" t="n">
        <v>0</v>
      </c>
      <c r="K155" t="n">
        <v>0</v>
      </c>
      <c r="L155" t="n">
        <v>0</v>
      </c>
      <c r="M155" t="n">
        <v>0</v>
      </c>
      <c r="N155" t="n">
        <v>0</v>
      </c>
      <c r="O155" t="n">
        <v>0</v>
      </c>
      <c r="P155" t="n">
        <v>0</v>
      </c>
      <c r="Q155" t="n">
        <v>0</v>
      </c>
      <c r="R155" s="2" t="inlineStr"/>
    </row>
    <row r="156" ht="15" customHeight="1">
      <c r="A156" t="inlineStr">
        <is>
          <t>A 1614-2025</t>
        </is>
      </c>
      <c r="B156" s="1" t="n">
        <v>45670</v>
      </c>
      <c r="C156" s="1" t="n">
        <v>45731</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1757-2025</t>
        </is>
      </c>
      <c r="B157" s="1" t="n">
        <v>45671</v>
      </c>
      <c r="C157" s="1" t="n">
        <v>45731</v>
      </c>
      <c r="D157" t="inlineStr">
        <is>
          <t>KALMAR LÄN</t>
        </is>
      </c>
      <c r="E157" t="inlineStr">
        <is>
          <t>BORGHOLM</t>
        </is>
      </c>
      <c r="G157" t="n">
        <v>1.4</v>
      </c>
      <c r="H157" t="n">
        <v>0</v>
      </c>
      <c r="I157" t="n">
        <v>0</v>
      </c>
      <c r="J157" t="n">
        <v>0</v>
      </c>
      <c r="K157" t="n">
        <v>0</v>
      </c>
      <c r="L157" t="n">
        <v>0</v>
      </c>
      <c r="M157" t="n">
        <v>0</v>
      </c>
      <c r="N157" t="n">
        <v>0</v>
      </c>
      <c r="O157" t="n">
        <v>0</v>
      </c>
      <c r="P157" t="n">
        <v>0</v>
      </c>
      <c r="Q157" t="n">
        <v>0</v>
      </c>
      <c r="R157" s="2" t="inlineStr"/>
    </row>
    <row r="158" ht="15" customHeight="1">
      <c r="A158" t="inlineStr">
        <is>
          <t>A 6845-2025</t>
        </is>
      </c>
      <c r="B158" s="1" t="n">
        <v>45700</v>
      </c>
      <c r="C158" s="1" t="n">
        <v>45731</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9028-2025</t>
        </is>
      </c>
      <c r="B159" s="1" t="n">
        <v>45713</v>
      </c>
      <c r="C159" s="1" t="n">
        <v>45731</v>
      </c>
      <c r="D159" t="inlineStr">
        <is>
          <t>KALMAR LÄN</t>
        </is>
      </c>
      <c r="E159" t="inlineStr">
        <is>
          <t>BORGHOLM</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9044-2025</t>
        </is>
      </c>
      <c r="B160" s="1" t="n">
        <v>45713</v>
      </c>
      <c r="C160" s="1" t="n">
        <v>45731</v>
      </c>
      <c r="D160" t="inlineStr">
        <is>
          <t>KALMAR LÄN</t>
        </is>
      </c>
      <c r="E160" t="inlineStr">
        <is>
          <t>BORGHOLM</t>
        </is>
      </c>
      <c r="F160" t="inlineStr">
        <is>
          <t>Sveaskog</t>
        </is>
      </c>
      <c r="G160" t="n">
        <v>4</v>
      </c>
      <c r="H160" t="n">
        <v>0</v>
      </c>
      <c r="I160" t="n">
        <v>0</v>
      </c>
      <c r="J160" t="n">
        <v>0</v>
      </c>
      <c r="K160" t="n">
        <v>0</v>
      </c>
      <c r="L160" t="n">
        <v>0</v>
      </c>
      <c r="M160" t="n">
        <v>0</v>
      </c>
      <c r="N160" t="n">
        <v>0</v>
      </c>
      <c r="O160" t="n">
        <v>0</v>
      </c>
      <c r="P160" t="n">
        <v>0</v>
      </c>
      <c r="Q160" t="n">
        <v>0</v>
      </c>
      <c r="R160" s="2" t="inlineStr"/>
    </row>
    <row r="161" ht="15" customHeight="1">
      <c r="A161" t="inlineStr">
        <is>
          <t>A 9034-2025</t>
        </is>
      </c>
      <c r="B161" s="1" t="n">
        <v>45713</v>
      </c>
      <c r="C161" s="1" t="n">
        <v>45731</v>
      </c>
      <c r="D161" t="inlineStr">
        <is>
          <t>KALMAR LÄN</t>
        </is>
      </c>
      <c r="E161" t="inlineStr">
        <is>
          <t>BORGHOLM</t>
        </is>
      </c>
      <c r="F161" t="inlineStr">
        <is>
          <t>Sveaskog</t>
        </is>
      </c>
      <c r="G161" t="n">
        <v>6.8</v>
      </c>
      <c r="H161" t="n">
        <v>0</v>
      </c>
      <c r="I161" t="n">
        <v>0</v>
      </c>
      <c r="J161" t="n">
        <v>0</v>
      </c>
      <c r="K161" t="n">
        <v>0</v>
      </c>
      <c r="L161" t="n">
        <v>0</v>
      </c>
      <c r="M161" t="n">
        <v>0</v>
      </c>
      <c r="N161" t="n">
        <v>0</v>
      </c>
      <c r="O161" t="n">
        <v>0</v>
      </c>
      <c r="P161" t="n">
        <v>0</v>
      </c>
      <c r="Q161" t="n">
        <v>0</v>
      </c>
      <c r="R161" s="2" t="inlineStr"/>
    </row>
    <row r="162" ht="15" customHeight="1">
      <c r="A162" t="inlineStr">
        <is>
          <t>A 9050-2025</t>
        </is>
      </c>
      <c r="B162" s="1" t="n">
        <v>45713</v>
      </c>
      <c r="C162" s="1" t="n">
        <v>45731</v>
      </c>
      <c r="D162" t="inlineStr">
        <is>
          <t>KALMAR LÄN</t>
        </is>
      </c>
      <c r="E162" t="inlineStr">
        <is>
          <t>BORGHOLM</t>
        </is>
      </c>
      <c r="F162" t="inlineStr">
        <is>
          <t>Sveaskog</t>
        </is>
      </c>
      <c r="G162" t="n">
        <v>2.5</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45731</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9310-2025</t>
        </is>
      </c>
      <c r="B164" s="1" t="n">
        <v>45714</v>
      </c>
      <c r="C164" s="1" t="n">
        <v>45731</v>
      </c>
      <c r="D164" t="inlineStr">
        <is>
          <t>KALMAR LÄN</t>
        </is>
      </c>
      <c r="E164" t="inlineStr">
        <is>
          <t>BORGHOLM</t>
        </is>
      </c>
      <c r="G164" t="n">
        <v>2.7</v>
      </c>
      <c r="H164" t="n">
        <v>0</v>
      </c>
      <c r="I164" t="n">
        <v>0</v>
      </c>
      <c r="J164" t="n">
        <v>0</v>
      </c>
      <c r="K164" t="n">
        <v>0</v>
      </c>
      <c r="L164" t="n">
        <v>0</v>
      </c>
      <c r="M164" t="n">
        <v>0</v>
      </c>
      <c r="N164" t="n">
        <v>0</v>
      </c>
      <c r="O164" t="n">
        <v>0</v>
      </c>
      <c r="P164" t="n">
        <v>0</v>
      </c>
      <c r="Q164" t="n">
        <v>0</v>
      </c>
      <c r="R164" s="2" t="inlineStr"/>
    </row>
    <row r="165" ht="15" customHeight="1">
      <c r="A165" t="inlineStr">
        <is>
          <t>A 12480-2025</t>
        </is>
      </c>
      <c r="B165" s="1" t="n">
        <v>45730</v>
      </c>
      <c r="C165" s="1" t="n">
        <v>45731</v>
      </c>
      <c r="D165" t="inlineStr">
        <is>
          <t>KALMAR LÄN</t>
        </is>
      </c>
      <c r="E165" t="inlineStr">
        <is>
          <t>BORGHOLM</t>
        </is>
      </c>
      <c r="G165" t="n">
        <v>2.1</v>
      </c>
      <c r="H165" t="n">
        <v>0</v>
      </c>
      <c r="I165" t="n">
        <v>0</v>
      </c>
      <c r="J165" t="n">
        <v>0</v>
      </c>
      <c r="K165" t="n">
        <v>0</v>
      </c>
      <c r="L165" t="n">
        <v>0</v>
      </c>
      <c r="M165" t="n">
        <v>0</v>
      </c>
      <c r="N165" t="n">
        <v>0</v>
      </c>
      <c r="O165" t="n">
        <v>0</v>
      </c>
      <c r="P165" t="n">
        <v>0</v>
      </c>
      <c r="Q165" t="n">
        <v>0</v>
      </c>
      <c r="R165" s="2" t="inlineStr"/>
    </row>
    <row r="166">
      <c r="A166" t="inlineStr">
        <is>
          <t>A 12481-2025</t>
        </is>
      </c>
      <c r="B166" s="1" t="n">
        <v>45730</v>
      </c>
      <c r="C166" s="1" t="n">
        <v>45731</v>
      </c>
      <c r="D166" t="inlineStr">
        <is>
          <t>KALMAR LÄN</t>
        </is>
      </c>
      <c r="E166" t="inlineStr">
        <is>
          <t>BORGHOLM</t>
        </is>
      </c>
      <c r="G166" t="n">
        <v>7.2</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2025-03-15T17:35:31Z</dcterms:created>
  <dcterms:modified xmlns:dcterms="http://purl.org/dc/terms/" xmlns:xsi="http://www.w3.org/2001/XMLSchema-instance" xsi:type="dcterms:W3CDTF">2025-03-15T17:35:31Z</dcterms:modified>
</cp:coreProperties>
</file>