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46175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46175</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46175</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46175</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46175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46175</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46175</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46175</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46175</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46175</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46175</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46175</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46175</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46175</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46175</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46175</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28779-2025</t>
        </is>
      </c>
      <c r="B18" s="1" t="n">
        <v>45820.44920138889</v>
      </c>
      <c r="C18" s="1" t="n">
        <v>46175</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9253-2026</t>
        </is>
      </c>
      <c r="B19" s="1" t="n">
        <v>46070.51003472223</v>
      </c>
      <c r="C19" s="1" t="n">
        <v>46175</v>
      </c>
      <c r="D19" t="inlineStr">
        <is>
          <t>KALMAR LÄN</t>
        </is>
      </c>
      <c r="E19" t="inlineStr">
        <is>
          <t>BORGHOLM</t>
        </is>
      </c>
      <c r="G19" t="n">
        <v>1.1</v>
      </c>
      <c r="H19" t="n">
        <v>1</v>
      </c>
      <c r="I19" t="n">
        <v>1</v>
      </c>
      <c r="J19" t="n">
        <v>0</v>
      </c>
      <c r="K19" t="n">
        <v>0</v>
      </c>
      <c r="L19" t="n">
        <v>0</v>
      </c>
      <c r="M19" t="n">
        <v>0</v>
      </c>
      <c r="N19" t="n">
        <v>0</v>
      </c>
      <c r="O19" t="n">
        <v>0</v>
      </c>
      <c r="P19" t="n">
        <v>0</v>
      </c>
      <c r="Q19" t="n">
        <v>2</v>
      </c>
      <c r="R19" s="2" t="inlineStr">
        <is>
          <t>Murgröna
Gullviva</t>
        </is>
      </c>
      <c r="S19">
        <f>HYPERLINK("https://klasma.github.io/Logging_0885/artfynd/A 9253-2026 artfynd.xlsx", "A 9253-2026")</f>
        <v/>
      </c>
      <c r="T19">
        <f>HYPERLINK("https://klasma.github.io/Logging_0885/kartor/A 9253-2026 karta.png", "A 9253-2026")</f>
        <v/>
      </c>
      <c r="V19">
        <f>HYPERLINK("https://klasma.github.io/Logging_0885/klagomål/A 9253-2026 FSC-klagomål.docx", "A 9253-2026")</f>
        <v/>
      </c>
      <c r="W19">
        <f>HYPERLINK("https://klasma.github.io/Logging_0885/klagomålsmail/A 9253-2026 FSC-klagomål mail.docx", "A 9253-2026")</f>
        <v/>
      </c>
      <c r="X19">
        <f>HYPERLINK("https://klasma.github.io/Logging_0885/tillsyn/A 9253-2026 tillsynsbegäran.docx", "A 9253-2026")</f>
        <v/>
      </c>
      <c r="Y19">
        <f>HYPERLINK("https://klasma.github.io/Logging_0885/tillsynsmail/A 9253-2026 tillsynsbegäran mail.docx", "A 9253-2026")</f>
        <v/>
      </c>
    </row>
    <row r="20" ht="15" customHeight="1">
      <c r="A20" t="inlineStr">
        <is>
          <t>A 38860-2025</t>
        </is>
      </c>
      <c r="B20" s="1" t="n">
        <v>45887.5609375</v>
      </c>
      <c r="C20" s="1" t="n">
        <v>46175</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15285-2026</t>
        </is>
      </c>
      <c r="B21" s="1" t="n">
        <v>46105.6156712963</v>
      </c>
      <c r="C21" s="1" t="n">
        <v>46175</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Havsörn
Talltita</t>
        </is>
      </c>
      <c r="S21">
        <f>HYPERLINK("https://klasma.github.io/Logging_0885/artfynd/A 15285-2026 artfynd.xlsx", "A 15285-2026")</f>
        <v/>
      </c>
      <c r="T21">
        <f>HYPERLINK("https://klasma.github.io/Logging_0885/kartor/A 15285-2026 karta.png", "A 15285-2026")</f>
        <v/>
      </c>
      <c r="V21">
        <f>HYPERLINK("https://klasma.github.io/Logging_0885/klagomål/A 15285-2026 FSC-klagomål.docx", "A 15285-2026")</f>
        <v/>
      </c>
      <c r="W21">
        <f>HYPERLINK("https://klasma.github.io/Logging_0885/klagomålsmail/A 15285-2026 FSC-klagomål mail.docx", "A 15285-2026")</f>
        <v/>
      </c>
      <c r="X21">
        <f>HYPERLINK("https://klasma.github.io/Logging_0885/tillsyn/A 15285-2026 tillsynsbegäran.docx", "A 15285-2026")</f>
        <v/>
      </c>
      <c r="Y21">
        <f>HYPERLINK("https://klasma.github.io/Logging_0885/tillsynsmail/A 15285-2026 tillsynsbegäran mail.docx", "A 15285-2026")</f>
        <v/>
      </c>
      <c r="Z21">
        <f>HYPERLINK("https://klasma.github.io/Logging_0885/fåglar/A 15285-2026 prioriterade fågelarter.docx", "A 15285-2026")</f>
        <v/>
      </c>
    </row>
    <row r="22" ht="15" customHeight="1">
      <c r="A22" t="inlineStr">
        <is>
          <t>A 32174-2022</t>
        </is>
      </c>
      <c r="B22" s="1" t="n">
        <v>44781</v>
      </c>
      <c r="C22" s="1" t="n">
        <v>46175</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46175</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24322-2026</t>
        </is>
      </c>
      <c r="B24" s="1" t="n">
        <v>46169.48598379629</v>
      </c>
      <c r="C24" s="1" t="n">
        <v>46175</v>
      </c>
      <c r="D24" t="inlineStr">
        <is>
          <t>KALMAR LÄN</t>
        </is>
      </c>
      <c r="E24" t="inlineStr">
        <is>
          <t>BORGHOLM</t>
        </is>
      </c>
      <c r="F24" t="inlineStr">
        <is>
          <t>Sveaskog</t>
        </is>
      </c>
      <c r="G24" t="n">
        <v>5.5</v>
      </c>
      <c r="H24" t="n">
        <v>2</v>
      </c>
      <c r="I24" t="n">
        <v>2</v>
      </c>
      <c r="J24" t="n">
        <v>0</v>
      </c>
      <c r="K24" t="n">
        <v>0</v>
      </c>
      <c r="L24" t="n">
        <v>0</v>
      </c>
      <c r="M24" t="n">
        <v>0</v>
      </c>
      <c r="N24" t="n">
        <v>0</v>
      </c>
      <c r="O24" t="n">
        <v>0</v>
      </c>
      <c r="P24" t="n">
        <v>0</v>
      </c>
      <c r="Q24" t="n">
        <v>2</v>
      </c>
      <c r="R24" s="2" t="inlineStr">
        <is>
          <t>Purpurknipprot
Skogsknipprot</t>
        </is>
      </c>
      <c r="S24">
        <f>HYPERLINK("https://klasma.github.io/Logging_0885/artfynd/A 24322-2026 artfynd.xlsx", "A 24322-2026")</f>
        <v/>
      </c>
      <c r="T24">
        <f>HYPERLINK("https://klasma.github.io/Logging_0885/kartor/A 24322-2026 karta.png", "A 24322-2026")</f>
        <v/>
      </c>
      <c r="V24">
        <f>HYPERLINK("https://klasma.github.io/Logging_0885/klagomål/A 24322-2026 FSC-klagomål.docx", "A 24322-2026")</f>
        <v/>
      </c>
      <c r="W24">
        <f>HYPERLINK("https://klasma.github.io/Logging_0885/klagomålsmail/A 24322-2026 FSC-klagomål mail.docx", "A 24322-2026")</f>
        <v/>
      </c>
      <c r="X24">
        <f>HYPERLINK("https://klasma.github.io/Logging_0885/tillsyn/A 24322-2026 tillsynsbegäran.docx", "A 24322-2026")</f>
        <v/>
      </c>
      <c r="Y24">
        <f>HYPERLINK("https://klasma.github.io/Logging_0885/tillsynsmail/A 24322-2026 tillsynsbegäran mail.docx", "A 24322-2026")</f>
        <v/>
      </c>
    </row>
    <row r="25" ht="15" customHeight="1">
      <c r="A25" t="inlineStr">
        <is>
          <t>A 60140-2025</t>
        </is>
      </c>
      <c r="B25" s="1" t="n">
        <v>45994.36274305556</v>
      </c>
      <c r="C25" s="1" t="n">
        <v>46175</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34944-2022</t>
        </is>
      </c>
      <c r="B26" s="1" t="n">
        <v>44796</v>
      </c>
      <c r="C26" s="1" t="n">
        <v>46175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46175</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46175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46175</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46175</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46175</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9745-2023</t>
        </is>
      </c>
      <c r="B32" s="1" t="n">
        <v>44984</v>
      </c>
      <c r="C32" s="1" t="n">
        <v>46175</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28785-2025</t>
        </is>
      </c>
      <c r="B33" s="1" t="n">
        <v>45820.46159722222</v>
      </c>
      <c r="C33" s="1" t="n">
        <v>46175</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46175</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34885-2025</t>
        </is>
      </c>
      <c r="B35" s="1" t="n">
        <v>45849.47128472223</v>
      </c>
      <c r="C35" s="1" t="n">
        <v>46175</v>
      </c>
      <c r="D35" t="inlineStr">
        <is>
          <t>KALMAR LÄN</t>
        </is>
      </c>
      <c r="E35" t="inlineStr">
        <is>
          <t>BORGHOLM</t>
        </is>
      </c>
      <c r="G35" t="n">
        <v>4.4</v>
      </c>
      <c r="H35" t="n">
        <v>0</v>
      </c>
      <c r="I35" t="n">
        <v>0</v>
      </c>
      <c r="J35" t="n">
        <v>1</v>
      </c>
      <c r="K35" t="n">
        <v>0</v>
      </c>
      <c r="L35" t="n">
        <v>0</v>
      </c>
      <c r="M35" t="n">
        <v>0</v>
      </c>
      <c r="N35" t="n">
        <v>0</v>
      </c>
      <c r="O35" t="n">
        <v>1</v>
      </c>
      <c r="P35" t="n">
        <v>0</v>
      </c>
      <c r="Q35" t="n">
        <v>1</v>
      </c>
      <c r="R35" s="2" t="inlineStr">
        <is>
          <t>Backfryle</t>
        </is>
      </c>
      <c r="S35">
        <f>HYPERLINK("https://klasma.github.io/Logging_0885/artfynd/A 34885-2025 artfynd.xlsx", "A 34885-2025")</f>
        <v/>
      </c>
      <c r="T35">
        <f>HYPERLINK("https://klasma.github.io/Logging_0885/kartor/A 34885-2025 karta.png", "A 34885-2025")</f>
        <v/>
      </c>
      <c r="V35">
        <f>HYPERLINK("https://klasma.github.io/Logging_0885/klagomål/A 34885-2025 FSC-klagomål.docx", "A 34885-2025")</f>
        <v/>
      </c>
      <c r="W35">
        <f>HYPERLINK("https://klasma.github.io/Logging_0885/klagomålsmail/A 34885-2025 FSC-klagomål mail.docx", "A 34885-2025")</f>
        <v/>
      </c>
      <c r="X35">
        <f>HYPERLINK("https://klasma.github.io/Logging_0885/tillsyn/A 34885-2025 tillsynsbegäran.docx", "A 34885-2025")</f>
        <v/>
      </c>
      <c r="Y35">
        <f>HYPERLINK("https://klasma.github.io/Logging_0885/tillsynsmail/A 34885-2025 tillsynsbegäran mail.docx", "A 34885-2025")</f>
        <v/>
      </c>
    </row>
    <row r="36" ht="15" customHeight="1">
      <c r="A36" t="inlineStr">
        <is>
          <t>A 13558-2025</t>
        </is>
      </c>
      <c r="B36" s="1" t="n">
        <v>45736.54974537037</v>
      </c>
      <c r="C36" s="1" t="n">
        <v>46175</v>
      </c>
      <c r="D36" t="inlineStr">
        <is>
          <t>KALMAR LÄN</t>
        </is>
      </c>
      <c r="E36" t="inlineStr">
        <is>
          <t>BORGHOLM</t>
        </is>
      </c>
      <c r="G36" t="n">
        <v>0.7</v>
      </c>
      <c r="H36" t="n">
        <v>0</v>
      </c>
      <c r="I36" t="n">
        <v>0</v>
      </c>
      <c r="J36" t="n">
        <v>1</v>
      </c>
      <c r="K36" t="n">
        <v>0</v>
      </c>
      <c r="L36" t="n">
        <v>0</v>
      </c>
      <c r="M36" t="n">
        <v>0</v>
      </c>
      <c r="N36" t="n">
        <v>0</v>
      </c>
      <c r="O36" t="n">
        <v>1</v>
      </c>
      <c r="P36" t="n">
        <v>0</v>
      </c>
      <c r="Q36" t="n">
        <v>1</v>
      </c>
      <c r="R36" s="2" t="inlineStr">
        <is>
          <t>Backruta</t>
        </is>
      </c>
      <c r="S36">
        <f>HYPERLINK("https://klasma.github.io/Logging_0885/artfynd/A 13558-2025 artfynd.xlsx", "A 13558-2025")</f>
        <v/>
      </c>
      <c r="T36">
        <f>HYPERLINK("https://klasma.github.io/Logging_0885/kartor/A 13558-2025 karta.png", "A 13558-2025")</f>
        <v/>
      </c>
      <c r="V36">
        <f>HYPERLINK("https://klasma.github.io/Logging_0885/klagomål/A 13558-2025 FSC-klagomål.docx", "A 13558-2025")</f>
        <v/>
      </c>
      <c r="W36">
        <f>HYPERLINK("https://klasma.github.io/Logging_0885/klagomålsmail/A 13558-2025 FSC-klagomål mail.docx", "A 13558-2025")</f>
        <v/>
      </c>
      <c r="X36">
        <f>HYPERLINK("https://klasma.github.io/Logging_0885/tillsyn/A 13558-2025 tillsynsbegäran.docx", "A 13558-2025")</f>
        <v/>
      </c>
      <c r="Y36">
        <f>HYPERLINK("https://klasma.github.io/Logging_0885/tillsynsmail/A 13558-2025 tillsynsbegäran mail.docx", "A 13558-2025")</f>
        <v/>
      </c>
    </row>
    <row r="37" ht="15" customHeight="1">
      <c r="A37" t="inlineStr">
        <is>
          <t>A 24701-2023</t>
        </is>
      </c>
      <c r="B37" s="1" t="n">
        <v>45084</v>
      </c>
      <c r="C37" s="1" t="n">
        <v>46175</v>
      </c>
      <c r="D37" t="inlineStr">
        <is>
          <t>KALMAR LÄN</t>
        </is>
      </c>
      <c r="E37" t="inlineStr">
        <is>
          <t>BORGHOLM</t>
        </is>
      </c>
      <c r="G37" t="n">
        <v>3</v>
      </c>
      <c r="H37" t="n">
        <v>0</v>
      </c>
      <c r="I37" t="n">
        <v>0</v>
      </c>
      <c r="J37" t="n">
        <v>0</v>
      </c>
      <c r="K37" t="n">
        <v>0</v>
      </c>
      <c r="L37" t="n">
        <v>1</v>
      </c>
      <c r="M37" t="n">
        <v>0</v>
      </c>
      <c r="N37" t="n">
        <v>0</v>
      </c>
      <c r="O37" t="n">
        <v>1</v>
      </c>
      <c r="P37" t="n">
        <v>1</v>
      </c>
      <c r="Q37" t="n">
        <v>1</v>
      </c>
      <c r="R37" s="2" t="inlineStr">
        <is>
          <t>Ask</t>
        </is>
      </c>
      <c r="S37">
        <f>HYPERLINK("https://klasma.github.io/Logging_0885/artfynd/A 24701-2023 artfynd.xlsx", "A 24701-2023")</f>
        <v/>
      </c>
      <c r="T37">
        <f>HYPERLINK("https://klasma.github.io/Logging_0885/kartor/A 24701-2023 karta.png", "A 24701-2023")</f>
        <v/>
      </c>
      <c r="V37">
        <f>HYPERLINK("https://klasma.github.io/Logging_0885/klagomål/A 24701-2023 FSC-klagomål.docx", "A 24701-2023")</f>
        <v/>
      </c>
      <c r="W37">
        <f>HYPERLINK("https://klasma.github.io/Logging_0885/klagomålsmail/A 24701-2023 FSC-klagomål mail.docx", "A 24701-2023")</f>
        <v/>
      </c>
      <c r="X37">
        <f>HYPERLINK("https://klasma.github.io/Logging_0885/tillsyn/A 24701-2023 tillsynsbegäran.docx", "A 24701-2023")</f>
        <v/>
      </c>
      <c r="Y37">
        <f>HYPERLINK("https://klasma.github.io/Logging_0885/tillsynsmail/A 24701-2023 tillsynsbegäran mail.docx", "A 24701-2023")</f>
        <v/>
      </c>
    </row>
    <row r="38" ht="15" customHeight="1">
      <c r="A38" t="inlineStr">
        <is>
          <t>A 45693-2025</t>
        </is>
      </c>
      <c r="B38" s="1" t="n">
        <v>45923</v>
      </c>
      <c r="C38" s="1" t="n">
        <v>46175</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43603-2024</t>
        </is>
      </c>
      <c r="B39" s="1" t="n">
        <v>45569.44700231482</v>
      </c>
      <c r="C39" s="1" t="n">
        <v>46175</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24704-2023</t>
        </is>
      </c>
      <c r="B40" s="1" t="n">
        <v>45084</v>
      </c>
      <c r="C40" s="1" t="n">
        <v>46175</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3302-2026</t>
        </is>
      </c>
      <c r="B41" s="1" t="n">
        <v>46041</v>
      </c>
      <c r="C41" s="1" t="n">
        <v>46175</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24048-2025</t>
        </is>
      </c>
      <c r="B42" s="1" t="n">
        <v>45796.4959375</v>
      </c>
      <c r="C42" s="1" t="n">
        <v>46175</v>
      </c>
      <c r="D42" t="inlineStr">
        <is>
          <t>KALMAR LÄN</t>
        </is>
      </c>
      <c r="E42" t="inlineStr">
        <is>
          <t>BORGHOLM</t>
        </is>
      </c>
      <c r="G42" t="n">
        <v>2</v>
      </c>
      <c r="H42" t="n">
        <v>0</v>
      </c>
      <c r="I42" t="n">
        <v>0</v>
      </c>
      <c r="J42" t="n">
        <v>1</v>
      </c>
      <c r="K42" t="n">
        <v>0</v>
      </c>
      <c r="L42" t="n">
        <v>0</v>
      </c>
      <c r="M42" t="n">
        <v>0</v>
      </c>
      <c r="N42" t="n">
        <v>0</v>
      </c>
      <c r="O42" t="n">
        <v>1</v>
      </c>
      <c r="P42" t="n">
        <v>0</v>
      </c>
      <c r="Q42" t="n">
        <v>1</v>
      </c>
      <c r="R42" s="2" t="inlineStr">
        <is>
          <t>Loppstarr</t>
        </is>
      </c>
      <c r="S42">
        <f>HYPERLINK("https://klasma.github.io/Logging_0885/artfynd/A 24048-2025 artfynd.xlsx", "A 24048-2025")</f>
        <v/>
      </c>
      <c r="T42">
        <f>HYPERLINK("https://klasma.github.io/Logging_0885/kartor/A 24048-2025 karta.png", "A 24048-2025")</f>
        <v/>
      </c>
      <c r="V42">
        <f>HYPERLINK("https://klasma.github.io/Logging_0885/klagomål/A 24048-2025 FSC-klagomål.docx", "A 24048-2025")</f>
        <v/>
      </c>
      <c r="W42">
        <f>HYPERLINK("https://klasma.github.io/Logging_0885/klagomålsmail/A 24048-2025 FSC-klagomål mail.docx", "A 24048-2025")</f>
        <v/>
      </c>
      <c r="X42">
        <f>HYPERLINK("https://klasma.github.io/Logging_0885/tillsyn/A 24048-2025 tillsynsbegäran.docx", "A 24048-2025")</f>
        <v/>
      </c>
      <c r="Y42">
        <f>HYPERLINK("https://klasma.github.io/Logging_0885/tillsynsmail/A 24048-2025 tillsynsbegäran mail.docx", "A 24048-2025")</f>
        <v/>
      </c>
    </row>
    <row r="43" ht="15" customHeight="1">
      <c r="A43" t="inlineStr">
        <is>
          <t>A 41640-2023</t>
        </is>
      </c>
      <c r="B43" s="1" t="n">
        <v>45175</v>
      </c>
      <c r="C43" s="1" t="n">
        <v>46175</v>
      </c>
      <c r="D43" t="inlineStr">
        <is>
          <t>KALMAR LÄN</t>
        </is>
      </c>
      <c r="E43" t="inlineStr">
        <is>
          <t>BORGHOLM</t>
        </is>
      </c>
      <c r="G43" t="n">
        <v>5</v>
      </c>
      <c r="H43" t="n">
        <v>1</v>
      </c>
      <c r="I43" t="n">
        <v>0</v>
      </c>
      <c r="J43" t="n">
        <v>0</v>
      </c>
      <c r="K43" t="n">
        <v>0</v>
      </c>
      <c r="L43" t="n">
        <v>0</v>
      </c>
      <c r="M43" t="n">
        <v>0</v>
      </c>
      <c r="N43" t="n">
        <v>0</v>
      </c>
      <c r="O43" t="n">
        <v>0</v>
      </c>
      <c r="P43" t="n">
        <v>0</v>
      </c>
      <c r="Q43" t="n">
        <v>1</v>
      </c>
      <c r="R43" s="2" t="inlineStr">
        <is>
          <t>Johannesnycklar</t>
        </is>
      </c>
      <c r="S43">
        <f>HYPERLINK("https://klasma.github.io/Logging_0885/artfynd/A 41640-2023 artfynd.xlsx", "A 41640-2023")</f>
        <v/>
      </c>
      <c r="T43">
        <f>HYPERLINK("https://klasma.github.io/Logging_0885/kartor/A 41640-2023 karta.png", "A 41640-2023")</f>
        <v/>
      </c>
      <c r="V43">
        <f>HYPERLINK("https://klasma.github.io/Logging_0885/klagomål/A 41640-2023 FSC-klagomål.docx", "A 41640-2023")</f>
        <v/>
      </c>
      <c r="W43">
        <f>HYPERLINK("https://klasma.github.io/Logging_0885/klagomålsmail/A 41640-2023 FSC-klagomål mail.docx", "A 41640-2023")</f>
        <v/>
      </c>
      <c r="X43">
        <f>HYPERLINK("https://klasma.github.io/Logging_0885/tillsyn/A 41640-2023 tillsynsbegäran.docx", "A 41640-2023")</f>
        <v/>
      </c>
      <c r="Y43">
        <f>HYPERLINK("https://klasma.github.io/Logging_0885/tillsynsmail/A 41640-2023 tillsynsbegäran mail.docx", "A 41640-2023")</f>
        <v/>
      </c>
    </row>
    <row r="44" ht="15" customHeight="1">
      <c r="A44" t="inlineStr">
        <is>
          <t>A 42761-2021</t>
        </is>
      </c>
      <c r="B44" s="1" t="n">
        <v>44428</v>
      </c>
      <c r="C44" s="1" t="n">
        <v>46175</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46175</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46175</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46175</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46175</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46175</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46175</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46175</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46175</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46175</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46175</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46175</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46175</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46175</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46175</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46175</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20878-2024</t>
        </is>
      </c>
      <c r="B60" s="1" t="n">
        <v>45439.44748842593</v>
      </c>
      <c r="C60" s="1" t="n">
        <v>46175</v>
      </c>
      <c r="D60" t="inlineStr">
        <is>
          <t>KALMAR LÄN</t>
        </is>
      </c>
      <c r="E60" t="inlineStr">
        <is>
          <t>BORGHOLM</t>
        </is>
      </c>
      <c r="G60" t="n">
        <v>1.9</v>
      </c>
      <c r="H60" t="n">
        <v>0</v>
      </c>
      <c r="I60" t="n">
        <v>0</v>
      </c>
      <c r="J60" t="n">
        <v>0</v>
      </c>
      <c r="K60" t="n">
        <v>0</v>
      </c>
      <c r="L60" t="n">
        <v>0</v>
      </c>
      <c r="M60" t="n">
        <v>0</v>
      </c>
      <c r="N60" t="n">
        <v>0</v>
      </c>
      <c r="O60" t="n">
        <v>0</v>
      </c>
      <c r="P60" t="n">
        <v>0</v>
      </c>
      <c r="Q60" t="n">
        <v>0</v>
      </c>
      <c r="R60" s="2" t="inlineStr"/>
    </row>
    <row r="61" ht="15" customHeight="1">
      <c r="A61" t="inlineStr">
        <is>
          <t>A 4159-2024</t>
        </is>
      </c>
      <c r="B61" s="1" t="n">
        <v>45323</v>
      </c>
      <c r="C61" s="1" t="n">
        <v>46175</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28782-2025</t>
        </is>
      </c>
      <c r="B62" s="1" t="n">
        <v>45820.45572916666</v>
      </c>
      <c r="C62" s="1" t="n">
        <v>46175</v>
      </c>
      <c r="D62" t="inlineStr">
        <is>
          <t>KALMAR LÄN</t>
        </is>
      </c>
      <c r="E62" t="inlineStr">
        <is>
          <t>BORGHOLM</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9104-2026</t>
        </is>
      </c>
      <c r="B63" s="1" t="n">
        <v>46069</v>
      </c>
      <c r="C63" s="1" t="n">
        <v>46175</v>
      </c>
      <c r="D63" t="inlineStr">
        <is>
          <t>KALMAR LÄN</t>
        </is>
      </c>
      <c r="E63" t="inlineStr">
        <is>
          <t>BORGHOLM</t>
        </is>
      </c>
      <c r="G63" t="n">
        <v>1.3</v>
      </c>
      <c r="H63" t="n">
        <v>0</v>
      </c>
      <c r="I63" t="n">
        <v>0</v>
      </c>
      <c r="J63" t="n">
        <v>0</v>
      </c>
      <c r="K63" t="n">
        <v>0</v>
      </c>
      <c r="L63" t="n">
        <v>0</v>
      </c>
      <c r="M63" t="n">
        <v>0</v>
      </c>
      <c r="N63" t="n">
        <v>0</v>
      </c>
      <c r="O63" t="n">
        <v>0</v>
      </c>
      <c r="P63" t="n">
        <v>0</v>
      </c>
      <c r="Q63" t="n">
        <v>0</v>
      </c>
      <c r="R63" s="2" t="inlineStr"/>
    </row>
    <row r="64" ht="15" customHeight="1">
      <c r="A64" t="inlineStr">
        <is>
          <t>A 9259-2026</t>
        </is>
      </c>
      <c r="B64" s="1" t="n">
        <v>46070.51917824074</v>
      </c>
      <c r="C64" s="1" t="n">
        <v>46175</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53050-2021</t>
        </is>
      </c>
      <c r="B65" s="1" t="n">
        <v>44467</v>
      </c>
      <c r="C65" s="1" t="n">
        <v>46175</v>
      </c>
      <c r="D65" t="inlineStr">
        <is>
          <t>KALMAR LÄN</t>
        </is>
      </c>
      <c r="E65" t="inlineStr">
        <is>
          <t>BORGHOLM</t>
        </is>
      </c>
      <c r="G65" t="n">
        <v>3.6</v>
      </c>
      <c r="H65" t="n">
        <v>0</v>
      </c>
      <c r="I65" t="n">
        <v>0</v>
      </c>
      <c r="J65" t="n">
        <v>0</v>
      </c>
      <c r="K65" t="n">
        <v>0</v>
      </c>
      <c r="L65" t="n">
        <v>0</v>
      </c>
      <c r="M65" t="n">
        <v>0</v>
      </c>
      <c r="N65" t="n">
        <v>0</v>
      </c>
      <c r="O65" t="n">
        <v>0</v>
      </c>
      <c r="P65" t="n">
        <v>0</v>
      </c>
      <c r="Q65" t="n">
        <v>0</v>
      </c>
      <c r="R65" s="2" t="inlineStr"/>
    </row>
    <row r="66" ht="15" customHeight="1">
      <c r="A66" t="inlineStr">
        <is>
          <t>A 9905-2026</t>
        </is>
      </c>
      <c r="B66" s="1" t="n">
        <v>46073.4108912037</v>
      </c>
      <c r="C66" s="1" t="n">
        <v>46175</v>
      </c>
      <c r="D66" t="inlineStr">
        <is>
          <t>KALMAR LÄN</t>
        </is>
      </c>
      <c r="E66" t="inlineStr">
        <is>
          <t>BORGHOLM</t>
        </is>
      </c>
      <c r="G66" t="n">
        <v>1.4</v>
      </c>
      <c r="H66" t="n">
        <v>0</v>
      </c>
      <c r="I66" t="n">
        <v>0</v>
      </c>
      <c r="J66" t="n">
        <v>0</v>
      </c>
      <c r="K66" t="n">
        <v>0</v>
      </c>
      <c r="L66" t="n">
        <v>0</v>
      </c>
      <c r="M66" t="n">
        <v>0</v>
      </c>
      <c r="N66" t="n">
        <v>0</v>
      </c>
      <c r="O66" t="n">
        <v>0</v>
      </c>
      <c r="P66" t="n">
        <v>0</v>
      </c>
      <c r="Q66" t="n">
        <v>0</v>
      </c>
      <c r="R66" s="2" t="inlineStr"/>
    </row>
    <row r="67" ht="15" customHeight="1">
      <c r="A67" t="inlineStr">
        <is>
          <t>A 31720-2022</t>
        </is>
      </c>
      <c r="B67" s="1" t="n">
        <v>44776</v>
      </c>
      <c r="C67" s="1" t="n">
        <v>46175</v>
      </c>
      <c r="D67" t="inlineStr">
        <is>
          <t>KALMAR LÄN</t>
        </is>
      </c>
      <c r="E67" t="inlineStr">
        <is>
          <t>BORGHOLM</t>
        </is>
      </c>
      <c r="F67" t="inlineStr">
        <is>
          <t>Sveaskog</t>
        </is>
      </c>
      <c r="G67" t="n">
        <v>4.5</v>
      </c>
      <c r="H67" t="n">
        <v>0</v>
      </c>
      <c r="I67" t="n">
        <v>0</v>
      </c>
      <c r="J67" t="n">
        <v>0</v>
      </c>
      <c r="K67" t="n">
        <v>0</v>
      </c>
      <c r="L67" t="n">
        <v>0</v>
      </c>
      <c r="M67" t="n">
        <v>0</v>
      </c>
      <c r="N67" t="n">
        <v>0</v>
      </c>
      <c r="O67" t="n">
        <v>0</v>
      </c>
      <c r="P67" t="n">
        <v>0</v>
      </c>
      <c r="Q67" t="n">
        <v>0</v>
      </c>
      <c r="R67" s="2" t="inlineStr"/>
    </row>
    <row r="68" ht="15" customHeight="1">
      <c r="A68" t="inlineStr">
        <is>
          <t>A 29656-2023</t>
        </is>
      </c>
      <c r="B68" s="1" t="n">
        <v>45107</v>
      </c>
      <c r="C68" s="1" t="n">
        <v>46175</v>
      </c>
      <c r="D68" t="inlineStr">
        <is>
          <t>KALMAR LÄN</t>
        </is>
      </c>
      <c r="E68" t="inlineStr">
        <is>
          <t>BORGHOLM</t>
        </is>
      </c>
      <c r="G68" t="n">
        <v>4.1</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46175</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42232-2025</t>
        </is>
      </c>
      <c r="B70" s="1" t="n">
        <v>45904.55591435185</v>
      </c>
      <c r="C70" s="1" t="n">
        <v>46175</v>
      </c>
      <c r="D70" t="inlineStr">
        <is>
          <t>KALMAR LÄN</t>
        </is>
      </c>
      <c r="E70" t="inlineStr">
        <is>
          <t>BORGHOLM</t>
        </is>
      </c>
      <c r="F70" t="inlineStr">
        <is>
          <t>Sveaskog</t>
        </is>
      </c>
      <c r="G70" t="n">
        <v>1.7</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46175</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4165-2023</t>
        </is>
      </c>
      <c r="B72" s="1" t="n">
        <v>44953</v>
      </c>
      <c r="C72" s="1" t="n">
        <v>46175</v>
      </c>
      <c r="D72" t="inlineStr">
        <is>
          <t>KALMAR LÄN</t>
        </is>
      </c>
      <c r="E72" t="inlineStr">
        <is>
          <t>BORGHOLM</t>
        </is>
      </c>
      <c r="G72" t="n">
        <v>0.6</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46175</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15272-2026</t>
        </is>
      </c>
      <c r="B74" s="1" t="n">
        <v>46105.60017361111</v>
      </c>
      <c r="C74" s="1" t="n">
        <v>46175</v>
      </c>
      <c r="D74" t="inlineStr">
        <is>
          <t>KALMAR LÄN</t>
        </is>
      </c>
      <c r="E74" t="inlineStr">
        <is>
          <t>BORGHOLM</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15279-2026</t>
        </is>
      </c>
      <c r="B75" s="1" t="n">
        <v>46105.61030092592</v>
      </c>
      <c r="C75" s="1" t="n">
        <v>46175</v>
      </c>
      <c r="D75" t="inlineStr">
        <is>
          <t>KALMAR LÄN</t>
        </is>
      </c>
      <c r="E75" t="inlineStr">
        <is>
          <t>BORGHOLM</t>
        </is>
      </c>
      <c r="F75" t="inlineStr">
        <is>
          <t>Sveaskog</t>
        </is>
      </c>
      <c r="G75" t="n">
        <v>4.6</v>
      </c>
      <c r="H75" t="n">
        <v>0</v>
      </c>
      <c r="I75" t="n">
        <v>0</v>
      </c>
      <c r="J75" t="n">
        <v>0</v>
      </c>
      <c r="K75" t="n">
        <v>0</v>
      </c>
      <c r="L75" t="n">
        <v>0</v>
      </c>
      <c r="M75" t="n">
        <v>0</v>
      </c>
      <c r="N75" t="n">
        <v>0</v>
      </c>
      <c r="O75" t="n">
        <v>0</v>
      </c>
      <c r="P75" t="n">
        <v>0</v>
      </c>
      <c r="Q75" t="n">
        <v>0</v>
      </c>
      <c r="R75" s="2" t="inlineStr"/>
    </row>
    <row r="76" ht="15" customHeight="1">
      <c r="A76" t="inlineStr">
        <is>
          <t>A 15264-2026</t>
        </is>
      </c>
      <c r="B76" s="1" t="n">
        <v>46105.59372685185</v>
      </c>
      <c r="C76" s="1" t="n">
        <v>46175</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13548-2025</t>
        </is>
      </c>
      <c r="B77" s="1" t="n">
        <v>45736.53827546296</v>
      </c>
      <c r="C77" s="1" t="n">
        <v>46175</v>
      </c>
      <c r="D77" t="inlineStr">
        <is>
          <t>KALMAR LÄN</t>
        </is>
      </c>
      <c r="E77" t="inlineStr">
        <is>
          <t>BORGHOLM</t>
        </is>
      </c>
      <c r="G77" t="n">
        <v>1</v>
      </c>
      <c r="H77" t="n">
        <v>0</v>
      </c>
      <c r="I77" t="n">
        <v>0</v>
      </c>
      <c r="J77" t="n">
        <v>0</v>
      </c>
      <c r="K77" t="n">
        <v>0</v>
      </c>
      <c r="L77" t="n">
        <v>0</v>
      </c>
      <c r="M77" t="n">
        <v>0</v>
      </c>
      <c r="N77" t="n">
        <v>0</v>
      </c>
      <c r="O77" t="n">
        <v>0</v>
      </c>
      <c r="P77" t="n">
        <v>0</v>
      </c>
      <c r="Q77" t="n">
        <v>0</v>
      </c>
      <c r="R77" s="2" t="inlineStr"/>
    </row>
    <row r="78" ht="15" customHeight="1">
      <c r="A78" t="inlineStr">
        <is>
          <t>A 32921-2023</t>
        </is>
      </c>
      <c r="B78" s="1" t="n">
        <v>45125</v>
      </c>
      <c r="C78" s="1" t="n">
        <v>46175</v>
      </c>
      <c r="D78" t="inlineStr">
        <is>
          <t>KALMAR LÄN</t>
        </is>
      </c>
      <c r="E78" t="inlineStr">
        <is>
          <t>BORGHOLM</t>
        </is>
      </c>
      <c r="G78" t="n">
        <v>2.9</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46175</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45869-2025</t>
        </is>
      </c>
      <c r="B80" s="1" t="n">
        <v>45923.65313657407</v>
      </c>
      <c r="C80" s="1" t="n">
        <v>46175</v>
      </c>
      <c r="D80" t="inlineStr">
        <is>
          <t>KALMAR LÄN</t>
        </is>
      </c>
      <c r="E80" t="inlineStr">
        <is>
          <t>BORGHOLM</t>
        </is>
      </c>
      <c r="G80" t="n">
        <v>4.5</v>
      </c>
      <c r="H80" t="n">
        <v>0</v>
      </c>
      <c r="I80" t="n">
        <v>0</v>
      </c>
      <c r="J80" t="n">
        <v>0</v>
      </c>
      <c r="K80" t="n">
        <v>0</v>
      </c>
      <c r="L80" t="n">
        <v>0</v>
      </c>
      <c r="M80" t="n">
        <v>0</v>
      </c>
      <c r="N80" t="n">
        <v>0</v>
      </c>
      <c r="O80" t="n">
        <v>0</v>
      </c>
      <c r="P80" t="n">
        <v>0</v>
      </c>
      <c r="Q80" t="n">
        <v>0</v>
      </c>
      <c r="R80" s="2" t="inlineStr"/>
    </row>
    <row r="81" ht="15" customHeight="1">
      <c r="A81" t="inlineStr">
        <is>
          <t>A 31840-2021</t>
        </is>
      </c>
      <c r="B81" s="1" t="n">
        <v>44370</v>
      </c>
      <c r="C81" s="1" t="n">
        <v>46175</v>
      </c>
      <c r="D81" t="inlineStr">
        <is>
          <t>KALMAR LÄN</t>
        </is>
      </c>
      <c r="E81" t="inlineStr">
        <is>
          <t>BORGHOLM</t>
        </is>
      </c>
      <c r="F81" t="inlineStr">
        <is>
          <t>Sveaskog</t>
        </is>
      </c>
      <c r="G81" t="n">
        <v>2.8</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46175</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44678-2022</t>
        </is>
      </c>
      <c r="B83" s="1" t="n">
        <v>44840.65100694444</v>
      </c>
      <c r="C83" s="1" t="n">
        <v>46175</v>
      </c>
      <c r="D83" t="inlineStr">
        <is>
          <t>KALMAR LÄN</t>
        </is>
      </c>
      <c r="E83" t="inlineStr">
        <is>
          <t>BORGHOLM</t>
        </is>
      </c>
      <c r="G83" t="n">
        <v>2.4</v>
      </c>
      <c r="H83" t="n">
        <v>0</v>
      </c>
      <c r="I83" t="n">
        <v>0</v>
      </c>
      <c r="J83" t="n">
        <v>0</v>
      </c>
      <c r="K83" t="n">
        <v>0</v>
      </c>
      <c r="L83" t="n">
        <v>0</v>
      </c>
      <c r="M83" t="n">
        <v>0</v>
      </c>
      <c r="N83" t="n">
        <v>0</v>
      </c>
      <c r="O83" t="n">
        <v>0</v>
      </c>
      <c r="P83" t="n">
        <v>0</v>
      </c>
      <c r="Q83" t="n">
        <v>0</v>
      </c>
      <c r="R83" s="2" t="inlineStr"/>
    </row>
    <row r="84" ht="15" customHeight="1">
      <c r="A84" t="inlineStr">
        <is>
          <t>A 36269-2025</t>
        </is>
      </c>
      <c r="B84" s="1" t="n">
        <v>45867.61736111111</v>
      </c>
      <c r="C84" s="1" t="n">
        <v>46175</v>
      </c>
      <c r="D84" t="inlineStr">
        <is>
          <t>KALMAR LÄN</t>
        </is>
      </c>
      <c r="E84" t="inlineStr">
        <is>
          <t>BORGHOLM</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24323-2026</t>
        </is>
      </c>
      <c r="B85" s="1" t="n">
        <v>46169.49458333333</v>
      </c>
      <c r="C85" s="1" t="n">
        <v>46175</v>
      </c>
      <c r="D85" t="inlineStr">
        <is>
          <t>KALMAR LÄN</t>
        </is>
      </c>
      <c r="E85" t="inlineStr">
        <is>
          <t>BORGHOLM</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24338-2026</t>
        </is>
      </c>
      <c r="B86" s="1" t="n">
        <v>46169.54258101852</v>
      </c>
      <c r="C86" s="1" t="n">
        <v>46175</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24345-2026</t>
        </is>
      </c>
      <c r="B87" s="1" t="n">
        <v>46169.55112268519</v>
      </c>
      <c r="C87" s="1" t="n">
        <v>46175</v>
      </c>
      <c r="D87" t="inlineStr">
        <is>
          <t>KALMAR LÄN</t>
        </is>
      </c>
      <c r="E87" t="inlineStr">
        <is>
          <t>BORGHOLM</t>
        </is>
      </c>
      <c r="F87" t="inlineStr">
        <is>
          <t>Sveaskog</t>
        </is>
      </c>
      <c r="G87" t="n">
        <v>7.3</v>
      </c>
      <c r="H87" t="n">
        <v>0</v>
      </c>
      <c r="I87" t="n">
        <v>0</v>
      </c>
      <c r="J87" t="n">
        <v>0</v>
      </c>
      <c r="K87" t="n">
        <v>0</v>
      </c>
      <c r="L87" t="n">
        <v>0</v>
      </c>
      <c r="M87" t="n">
        <v>0</v>
      </c>
      <c r="N87" t="n">
        <v>0</v>
      </c>
      <c r="O87" t="n">
        <v>0</v>
      </c>
      <c r="P87" t="n">
        <v>0</v>
      </c>
      <c r="Q87" t="n">
        <v>0</v>
      </c>
      <c r="R87" s="2" t="inlineStr"/>
    </row>
    <row r="88" ht="15" customHeight="1">
      <c r="A88" t="inlineStr">
        <is>
          <t>A 64303-2023</t>
        </is>
      </c>
      <c r="B88" s="1" t="n">
        <v>45280</v>
      </c>
      <c r="C88" s="1" t="n">
        <v>46175</v>
      </c>
      <c r="D88" t="inlineStr">
        <is>
          <t>KALMAR LÄN</t>
        </is>
      </c>
      <c r="E88" t="inlineStr">
        <is>
          <t>BORGHOLM</t>
        </is>
      </c>
      <c r="G88" t="n">
        <v>1.2</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46175</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63075-2023</t>
        </is>
      </c>
      <c r="B90" s="1" t="n">
        <v>45273</v>
      </c>
      <c r="C90" s="1" t="n">
        <v>46175</v>
      </c>
      <c r="D90" t="inlineStr">
        <is>
          <t>KALMAR LÄN</t>
        </is>
      </c>
      <c r="E90" t="inlineStr">
        <is>
          <t>BORGHOLM</t>
        </is>
      </c>
      <c r="G90" t="n">
        <v>1.1</v>
      </c>
      <c r="H90" t="n">
        <v>0</v>
      </c>
      <c r="I90" t="n">
        <v>0</v>
      </c>
      <c r="J90" t="n">
        <v>0</v>
      </c>
      <c r="K90" t="n">
        <v>0</v>
      </c>
      <c r="L90" t="n">
        <v>0</v>
      </c>
      <c r="M90" t="n">
        <v>0</v>
      </c>
      <c r="N90" t="n">
        <v>0</v>
      </c>
      <c r="O90" t="n">
        <v>0</v>
      </c>
      <c r="P90" t="n">
        <v>0</v>
      </c>
      <c r="Q90" t="n">
        <v>0</v>
      </c>
      <c r="R90" s="2" t="inlineStr"/>
    </row>
    <row r="91" ht="15" customHeight="1">
      <c r="A91" t="inlineStr">
        <is>
          <t>A 50129-2021</t>
        </is>
      </c>
      <c r="B91" s="1" t="n">
        <v>44456</v>
      </c>
      <c r="C91" s="1" t="n">
        <v>46175</v>
      </c>
      <c r="D91" t="inlineStr">
        <is>
          <t>KALMAR LÄN</t>
        </is>
      </c>
      <c r="E91" t="inlineStr">
        <is>
          <t>BORGHOLM</t>
        </is>
      </c>
      <c r="G91" t="n">
        <v>1.6</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46175</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60141-2025</t>
        </is>
      </c>
      <c r="B93" s="1" t="n">
        <v>45994.36873842592</v>
      </c>
      <c r="C93" s="1" t="n">
        <v>46175</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17699-2025</t>
        </is>
      </c>
      <c r="B94" s="1" t="n">
        <v>45758.41846064815</v>
      </c>
      <c r="C94" s="1" t="n">
        <v>46175</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7669-2024</t>
        </is>
      </c>
      <c r="B95" s="1" t="n">
        <v>45348.82498842593</v>
      </c>
      <c r="C95" s="1" t="n">
        <v>46175</v>
      </c>
      <c r="D95" t="inlineStr">
        <is>
          <t>KALMAR LÄN</t>
        </is>
      </c>
      <c r="E95" t="inlineStr">
        <is>
          <t>BORGHOLM</t>
        </is>
      </c>
      <c r="G95" t="n">
        <v>2.3</v>
      </c>
      <c r="H95" t="n">
        <v>0</v>
      </c>
      <c r="I95" t="n">
        <v>0</v>
      </c>
      <c r="J95" t="n">
        <v>0</v>
      </c>
      <c r="K95" t="n">
        <v>0</v>
      </c>
      <c r="L95" t="n">
        <v>0</v>
      </c>
      <c r="M95" t="n">
        <v>0</v>
      </c>
      <c r="N95" t="n">
        <v>0</v>
      </c>
      <c r="O95" t="n">
        <v>0</v>
      </c>
      <c r="P95" t="n">
        <v>0</v>
      </c>
      <c r="Q95" t="n">
        <v>0</v>
      </c>
      <c r="R95" s="2" t="inlineStr"/>
    </row>
    <row r="96" ht="15" customHeight="1">
      <c r="A96" t="inlineStr">
        <is>
          <t>A 34780-2022</t>
        </is>
      </c>
      <c r="B96" s="1" t="n">
        <v>44795</v>
      </c>
      <c r="C96" s="1" t="n">
        <v>46175</v>
      </c>
      <c r="D96" t="inlineStr">
        <is>
          <t>KALMAR LÄN</t>
        </is>
      </c>
      <c r="E96" t="inlineStr">
        <is>
          <t>BORGHOLM</t>
        </is>
      </c>
      <c r="F96" t="inlineStr">
        <is>
          <t>Sveaskog</t>
        </is>
      </c>
      <c r="G96" t="n">
        <v>6.7</v>
      </c>
      <c r="H96" t="n">
        <v>0</v>
      </c>
      <c r="I96" t="n">
        <v>0</v>
      </c>
      <c r="J96" t="n">
        <v>0</v>
      </c>
      <c r="K96" t="n">
        <v>0</v>
      </c>
      <c r="L96" t="n">
        <v>0</v>
      </c>
      <c r="M96" t="n">
        <v>0</v>
      </c>
      <c r="N96" t="n">
        <v>0</v>
      </c>
      <c r="O96" t="n">
        <v>0</v>
      </c>
      <c r="P96" t="n">
        <v>0</v>
      </c>
      <c r="Q96" t="n">
        <v>0</v>
      </c>
      <c r="R96" s="2" t="inlineStr"/>
    </row>
    <row r="97" ht="15" customHeight="1">
      <c r="A97" t="inlineStr">
        <is>
          <t>A 55367-2024</t>
        </is>
      </c>
      <c r="B97" s="1" t="n">
        <v>45621.87075231481</v>
      </c>
      <c r="C97" s="1" t="n">
        <v>46175</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20287-2025</t>
        </is>
      </c>
      <c r="B98" s="1" t="n">
        <v>45774.60741898148</v>
      </c>
      <c r="C98" s="1" t="n">
        <v>46175</v>
      </c>
      <c r="D98" t="inlineStr">
        <is>
          <t>KALMAR LÄN</t>
        </is>
      </c>
      <c r="E98" t="inlineStr">
        <is>
          <t>BORGHOLM</t>
        </is>
      </c>
      <c r="G98" t="n">
        <v>0.6</v>
      </c>
      <c r="H98" t="n">
        <v>0</v>
      </c>
      <c r="I98" t="n">
        <v>0</v>
      </c>
      <c r="J98" t="n">
        <v>0</v>
      </c>
      <c r="K98" t="n">
        <v>0</v>
      </c>
      <c r="L98" t="n">
        <v>0</v>
      </c>
      <c r="M98" t="n">
        <v>0</v>
      </c>
      <c r="N98" t="n">
        <v>0</v>
      </c>
      <c r="O98" t="n">
        <v>0</v>
      </c>
      <c r="P98" t="n">
        <v>0</v>
      </c>
      <c r="Q98" t="n">
        <v>0</v>
      </c>
      <c r="R98" s="2" t="inlineStr"/>
    </row>
    <row r="99" ht="15" customHeight="1">
      <c r="A99" t="inlineStr">
        <is>
          <t>A 61723-2025</t>
        </is>
      </c>
      <c r="B99" s="1" t="n">
        <v>46002.58388888889</v>
      </c>
      <c r="C99" s="1" t="n">
        <v>46175</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9076-2025</t>
        </is>
      </c>
      <c r="B100" s="1" t="n">
        <v>45713.6596875</v>
      </c>
      <c r="C100" s="1" t="n">
        <v>46175</v>
      </c>
      <c r="D100" t="inlineStr">
        <is>
          <t>KALMAR LÄN</t>
        </is>
      </c>
      <c r="E100" t="inlineStr">
        <is>
          <t>BORGHOLM</t>
        </is>
      </c>
      <c r="F100" t="inlineStr">
        <is>
          <t>Sveaskog</t>
        </is>
      </c>
      <c r="G100" t="n">
        <v>4.2</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46175</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46175</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34951-2022</t>
        </is>
      </c>
      <c r="B103" s="1" t="n">
        <v>44796</v>
      </c>
      <c r="C103" s="1" t="n">
        <v>46175</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9034-2025</t>
        </is>
      </c>
      <c r="B104" s="1" t="n">
        <v>45713</v>
      </c>
      <c r="C104" s="1" t="n">
        <v>46175</v>
      </c>
      <c r="D104" t="inlineStr">
        <is>
          <t>KALMAR LÄN</t>
        </is>
      </c>
      <c r="E104" t="inlineStr">
        <is>
          <t>BORGHOLM</t>
        </is>
      </c>
      <c r="F104" t="inlineStr">
        <is>
          <t>Sveaskog</t>
        </is>
      </c>
      <c r="G104" t="n">
        <v>6.8</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46175</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7481-2026</t>
        </is>
      </c>
      <c r="B106" s="1" t="n">
        <v>46059.51359953704</v>
      </c>
      <c r="C106" s="1" t="n">
        <v>46175</v>
      </c>
      <c r="D106" t="inlineStr">
        <is>
          <t>KALMAR LÄN</t>
        </is>
      </c>
      <c r="E106" t="inlineStr">
        <is>
          <t>BORGHOLM</t>
        </is>
      </c>
      <c r="G106" t="n">
        <v>1.9</v>
      </c>
      <c r="H106" t="n">
        <v>0</v>
      </c>
      <c r="I106" t="n">
        <v>0</v>
      </c>
      <c r="J106" t="n">
        <v>0</v>
      </c>
      <c r="K106" t="n">
        <v>0</v>
      </c>
      <c r="L106" t="n">
        <v>0</v>
      </c>
      <c r="M106" t="n">
        <v>0</v>
      </c>
      <c r="N106" t="n">
        <v>0</v>
      </c>
      <c r="O106" t="n">
        <v>0</v>
      </c>
      <c r="P106" t="n">
        <v>0</v>
      </c>
      <c r="Q106" t="n">
        <v>0</v>
      </c>
      <c r="R106" s="2" t="inlineStr"/>
    </row>
    <row r="107" ht="15" customHeight="1">
      <c r="A107" t="inlineStr">
        <is>
          <t>A 3878-2023</t>
        </is>
      </c>
      <c r="B107" s="1" t="n">
        <v>44951</v>
      </c>
      <c r="C107" s="1" t="n">
        <v>46175</v>
      </c>
      <c r="D107" t="inlineStr">
        <is>
          <t>KALMAR LÄN</t>
        </is>
      </c>
      <c r="E107" t="inlineStr">
        <is>
          <t>BORGHOLM</t>
        </is>
      </c>
      <c r="G107" t="n">
        <v>1.7</v>
      </c>
      <c r="H107" t="n">
        <v>0</v>
      </c>
      <c r="I107" t="n">
        <v>0</v>
      </c>
      <c r="J107" t="n">
        <v>0</v>
      </c>
      <c r="K107" t="n">
        <v>0</v>
      </c>
      <c r="L107" t="n">
        <v>0</v>
      </c>
      <c r="M107" t="n">
        <v>0</v>
      </c>
      <c r="N107" t="n">
        <v>0</v>
      </c>
      <c r="O107" t="n">
        <v>0</v>
      </c>
      <c r="P107" t="n">
        <v>0</v>
      </c>
      <c r="Q107" t="n">
        <v>0</v>
      </c>
      <c r="R107" s="2" t="inlineStr"/>
    </row>
    <row r="108" ht="15" customHeight="1">
      <c r="A108" t="inlineStr">
        <is>
          <t>A 19867-2024</t>
        </is>
      </c>
      <c r="B108" s="1" t="n">
        <v>45433</v>
      </c>
      <c r="C108" s="1" t="n">
        <v>46175</v>
      </c>
      <c r="D108" t="inlineStr">
        <is>
          <t>KALMAR LÄN</t>
        </is>
      </c>
      <c r="E108" t="inlineStr">
        <is>
          <t>BORGHOLM</t>
        </is>
      </c>
      <c r="G108" t="n">
        <v>3.9</v>
      </c>
      <c r="H108" t="n">
        <v>0</v>
      </c>
      <c r="I108" t="n">
        <v>0</v>
      </c>
      <c r="J108" t="n">
        <v>0</v>
      </c>
      <c r="K108" t="n">
        <v>0</v>
      </c>
      <c r="L108" t="n">
        <v>0</v>
      </c>
      <c r="M108" t="n">
        <v>0</v>
      </c>
      <c r="N108" t="n">
        <v>0</v>
      </c>
      <c r="O108" t="n">
        <v>0</v>
      </c>
      <c r="P108" t="n">
        <v>0</v>
      </c>
      <c r="Q108" t="n">
        <v>0</v>
      </c>
      <c r="R108" s="2" t="inlineStr"/>
    </row>
    <row r="109" ht="15" customHeight="1">
      <c r="A109" t="inlineStr">
        <is>
          <t>A 13383-2023</t>
        </is>
      </c>
      <c r="B109" s="1" t="n">
        <v>45005</v>
      </c>
      <c r="C109" s="1" t="n">
        <v>46175</v>
      </c>
      <c r="D109" t="inlineStr">
        <is>
          <t>KALMAR LÄN</t>
        </is>
      </c>
      <c r="E109" t="inlineStr">
        <is>
          <t>BORGHOLM</t>
        </is>
      </c>
      <c r="G109" t="n">
        <v>0.8</v>
      </c>
      <c r="H109" t="n">
        <v>0</v>
      </c>
      <c r="I109" t="n">
        <v>0</v>
      </c>
      <c r="J109" t="n">
        <v>0</v>
      </c>
      <c r="K109" t="n">
        <v>0</v>
      </c>
      <c r="L109" t="n">
        <v>0</v>
      </c>
      <c r="M109" t="n">
        <v>0</v>
      </c>
      <c r="N109" t="n">
        <v>0</v>
      </c>
      <c r="O109" t="n">
        <v>0</v>
      </c>
      <c r="P109" t="n">
        <v>0</v>
      </c>
      <c r="Q109" t="n">
        <v>0</v>
      </c>
      <c r="R109" s="2" t="inlineStr"/>
    </row>
    <row r="110" ht="15" customHeight="1">
      <c r="A110" t="inlineStr">
        <is>
          <t>A 12937-2022</t>
        </is>
      </c>
      <c r="B110" s="1" t="n">
        <v>44642</v>
      </c>
      <c r="C110" s="1" t="n">
        <v>46175</v>
      </c>
      <c r="D110" t="inlineStr">
        <is>
          <t>KALMAR LÄN</t>
        </is>
      </c>
      <c r="E110" t="inlineStr">
        <is>
          <t>BORGHOLM</t>
        </is>
      </c>
      <c r="F110" t="inlineStr">
        <is>
          <t>Sveaskog</t>
        </is>
      </c>
      <c r="G110" t="n">
        <v>1.8</v>
      </c>
      <c r="H110" t="n">
        <v>0</v>
      </c>
      <c r="I110" t="n">
        <v>0</v>
      </c>
      <c r="J110" t="n">
        <v>0</v>
      </c>
      <c r="K110" t="n">
        <v>0</v>
      </c>
      <c r="L110" t="n">
        <v>0</v>
      </c>
      <c r="M110" t="n">
        <v>0</v>
      </c>
      <c r="N110" t="n">
        <v>0</v>
      </c>
      <c r="O110" t="n">
        <v>0</v>
      </c>
      <c r="P110" t="n">
        <v>0</v>
      </c>
      <c r="Q110" t="n">
        <v>0</v>
      </c>
      <c r="R110" s="2" t="inlineStr"/>
    </row>
    <row r="111" ht="15" customHeight="1">
      <c r="A111" t="inlineStr">
        <is>
          <t>A 7960-2023</t>
        </is>
      </c>
      <c r="B111" s="1" t="n">
        <v>44973</v>
      </c>
      <c r="C111" s="1" t="n">
        <v>46175</v>
      </c>
      <c r="D111" t="inlineStr">
        <is>
          <t>KALMAR LÄN</t>
        </is>
      </c>
      <c r="E111" t="inlineStr">
        <is>
          <t>BORGHOLM</t>
        </is>
      </c>
      <c r="G111" t="n">
        <v>2.1</v>
      </c>
      <c r="H111" t="n">
        <v>0</v>
      </c>
      <c r="I111" t="n">
        <v>0</v>
      </c>
      <c r="J111" t="n">
        <v>0</v>
      </c>
      <c r="K111" t="n">
        <v>0</v>
      </c>
      <c r="L111" t="n">
        <v>0</v>
      </c>
      <c r="M111" t="n">
        <v>0</v>
      </c>
      <c r="N111" t="n">
        <v>0</v>
      </c>
      <c r="O111" t="n">
        <v>0</v>
      </c>
      <c r="P111" t="n">
        <v>0</v>
      </c>
      <c r="Q111" t="n">
        <v>0</v>
      </c>
      <c r="R111" s="2" t="inlineStr"/>
    </row>
    <row r="112" ht="15" customHeight="1">
      <c r="A112" t="inlineStr">
        <is>
          <t>A 61438-2023</t>
        </is>
      </c>
      <c r="B112" s="1" t="n">
        <v>45264</v>
      </c>
      <c r="C112" s="1" t="n">
        <v>46175</v>
      </c>
      <c r="D112" t="inlineStr">
        <is>
          <t>KALMAR LÄN</t>
        </is>
      </c>
      <c r="E112" t="inlineStr">
        <is>
          <t>BORGHOLM</t>
        </is>
      </c>
      <c r="G112" t="n">
        <v>1.1</v>
      </c>
      <c r="H112" t="n">
        <v>0</v>
      </c>
      <c r="I112" t="n">
        <v>0</v>
      </c>
      <c r="J112" t="n">
        <v>0</v>
      </c>
      <c r="K112" t="n">
        <v>0</v>
      </c>
      <c r="L112" t="n">
        <v>0</v>
      </c>
      <c r="M112" t="n">
        <v>0</v>
      </c>
      <c r="N112" t="n">
        <v>0</v>
      </c>
      <c r="O112" t="n">
        <v>0</v>
      </c>
      <c r="P112" t="n">
        <v>0</v>
      </c>
      <c r="Q112" t="n">
        <v>0</v>
      </c>
      <c r="R112" s="2" t="inlineStr"/>
    </row>
    <row r="113" ht="15" customHeight="1">
      <c r="A113" t="inlineStr">
        <is>
          <t>A 13041-2024</t>
        </is>
      </c>
      <c r="B113" s="1" t="n">
        <v>45385.60065972222</v>
      </c>
      <c r="C113" s="1" t="n">
        <v>46175</v>
      </c>
      <c r="D113" t="inlineStr">
        <is>
          <t>KALMAR LÄN</t>
        </is>
      </c>
      <c r="E113" t="inlineStr">
        <is>
          <t>BORGHOLM</t>
        </is>
      </c>
      <c r="G113" t="n">
        <v>0.5</v>
      </c>
      <c r="H113" t="n">
        <v>0</v>
      </c>
      <c r="I113" t="n">
        <v>0</v>
      </c>
      <c r="J113" t="n">
        <v>0</v>
      </c>
      <c r="K113" t="n">
        <v>0</v>
      </c>
      <c r="L113" t="n">
        <v>0</v>
      </c>
      <c r="M113" t="n">
        <v>0</v>
      </c>
      <c r="N113" t="n">
        <v>0</v>
      </c>
      <c r="O113" t="n">
        <v>0</v>
      </c>
      <c r="P113" t="n">
        <v>0</v>
      </c>
      <c r="Q113" t="n">
        <v>0</v>
      </c>
      <c r="R113" s="2" t="inlineStr"/>
    </row>
    <row r="114" ht="15" customHeight="1">
      <c r="A114" t="inlineStr">
        <is>
          <t>A 1614-2025</t>
        </is>
      </c>
      <c r="B114" s="1" t="n">
        <v>45670.60094907408</v>
      </c>
      <c r="C114" s="1" t="n">
        <v>46175</v>
      </c>
      <c r="D114" t="inlineStr">
        <is>
          <t>KALMAR LÄN</t>
        </is>
      </c>
      <c r="E114" t="inlineStr">
        <is>
          <t>BORGHOLM</t>
        </is>
      </c>
      <c r="G114" t="n">
        <v>1.4</v>
      </c>
      <c r="H114" t="n">
        <v>0</v>
      </c>
      <c r="I114" t="n">
        <v>0</v>
      </c>
      <c r="J114" t="n">
        <v>0</v>
      </c>
      <c r="K114" t="n">
        <v>0</v>
      </c>
      <c r="L114" t="n">
        <v>0</v>
      </c>
      <c r="M114" t="n">
        <v>0</v>
      </c>
      <c r="N114" t="n">
        <v>0</v>
      </c>
      <c r="O114" t="n">
        <v>0</v>
      </c>
      <c r="P114" t="n">
        <v>0</v>
      </c>
      <c r="Q114" t="n">
        <v>0</v>
      </c>
      <c r="R114" s="2" t="inlineStr"/>
    </row>
    <row r="115" ht="15" customHeight="1">
      <c r="A115" t="inlineStr">
        <is>
          <t>A 63276-2023</t>
        </is>
      </c>
      <c r="B115" s="1" t="n">
        <v>45273.82195601852</v>
      </c>
      <c r="C115" s="1" t="n">
        <v>46175</v>
      </c>
      <c r="D115" t="inlineStr">
        <is>
          <t>KALMAR LÄN</t>
        </is>
      </c>
      <c r="E115" t="inlineStr">
        <is>
          <t>BORGHOLM</t>
        </is>
      </c>
      <c r="G115" t="n">
        <v>5</v>
      </c>
      <c r="H115" t="n">
        <v>0</v>
      </c>
      <c r="I115" t="n">
        <v>0</v>
      </c>
      <c r="J115" t="n">
        <v>0</v>
      </c>
      <c r="K115" t="n">
        <v>0</v>
      </c>
      <c r="L115" t="n">
        <v>0</v>
      </c>
      <c r="M115" t="n">
        <v>0</v>
      </c>
      <c r="N115" t="n">
        <v>0</v>
      </c>
      <c r="O115" t="n">
        <v>0</v>
      </c>
      <c r="P115" t="n">
        <v>0</v>
      </c>
      <c r="Q115" t="n">
        <v>0</v>
      </c>
      <c r="R115" s="2" t="inlineStr"/>
    </row>
    <row r="116" ht="15" customHeight="1">
      <c r="A116" t="inlineStr">
        <is>
          <t>A 9050-2025</t>
        </is>
      </c>
      <c r="B116" s="1" t="n">
        <v>45713.63512731482</v>
      </c>
      <c r="C116" s="1" t="n">
        <v>46175</v>
      </c>
      <c r="D116" t="inlineStr">
        <is>
          <t>KALMAR LÄN</t>
        </is>
      </c>
      <c r="E116" t="inlineStr">
        <is>
          <t>BORGHOLM</t>
        </is>
      </c>
      <c r="F116" t="inlineStr">
        <is>
          <t>Sveaskog</t>
        </is>
      </c>
      <c r="G116" t="n">
        <v>2.5</v>
      </c>
      <c r="H116" t="n">
        <v>0</v>
      </c>
      <c r="I116" t="n">
        <v>0</v>
      </c>
      <c r="J116" t="n">
        <v>0</v>
      </c>
      <c r="K116" t="n">
        <v>0</v>
      </c>
      <c r="L116" t="n">
        <v>0</v>
      </c>
      <c r="M116" t="n">
        <v>0</v>
      </c>
      <c r="N116" t="n">
        <v>0</v>
      </c>
      <c r="O116" t="n">
        <v>0</v>
      </c>
      <c r="P116" t="n">
        <v>0</v>
      </c>
      <c r="Q116" t="n">
        <v>0</v>
      </c>
      <c r="R116" s="2" t="inlineStr"/>
    </row>
    <row r="117" ht="15" customHeight="1">
      <c r="A117" t="inlineStr">
        <is>
          <t>A 13043-2024</t>
        </is>
      </c>
      <c r="B117" s="1" t="n">
        <v>45385.60111111111</v>
      </c>
      <c r="C117" s="1" t="n">
        <v>46175</v>
      </c>
      <c r="D117" t="inlineStr">
        <is>
          <t>KALMAR LÄN</t>
        </is>
      </c>
      <c r="E117" t="inlineStr">
        <is>
          <t>BORGHOLM</t>
        </is>
      </c>
      <c r="G117" t="n">
        <v>0.4</v>
      </c>
      <c r="H117" t="n">
        <v>0</v>
      </c>
      <c r="I117" t="n">
        <v>0</v>
      </c>
      <c r="J117" t="n">
        <v>0</v>
      </c>
      <c r="K117" t="n">
        <v>0</v>
      </c>
      <c r="L117" t="n">
        <v>0</v>
      </c>
      <c r="M117" t="n">
        <v>0</v>
      </c>
      <c r="N117" t="n">
        <v>0</v>
      </c>
      <c r="O117" t="n">
        <v>0</v>
      </c>
      <c r="P117" t="n">
        <v>0</v>
      </c>
      <c r="Q117" t="n">
        <v>0</v>
      </c>
      <c r="R117" s="2" t="inlineStr"/>
    </row>
    <row r="118" ht="15" customHeight="1">
      <c r="A118" t="inlineStr">
        <is>
          <t>A 22785-2025</t>
        </is>
      </c>
      <c r="B118" s="1" t="n">
        <v>45789.64186342592</v>
      </c>
      <c r="C118" s="1" t="n">
        <v>46175</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12534-2022</t>
        </is>
      </c>
      <c r="B119" s="1" t="n">
        <v>44638</v>
      </c>
      <c r="C119" s="1" t="n">
        <v>46175</v>
      </c>
      <c r="D119" t="inlineStr">
        <is>
          <t>KALMAR LÄN</t>
        </is>
      </c>
      <c r="E119" t="inlineStr">
        <is>
          <t>BORGHOLM</t>
        </is>
      </c>
      <c r="G119" t="n">
        <v>8.6</v>
      </c>
      <c r="H119" t="n">
        <v>0</v>
      </c>
      <c r="I119" t="n">
        <v>0</v>
      </c>
      <c r="J119" t="n">
        <v>0</v>
      </c>
      <c r="K119" t="n">
        <v>0</v>
      </c>
      <c r="L119" t="n">
        <v>0</v>
      </c>
      <c r="M119" t="n">
        <v>0</v>
      </c>
      <c r="N119" t="n">
        <v>0</v>
      </c>
      <c r="O119" t="n">
        <v>0</v>
      </c>
      <c r="P119" t="n">
        <v>0</v>
      </c>
      <c r="Q119" t="n">
        <v>0</v>
      </c>
      <c r="R119" s="2" t="inlineStr"/>
    </row>
    <row r="120" ht="15" customHeight="1">
      <c r="A120" t="inlineStr">
        <is>
          <t>A 40339-2023</t>
        </is>
      </c>
      <c r="B120" s="1" t="n">
        <v>45169.62733796296</v>
      </c>
      <c r="C120" s="1" t="n">
        <v>46175</v>
      </c>
      <c r="D120" t="inlineStr">
        <is>
          <t>KALMAR LÄN</t>
        </is>
      </c>
      <c r="E120" t="inlineStr">
        <is>
          <t>BORGHOLM</t>
        </is>
      </c>
      <c r="G120" t="n">
        <v>3.8</v>
      </c>
      <c r="H120" t="n">
        <v>0</v>
      </c>
      <c r="I120" t="n">
        <v>0</v>
      </c>
      <c r="J120" t="n">
        <v>0</v>
      </c>
      <c r="K120" t="n">
        <v>0</v>
      </c>
      <c r="L120" t="n">
        <v>0</v>
      </c>
      <c r="M120" t="n">
        <v>0</v>
      </c>
      <c r="N120" t="n">
        <v>0</v>
      </c>
      <c r="O120" t="n">
        <v>0</v>
      </c>
      <c r="P120" t="n">
        <v>0</v>
      </c>
      <c r="Q120" t="n">
        <v>0</v>
      </c>
      <c r="R120" s="2" t="inlineStr"/>
    </row>
    <row r="121" ht="15" customHeight="1">
      <c r="A121" t="inlineStr">
        <is>
          <t>A 24166-2022</t>
        </is>
      </c>
      <c r="B121" s="1" t="n">
        <v>44725</v>
      </c>
      <c r="C121" s="1" t="n">
        <v>46175</v>
      </c>
      <c r="D121" t="inlineStr">
        <is>
          <t>KALMAR LÄN</t>
        </is>
      </c>
      <c r="E121" t="inlineStr">
        <is>
          <t>BORGHOLM</t>
        </is>
      </c>
      <c r="G121" t="n">
        <v>10.7</v>
      </c>
      <c r="H121" t="n">
        <v>0</v>
      </c>
      <c r="I121" t="n">
        <v>0</v>
      </c>
      <c r="J121" t="n">
        <v>0</v>
      </c>
      <c r="K121" t="n">
        <v>0</v>
      </c>
      <c r="L121" t="n">
        <v>0</v>
      </c>
      <c r="M121" t="n">
        <v>0</v>
      </c>
      <c r="N121" t="n">
        <v>0</v>
      </c>
      <c r="O121" t="n">
        <v>0</v>
      </c>
      <c r="P121" t="n">
        <v>0</v>
      </c>
      <c r="Q121" t="n">
        <v>0</v>
      </c>
      <c r="R121" s="2" t="inlineStr"/>
    </row>
    <row r="122" ht="15" customHeight="1">
      <c r="A122" t="inlineStr">
        <is>
          <t>A 26160-2025</t>
        </is>
      </c>
      <c r="B122" s="1" t="n">
        <v>45805.4490162037</v>
      </c>
      <c r="C122" s="1" t="n">
        <v>46175</v>
      </c>
      <c r="D122" t="inlineStr">
        <is>
          <t>KALMAR LÄN</t>
        </is>
      </c>
      <c r="E122" t="inlineStr">
        <is>
          <t>BORGHOLM</t>
        </is>
      </c>
      <c r="G122" t="n">
        <v>3.7</v>
      </c>
      <c r="H122" t="n">
        <v>0</v>
      </c>
      <c r="I122" t="n">
        <v>0</v>
      </c>
      <c r="J122" t="n">
        <v>0</v>
      </c>
      <c r="K122" t="n">
        <v>0</v>
      </c>
      <c r="L122" t="n">
        <v>0</v>
      </c>
      <c r="M122" t="n">
        <v>0</v>
      </c>
      <c r="N122" t="n">
        <v>0</v>
      </c>
      <c r="O122" t="n">
        <v>0</v>
      </c>
      <c r="P122" t="n">
        <v>0</v>
      </c>
      <c r="Q122" t="n">
        <v>0</v>
      </c>
      <c r="R122" s="2" t="inlineStr"/>
    </row>
    <row r="123" ht="15" customHeight="1">
      <c r="A123" t="inlineStr">
        <is>
          <t>A 26190-2025</t>
        </is>
      </c>
      <c r="B123" s="1" t="n">
        <v>45805.48349537037</v>
      </c>
      <c r="C123" s="1" t="n">
        <v>46175</v>
      </c>
      <c r="D123" t="inlineStr">
        <is>
          <t>KALMAR LÄN</t>
        </is>
      </c>
      <c r="E123" t="inlineStr">
        <is>
          <t>BORGHOLM</t>
        </is>
      </c>
      <c r="G123" t="n">
        <v>3.2</v>
      </c>
      <c r="H123" t="n">
        <v>0</v>
      </c>
      <c r="I123" t="n">
        <v>0</v>
      </c>
      <c r="J123" t="n">
        <v>0</v>
      </c>
      <c r="K123" t="n">
        <v>0</v>
      </c>
      <c r="L123" t="n">
        <v>0</v>
      </c>
      <c r="M123" t="n">
        <v>0</v>
      </c>
      <c r="N123" t="n">
        <v>0</v>
      </c>
      <c r="O123" t="n">
        <v>0</v>
      </c>
      <c r="P123" t="n">
        <v>0</v>
      </c>
      <c r="Q123" t="n">
        <v>0</v>
      </c>
      <c r="R123" s="2" t="inlineStr"/>
    </row>
    <row r="124" ht="15" customHeight="1">
      <c r="A124" t="inlineStr">
        <is>
          <t>A 27357-2025</t>
        </is>
      </c>
      <c r="B124" s="1" t="n">
        <v>45812.63650462963</v>
      </c>
      <c r="C124" s="1" t="n">
        <v>46175</v>
      </c>
      <c r="D124" t="inlineStr">
        <is>
          <t>KALMAR LÄN</t>
        </is>
      </c>
      <c r="E124" t="inlineStr">
        <is>
          <t>BORGHOLM</t>
        </is>
      </c>
      <c r="F124" t="inlineStr">
        <is>
          <t>Sveaskog</t>
        </is>
      </c>
      <c r="G124" t="n">
        <v>4.5</v>
      </c>
      <c r="H124" t="n">
        <v>0</v>
      </c>
      <c r="I124" t="n">
        <v>0</v>
      </c>
      <c r="J124" t="n">
        <v>0</v>
      </c>
      <c r="K124" t="n">
        <v>0</v>
      </c>
      <c r="L124" t="n">
        <v>0</v>
      </c>
      <c r="M124" t="n">
        <v>0</v>
      </c>
      <c r="N124" t="n">
        <v>0</v>
      </c>
      <c r="O124" t="n">
        <v>0</v>
      </c>
      <c r="P124" t="n">
        <v>0</v>
      </c>
      <c r="Q124" t="n">
        <v>0</v>
      </c>
      <c r="R124" s="2" t="inlineStr"/>
    </row>
    <row r="125">
      <c r="A125" t="inlineStr">
        <is>
          <t>A 27366-2025</t>
        </is>
      </c>
      <c r="B125" s="1" t="n">
        <v>45812.64475694444</v>
      </c>
      <c r="C125" s="1" t="n">
        <v>46175</v>
      </c>
      <c r="D125" t="inlineStr">
        <is>
          <t>KALMAR LÄN</t>
        </is>
      </c>
      <c r="E125" t="inlineStr">
        <is>
          <t>BORGHOLM</t>
        </is>
      </c>
      <c r="F125" t="inlineStr">
        <is>
          <t>Sveaskog</t>
        </is>
      </c>
      <c r="G125" t="n">
        <v>2.5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2026-06-02T10:57:06Z</dcterms:created>
  <dcterms:modified xmlns:dcterms="http://purl.org/dc/terms/" xmlns:xsi="http://www.w3.org/2001/XMLSchema-instance" xsi:type="dcterms:W3CDTF">2026-06-02T10:57:06Z</dcterms:modified>
</cp:coreProperties>
</file>