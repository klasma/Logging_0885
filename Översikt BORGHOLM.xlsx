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45976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45976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45976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45976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45976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45976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45976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45976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45976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45976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45976</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45976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45976</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45976</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45976</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45976</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45976</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45976</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45976</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45976</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4164-2023</t>
        </is>
      </c>
      <c r="B22" s="1" t="n">
        <v>44953</v>
      </c>
      <c r="C22" s="1" t="n">
        <v>45976</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44008-2022</t>
        </is>
      </c>
      <c r="B23" s="1" t="n">
        <v>44838</v>
      </c>
      <c r="C23" s="1" t="n">
        <v>45976</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45976</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45976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45976</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28779-2025</t>
        </is>
      </c>
      <c r="B27" s="1" t="n">
        <v>45820.44920138889</v>
      </c>
      <c r="C27" s="1" t="n">
        <v>45976</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3871-2021</t>
        </is>
      </c>
      <c r="B28" s="1" t="n">
        <v>44222</v>
      </c>
      <c r="C28" s="1" t="n">
        <v>45976</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45976</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45976</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45976</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24701-2023</t>
        </is>
      </c>
      <c r="B32" s="1" t="n">
        <v>45084</v>
      </c>
      <c r="C32" s="1" t="n">
        <v>45976</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45976</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24704-2023</t>
        </is>
      </c>
      <c r="B34" s="1" t="n">
        <v>45084</v>
      </c>
      <c r="C34" s="1" t="n">
        <v>45976</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12785-2021</t>
        </is>
      </c>
      <c r="B35" s="1" t="n">
        <v>44270</v>
      </c>
      <c r="C35" s="1" t="n">
        <v>45976</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9745-2023</t>
        </is>
      </c>
      <c r="B36" s="1" t="n">
        <v>44984</v>
      </c>
      <c r="C36" s="1" t="n">
        <v>45976</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43603-2024</t>
        </is>
      </c>
      <c r="B37" s="1" t="n">
        <v>45569.44700231482</v>
      </c>
      <c r="C37" s="1" t="n">
        <v>45976</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14789-2021</t>
        </is>
      </c>
      <c r="B38" s="1" t="n">
        <v>44280</v>
      </c>
      <c r="C38" s="1" t="n">
        <v>45976</v>
      </c>
      <c r="D38" t="inlineStr">
        <is>
          <t>KALMAR LÄN</t>
        </is>
      </c>
      <c r="E38" t="inlineStr">
        <is>
          <t>BORGHOLM</t>
        </is>
      </c>
      <c r="G38" t="n">
        <v>1</v>
      </c>
      <c r="H38" t="n">
        <v>1</v>
      </c>
      <c r="I38" t="n">
        <v>1</v>
      </c>
      <c r="J38" t="n">
        <v>0</v>
      </c>
      <c r="K38" t="n">
        <v>0</v>
      </c>
      <c r="L38" t="n">
        <v>0</v>
      </c>
      <c r="M38" t="n">
        <v>0</v>
      </c>
      <c r="N38" t="n">
        <v>0</v>
      </c>
      <c r="O38" t="n">
        <v>0</v>
      </c>
      <c r="P38" t="n">
        <v>0</v>
      </c>
      <c r="Q38" t="n">
        <v>1</v>
      </c>
      <c r="R38" s="2" t="inlineStr">
        <is>
          <t>Skogsknipprot</t>
        </is>
      </c>
      <c r="S38">
        <f>HYPERLINK("https://klasma.github.io/Logging_0885/artfynd/A 14789-2021 artfynd.xlsx", "A 14789-2021")</f>
        <v/>
      </c>
      <c r="T38">
        <f>HYPERLINK("https://klasma.github.io/Logging_0885/kartor/A 14789-2021 karta.png", "A 14789-2021")</f>
        <v/>
      </c>
      <c r="V38">
        <f>HYPERLINK("https://klasma.github.io/Logging_0885/klagomål/A 14789-2021 FSC-klagomål.docx", "A 14789-2021")</f>
        <v/>
      </c>
      <c r="W38">
        <f>HYPERLINK("https://klasma.github.io/Logging_0885/klagomålsmail/A 14789-2021 FSC-klagomål mail.docx", "A 14789-2021")</f>
        <v/>
      </c>
      <c r="X38">
        <f>HYPERLINK("https://klasma.github.io/Logging_0885/tillsyn/A 14789-2021 tillsynsbegäran.docx", "A 14789-2021")</f>
        <v/>
      </c>
      <c r="Y38">
        <f>HYPERLINK("https://klasma.github.io/Logging_0885/tillsynsmail/A 14789-2021 tillsynsbegäran mail.docx", "A 14789-2021")</f>
        <v/>
      </c>
    </row>
    <row r="39" ht="15" customHeight="1">
      <c r="A39" t="inlineStr">
        <is>
          <t>A 45693-2025</t>
        </is>
      </c>
      <c r="B39" s="1" t="n">
        <v>45923</v>
      </c>
      <c r="C39" s="1" t="n">
        <v>45976</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24048-2025</t>
        </is>
      </c>
      <c r="B40" s="1" t="n">
        <v>45796.4959375</v>
      </c>
      <c r="C40" s="1" t="n">
        <v>45976</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45976</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45976</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45976</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45976</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45976</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45976</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45976</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45976</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45976</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45976</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45976</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45976</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45976</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60735-2020</t>
        </is>
      </c>
      <c r="B54" s="1" t="n">
        <v>44153</v>
      </c>
      <c r="C54" s="1" t="n">
        <v>45976</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45976</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56983-2021</t>
        </is>
      </c>
      <c r="B56" s="1" t="n">
        <v>44482</v>
      </c>
      <c r="C56" s="1" t="n">
        <v>45976</v>
      </c>
      <c r="D56" t="inlineStr">
        <is>
          <t>KALMAR LÄN</t>
        </is>
      </c>
      <c r="E56" t="inlineStr">
        <is>
          <t>BORGHOLM</t>
        </is>
      </c>
      <c r="G56" t="n">
        <v>1.2</v>
      </c>
      <c r="H56" t="n">
        <v>0</v>
      </c>
      <c r="I56" t="n">
        <v>0</v>
      </c>
      <c r="J56" t="n">
        <v>0</v>
      </c>
      <c r="K56" t="n">
        <v>0</v>
      </c>
      <c r="L56" t="n">
        <v>0</v>
      </c>
      <c r="M56" t="n">
        <v>0</v>
      </c>
      <c r="N56" t="n">
        <v>0</v>
      </c>
      <c r="O56" t="n">
        <v>0</v>
      </c>
      <c r="P56" t="n">
        <v>0</v>
      </c>
      <c r="Q56" t="n">
        <v>0</v>
      </c>
      <c r="R56" s="2" t="inlineStr"/>
    </row>
    <row r="57" ht="15" customHeight="1">
      <c r="A57" t="inlineStr">
        <is>
          <t>A 42785-2021</t>
        </is>
      </c>
      <c r="B57" s="1" t="n">
        <v>44428</v>
      </c>
      <c r="C57" s="1" t="n">
        <v>45976</v>
      </c>
      <c r="D57" t="inlineStr">
        <is>
          <t>KALMAR LÄN</t>
        </is>
      </c>
      <c r="E57" t="inlineStr">
        <is>
          <t>BORGHOLM</t>
        </is>
      </c>
      <c r="G57" t="n">
        <v>2.8</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45976</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45976</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45976</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27437-2022</t>
        </is>
      </c>
      <c r="B61" s="1" t="n">
        <v>44742.55567129629</v>
      </c>
      <c r="C61" s="1" t="n">
        <v>45976</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62631-2021</t>
        </is>
      </c>
      <c r="B62" s="1" t="n">
        <v>44503</v>
      </c>
      <c r="C62" s="1" t="n">
        <v>45976</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63276-2023</t>
        </is>
      </c>
      <c r="B63" s="1" t="n">
        <v>45273.82195601852</v>
      </c>
      <c r="C63" s="1" t="n">
        <v>45976</v>
      </c>
      <c r="D63" t="inlineStr">
        <is>
          <t>KALMAR LÄN</t>
        </is>
      </c>
      <c r="E63" t="inlineStr">
        <is>
          <t>BORGHOLM</t>
        </is>
      </c>
      <c r="G63" t="n">
        <v>5</v>
      </c>
      <c r="H63" t="n">
        <v>0</v>
      </c>
      <c r="I63" t="n">
        <v>0</v>
      </c>
      <c r="J63" t="n">
        <v>0</v>
      </c>
      <c r="K63" t="n">
        <v>0</v>
      </c>
      <c r="L63" t="n">
        <v>0</v>
      </c>
      <c r="M63" t="n">
        <v>0</v>
      </c>
      <c r="N63" t="n">
        <v>0</v>
      </c>
      <c r="O63" t="n">
        <v>0</v>
      </c>
      <c r="P63" t="n">
        <v>0</v>
      </c>
      <c r="Q63" t="n">
        <v>0</v>
      </c>
      <c r="R63" s="2" t="inlineStr"/>
    </row>
    <row r="64" ht="15" customHeight="1">
      <c r="A64" t="inlineStr">
        <is>
          <t>A 9034-2025</t>
        </is>
      </c>
      <c r="B64" s="1" t="n">
        <v>45713</v>
      </c>
      <c r="C64" s="1" t="n">
        <v>45976</v>
      </c>
      <c r="D64" t="inlineStr">
        <is>
          <t>KALMAR LÄN</t>
        </is>
      </c>
      <c r="E64" t="inlineStr">
        <is>
          <t>BORGHOLM</t>
        </is>
      </c>
      <c r="F64" t="inlineStr">
        <is>
          <t>Sveaskog</t>
        </is>
      </c>
      <c r="G64" t="n">
        <v>6.8</v>
      </c>
      <c r="H64" t="n">
        <v>0</v>
      </c>
      <c r="I64" t="n">
        <v>0</v>
      </c>
      <c r="J64" t="n">
        <v>0</v>
      </c>
      <c r="K64" t="n">
        <v>0</v>
      </c>
      <c r="L64" t="n">
        <v>0</v>
      </c>
      <c r="M64" t="n">
        <v>0</v>
      </c>
      <c r="N64" t="n">
        <v>0</v>
      </c>
      <c r="O64" t="n">
        <v>0</v>
      </c>
      <c r="P64" t="n">
        <v>0</v>
      </c>
      <c r="Q64" t="n">
        <v>0</v>
      </c>
      <c r="R64" s="2" t="inlineStr"/>
    </row>
    <row r="65" ht="15" customHeight="1">
      <c r="A65" t="inlineStr">
        <is>
          <t>A 13043-2024</t>
        </is>
      </c>
      <c r="B65" s="1" t="n">
        <v>45385.60111111111</v>
      </c>
      <c r="C65" s="1" t="n">
        <v>45976</v>
      </c>
      <c r="D65" t="inlineStr">
        <is>
          <t>KALMAR LÄN</t>
        </is>
      </c>
      <c r="E65" t="inlineStr">
        <is>
          <t>BORGHOLM</t>
        </is>
      </c>
      <c r="G65" t="n">
        <v>0.4</v>
      </c>
      <c r="H65" t="n">
        <v>0</v>
      </c>
      <c r="I65" t="n">
        <v>0</v>
      </c>
      <c r="J65" t="n">
        <v>0</v>
      </c>
      <c r="K65" t="n">
        <v>0</v>
      </c>
      <c r="L65" t="n">
        <v>0</v>
      </c>
      <c r="M65" t="n">
        <v>0</v>
      </c>
      <c r="N65" t="n">
        <v>0</v>
      </c>
      <c r="O65" t="n">
        <v>0</v>
      </c>
      <c r="P65" t="n">
        <v>0</v>
      </c>
      <c r="Q65" t="n">
        <v>0</v>
      </c>
      <c r="R65" s="2" t="inlineStr"/>
    </row>
    <row r="66" ht="15" customHeight="1">
      <c r="A66" t="inlineStr">
        <is>
          <t>A 34780-2022</t>
        </is>
      </c>
      <c r="B66" s="1" t="n">
        <v>44795</v>
      </c>
      <c r="C66" s="1" t="n">
        <v>45976</v>
      </c>
      <c r="D66" t="inlineStr">
        <is>
          <t>KALMAR LÄN</t>
        </is>
      </c>
      <c r="E66" t="inlineStr">
        <is>
          <t>BORGHOLM</t>
        </is>
      </c>
      <c r="F66" t="inlineStr">
        <is>
          <t>Sveaskog</t>
        </is>
      </c>
      <c r="G66" t="n">
        <v>6.7</v>
      </c>
      <c r="H66" t="n">
        <v>0</v>
      </c>
      <c r="I66" t="n">
        <v>0</v>
      </c>
      <c r="J66" t="n">
        <v>0</v>
      </c>
      <c r="K66" t="n">
        <v>0</v>
      </c>
      <c r="L66" t="n">
        <v>0</v>
      </c>
      <c r="M66" t="n">
        <v>0</v>
      </c>
      <c r="N66" t="n">
        <v>0</v>
      </c>
      <c r="O66" t="n">
        <v>0</v>
      </c>
      <c r="P66" t="n">
        <v>0</v>
      </c>
      <c r="Q66" t="n">
        <v>0</v>
      </c>
      <c r="R66" s="2" t="inlineStr"/>
    </row>
    <row r="67" ht="15" customHeight="1">
      <c r="A67" t="inlineStr">
        <is>
          <t>A 1614-2025</t>
        </is>
      </c>
      <c r="B67" s="1" t="n">
        <v>45670.60094907408</v>
      </c>
      <c r="C67" s="1" t="n">
        <v>45976</v>
      </c>
      <c r="D67" t="inlineStr">
        <is>
          <t>KALMAR LÄN</t>
        </is>
      </c>
      <c r="E67" t="inlineStr">
        <is>
          <t>BORGHOLM</t>
        </is>
      </c>
      <c r="G67" t="n">
        <v>1.4</v>
      </c>
      <c r="H67" t="n">
        <v>0</v>
      </c>
      <c r="I67" t="n">
        <v>0</v>
      </c>
      <c r="J67" t="n">
        <v>0</v>
      </c>
      <c r="K67" t="n">
        <v>0</v>
      </c>
      <c r="L67" t="n">
        <v>0</v>
      </c>
      <c r="M67" t="n">
        <v>0</v>
      </c>
      <c r="N67" t="n">
        <v>0</v>
      </c>
      <c r="O67" t="n">
        <v>0</v>
      </c>
      <c r="P67" t="n">
        <v>0</v>
      </c>
      <c r="Q67" t="n">
        <v>0</v>
      </c>
      <c r="R67" s="2" t="inlineStr"/>
    </row>
    <row r="68" ht="15" customHeight="1">
      <c r="A68" t="inlineStr">
        <is>
          <t>A 13548-2025</t>
        </is>
      </c>
      <c r="B68" s="1" t="n">
        <v>45736.53827546296</v>
      </c>
      <c r="C68" s="1" t="n">
        <v>45976</v>
      </c>
      <c r="D68" t="inlineStr">
        <is>
          <t>KALMAR LÄN</t>
        </is>
      </c>
      <c r="E68" t="inlineStr">
        <is>
          <t>BORGHOLM</t>
        </is>
      </c>
      <c r="G68" t="n">
        <v>1</v>
      </c>
      <c r="H68" t="n">
        <v>0</v>
      </c>
      <c r="I68" t="n">
        <v>0</v>
      </c>
      <c r="J68" t="n">
        <v>0</v>
      </c>
      <c r="K68" t="n">
        <v>0</v>
      </c>
      <c r="L68" t="n">
        <v>0</v>
      </c>
      <c r="M68" t="n">
        <v>0</v>
      </c>
      <c r="N68" t="n">
        <v>0</v>
      </c>
      <c r="O68" t="n">
        <v>0</v>
      </c>
      <c r="P68" t="n">
        <v>0</v>
      </c>
      <c r="Q68" t="n">
        <v>0</v>
      </c>
      <c r="R68" s="2" t="inlineStr"/>
    </row>
    <row r="69" ht="15" customHeight="1">
      <c r="A69" t="inlineStr">
        <is>
          <t>A 9044-2025</t>
        </is>
      </c>
      <c r="B69" s="1" t="n">
        <v>45713.6275</v>
      </c>
      <c r="C69" s="1" t="n">
        <v>45976</v>
      </c>
      <c r="D69" t="inlineStr">
        <is>
          <t>KALMAR LÄN</t>
        </is>
      </c>
      <c r="E69" t="inlineStr">
        <is>
          <t>BORGHOLM</t>
        </is>
      </c>
      <c r="F69" t="inlineStr">
        <is>
          <t>Sveaskog</t>
        </is>
      </c>
      <c r="G69" t="n">
        <v>4</v>
      </c>
      <c r="H69" t="n">
        <v>0</v>
      </c>
      <c r="I69" t="n">
        <v>0</v>
      </c>
      <c r="J69" t="n">
        <v>0</v>
      </c>
      <c r="K69" t="n">
        <v>0</v>
      </c>
      <c r="L69" t="n">
        <v>0</v>
      </c>
      <c r="M69" t="n">
        <v>0</v>
      </c>
      <c r="N69" t="n">
        <v>0</v>
      </c>
      <c r="O69" t="n">
        <v>0</v>
      </c>
      <c r="P69" t="n">
        <v>0</v>
      </c>
      <c r="Q69" t="n">
        <v>0</v>
      </c>
      <c r="R69" s="2" t="inlineStr"/>
    </row>
    <row r="70" ht="15" customHeight="1">
      <c r="A70" t="inlineStr">
        <is>
          <t>A 9076-2025</t>
        </is>
      </c>
      <c r="B70" s="1" t="n">
        <v>45713.6596875</v>
      </c>
      <c r="C70" s="1" t="n">
        <v>45976</v>
      </c>
      <c r="D70" t="inlineStr">
        <is>
          <t>KALMAR LÄN</t>
        </is>
      </c>
      <c r="E70" t="inlineStr">
        <is>
          <t>BORGHOLM</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1757-2025</t>
        </is>
      </c>
      <c r="B71" s="1" t="n">
        <v>45671.42195601852</v>
      </c>
      <c r="C71" s="1" t="n">
        <v>45976</v>
      </c>
      <c r="D71" t="inlineStr">
        <is>
          <t>KALMAR LÄN</t>
        </is>
      </c>
      <c r="E71" t="inlineStr">
        <is>
          <t>BORGHOLM</t>
        </is>
      </c>
      <c r="G71" t="n">
        <v>1.4</v>
      </c>
      <c r="H71" t="n">
        <v>0</v>
      </c>
      <c r="I71" t="n">
        <v>0</v>
      </c>
      <c r="J71" t="n">
        <v>0</v>
      </c>
      <c r="K71" t="n">
        <v>0</v>
      </c>
      <c r="L71" t="n">
        <v>0</v>
      </c>
      <c r="M71" t="n">
        <v>0</v>
      </c>
      <c r="N71" t="n">
        <v>0</v>
      </c>
      <c r="O71" t="n">
        <v>0</v>
      </c>
      <c r="P71" t="n">
        <v>0</v>
      </c>
      <c r="Q71" t="n">
        <v>0</v>
      </c>
      <c r="R71" s="2" t="inlineStr"/>
    </row>
    <row r="72" ht="15" customHeight="1">
      <c r="A72" t="inlineStr">
        <is>
          <t>A 20878-2024</t>
        </is>
      </c>
      <c r="B72" s="1" t="n">
        <v>45439.44748842593</v>
      </c>
      <c r="C72" s="1" t="n">
        <v>45976</v>
      </c>
      <c r="D72" t="inlineStr">
        <is>
          <t>KALMAR LÄN</t>
        </is>
      </c>
      <c r="E72" t="inlineStr">
        <is>
          <t>BORGHOLM</t>
        </is>
      </c>
      <c r="G72" t="n">
        <v>1.9</v>
      </c>
      <c r="H72" t="n">
        <v>0</v>
      </c>
      <c r="I72" t="n">
        <v>0</v>
      </c>
      <c r="J72" t="n">
        <v>0</v>
      </c>
      <c r="K72" t="n">
        <v>0</v>
      </c>
      <c r="L72" t="n">
        <v>0</v>
      </c>
      <c r="M72" t="n">
        <v>0</v>
      </c>
      <c r="N72" t="n">
        <v>0</v>
      </c>
      <c r="O72" t="n">
        <v>0</v>
      </c>
      <c r="P72" t="n">
        <v>0</v>
      </c>
      <c r="Q72" t="n">
        <v>0</v>
      </c>
      <c r="R72" s="2" t="inlineStr"/>
    </row>
    <row r="73" ht="15" customHeight="1">
      <c r="A73" t="inlineStr">
        <is>
          <t>A 7960-2023</t>
        </is>
      </c>
      <c r="B73" s="1" t="n">
        <v>44973</v>
      </c>
      <c r="C73" s="1" t="n">
        <v>45976</v>
      </c>
      <c r="D73" t="inlineStr">
        <is>
          <t>KALMAR LÄN</t>
        </is>
      </c>
      <c r="E73" t="inlineStr">
        <is>
          <t>BORGHOLM</t>
        </is>
      </c>
      <c r="G73" t="n">
        <v>2.1</v>
      </c>
      <c r="H73" t="n">
        <v>0</v>
      </c>
      <c r="I73" t="n">
        <v>0</v>
      </c>
      <c r="J73" t="n">
        <v>0</v>
      </c>
      <c r="K73" t="n">
        <v>0</v>
      </c>
      <c r="L73" t="n">
        <v>0</v>
      </c>
      <c r="M73" t="n">
        <v>0</v>
      </c>
      <c r="N73" t="n">
        <v>0</v>
      </c>
      <c r="O73" t="n">
        <v>0</v>
      </c>
      <c r="P73" t="n">
        <v>0</v>
      </c>
      <c r="Q73" t="n">
        <v>0</v>
      </c>
      <c r="R73" s="2" t="inlineStr"/>
    </row>
    <row r="74" ht="15" customHeight="1">
      <c r="A74" t="inlineStr">
        <is>
          <t>A 17699-2025</t>
        </is>
      </c>
      <c r="B74" s="1" t="n">
        <v>45758.41846064815</v>
      </c>
      <c r="C74" s="1" t="n">
        <v>45976</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20287-2025</t>
        </is>
      </c>
      <c r="B75" s="1" t="n">
        <v>45774.60741898148</v>
      </c>
      <c r="C75" s="1" t="n">
        <v>45976</v>
      </c>
      <c r="D75" t="inlineStr">
        <is>
          <t>KALMAR LÄN</t>
        </is>
      </c>
      <c r="E75" t="inlineStr">
        <is>
          <t>BORGHOLM</t>
        </is>
      </c>
      <c r="G75" t="n">
        <v>0.6</v>
      </c>
      <c r="H75" t="n">
        <v>0</v>
      </c>
      <c r="I75" t="n">
        <v>0</v>
      </c>
      <c r="J75" t="n">
        <v>0</v>
      </c>
      <c r="K75" t="n">
        <v>0</v>
      </c>
      <c r="L75" t="n">
        <v>0</v>
      </c>
      <c r="M75" t="n">
        <v>0</v>
      </c>
      <c r="N75" t="n">
        <v>0</v>
      </c>
      <c r="O75" t="n">
        <v>0</v>
      </c>
      <c r="P75" t="n">
        <v>0</v>
      </c>
      <c r="Q75" t="n">
        <v>0</v>
      </c>
      <c r="R75" s="2" t="inlineStr"/>
    </row>
    <row r="76" ht="15" customHeight="1">
      <c r="A76" t="inlineStr">
        <is>
          <t>A 64303-2023</t>
        </is>
      </c>
      <c r="B76" s="1" t="n">
        <v>45280</v>
      </c>
      <c r="C76" s="1" t="n">
        <v>45976</v>
      </c>
      <c r="D76" t="inlineStr">
        <is>
          <t>KALMAR LÄN</t>
        </is>
      </c>
      <c r="E76" t="inlineStr">
        <is>
          <t>BORGHOLM</t>
        </is>
      </c>
      <c r="G76" t="n">
        <v>1.2</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45976</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29656-2023</t>
        </is>
      </c>
      <c r="B78" s="1" t="n">
        <v>45107</v>
      </c>
      <c r="C78" s="1" t="n">
        <v>45976</v>
      </c>
      <c r="D78" t="inlineStr">
        <is>
          <t>KALMAR LÄN</t>
        </is>
      </c>
      <c r="E78" t="inlineStr">
        <is>
          <t>BORGHOLM</t>
        </is>
      </c>
      <c r="G78" t="n">
        <v>4.1</v>
      </c>
      <c r="H78" t="n">
        <v>0</v>
      </c>
      <c r="I78" t="n">
        <v>0</v>
      </c>
      <c r="J78" t="n">
        <v>0</v>
      </c>
      <c r="K78" t="n">
        <v>0</v>
      </c>
      <c r="L78" t="n">
        <v>0</v>
      </c>
      <c r="M78" t="n">
        <v>0</v>
      </c>
      <c r="N78" t="n">
        <v>0</v>
      </c>
      <c r="O78" t="n">
        <v>0</v>
      </c>
      <c r="P78" t="n">
        <v>0</v>
      </c>
      <c r="Q78" t="n">
        <v>0</v>
      </c>
      <c r="R78" s="2" t="inlineStr"/>
    </row>
    <row r="79" ht="15" customHeight="1">
      <c r="A79" t="inlineStr">
        <is>
          <t>A 21908-2022</t>
        </is>
      </c>
      <c r="B79" s="1" t="n">
        <v>44711</v>
      </c>
      <c r="C79" s="1" t="n">
        <v>45976</v>
      </c>
      <c r="D79" t="inlineStr">
        <is>
          <t>KALMAR LÄN</t>
        </is>
      </c>
      <c r="E79" t="inlineStr">
        <is>
          <t>BORGHOLM</t>
        </is>
      </c>
      <c r="G79" t="n">
        <v>4.7</v>
      </c>
      <c r="H79" t="n">
        <v>0</v>
      </c>
      <c r="I79" t="n">
        <v>0</v>
      </c>
      <c r="J79" t="n">
        <v>0</v>
      </c>
      <c r="K79" t="n">
        <v>0</v>
      </c>
      <c r="L79" t="n">
        <v>0</v>
      </c>
      <c r="M79" t="n">
        <v>0</v>
      </c>
      <c r="N79" t="n">
        <v>0</v>
      </c>
      <c r="O79" t="n">
        <v>0</v>
      </c>
      <c r="P79" t="n">
        <v>0</v>
      </c>
      <c r="Q79" t="n">
        <v>0</v>
      </c>
      <c r="R79" s="2" t="inlineStr"/>
    </row>
    <row r="80" ht="15" customHeight="1">
      <c r="A80" t="inlineStr">
        <is>
          <t>A 55367-2024</t>
        </is>
      </c>
      <c r="B80" s="1" t="n">
        <v>45621.87075231481</v>
      </c>
      <c r="C80" s="1" t="n">
        <v>45976</v>
      </c>
      <c r="D80" t="inlineStr">
        <is>
          <t>KALMAR LÄN</t>
        </is>
      </c>
      <c r="E80" t="inlineStr">
        <is>
          <t>BORGHOLM</t>
        </is>
      </c>
      <c r="G80" t="n">
        <v>0.7</v>
      </c>
      <c r="H80" t="n">
        <v>0</v>
      </c>
      <c r="I80" t="n">
        <v>0</v>
      </c>
      <c r="J80" t="n">
        <v>0</v>
      </c>
      <c r="K80" t="n">
        <v>0</v>
      </c>
      <c r="L80" t="n">
        <v>0</v>
      </c>
      <c r="M80" t="n">
        <v>0</v>
      </c>
      <c r="N80" t="n">
        <v>0</v>
      </c>
      <c r="O80" t="n">
        <v>0</v>
      </c>
      <c r="P80" t="n">
        <v>0</v>
      </c>
      <c r="Q80" t="n">
        <v>0</v>
      </c>
      <c r="R80" s="2" t="inlineStr"/>
    </row>
    <row r="81" ht="15" customHeight="1">
      <c r="A81" t="inlineStr">
        <is>
          <t>A 9050-2025</t>
        </is>
      </c>
      <c r="B81" s="1" t="n">
        <v>45713.63512731482</v>
      </c>
      <c r="C81" s="1" t="n">
        <v>45976</v>
      </c>
      <c r="D81" t="inlineStr">
        <is>
          <t>KALMAR LÄN</t>
        </is>
      </c>
      <c r="E81" t="inlineStr">
        <is>
          <t>BORGHOLM</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41831-2025</t>
        </is>
      </c>
      <c r="B82" s="1" t="n">
        <v>45902.67887731481</v>
      </c>
      <c r="C82" s="1" t="n">
        <v>45976</v>
      </c>
      <c r="D82" t="inlineStr">
        <is>
          <t>KALMAR LÄN</t>
        </is>
      </c>
      <c r="E82" t="inlineStr">
        <is>
          <t>BORGHOLM</t>
        </is>
      </c>
      <c r="G82" t="n">
        <v>1.5</v>
      </c>
      <c r="H82" t="n">
        <v>0</v>
      </c>
      <c r="I82" t="n">
        <v>0</v>
      </c>
      <c r="J82" t="n">
        <v>0</v>
      </c>
      <c r="K82" t="n">
        <v>0</v>
      </c>
      <c r="L82" t="n">
        <v>0</v>
      </c>
      <c r="M82" t="n">
        <v>0</v>
      </c>
      <c r="N82" t="n">
        <v>0</v>
      </c>
      <c r="O82" t="n">
        <v>0</v>
      </c>
      <c r="P82" t="n">
        <v>0</v>
      </c>
      <c r="Q82" t="n">
        <v>0</v>
      </c>
      <c r="R82" s="2" t="inlineStr"/>
    </row>
    <row r="83" ht="15" customHeight="1">
      <c r="A83" t="inlineStr">
        <is>
          <t>A 41950-2025</t>
        </is>
      </c>
      <c r="B83" s="1" t="n">
        <v>45903.45767361111</v>
      </c>
      <c r="C83" s="1" t="n">
        <v>45976</v>
      </c>
      <c r="D83" t="inlineStr">
        <is>
          <t>KALMAR LÄN</t>
        </is>
      </c>
      <c r="E83" t="inlineStr">
        <is>
          <t>BORGHOLM</t>
        </is>
      </c>
      <c r="G83" t="n">
        <v>1.8</v>
      </c>
      <c r="H83" t="n">
        <v>0</v>
      </c>
      <c r="I83" t="n">
        <v>0</v>
      </c>
      <c r="J83" t="n">
        <v>0</v>
      </c>
      <c r="K83" t="n">
        <v>0</v>
      </c>
      <c r="L83" t="n">
        <v>0</v>
      </c>
      <c r="M83" t="n">
        <v>0</v>
      </c>
      <c r="N83" t="n">
        <v>0</v>
      </c>
      <c r="O83" t="n">
        <v>0</v>
      </c>
      <c r="P83" t="n">
        <v>0</v>
      </c>
      <c r="Q83" t="n">
        <v>0</v>
      </c>
      <c r="R83" s="2" t="inlineStr"/>
    </row>
    <row r="84" ht="15" customHeight="1">
      <c r="A84" t="inlineStr">
        <is>
          <t>A 42232-2025</t>
        </is>
      </c>
      <c r="B84" s="1" t="n">
        <v>45904.55591435185</v>
      </c>
      <c r="C84" s="1" t="n">
        <v>45976</v>
      </c>
      <c r="D84" t="inlineStr">
        <is>
          <t>KALMAR LÄN</t>
        </is>
      </c>
      <c r="E84" t="inlineStr">
        <is>
          <t>BORGHOLM</t>
        </is>
      </c>
      <c r="F84" t="inlineStr">
        <is>
          <t>Sveaskog</t>
        </is>
      </c>
      <c r="G84" t="n">
        <v>1.7</v>
      </c>
      <c r="H84" t="n">
        <v>0</v>
      </c>
      <c r="I84" t="n">
        <v>0</v>
      </c>
      <c r="J84" t="n">
        <v>0</v>
      </c>
      <c r="K84" t="n">
        <v>0</v>
      </c>
      <c r="L84" t="n">
        <v>0</v>
      </c>
      <c r="M84" t="n">
        <v>0</v>
      </c>
      <c r="N84" t="n">
        <v>0</v>
      </c>
      <c r="O84" t="n">
        <v>0</v>
      </c>
      <c r="P84" t="n">
        <v>0</v>
      </c>
      <c r="Q84" t="n">
        <v>0</v>
      </c>
      <c r="R84" s="2" t="inlineStr"/>
    </row>
    <row r="85" ht="15" customHeight="1">
      <c r="A85" t="inlineStr">
        <is>
          <t>A 63075-2023</t>
        </is>
      </c>
      <c r="B85" s="1" t="n">
        <v>45273</v>
      </c>
      <c r="C85" s="1" t="n">
        <v>45976</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45976</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65144-2020</t>
        </is>
      </c>
      <c r="B87" s="1" t="n">
        <v>44172</v>
      </c>
      <c r="C87" s="1" t="n">
        <v>45976</v>
      </c>
      <c r="D87" t="inlineStr">
        <is>
          <t>KALMAR LÄN</t>
        </is>
      </c>
      <c r="E87" t="inlineStr">
        <is>
          <t>BORGHOLM</t>
        </is>
      </c>
      <c r="G87" t="n">
        <v>1.7</v>
      </c>
      <c r="H87" t="n">
        <v>0</v>
      </c>
      <c r="I87" t="n">
        <v>0</v>
      </c>
      <c r="J87" t="n">
        <v>0</v>
      </c>
      <c r="K87" t="n">
        <v>0</v>
      </c>
      <c r="L87" t="n">
        <v>0</v>
      </c>
      <c r="M87" t="n">
        <v>0</v>
      </c>
      <c r="N87" t="n">
        <v>0</v>
      </c>
      <c r="O87" t="n">
        <v>0</v>
      </c>
      <c r="P87" t="n">
        <v>0</v>
      </c>
      <c r="Q87" t="n">
        <v>0</v>
      </c>
      <c r="R87" s="2" t="inlineStr"/>
    </row>
    <row r="88" ht="15" customHeight="1">
      <c r="A88" t="inlineStr">
        <is>
          <t>A 4159-2024</t>
        </is>
      </c>
      <c r="B88" s="1" t="n">
        <v>45323</v>
      </c>
      <c r="C88" s="1" t="n">
        <v>45976</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7669-2024</t>
        </is>
      </c>
      <c r="B89" s="1" t="n">
        <v>45348.82498842593</v>
      </c>
      <c r="C89" s="1" t="n">
        <v>45976</v>
      </c>
      <c r="D89" t="inlineStr">
        <is>
          <t>KALMAR LÄN</t>
        </is>
      </c>
      <c r="E89" t="inlineStr">
        <is>
          <t>BORGHOLM</t>
        </is>
      </c>
      <c r="G89" t="n">
        <v>2.3</v>
      </c>
      <c r="H89" t="n">
        <v>0</v>
      </c>
      <c r="I89" t="n">
        <v>0</v>
      </c>
      <c r="J89" t="n">
        <v>0</v>
      </c>
      <c r="K89" t="n">
        <v>0</v>
      </c>
      <c r="L89" t="n">
        <v>0</v>
      </c>
      <c r="M89" t="n">
        <v>0</v>
      </c>
      <c r="N89" t="n">
        <v>0</v>
      </c>
      <c r="O89" t="n">
        <v>0</v>
      </c>
      <c r="P89" t="n">
        <v>0</v>
      </c>
      <c r="Q89" t="n">
        <v>0</v>
      </c>
      <c r="R89" s="2" t="inlineStr"/>
    </row>
    <row r="90" ht="15" customHeight="1">
      <c r="A90" t="inlineStr">
        <is>
          <t>A 43542-2025</t>
        </is>
      </c>
      <c r="B90" s="1" t="n">
        <v>45911.61123842592</v>
      </c>
      <c r="C90" s="1" t="n">
        <v>45976</v>
      </c>
      <c r="D90" t="inlineStr">
        <is>
          <t>KALMAR LÄN</t>
        </is>
      </c>
      <c r="E90" t="inlineStr">
        <is>
          <t>BORGHOLM</t>
        </is>
      </c>
      <c r="G90" t="n">
        <v>2.4</v>
      </c>
      <c r="H90" t="n">
        <v>0</v>
      </c>
      <c r="I90" t="n">
        <v>0</v>
      </c>
      <c r="J90" t="n">
        <v>0</v>
      </c>
      <c r="K90" t="n">
        <v>0</v>
      </c>
      <c r="L90" t="n">
        <v>0</v>
      </c>
      <c r="M90" t="n">
        <v>0</v>
      </c>
      <c r="N90" t="n">
        <v>0</v>
      </c>
      <c r="O90" t="n">
        <v>0</v>
      </c>
      <c r="P90" t="n">
        <v>0</v>
      </c>
      <c r="Q90" t="n">
        <v>0</v>
      </c>
      <c r="R90" s="2" t="inlineStr"/>
    </row>
    <row r="91" ht="15" customHeight="1">
      <c r="A91" t="inlineStr">
        <is>
          <t>A 32921-2023</t>
        </is>
      </c>
      <c r="B91" s="1" t="n">
        <v>45125</v>
      </c>
      <c r="C91" s="1" t="n">
        <v>45976</v>
      </c>
      <c r="D91" t="inlineStr">
        <is>
          <t>KALMAR LÄN</t>
        </is>
      </c>
      <c r="E91" t="inlineStr">
        <is>
          <t>BORGHOLM</t>
        </is>
      </c>
      <c r="G91" t="n">
        <v>2.9</v>
      </c>
      <c r="H91" t="n">
        <v>0</v>
      </c>
      <c r="I91" t="n">
        <v>0</v>
      </c>
      <c r="J91" t="n">
        <v>0</v>
      </c>
      <c r="K91" t="n">
        <v>0</v>
      </c>
      <c r="L91" t="n">
        <v>0</v>
      </c>
      <c r="M91" t="n">
        <v>0</v>
      </c>
      <c r="N91" t="n">
        <v>0</v>
      </c>
      <c r="O91" t="n">
        <v>0</v>
      </c>
      <c r="P91" t="n">
        <v>0</v>
      </c>
      <c r="Q91" t="n">
        <v>0</v>
      </c>
      <c r="R91" s="2" t="inlineStr"/>
    </row>
    <row r="92" ht="15" customHeight="1">
      <c r="A92" t="inlineStr">
        <is>
          <t>A 31699-2022</t>
        </is>
      </c>
      <c r="B92" s="1" t="n">
        <v>44776</v>
      </c>
      <c r="C92" s="1" t="n">
        <v>45976</v>
      </c>
      <c r="D92" t="inlineStr">
        <is>
          <t>KALMAR LÄN</t>
        </is>
      </c>
      <c r="E92" t="inlineStr">
        <is>
          <t>BORGHOLM</t>
        </is>
      </c>
      <c r="F92" t="inlineStr">
        <is>
          <t>Sveaskog</t>
        </is>
      </c>
      <c r="G92" t="n">
        <v>1.6</v>
      </c>
      <c r="H92" t="n">
        <v>0</v>
      </c>
      <c r="I92" t="n">
        <v>0</v>
      </c>
      <c r="J92" t="n">
        <v>0</v>
      </c>
      <c r="K92" t="n">
        <v>0</v>
      </c>
      <c r="L92" t="n">
        <v>0</v>
      </c>
      <c r="M92" t="n">
        <v>0</v>
      </c>
      <c r="N92" t="n">
        <v>0</v>
      </c>
      <c r="O92" t="n">
        <v>0</v>
      </c>
      <c r="P92" t="n">
        <v>0</v>
      </c>
      <c r="Q92" t="n">
        <v>0</v>
      </c>
      <c r="R92" s="2" t="inlineStr"/>
    </row>
    <row r="93" ht="15" customHeight="1">
      <c r="A93" t="inlineStr">
        <is>
          <t>A 44224-2025</t>
        </is>
      </c>
      <c r="B93" s="1" t="n">
        <v>45915</v>
      </c>
      <c r="C93" s="1" t="n">
        <v>45976</v>
      </c>
      <c r="D93" t="inlineStr">
        <is>
          <t>KALMAR LÄN</t>
        </is>
      </c>
      <c r="E93" t="inlineStr">
        <is>
          <t>BORGHOLM</t>
        </is>
      </c>
      <c r="G93" t="n">
        <v>1.3</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45976</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22785-2025</t>
        </is>
      </c>
      <c r="B95" s="1" t="n">
        <v>45789.64186342592</v>
      </c>
      <c r="C95" s="1" t="n">
        <v>45976</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45734-2025</t>
        </is>
      </c>
      <c r="B96" s="1" t="n">
        <v>45923.46512731481</v>
      </c>
      <c r="C96" s="1" t="n">
        <v>45976</v>
      </c>
      <c r="D96" t="inlineStr">
        <is>
          <t>KALMAR LÄN</t>
        </is>
      </c>
      <c r="E96" t="inlineStr">
        <is>
          <t>BORGHOLM</t>
        </is>
      </c>
      <c r="G96" t="n">
        <v>5</v>
      </c>
      <c r="H96" t="n">
        <v>0</v>
      </c>
      <c r="I96" t="n">
        <v>0</v>
      </c>
      <c r="J96" t="n">
        <v>0</v>
      </c>
      <c r="K96" t="n">
        <v>0</v>
      </c>
      <c r="L96" t="n">
        <v>0</v>
      </c>
      <c r="M96" t="n">
        <v>0</v>
      </c>
      <c r="N96" t="n">
        <v>0</v>
      </c>
      <c r="O96" t="n">
        <v>0</v>
      </c>
      <c r="P96" t="n">
        <v>0</v>
      </c>
      <c r="Q96" t="n">
        <v>0</v>
      </c>
      <c r="R96" s="2" t="inlineStr"/>
    </row>
    <row r="97" ht="15" customHeight="1">
      <c r="A97" t="inlineStr">
        <is>
          <t>A 45869-2025</t>
        </is>
      </c>
      <c r="B97" s="1" t="n">
        <v>45923.65313657407</v>
      </c>
      <c r="C97" s="1" t="n">
        <v>45976</v>
      </c>
      <c r="D97" t="inlineStr">
        <is>
          <t>KALMAR LÄN</t>
        </is>
      </c>
      <c r="E97" t="inlineStr">
        <is>
          <t>BORGHOLM</t>
        </is>
      </c>
      <c r="G97" t="n">
        <v>4.5</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45976</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12534-2022</t>
        </is>
      </c>
      <c r="B99" s="1" t="n">
        <v>44638</v>
      </c>
      <c r="C99" s="1" t="n">
        <v>45976</v>
      </c>
      <c r="D99" t="inlineStr">
        <is>
          <t>KALMAR LÄN</t>
        </is>
      </c>
      <c r="E99" t="inlineStr">
        <is>
          <t>BORGHOLM</t>
        </is>
      </c>
      <c r="G99" t="n">
        <v>8.6</v>
      </c>
      <c r="H99" t="n">
        <v>0</v>
      </c>
      <c r="I99" t="n">
        <v>0</v>
      </c>
      <c r="J99" t="n">
        <v>0</v>
      </c>
      <c r="K99" t="n">
        <v>0</v>
      </c>
      <c r="L99" t="n">
        <v>0</v>
      </c>
      <c r="M99" t="n">
        <v>0</v>
      </c>
      <c r="N99" t="n">
        <v>0</v>
      </c>
      <c r="O99" t="n">
        <v>0</v>
      </c>
      <c r="P99" t="n">
        <v>0</v>
      </c>
      <c r="Q99" t="n">
        <v>0</v>
      </c>
      <c r="R99" s="2" t="inlineStr"/>
    </row>
    <row r="100" ht="15" customHeight="1">
      <c r="A100" t="inlineStr">
        <is>
          <t>A 40339-2023</t>
        </is>
      </c>
      <c r="B100" s="1" t="n">
        <v>45169.62733796296</v>
      </c>
      <c r="C100" s="1" t="n">
        <v>45976</v>
      </c>
      <c r="D100" t="inlineStr">
        <is>
          <t>KALMAR LÄN</t>
        </is>
      </c>
      <c r="E100" t="inlineStr">
        <is>
          <t>BORGHOLM</t>
        </is>
      </c>
      <c r="G100" t="n">
        <v>3.8</v>
      </c>
      <c r="H100" t="n">
        <v>0</v>
      </c>
      <c r="I100" t="n">
        <v>0</v>
      </c>
      <c r="J100" t="n">
        <v>0</v>
      </c>
      <c r="K100" t="n">
        <v>0</v>
      </c>
      <c r="L100" t="n">
        <v>0</v>
      </c>
      <c r="M100" t="n">
        <v>0</v>
      </c>
      <c r="N100" t="n">
        <v>0</v>
      </c>
      <c r="O100" t="n">
        <v>0</v>
      </c>
      <c r="P100" t="n">
        <v>0</v>
      </c>
      <c r="Q100" t="n">
        <v>0</v>
      </c>
      <c r="R100" s="2" t="inlineStr"/>
    </row>
    <row r="101" ht="15" customHeight="1">
      <c r="A101" t="inlineStr">
        <is>
          <t>A 24166-2022</t>
        </is>
      </c>
      <c r="B101" s="1" t="n">
        <v>44725</v>
      </c>
      <c r="C101" s="1" t="n">
        <v>45976</v>
      </c>
      <c r="D101" t="inlineStr">
        <is>
          <t>KALMAR LÄN</t>
        </is>
      </c>
      <c r="E101" t="inlineStr">
        <is>
          <t>BORGHOLM</t>
        </is>
      </c>
      <c r="G101" t="n">
        <v>10.7</v>
      </c>
      <c r="H101" t="n">
        <v>0</v>
      </c>
      <c r="I101" t="n">
        <v>0</v>
      </c>
      <c r="J101" t="n">
        <v>0</v>
      </c>
      <c r="K101" t="n">
        <v>0</v>
      </c>
      <c r="L101" t="n">
        <v>0</v>
      </c>
      <c r="M101" t="n">
        <v>0</v>
      </c>
      <c r="N101" t="n">
        <v>0</v>
      </c>
      <c r="O101" t="n">
        <v>0</v>
      </c>
      <c r="P101" t="n">
        <v>0</v>
      </c>
      <c r="Q101" t="n">
        <v>0</v>
      </c>
      <c r="R101" s="2" t="inlineStr"/>
    </row>
    <row r="102" ht="15" customHeight="1">
      <c r="A102" t="inlineStr">
        <is>
          <t>A 26190-2025</t>
        </is>
      </c>
      <c r="B102" s="1" t="n">
        <v>45805.48349537037</v>
      </c>
      <c r="C102" s="1" t="n">
        <v>45976</v>
      </c>
      <c r="D102" t="inlineStr">
        <is>
          <t>KALMAR LÄN</t>
        </is>
      </c>
      <c r="E102" t="inlineStr">
        <is>
          <t>BORGHOLM</t>
        </is>
      </c>
      <c r="G102" t="n">
        <v>3.2</v>
      </c>
      <c r="H102" t="n">
        <v>0</v>
      </c>
      <c r="I102" t="n">
        <v>0</v>
      </c>
      <c r="J102" t="n">
        <v>0</v>
      </c>
      <c r="K102" t="n">
        <v>0</v>
      </c>
      <c r="L102" t="n">
        <v>0</v>
      </c>
      <c r="M102" t="n">
        <v>0</v>
      </c>
      <c r="N102" t="n">
        <v>0</v>
      </c>
      <c r="O102" t="n">
        <v>0</v>
      </c>
      <c r="P102" t="n">
        <v>0</v>
      </c>
      <c r="Q102" t="n">
        <v>0</v>
      </c>
      <c r="R102" s="2" t="inlineStr"/>
    </row>
    <row r="103" ht="15" customHeight="1">
      <c r="A103" t="inlineStr">
        <is>
          <t>A 26160-2025</t>
        </is>
      </c>
      <c r="B103" s="1" t="n">
        <v>45805.4490162037</v>
      </c>
      <c r="C103" s="1" t="n">
        <v>45976</v>
      </c>
      <c r="D103" t="inlineStr">
        <is>
          <t>KALMAR LÄN</t>
        </is>
      </c>
      <c r="E103" t="inlineStr">
        <is>
          <t>BORGHOLM</t>
        </is>
      </c>
      <c r="G103" t="n">
        <v>3.7</v>
      </c>
      <c r="H103" t="n">
        <v>0</v>
      </c>
      <c r="I103" t="n">
        <v>0</v>
      </c>
      <c r="J103" t="n">
        <v>0</v>
      </c>
      <c r="K103" t="n">
        <v>0</v>
      </c>
      <c r="L103" t="n">
        <v>0</v>
      </c>
      <c r="M103" t="n">
        <v>0</v>
      </c>
      <c r="N103" t="n">
        <v>0</v>
      </c>
      <c r="O103" t="n">
        <v>0</v>
      </c>
      <c r="P103" t="n">
        <v>0</v>
      </c>
      <c r="Q103" t="n">
        <v>0</v>
      </c>
      <c r="R103" s="2" t="inlineStr"/>
    </row>
    <row r="104" ht="15" customHeight="1">
      <c r="A104" t="inlineStr">
        <is>
          <t>A 46845-2025</t>
        </is>
      </c>
      <c r="B104" s="1" t="n">
        <v>45928</v>
      </c>
      <c r="C104" s="1" t="n">
        <v>45976</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27357-2025</t>
        </is>
      </c>
      <c r="B105" s="1" t="n">
        <v>45812.63650462963</v>
      </c>
      <c r="C105" s="1" t="n">
        <v>45976</v>
      </c>
      <c r="D105" t="inlineStr">
        <is>
          <t>KALMAR LÄN</t>
        </is>
      </c>
      <c r="E105" t="inlineStr">
        <is>
          <t>BORGHOLM</t>
        </is>
      </c>
      <c r="F105" t="inlineStr">
        <is>
          <t>Sveaskog</t>
        </is>
      </c>
      <c r="G105" t="n">
        <v>4.5</v>
      </c>
      <c r="H105" t="n">
        <v>0</v>
      </c>
      <c r="I105" t="n">
        <v>0</v>
      </c>
      <c r="J105" t="n">
        <v>0</v>
      </c>
      <c r="K105" t="n">
        <v>0</v>
      </c>
      <c r="L105" t="n">
        <v>0</v>
      </c>
      <c r="M105" t="n">
        <v>0</v>
      </c>
      <c r="N105" t="n">
        <v>0</v>
      </c>
      <c r="O105" t="n">
        <v>0</v>
      </c>
      <c r="P105" t="n">
        <v>0</v>
      </c>
      <c r="Q105" t="n">
        <v>0</v>
      </c>
      <c r="R105" s="2" t="inlineStr"/>
    </row>
    <row r="106" ht="15" customHeight="1">
      <c r="A106" t="inlineStr">
        <is>
          <t>A 27366-2025</t>
        </is>
      </c>
      <c r="B106" s="1" t="n">
        <v>45812.64475694444</v>
      </c>
      <c r="C106" s="1" t="n">
        <v>45976</v>
      </c>
      <c r="D106" t="inlineStr">
        <is>
          <t>KALMAR LÄN</t>
        </is>
      </c>
      <c r="E106" t="inlineStr">
        <is>
          <t>BORGHOLM</t>
        </is>
      </c>
      <c r="F106" t="inlineStr">
        <is>
          <t>Sveaskog</t>
        </is>
      </c>
      <c r="G106" t="n">
        <v>2.5</v>
      </c>
      <c r="H106" t="n">
        <v>0</v>
      </c>
      <c r="I106" t="n">
        <v>0</v>
      </c>
      <c r="J106" t="n">
        <v>0</v>
      </c>
      <c r="K106" t="n">
        <v>0</v>
      </c>
      <c r="L106" t="n">
        <v>0</v>
      </c>
      <c r="M106" t="n">
        <v>0</v>
      </c>
      <c r="N106" t="n">
        <v>0</v>
      </c>
      <c r="O106" t="n">
        <v>0</v>
      </c>
      <c r="P106" t="n">
        <v>0</v>
      </c>
      <c r="Q106" t="n">
        <v>0</v>
      </c>
      <c r="R106" s="2" t="inlineStr"/>
    </row>
    <row r="107" ht="15" customHeight="1">
      <c r="A107" t="inlineStr">
        <is>
          <t>A 32919-2023</t>
        </is>
      </c>
      <c r="B107" s="1" t="n">
        <v>45125</v>
      </c>
      <c r="C107" s="1" t="n">
        <v>45976</v>
      </c>
      <c r="D107" t="inlineStr">
        <is>
          <t>KALMAR LÄN</t>
        </is>
      </c>
      <c r="E107" t="inlineStr">
        <is>
          <t>BORGHOLM</t>
        </is>
      </c>
      <c r="G107" t="n">
        <v>2.7</v>
      </c>
      <c r="H107" t="n">
        <v>0</v>
      </c>
      <c r="I107" t="n">
        <v>0</v>
      </c>
      <c r="J107" t="n">
        <v>0</v>
      </c>
      <c r="K107" t="n">
        <v>0</v>
      </c>
      <c r="L107" t="n">
        <v>0</v>
      </c>
      <c r="M107" t="n">
        <v>0</v>
      </c>
      <c r="N107" t="n">
        <v>0</v>
      </c>
      <c r="O107" t="n">
        <v>0</v>
      </c>
      <c r="P107" t="n">
        <v>0</v>
      </c>
      <c r="Q107" t="n">
        <v>0</v>
      </c>
      <c r="R107" s="2" t="inlineStr"/>
    </row>
    <row r="108" ht="15" customHeight="1">
      <c r="A108" t="inlineStr">
        <is>
          <t>A 28782-2025</t>
        </is>
      </c>
      <c r="B108" s="1" t="n">
        <v>45820.45572916666</v>
      </c>
      <c r="C108" s="1" t="n">
        <v>45976</v>
      </c>
      <c r="D108" t="inlineStr">
        <is>
          <t>KALMAR LÄN</t>
        </is>
      </c>
      <c r="E108" t="inlineStr">
        <is>
          <t>BORGHOLM</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44678-2022</t>
        </is>
      </c>
      <c r="B109" s="1" t="n">
        <v>44840.65100694444</v>
      </c>
      <c r="C109" s="1" t="n">
        <v>45976</v>
      </c>
      <c r="D109" t="inlineStr">
        <is>
          <t>KALMAR LÄN</t>
        </is>
      </c>
      <c r="E109" t="inlineStr">
        <is>
          <t>BORGHOLM</t>
        </is>
      </c>
      <c r="G109" t="n">
        <v>2.4</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45976</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44547-2021</t>
        </is>
      </c>
      <c r="B111" s="1" t="n">
        <v>44435</v>
      </c>
      <c r="C111" s="1" t="n">
        <v>45976</v>
      </c>
      <c r="D111" t="inlineStr">
        <is>
          <t>KALMAR LÄN</t>
        </is>
      </c>
      <c r="E111" t="inlineStr">
        <is>
          <t>BORGHOLM</t>
        </is>
      </c>
      <c r="G111" t="n">
        <v>1.4</v>
      </c>
      <c r="H111" t="n">
        <v>0</v>
      </c>
      <c r="I111" t="n">
        <v>0</v>
      </c>
      <c r="J111" t="n">
        <v>0</v>
      </c>
      <c r="K111" t="n">
        <v>0</v>
      </c>
      <c r="L111" t="n">
        <v>0</v>
      </c>
      <c r="M111" t="n">
        <v>0</v>
      </c>
      <c r="N111" t="n">
        <v>0</v>
      </c>
      <c r="O111" t="n">
        <v>0</v>
      </c>
      <c r="P111" t="n">
        <v>0</v>
      </c>
      <c r="Q111" t="n">
        <v>0</v>
      </c>
      <c r="R111" s="2" t="inlineStr"/>
    </row>
    <row r="112" ht="15" customHeight="1">
      <c r="A112" t="inlineStr">
        <is>
          <t>A 5175-2024</t>
        </is>
      </c>
      <c r="B112" s="1" t="n">
        <v>45330</v>
      </c>
      <c r="C112" s="1" t="n">
        <v>45976</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45976</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45976</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45976</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45976</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45385.60065972222</v>
      </c>
      <c r="C117" s="1" t="n">
        <v>45976</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53050-2021</t>
        </is>
      </c>
      <c r="B118" s="1" t="n">
        <v>44467</v>
      </c>
      <c r="C118" s="1" t="n">
        <v>45976</v>
      </c>
      <c r="D118" t="inlineStr">
        <is>
          <t>KALMAR LÄN</t>
        </is>
      </c>
      <c r="E118" t="inlineStr">
        <is>
          <t>BORGHOLM</t>
        </is>
      </c>
      <c r="G118" t="n">
        <v>3.6</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45976</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50129-2021</t>
        </is>
      </c>
      <c r="B120" s="1" t="n">
        <v>44456</v>
      </c>
      <c r="C120" s="1" t="n">
        <v>45976</v>
      </c>
      <c r="D120" t="inlineStr">
        <is>
          <t>KALMAR LÄN</t>
        </is>
      </c>
      <c r="E120" t="inlineStr">
        <is>
          <t>BORGHOLM</t>
        </is>
      </c>
      <c r="G120" t="n">
        <v>1.6</v>
      </c>
      <c r="H120" t="n">
        <v>0</v>
      </c>
      <c r="I120" t="n">
        <v>0</v>
      </c>
      <c r="J120" t="n">
        <v>0</v>
      </c>
      <c r="K120" t="n">
        <v>0</v>
      </c>
      <c r="L120" t="n">
        <v>0</v>
      </c>
      <c r="M120" t="n">
        <v>0</v>
      </c>
      <c r="N120" t="n">
        <v>0</v>
      </c>
      <c r="O120" t="n">
        <v>0</v>
      </c>
      <c r="P120" t="n">
        <v>0</v>
      </c>
      <c r="Q120" t="n">
        <v>0</v>
      </c>
      <c r="R120" s="2" t="inlineStr"/>
    </row>
    <row r="121">
      <c r="A121" t="inlineStr">
        <is>
          <t>A 36269-2025</t>
        </is>
      </c>
      <c r="B121" s="1" t="n">
        <v>45867.61736111111</v>
      </c>
      <c r="C121" s="1" t="n">
        <v>45976</v>
      </c>
      <c r="D121" t="inlineStr">
        <is>
          <t>KALMAR LÄN</t>
        </is>
      </c>
      <c r="E121" t="inlineStr">
        <is>
          <t>BORGHOLM</t>
        </is>
      </c>
      <c r="F121" t="inlineStr">
        <is>
          <t>Sveaskog</t>
        </is>
      </c>
      <c r="G121" t="n">
        <v>3.3</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2025-11-15T10:10:48Z</dcterms:created>
  <dcterms:modified xmlns:dcterms="http://purl.org/dc/terms/" xmlns:xsi="http://www.w3.org/2001/XMLSchema-instance" xsi:type="dcterms:W3CDTF">2025-11-15T10:10:48Z</dcterms:modified>
</cp:coreProperties>
</file>