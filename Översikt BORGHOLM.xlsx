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46135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46135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46135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46135</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46135</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46135</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46135</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15285-2026</t>
        </is>
      </c>
      <c r="B20" s="1" t="n">
        <v>46105.6156712963</v>
      </c>
      <c r="C20" s="1" t="n">
        <v>46135</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Havsörn
Talltita</t>
        </is>
      </c>
      <c r="S20">
        <f>HYPERLINK("https://klasma.github.io/Logging_0885/artfynd/A 15285-2026 artfynd.xlsx", "A 15285-2026")</f>
        <v/>
      </c>
      <c r="T20">
        <f>HYPERLINK("https://klasma.github.io/Logging_0885/kartor/A 15285-2026 karta.png", "A 15285-2026")</f>
        <v/>
      </c>
      <c r="V20">
        <f>HYPERLINK("https://klasma.github.io/Logging_0885/klagomål/A 15285-2026 FSC-klagomål.docx", "A 15285-2026")</f>
        <v/>
      </c>
      <c r="W20">
        <f>HYPERLINK("https://klasma.github.io/Logging_0885/klagomålsmail/A 15285-2026 FSC-klagomål mail.docx", "A 15285-2026")</f>
        <v/>
      </c>
      <c r="X20">
        <f>HYPERLINK("https://klasma.github.io/Logging_0885/tillsyn/A 15285-2026 tillsynsbegäran.docx", "A 15285-2026")</f>
        <v/>
      </c>
      <c r="Y20">
        <f>HYPERLINK("https://klasma.github.io/Logging_0885/tillsynsmail/A 15285-2026 tillsynsbegäran mail.docx", "A 15285-2026")</f>
        <v/>
      </c>
      <c r="Z20">
        <f>HYPERLINK("https://klasma.github.io/Logging_0885/fåglar/A 15285-2026 prioriterade fågelarter.docx", "A 15285-2026")</f>
        <v/>
      </c>
    </row>
    <row r="21" ht="15" customHeight="1">
      <c r="A21" t="inlineStr">
        <is>
          <t>A 9253-2026</t>
        </is>
      </c>
      <c r="B21" s="1" t="n">
        <v>46070.51003472223</v>
      </c>
      <c r="C21" s="1" t="n">
        <v>46135</v>
      </c>
      <c r="D21" t="inlineStr">
        <is>
          <t>KALMAR LÄN</t>
        </is>
      </c>
      <c r="E21" t="inlineStr">
        <is>
          <t>BORGHOLM</t>
        </is>
      </c>
      <c r="G21" t="n">
        <v>1.1</v>
      </c>
      <c r="H21" t="n">
        <v>1</v>
      </c>
      <c r="I21" t="n">
        <v>1</v>
      </c>
      <c r="J21" t="n">
        <v>0</v>
      </c>
      <c r="K21" t="n">
        <v>0</v>
      </c>
      <c r="L21" t="n">
        <v>0</v>
      </c>
      <c r="M21" t="n">
        <v>0</v>
      </c>
      <c r="N21" t="n">
        <v>0</v>
      </c>
      <c r="O21" t="n">
        <v>0</v>
      </c>
      <c r="P21" t="n">
        <v>0</v>
      </c>
      <c r="Q21" t="n">
        <v>2</v>
      </c>
      <c r="R21" s="2" t="inlineStr">
        <is>
          <t>Murgröna
Gullviva</t>
        </is>
      </c>
      <c r="S21">
        <f>HYPERLINK("https://klasma.github.io/Logging_0885/artfynd/A 9253-2026 artfynd.xlsx", "A 9253-2026")</f>
        <v/>
      </c>
      <c r="T21">
        <f>HYPERLINK("https://klasma.github.io/Logging_0885/kartor/A 9253-2026 karta.png", "A 9253-2026")</f>
        <v/>
      </c>
      <c r="V21">
        <f>HYPERLINK("https://klasma.github.io/Logging_0885/klagomål/A 9253-2026 FSC-klagomål.docx", "A 9253-2026")</f>
        <v/>
      </c>
      <c r="W21">
        <f>HYPERLINK("https://klasma.github.io/Logging_0885/klagomålsmail/A 9253-2026 FSC-klagomål mail.docx", "A 9253-2026")</f>
        <v/>
      </c>
      <c r="X21">
        <f>HYPERLINK("https://klasma.github.io/Logging_0885/tillsyn/A 9253-2026 tillsynsbegäran.docx", "A 9253-2026")</f>
        <v/>
      </c>
      <c r="Y21">
        <f>HYPERLINK("https://klasma.github.io/Logging_0885/tillsynsmail/A 9253-2026 tillsynsbegäran mail.docx", "A 9253-2026")</f>
        <v/>
      </c>
    </row>
    <row r="22" ht="15" customHeight="1">
      <c r="A22" t="inlineStr">
        <is>
          <t>A 13556-2025</t>
        </is>
      </c>
      <c r="B22" s="1" t="n">
        <v>45736.54759259259</v>
      </c>
      <c r="C22" s="1" t="n">
        <v>46135</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4164-2023</t>
        </is>
      </c>
      <c r="B23" s="1" t="n">
        <v>44953</v>
      </c>
      <c r="C23" s="1" t="n">
        <v>46135</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60140-2025</t>
        </is>
      </c>
      <c r="B24" s="1" t="n">
        <v>45994.36274305556</v>
      </c>
      <c r="C24" s="1" t="n">
        <v>46135</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28779-2025</t>
        </is>
      </c>
      <c r="B25" s="1" t="n">
        <v>45820.44920138889</v>
      </c>
      <c r="C25" s="1" t="n">
        <v>46135</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44008-2022</t>
        </is>
      </c>
      <c r="B26" s="1" t="n">
        <v>44838</v>
      </c>
      <c r="C26" s="1" t="n">
        <v>46135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34944-2022</t>
        </is>
      </c>
      <c r="B27" s="1" t="n">
        <v>44796</v>
      </c>
      <c r="C27" s="1" t="n">
        <v>46135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32174-2022</t>
        </is>
      </c>
      <c r="B28" s="1" t="n">
        <v>44781</v>
      </c>
      <c r="C28" s="1" t="n">
        <v>46135</v>
      </c>
      <c r="D28" t="inlineStr">
        <is>
          <t>KALMAR LÄN</t>
        </is>
      </c>
      <c r="E28" t="inlineStr">
        <is>
          <t>BORGHOLM</t>
        </is>
      </c>
      <c r="F28" t="inlineStr">
        <is>
          <t>Sveaskog</t>
        </is>
      </c>
      <c r="G28" t="n">
        <v>1.6</v>
      </c>
      <c r="H28" t="n">
        <v>1</v>
      </c>
      <c r="I28" t="n">
        <v>1</v>
      </c>
      <c r="J28" t="n">
        <v>1</v>
      </c>
      <c r="K28" t="n">
        <v>0</v>
      </c>
      <c r="L28" t="n">
        <v>0</v>
      </c>
      <c r="M28" t="n">
        <v>0</v>
      </c>
      <c r="N28" t="n">
        <v>0</v>
      </c>
      <c r="O28" t="n">
        <v>1</v>
      </c>
      <c r="P28" t="n">
        <v>0</v>
      </c>
      <c r="Q28" t="n">
        <v>2</v>
      </c>
      <c r="R28" s="2" t="inlineStr">
        <is>
          <t>Backklöver
Tvåblad</t>
        </is>
      </c>
      <c r="S28">
        <f>HYPERLINK("https://klasma.github.io/Logging_0885/artfynd/A 32174-2022 artfynd.xlsx", "A 32174-2022")</f>
        <v/>
      </c>
      <c r="T28">
        <f>HYPERLINK("https://klasma.github.io/Logging_0885/kartor/A 32174-2022 karta.png", "A 32174-2022")</f>
        <v/>
      </c>
      <c r="V28">
        <f>HYPERLINK("https://klasma.github.io/Logging_0885/klagomål/A 32174-2022 FSC-klagomål.docx", "A 32174-2022")</f>
        <v/>
      </c>
      <c r="W28">
        <f>HYPERLINK("https://klasma.github.io/Logging_0885/klagomålsmail/A 32174-2022 FSC-klagomål mail.docx", "A 32174-2022")</f>
        <v/>
      </c>
      <c r="X28">
        <f>HYPERLINK("https://klasma.github.io/Logging_0885/tillsyn/A 32174-2022 tillsynsbegäran.docx", "A 32174-2022")</f>
        <v/>
      </c>
      <c r="Y28">
        <f>HYPERLINK("https://klasma.github.io/Logging_0885/tillsynsmail/A 32174-2022 tillsynsbegäran mail.docx", "A 32174-2022")</f>
        <v/>
      </c>
    </row>
    <row r="29" ht="15" customHeight="1">
      <c r="A29" t="inlineStr">
        <is>
          <t>A 43756-2022</t>
        </is>
      </c>
      <c r="B29" s="1" t="n">
        <v>44837</v>
      </c>
      <c r="C29" s="1" t="n">
        <v>46135</v>
      </c>
      <c r="D29" t="inlineStr">
        <is>
          <t>KALMAR LÄN</t>
        </is>
      </c>
      <c r="E29" t="inlineStr">
        <is>
          <t>BORGHOLM</t>
        </is>
      </c>
      <c r="G29" t="n">
        <v>2.2</v>
      </c>
      <c r="H29" t="n">
        <v>1</v>
      </c>
      <c r="I29" t="n">
        <v>1</v>
      </c>
      <c r="J29" t="n">
        <v>0</v>
      </c>
      <c r="K29" t="n">
        <v>0</v>
      </c>
      <c r="L29" t="n">
        <v>0</v>
      </c>
      <c r="M29" t="n">
        <v>0</v>
      </c>
      <c r="N29" t="n">
        <v>0</v>
      </c>
      <c r="O29" t="n">
        <v>0</v>
      </c>
      <c r="P29" t="n">
        <v>0</v>
      </c>
      <c r="Q29" t="n">
        <v>2</v>
      </c>
      <c r="R29" s="2" t="inlineStr">
        <is>
          <t>Murgröna
Blåsippa</t>
        </is>
      </c>
      <c r="S29">
        <f>HYPERLINK("https://klasma.github.io/Logging_0885/artfynd/A 43756-2022 artfynd.xlsx", "A 43756-2022")</f>
        <v/>
      </c>
      <c r="T29">
        <f>HYPERLINK("https://klasma.github.io/Logging_0885/kartor/A 43756-2022 karta.png", "A 43756-2022")</f>
        <v/>
      </c>
      <c r="V29">
        <f>HYPERLINK("https://klasma.github.io/Logging_0885/klagomål/A 43756-2022 FSC-klagomål.docx", "A 43756-2022")</f>
        <v/>
      </c>
      <c r="W29">
        <f>HYPERLINK("https://klasma.github.io/Logging_0885/klagomålsmail/A 43756-2022 FSC-klagomål mail.docx", "A 43756-2022")</f>
        <v/>
      </c>
      <c r="X29">
        <f>HYPERLINK("https://klasma.github.io/Logging_0885/tillsyn/A 43756-2022 tillsynsbegäran.docx", "A 43756-2022")</f>
        <v/>
      </c>
      <c r="Y29">
        <f>HYPERLINK("https://klasma.github.io/Logging_0885/tillsynsmail/A 43756-2022 tillsynsbegäran mail.docx", "A 43756-2022")</f>
        <v/>
      </c>
    </row>
    <row r="30" ht="15" customHeight="1">
      <c r="A30" t="inlineStr">
        <is>
          <t>A 31790-2021</t>
        </is>
      </c>
      <c r="B30" s="1" t="n">
        <v>44370</v>
      </c>
      <c r="C30" s="1" t="n">
        <v>46135</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46135</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46135</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46135</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45693-2025</t>
        </is>
      </c>
      <c r="B34" s="1" t="n">
        <v>45923</v>
      </c>
      <c r="C34" s="1" t="n">
        <v>46135</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24048-2025</t>
        </is>
      </c>
      <c r="B35" s="1" t="n">
        <v>45796.4959375</v>
      </c>
      <c r="C35" s="1" t="n">
        <v>46135</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46135</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28785-2025</t>
        </is>
      </c>
      <c r="B37" s="1" t="n">
        <v>45820.46159722222</v>
      </c>
      <c r="C37" s="1" t="n">
        <v>46135</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46135</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3302-2026</t>
        </is>
      </c>
      <c r="B39" s="1" t="n">
        <v>46041</v>
      </c>
      <c r="C39" s="1" t="n">
        <v>46135</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24704-2023</t>
        </is>
      </c>
      <c r="B40" s="1" t="n">
        <v>45084</v>
      </c>
      <c r="C40" s="1" t="n">
        <v>46135</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34885-2025</t>
        </is>
      </c>
      <c r="B41" s="1" t="n">
        <v>45849.47128472223</v>
      </c>
      <c r="C41" s="1" t="n">
        <v>46135</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9745-2023</t>
        </is>
      </c>
      <c r="B42" s="1" t="n">
        <v>44984</v>
      </c>
      <c r="C42" s="1" t="n">
        <v>46135</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46135</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42761-2021</t>
        </is>
      </c>
      <c r="B44" s="1" t="n">
        <v>44428</v>
      </c>
      <c r="C44" s="1" t="n">
        <v>46135</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46135</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46135</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46135</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46135</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46135</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46135</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46135</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46135</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46135</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46135</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34951-2022</t>
        </is>
      </c>
      <c r="B55" s="1" t="n">
        <v>44796</v>
      </c>
      <c r="C55" s="1" t="n">
        <v>46135</v>
      </c>
      <c r="D55" t="inlineStr">
        <is>
          <t>KALMAR LÄN</t>
        </is>
      </c>
      <c r="E55" t="inlineStr">
        <is>
          <t>BORGHOLM</t>
        </is>
      </c>
      <c r="F55" t="inlineStr">
        <is>
          <t>Sveaskog</t>
        </is>
      </c>
      <c r="G55" t="n">
        <v>4.6</v>
      </c>
      <c r="H55" t="n">
        <v>0</v>
      </c>
      <c r="I55" t="n">
        <v>0</v>
      </c>
      <c r="J55" t="n">
        <v>0</v>
      </c>
      <c r="K55" t="n">
        <v>0</v>
      </c>
      <c r="L55" t="n">
        <v>0</v>
      </c>
      <c r="M55" t="n">
        <v>0</v>
      </c>
      <c r="N55" t="n">
        <v>0</v>
      </c>
      <c r="O55" t="n">
        <v>0</v>
      </c>
      <c r="P55" t="n">
        <v>0</v>
      </c>
      <c r="Q55" t="n">
        <v>0</v>
      </c>
      <c r="R55" s="2" t="inlineStr"/>
    </row>
    <row r="56" ht="15" customHeight="1">
      <c r="A56" t="inlineStr">
        <is>
          <t>A 19867-2024</t>
        </is>
      </c>
      <c r="B56" s="1" t="n">
        <v>45433</v>
      </c>
      <c r="C56" s="1" t="n">
        <v>46135</v>
      </c>
      <c r="D56" t="inlineStr">
        <is>
          <t>KALMAR LÄN</t>
        </is>
      </c>
      <c r="E56" t="inlineStr">
        <is>
          <t>BORGHOLM</t>
        </is>
      </c>
      <c r="G56" t="n">
        <v>3.9</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46135</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46135</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46135</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13383-2023</t>
        </is>
      </c>
      <c r="B60" s="1" t="n">
        <v>45005</v>
      </c>
      <c r="C60" s="1" t="n">
        <v>46135</v>
      </c>
      <c r="D60" t="inlineStr">
        <is>
          <t>KALMAR LÄN</t>
        </is>
      </c>
      <c r="E60" t="inlineStr">
        <is>
          <t>BORGHOLM</t>
        </is>
      </c>
      <c r="G60" t="n">
        <v>0.8</v>
      </c>
      <c r="H60" t="n">
        <v>0</v>
      </c>
      <c r="I60" t="n">
        <v>0</v>
      </c>
      <c r="J60" t="n">
        <v>0</v>
      </c>
      <c r="K60" t="n">
        <v>0</v>
      </c>
      <c r="L60" t="n">
        <v>0</v>
      </c>
      <c r="M60" t="n">
        <v>0</v>
      </c>
      <c r="N60" t="n">
        <v>0</v>
      </c>
      <c r="O60" t="n">
        <v>0</v>
      </c>
      <c r="P60" t="n">
        <v>0</v>
      </c>
      <c r="Q60" t="n">
        <v>0</v>
      </c>
      <c r="R60" s="2" t="inlineStr"/>
    </row>
    <row r="61" ht="15" customHeight="1">
      <c r="A61" t="inlineStr">
        <is>
          <t>A 61438-2023</t>
        </is>
      </c>
      <c r="B61" s="1" t="n">
        <v>45264</v>
      </c>
      <c r="C61" s="1" t="n">
        <v>46135</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13041-2024</t>
        </is>
      </c>
      <c r="B62" s="1" t="n">
        <v>45385.60065972222</v>
      </c>
      <c r="C62" s="1" t="n">
        <v>46135</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53050-2021</t>
        </is>
      </c>
      <c r="B63" s="1" t="n">
        <v>44467</v>
      </c>
      <c r="C63" s="1" t="n">
        <v>46135</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4165-2023</t>
        </is>
      </c>
      <c r="B64" s="1" t="n">
        <v>44953</v>
      </c>
      <c r="C64" s="1" t="n">
        <v>46135</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3878-2023</t>
        </is>
      </c>
      <c r="B65" s="1" t="n">
        <v>44951</v>
      </c>
      <c r="C65" s="1" t="n">
        <v>46135</v>
      </c>
      <c r="D65" t="inlineStr">
        <is>
          <t>KALMAR LÄN</t>
        </is>
      </c>
      <c r="E65" t="inlineStr">
        <is>
          <t>BORGHOLM</t>
        </is>
      </c>
      <c r="G65" t="n">
        <v>1.7</v>
      </c>
      <c r="H65" t="n">
        <v>0</v>
      </c>
      <c r="I65" t="n">
        <v>0</v>
      </c>
      <c r="J65" t="n">
        <v>0</v>
      </c>
      <c r="K65" t="n">
        <v>0</v>
      </c>
      <c r="L65" t="n">
        <v>0</v>
      </c>
      <c r="M65" t="n">
        <v>0</v>
      </c>
      <c r="N65" t="n">
        <v>0</v>
      </c>
      <c r="O65" t="n">
        <v>0</v>
      </c>
      <c r="P65" t="n">
        <v>0</v>
      </c>
      <c r="Q65" t="n">
        <v>0</v>
      </c>
      <c r="R65" s="2" t="inlineStr"/>
    </row>
    <row r="66" ht="15" customHeight="1">
      <c r="A66" t="inlineStr">
        <is>
          <t>A 50129-2021</t>
        </is>
      </c>
      <c r="B66" s="1" t="n">
        <v>44456</v>
      </c>
      <c r="C66" s="1" t="n">
        <v>46135</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9034-2025</t>
        </is>
      </c>
      <c r="B67" s="1" t="n">
        <v>45713</v>
      </c>
      <c r="C67" s="1" t="n">
        <v>46135</v>
      </c>
      <c r="D67" t="inlineStr">
        <is>
          <t>KALMAR LÄN</t>
        </is>
      </c>
      <c r="E67" t="inlineStr">
        <is>
          <t>BORGHOLM</t>
        </is>
      </c>
      <c r="F67" t="inlineStr">
        <is>
          <t>Sveaskog</t>
        </is>
      </c>
      <c r="G67" t="n">
        <v>6.8</v>
      </c>
      <c r="H67" t="n">
        <v>0</v>
      </c>
      <c r="I67" t="n">
        <v>0</v>
      </c>
      <c r="J67" t="n">
        <v>0</v>
      </c>
      <c r="K67" t="n">
        <v>0</v>
      </c>
      <c r="L67" t="n">
        <v>0</v>
      </c>
      <c r="M67" t="n">
        <v>0</v>
      </c>
      <c r="N67" t="n">
        <v>0</v>
      </c>
      <c r="O67" t="n">
        <v>0</v>
      </c>
      <c r="P67" t="n">
        <v>0</v>
      </c>
      <c r="Q67" t="n">
        <v>0</v>
      </c>
      <c r="R67" s="2" t="inlineStr"/>
    </row>
    <row r="68" ht="15" customHeight="1">
      <c r="A68" t="inlineStr">
        <is>
          <t>A 13548-2025</t>
        </is>
      </c>
      <c r="B68" s="1" t="n">
        <v>45736.53827546296</v>
      </c>
      <c r="C68" s="1" t="n">
        <v>46135</v>
      </c>
      <c r="D68" t="inlineStr">
        <is>
          <t>KALMAR LÄN</t>
        </is>
      </c>
      <c r="E68" t="inlineStr">
        <is>
          <t>BORGHOLM</t>
        </is>
      </c>
      <c r="G68" t="n">
        <v>1</v>
      </c>
      <c r="H68" t="n">
        <v>0</v>
      </c>
      <c r="I68" t="n">
        <v>0</v>
      </c>
      <c r="J68" t="n">
        <v>0</v>
      </c>
      <c r="K68" t="n">
        <v>0</v>
      </c>
      <c r="L68" t="n">
        <v>0</v>
      </c>
      <c r="M68" t="n">
        <v>0</v>
      </c>
      <c r="N68" t="n">
        <v>0</v>
      </c>
      <c r="O68" t="n">
        <v>0</v>
      </c>
      <c r="P68" t="n">
        <v>0</v>
      </c>
      <c r="Q68" t="n">
        <v>0</v>
      </c>
      <c r="R68" s="2" t="inlineStr"/>
    </row>
    <row r="69" ht="15" customHeight="1">
      <c r="A69" t="inlineStr">
        <is>
          <t>A 7481-2026</t>
        </is>
      </c>
      <c r="B69" s="1" t="n">
        <v>46059.51359953704</v>
      </c>
      <c r="C69" s="1" t="n">
        <v>46135</v>
      </c>
      <c r="D69" t="inlineStr">
        <is>
          <t>KALMAR LÄN</t>
        </is>
      </c>
      <c r="E69" t="inlineStr">
        <is>
          <t>BORGHOLM</t>
        </is>
      </c>
      <c r="G69" t="n">
        <v>1.9</v>
      </c>
      <c r="H69" t="n">
        <v>0</v>
      </c>
      <c r="I69" t="n">
        <v>0</v>
      </c>
      <c r="J69" t="n">
        <v>0</v>
      </c>
      <c r="K69" t="n">
        <v>0</v>
      </c>
      <c r="L69" t="n">
        <v>0</v>
      </c>
      <c r="M69" t="n">
        <v>0</v>
      </c>
      <c r="N69" t="n">
        <v>0</v>
      </c>
      <c r="O69" t="n">
        <v>0</v>
      </c>
      <c r="P69" t="n">
        <v>0</v>
      </c>
      <c r="Q69" t="n">
        <v>0</v>
      </c>
      <c r="R69" s="2" t="inlineStr"/>
    </row>
    <row r="70" ht="15" customHeight="1">
      <c r="A70" t="inlineStr">
        <is>
          <t>A 15272-2026</t>
        </is>
      </c>
      <c r="B70" s="1" t="n">
        <v>46105.60017361111</v>
      </c>
      <c r="C70" s="1" t="n">
        <v>46135</v>
      </c>
      <c r="D70" t="inlineStr">
        <is>
          <t>KALMAR LÄN</t>
        </is>
      </c>
      <c r="E70" t="inlineStr">
        <is>
          <t>BORGHOLM</t>
        </is>
      </c>
      <c r="F70" t="inlineStr">
        <is>
          <t>Sveaskog</t>
        </is>
      </c>
      <c r="G70" t="n">
        <v>2.9</v>
      </c>
      <c r="H70" t="n">
        <v>0</v>
      </c>
      <c r="I70" t="n">
        <v>0</v>
      </c>
      <c r="J70" t="n">
        <v>0</v>
      </c>
      <c r="K70" t="n">
        <v>0</v>
      </c>
      <c r="L70" t="n">
        <v>0</v>
      </c>
      <c r="M70" t="n">
        <v>0</v>
      </c>
      <c r="N70" t="n">
        <v>0</v>
      </c>
      <c r="O70" t="n">
        <v>0</v>
      </c>
      <c r="P70" t="n">
        <v>0</v>
      </c>
      <c r="Q70" t="n">
        <v>0</v>
      </c>
      <c r="R70" s="2" t="inlineStr"/>
    </row>
    <row r="71" ht="15" customHeight="1">
      <c r="A71" t="inlineStr">
        <is>
          <t>A 15264-2026</t>
        </is>
      </c>
      <c r="B71" s="1" t="n">
        <v>46105.59372685185</v>
      </c>
      <c r="C71" s="1" t="n">
        <v>46135</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15279-2026</t>
        </is>
      </c>
      <c r="B72" s="1" t="n">
        <v>46105.61030092592</v>
      </c>
      <c r="C72" s="1" t="n">
        <v>46135</v>
      </c>
      <c r="D72" t="inlineStr">
        <is>
          <t>KALMAR LÄN</t>
        </is>
      </c>
      <c r="E72" t="inlineStr">
        <is>
          <t>BORGHOLM</t>
        </is>
      </c>
      <c r="F72" t="inlineStr">
        <is>
          <t>Sveaskog</t>
        </is>
      </c>
      <c r="G72" t="n">
        <v>4.6</v>
      </c>
      <c r="H72" t="n">
        <v>0</v>
      </c>
      <c r="I72" t="n">
        <v>0</v>
      </c>
      <c r="J72" t="n">
        <v>0</v>
      </c>
      <c r="K72" t="n">
        <v>0</v>
      </c>
      <c r="L72" t="n">
        <v>0</v>
      </c>
      <c r="M72" t="n">
        <v>0</v>
      </c>
      <c r="N72" t="n">
        <v>0</v>
      </c>
      <c r="O72" t="n">
        <v>0</v>
      </c>
      <c r="P72" t="n">
        <v>0</v>
      </c>
      <c r="Q72" t="n">
        <v>0</v>
      </c>
      <c r="R72" s="2" t="inlineStr"/>
    </row>
    <row r="73" ht="15" customHeight="1">
      <c r="A73" t="inlineStr">
        <is>
          <t>A 41831-2025</t>
        </is>
      </c>
      <c r="B73" s="1" t="n">
        <v>45902.67887731481</v>
      </c>
      <c r="C73" s="1" t="n">
        <v>46135</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46135</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13043-2024</t>
        </is>
      </c>
      <c r="B75" s="1" t="n">
        <v>45385.60111111111</v>
      </c>
      <c r="C75" s="1" t="n">
        <v>46135</v>
      </c>
      <c r="D75" t="inlineStr">
        <is>
          <t>KALMAR LÄN</t>
        </is>
      </c>
      <c r="E75" t="inlineStr">
        <is>
          <t>BORGHOLM</t>
        </is>
      </c>
      <c r="G75" t="n">
        <v>0.4</v>
      </c>
      <c r="H75" t="n">
        <v>0</v>
      </c>
      <c r="I75" t="n">
        <v>0</v>
      </c>
      <c r="J75" t="n">
        <v>0</v>
      </c>
      <c r="K75" t="n">
        <v>0</v>
      </c>
      <c r="L75" t="n">
        <v>0</v>
      </c>
      <c r="M75" t="n">
        <v>0</v>
      </c>
      <c r="N75" t="n">
        <v>0</v>
      </c>
      <c r="O75" t="n">
        <v>0</v>
      </c>
      <c r="P75" t="n">
        <v>0</v>
      </c>
      <c r="Q75" t="n">
        <v>0</v>
      </c>
      <c r="R75" s="2" t="inlineStr"/>
    </row>
    <row r="76" ht="15" customHeight="1">
      <c r="A76" t="inlineStr">
        <is>
          <t>A 34780-2022</t>
        </is>
      </c>
      <c r="B76" s="1" t="n">
        <v>44795</v>
      </c>
      <c r="C76" s="1" t="n">
        <v>46135</v>
      </c>
      <c r="D76" t="inlineStr">
        <is>
          <t>KALMAR LÄN</t>
        </is>
      </c>
      <c r="E76" t="inlineStr">
        <is>
          <t>BORGHOLM</t>
        </is>
      </c>
      <c r="F76" t="inlineStr">
        <is>
          <t>Sveaskog</t>
        </is>
      </c>
      <c r="G76" t="n">
        <v>6.7</v>
      </c>
      <c r="H76" t="n">
        <v>0</v>
      </c>
      <c r="I76" t="n">
        <v>0</v>
      </c>
      <c r="J76" t="n">
        <v>0</v>
      </c>
      <c r="K76" t="n">
        <v>0</v>
      </c>
      <c r="L76" t="n">
        <v>0</v>
      </c>
      <c r="M76" t="n">
        <v>0</v>
      </c>
      <c r="N76" t="n">
        <v>0</v>
      </c>
      <c r="O76" t="n">
        <v>0</v>
      </c>
      <c r="P76" t="n">
        <v>0</v>
      </c>
      <c r="Q76" t="n">
        <v>0</v>
      </c>
      <c r="R76" s="2" t="inlineStr"/>
    </row>
    <row r="77" ht="15" customHeight="1">
      <c r="A77" t="inlineStr">
        <is>
          <t>A 42232-2025</t>
        </is>
      </c>
      <c r="B77" s="1" t="n">
        <v>45904.55591435185</v>
      </c>
      <c r="C77" s="1" t="n">
        <v>46135</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9104-2026</t>
        </is>
      </c>
      <c r="B78" s="1" t="n">
        <v>46069</v>
      </c>
      <c r="C78" s="1" t="n">
        <v>46135</v>
      </c>
      <c r="D78" t="inlineStr">
        <is>
          <t>KALMAR LÄN</t>
        </is>
      </c>
      <c r="E78" t="inlineStr">
        <is>
          <t>BORGHOLM</t>
        </is>
      </c>
      <c r="G78" t="n">
        <v>1.3</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46135</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9259-2026</t>
        </is>
      </c>
      <c r="B80" s="1" t="n">
        <v>46070.51917824074</v>
      </c>
      <c r="C80" s="1" t="n">
        <v>46135</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46135</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9905-2026</t>
        </is>
      </c>
      <c r="B82" s="1" t="n">
        <v>46073.4108912037</v>
      </c>
      <c r="C82" s="1" t="n">
        <v>46135</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46135</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9044-2025</t>
        </is>
      </c>
      <c r="B84" s="1" t="n">
        <v>45713.6275</v>
      </c>
      <c r="C84" s="1" t="n">
        <v>46135</v>
      </c>
      <c r="D84" t="inlineStr">
        <is>
          <t>KALMAR LÄN</t>
        </is>
      </c>
      <c r="E84" t="inlineStr">
        <is>
          <t>BORGHOLM</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46845-2025</t>
        </is>
      </c>
      <c r="B85" s="1" t="n">
        <v>45928</v>
      </c>
      <c r="C85" s="1" t="n">
        <v>46135</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20878-2024</t>
        </is>
      </c>
      <c r="B86" s="1" t="n">
        <v>45439.44748842593</v>
      </c>
      <c r="C86" s="1" t="n">
        <v>46135</v>
      </c>
      <c r="D86" t="inlineStr">
        <is>
          <t>KALMAR LÄN</t>
        </is>
      </c>
      <c r="E86" t="inlineStr">
        <is>
          <t>BORGHOLM</t>
        </is>
      </c>
      <c r="G86" t="n">
        <v>1.9</v>
      </c>
      <c r="H86" t="n">
        <v>0</v>
      </c>
      <c r="I86" t="n">
        <v>0</v>
      </c>
      <c r="J86" t="n">
        <v>0</v>
      </c>
      <c r="K86" t="n">
        <v>0</v>
      </c>
      <c r="L86" t="n">
        <v>0</v>
      </c>
      <c r="M86" t="n">
        <v>0</v>
      </c>
      <c r="N86" t="n">
        <v>0</v>
      </c>
      <c r="O86" t="n">
        <v>0</v>
      </c>
      <c r="P86" t="n">
        <v>0</v>
      </c>
      <c r="Q86" t="n">
        <v>0</v>
      </c>
      <c r="R86" s="2" t="inlineStr"/>
    </row>
    <row r="87" ht="15" customHeight="1">
      <c r="A87" t="inlineStr">
        <is>
          <t>A 17699-2025</t>
        </is>
      </c>
      <c r="B87" s="1" t="n">
        <v>45758.41846064815</v>
      </c>
      <c r="C87" s="1" t="n">
        <v>46135</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20287-2025</t>
        </is>
      </c>
      <c r="B88" s="1" t="n">
        <v>45774.60741898148</v>
      </c>
      <c r="C88" s="1" t="n">
        <v>46135</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26160-2024</t>
        </is>
      </c>
      <c r="B89" s="1" t="n">
        <v>45468</v>
      </c>
      <c r="C89" s="1" t="n">
        <v>46135</v>
      </c>
      <c r="D89" t="inlineStr">
        <is>
          <t>KALMAR LÄN</t>
        </is>
      </c>
      <c r="E89" t="inlineStr">
        <is>
          <t>BORGHOLM</t>
        </is>
      </c>
      <c r="G89" t="n">
        <v>0.4</v>
      </c>
      <c r="H89" t="n">
        <v>0</v>
      </c>
      <c r="I89" t="n">
        <v>0</v>
      </c>
      <c r="J89" t="n">
        <v>0</v>
      </c>
      <c r="K89" t="n">
        <v>0</v>
      </c>
      <c r="L89" t="n">
        <v>0</v>
      </c>
      <c r="M89" t="n">
        <v>0</v>
      </c>
      <c r="N89" t="n">
        <v>0</v>
      </c>
      <c r="O89" t="n">
        <v>0</v>
      </c>
      <c r="P89" t="n">
        <v>0</v>
      </c>
      <c r="Q89" t="n">
        <v>0</v>
      </c>
      <c r="R89" s="2" t="inlineStr"/>
      <c r="T89">
        <f>HYPERLINK("https://klasma.github.io/Logging_0885/kartor/A 26160-2024 karta.png", "A 26160-2024")</f>
        <v/>
      </c>
      <c r="V89">
        <f>HYPERLINK("https://klasma.github.io/Logging_0885/klagomål/A 26160-2024 FSC-klagomål.docx", "A 26160-2024")</f>
        <v/>
      </c>
      <c r="W89">
        <f>HYPERLINK("https://klasma.github.io/Logging_0885/klagomålsmail/A 26160-2024 FSC-klagomål mail.docx", "A 26160-2024")</f>
        <v/>
      </c>
      <c r="X89">
        <f>HYPERLINK("https://klasma.github.io/Logging_0885/tillsyn/A 26160-2024 tillsynsbegäran.docx", "A 26160-2024")</f>
        <v/>
      </c>
      <c r="Y89">
        <f>HYPERLINK("https://klasma.github.io/Logging_0885/tillsynsmail/A 26160-2024 tillsynsbegäran mail.docx", "A 26160-2024")</f>
        <v/>
      </c>
    </row>
    <row r="90" ht="15" customHeight="1">
      <c r="A90" t="inlineStr">
        <is>
          <t>A 64303-2023</t>
        </is>
      </c>
      <c r="B90" s="1" t="n">
        <v>45280</v>
      </c>
      <c r="C90" s="1" t="n">
        <v>46135</v>
      </c>
      <c r="D90" t="inlineStr">
        <is>
          <t>KALMAR LÄN</t>
        </is>
      </c>
      <c r="E90" t="inlineStr">
        <is>
          <t>BORGHOLM</t>
        </is>
      </c>
      <c r="G90" t="n">
        <v>1.2</v>
      </c>
      <c r="H90" t="n">
        <v>0</v>
      </c>
      <c r="I90" t="n">
        <v>0</v>
      </c>
      <c r="J90" t="n">
        <v>0</v>
      </c>
      <c r="K90" t="n">
        <v>0</v>
      </c>
      <c r="L90" t="n">
        <v>0</v>
      </c>
      <c r="M90" t="n">
        <v>0</v>
      </c>
      <c r="N90" t="n">
        <v>0</v>
      </c>
      <c r="O90" t="n">
        <v>0</v>
      </c>
      <c r="P90" t="n">
        <v>0</v>
      </c>
      <c r="Q90" t="n">
        <v>0</v>
      </c>
      <c r="R90" s="2" t="inlineStr"/>
    </row>
    <row r="91" ht="15" customHeight="1">
      <c r="A91" t="inlineStr">
        <is>
          <t>A 21908-2022</t>
        </is>
      </c>
      <c r="B91" s="1" t="n">
        <v>44711</v>
      </c>
      <c r="C91" s="1" t="n">
        <v>46135</v>
      </c>
      <c r="D91" t="inlineStr">
        <is>
          <t>KALMAR LÄN</t>
        </is>
      </c>
      <c r="E91" t="inlineStr">
        <is>
          <t>BORGHOLM</t>
        </is>
      </c>
      <c r="G91" t="n">
        <v>4.7</v>
      </c>
      <c r="H91" t="n">
        <v>0</v>
      </c>
      <c r="I91" t="n">
        <v>0</v>
      </c>
      <c r="J91" t="n">
        <v>0</v>
      </c>
      <c r="K91" t="n">
        <v>0</v>
      </c>
      <c r="L91" t="n">
        <v>0</v>
      </c>
      <c r="M91" t="n">
        <v>0</v>
      </c>
      <c r="N91" t="n">
        <v>0</v>
      </c>
      <c r="O91" t="n">
        <v>0</v>
      </c>
      <c r="P91" t="n">
        <v>0</v>
      </c>
      <c r="Q91" t="n">
        <v>0</v>
      </c>
      <c r="R91" s="2" t="inlineStr"/>
    </row>
    <row r="92" ht="15" customHeight="1">
      <c r="A92" t="inlineStr">
        <is>
          <t>A 55367-2024</t>
        </is>
      </c>
      <c r="B92" s="1" t="n">
        <v>45621.87075231481</v>
      </c>
      <c r="C92" s="1" t="n">
        <v>46135</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63075-2023</t>
        </is>
      </c>
      <c r="B93" s="1" t="n">
        <v>45273</v>
      </c>
      <c r="C93" s="1" t="n">
        <v>46135</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4159-2024</t>
        </is>
      </c>
      <c r="B94" s="1" t="n">
        <v>45323</v>
      </c>
      <c r="C94" s="1" t="n">
        <v>46135</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22785-2025</t>
        </is>
      </c>
      <c r="B95" s="1" t="n">
        <v>45789.64186342592</v>
      </c>
      <c r="C95" s="1" t="n">
        <v>46135</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32921-2023</t>
        </is>
      </c>
      <c r="B96" s="1" t="n">
        <v>45125</v>
      </c>
      <c r="C96" s="1" t="n">
        <v>46135</v>
      </c>
      <c r="D96" t="inlineStr">
        <is>
          <t>KALMAR LÄN</t>
        </is>
      </c>
      <c r="E96" t="inlineStr">
        <is>
          <t>BORGHOLM</t>
        </is>
      </c>
      <c r="G96" t="n">
        <v>2.9</v>
      </c>
      <c r="H96" t="n">
        <v>0</v>
      </c>
      <c r="I96" t="n">
        <v>0</v>
      </c>
      <c r="J96" t="n">
        <v>0</v>
      </c>
      <c r="K96" t="n">
        <v>0</v>
      </c>
      <c r="L96" t="n">
        <v>0</v>
      </c>
      <c r="M96" t="n">
        <v>0</v>
      </c>
      <c r="N96" t="n">
        <v>0</v>
      </c>
      <c r="O96" t="n">
        <v>0</v>
      </c>
      <c r="P96" t="n">
        <v>0</v>
      </c>
      <c r="Q96" t="n">
        <v>0</v>
      </c>
      <c r="R96" s="2" t="inlineStr"/>
    </row>
    <row r="97" ht="15" customHeight="1">
      <c r="A97" t="inlineStr">
        <is>
          <t>A 12534-2022</t>
        </is>
      </c>
      <c r="B97" s="1" t="n">
        <v>44638</v>
      </c>
      <c r="C97" s="1" t="n">
        <v>46135</v>
      </c>
      <c r="D97" t="inlineStr">
        <is>
          <t>KALMAR LÄN</t>
        </is>
      </c>
      <c r="E97" t="inlineStr">
        <is>
          <t>BORGHOLM</t>
        </is>
      </c>
      <c r="G97" t="n">
        <v>8.6</v>
      </c>
      <c r="H97" t="n">
        <v>0</v>
      </c>
      <c r="I97" t="n">
        <v>0</v>
      </c>
      <c r="J97" t="n">
        <v>0</v>
      </c>
      <c r="K97" t="n">
        <v>0</v>
      </c>
      <c r="L97" t="n">
        <v>0</v>
      </c>
      <c r="M97" t="n">
        <v>0</v>
      </c>
      <c r="N97" t="n">
        <v>0</v>
      </c>
      <c r="O97" t="n">
        <v>0</v>
      </c>
      <c r="P97" t="n">
        <v>0</v>
      </c>
      <c r="Q97" t="n">
        <v>0</v>
      </c>
      <c r="R97" s="2" t="inlineStr"/>
    </row>
    <row r="98" ht="15" customHeight="1">
      <c r="A98" t="inlineStr">
        <is>
          <t>A 60141-2025</t>
        </is>
      </c>
      <c r="B98" s="1" t="n">
        <v>45994.36873842592</v>
      </c>
      <c r="C98" s="1" t="n">
        <v>46135</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31699-2022</t>
        </is>
      </c>
      <c r="B99" s="1" t="n">
        <v>44776</v>
      </c>
      <c r="C99" s="1" t="n">
        <v>46135</v>
      </c>
      <c r="D99" t="inlineStr">
        <is>
          <t>KALMAR LÄN</t>
        </is>
      </c>
      <c r="E99" t="inlineStr">
        <is>
          <t>BORGHOLM</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40339-2023</t>
        </is>
      </c>
      <c r="B100" s="1" t="n">
        <v>45169.62733796296</v>
      </c>
      <c r="C100" s="1" t="n">
        <v>46135</v>
      </c>
      <c r="D100" t="inlineStr">
        <is>
          <t>KALMAR LÄN</t>
        </is>
      </c>
      <c r="E100" t="inlineStr">
        <is>
          <t>BORGHOLM</t>
        </is>
      </c>
      <c r="G100" t="n">
        <v>3.8</v>
      </c>
      <c r="H100" t="n">
        <v>0</v>
      </c>
      <c r="I100" t="n">
        <v>0</v>
      </c>
      <c r="J100" t="n">
        <v>0</v>
      </c>
      <c r="K100" t="n">
        <v>0</v>
      </c>
      <c r="L100" t="n">
        <v>0</v>
      </c>
      <c r="M100" t="n">
        <v>0</v>
      </c>
      <c r="N100" t="n">
        <v>0</v>
      </c>
      <c r="O100" t="n">
        <v>0</v>
      </c>
      <c r="P100" t="n">
        <v>0</v>
      </c>
      <c r="Q100" t="n">
        <v>0</v>
      </c>
      <c r="R100" s="2" t="inlineStr"/>
    </row>
    <row r="101" ht="15" customHeight="1">
      <c r="A101" t="inlineStr">
        <is>
          <t>A 63276-2023</t>
        </is>
      </c>
      <c r="B101" s="1" t="n">
        <v>45273.82195601852</v>
      </c>
      <c r="C101" s="1" t="n">
        <v>46135</v>
      </c>
      <c r="D101" t="inlineStr">
        <is>
          <t>KALMAR LÄN</t>
        </is>
      </c>
      <c r="E101" t="inlineStr">
        <is>
          <t>BORGHOLM</t>
        </is>
      </c>
      <c r="G101" t="n">
        <v>5</v>
      </c>
      <c r="H101" t="n">
        <v>0</v>
      </c>
      <c r="I101" t="n">
        <v>0</v>
      </c>
      <c r="J101" t="n">
        <v>0</v>
      </c>
      <c r="K101" t="n">
        <v>0</v>
      </c>
      <c r="L101" t="n">
        <v>0</v>
      </c>
      <c r="M101" t="n">
        <v>0</v>
      </c>
      <c r="N101" t="n">
        <v>0</v>
      </c>
      <c r="O101" t="n">
        <v>0</v>
      </c>
      <c r="P101" t="n">
        <v>0</v>
      </c>
      <c r="Q101" t="n">
        <v>0</v>
      </c>
      <c r="R101" s="2" t="inlineStr"/>
    </row>
    <row r="102" ht="15" customHeight="1">
      <c r="A102" t="inlineStr">
        <is>
          <t>A 24166-2022</t>
        </is>
      </c>
      <c r="B102" s="1" t="n">
        <v>44725</v>
      </c>
      <c r="C102" s="1" t="n">
        <v>46135</v>
      </c>
      <c r="D102" t="inlineStr">
        <is>
          <t>KALMAR LÄN</t>
        </is>
      </c>
      <c r="E102" t="inlineStr">
        <is>
          <t>BORGHOLM</t>
        </is>
      </c>
      <c r="G102" t="n">
        <v>10.7</v>
      </c>
      <c r="H102" t="n">
        <v>0</v>
      </c>
      <c r="I102" t="n">
        <v>0</v>
      </c>
      <c r="J102" t="n">
        <v>0</v>
      </c>
      <c r="K102" t="n">
        <v>0</v>
      </c>
      <c r="L102" t="n">
        <v>0</v>
      </c>
      <c r="M102" t="n">
        <v>0</v>
      </c>
      <c r="N102" t="n">
        <v>0</v>
      </c>
      <c r="O102" t="n">
        <v>0</v>
      </c>
      <c r="P102" t="n">
        <v>0</v>
      </c>
      <c r="Q102" t="n">
        <v>0</v>
      </c>
      <c r="R102" s="2" t="inlineStr"/>
    </row>
    <row r="103" ht="15" customHeight="1">
      <c r="A103" t="inlineStr">
        <is>
          <t>A 61723-2025</t>
        </is>
      </c>
      <c r="B103" s="1" t="n">
        <v>46002.58388888889</v>
      </c>
      <c r="C103" s="1" t="n">
        <v>46135</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26190-2025</t>
        </is>
      </c>
      <c r="B104" s="1" t="n">
        <v>45805.48349537037</v>
      </c>
      <c r="C104" s="1" t="n">
        <v>46135</v>
      </c>
      <c r="D104" t="inlineStr">
        <is>
          <t>KALMAR LÄN</t>
        </is>
      </c>
      <c r="E104" t="inlineStr">
        <is>
          <t>BORGHOLM</t>
        </is>
      </c>
      <c r="G104" t="n">
        <v>3.2</v>
      </c>
      <c r="H104" t="n">
        <v>0</v>
      </c>
      <c r="I104" t="n">
        <v>0</v>
      </c>
      <c r="J104" t="n">
        <v>0</v>
      </c>
      <c r="K104" t="n">
        <v>0</v>
      </c>
      <c r="L104" t="n">
        <v>0</v>
      </c>
      <c r="M104" t="n">
        <v>0</v>
      </c>
      <c r="N104" t="n">
        <v>0</v>
      </c>
      <c r="O104" t="n">
        <v>0</v>
      </c>
      <c r="P104" t="n">
        <v>0</v>
      </c>
      <c r="Q104" t="n">
        <v>0</v>
      </c>
      <c r="R104" s="2" t="inlineStr"/>
    </row>
    <row r="105" ht="15" customHeight="1">
      <c r="A105" t="inlineStr">
        <is>
          <t>A 26160-2025</t>
        </is>
      </c>
      <c r="B105" s="1" t="n">
        <v>45805.4490162037</v>
      </c>
      <c r="C105" s="1" t="n">
        <v>46135</v>
      </c>
      <c r="D105" t="inlineStr">
        <is>
          <t>KALMAR LÄN</t>
        </is>
      </c>
      <c r="E105" t="inlineStr">
        <is>
          <t>BORGHOLM</t>
        </is>
      </c>
      <c r="G105" t="n">
        <v>3.7</v>
      </c>
      <c r="H105" t="n">
        <v>0</v>
      </c>
      <c r="I105" t="n">
        <v>0</v>
      </c>
      <c r="J105" t="n">
        <v>0</v>
      </c>
      <c r="K105" t="n">
        <v>0</v>
      </c>
      <c r="L105" t="n">
        <v>0</v>
      </c>
      <c r="M105" t="n">
        <v>0</v>
      </c>
      <c r="N105" t="n">
        <v>0</v>
      </c>
      <c r="O105" t="n">
        <v>0</v>
      </c>
      <c r="P105" t="n">
        <v>0</v>
      </c>
      <c r="Q105" t="n">
        <v>0</v>
      </c>
      <c r="R105" s="2" t="inlineStr"/>
    </row>
    <row r="106" ht="15" customHeight="1">
      <c r="A106" t="inlineStr">
        <is>
          <t>A 27357-2025</t>
        </is>
      </c>
      <c r="B106" s="1" t="n">
        <v>45812.63650462963</v>
      </c>
      <c r="C106" s="1" t="n">
        <v>46135</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46135</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1614-2025</t>
        </is>
      </c>
      <c r="B108" s="1" t="n">
        <v>45670.60094907408</v>
      </c>
      <c r="C108" s="1" t="n">
        <v>46135</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28782-2025</t>
        </is>
      </c>
      <c r="B109" s="1" t="n">
        <v>45820.45572916666</v>
      </c>
      <c r="C109" s="1" t="n">
        <v>46135</v>
      </c>
      <c r="D109" t="inlineStr">
        <is>
          <t>KALMAR LÄN</t>
        </is>
      </c>
      <c r="E109" t="inlineStr">
        <is>
          <t>BORGHOLM</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9076-2025</t>
        </is>
      </c>
      <c r="B110" s="1" t="n">
        <v>45713.6596875</v>
      </c>
      <c r="C110" s="1" t="n">
        <v>46135</v>
      </c>
      <c r="D110" t="inlineStr">
        <is>
          <t>KALMAR LÄN</t>
        </is>
      </c>
      <c r="E110" t="inlineStr">
        <is>
          <t>BORGHOLM</t>
        </is>
      </c>
      <c r="F110" t="inlineStr">
        <is>
          <t>Sveaskog</t>
        </is>
      </c>
      <c r="G110" t="n">
        <v>4.2</v>
      </c>
      <c r="H110" t="n">
        <v>0</v>
      </c>
      <c r="I110" t="n">
        <v>0</v>
      </c>
      <c r="J110" t="n">
        <v>0</v>
      </c>
      <c r="K110" t="n">
        <v>0</v>
      </c>
      <c r="L110" t="n">
        <v>0</v>
      </c>
      <c r="M110" t="n">
        <v>0</v>
      </c>
      <c r="N110" t="n">
        <v>0</v>
      </c>
      <c r="O110" t="n">
        <v>0</v>
      </c>
      <c r="P110" t="n">
        <v>0</v>
      </c>
      <c r="Q110" t="n">
        <v>0</v>
      </c>
      <c r="R110" s="2" t="inlineStr"/>
    </row>
    <row r="111" ht="15" customHeight="1">
      <c r="A111" t="inlineStr">
        <is>
          <t>A 1757-2025</t>
        </is>
      </c>
      <c r="B111" s="1" t="n">
        <v>45671.42195601852</v>
      </c>
      <c r="C111" s="1" t="n">
        <v>46135</v>
      </c>
      <c r="D111" t="inlineStr">
        <is>
          <t>KALMAR LÄN</t>
        </is>
      </c>
      <c r="E111" t="inlineStr">
        <is>
          <t>BORGHOLM</t>
        </is>
      </c>
      <c r="G111" t="n">
        <v>1.4</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46135</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36269-2025</t>
        </is>
      </c>
      <c r="B113" s="1" t="n">
        <v>45867.61736111111</v>
      </c>
      <c r="C113" s="1" t="n">
        <v>46135</v>
      </c>
      <c r="D113" t="inlineStr">
        <is>
          <t>KALMAR LÄN</t>
        </is>
      </c>
      <c r="E113" t="inlineStr">
        <is>
          <t>BORGHOLM</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29656-2023</t>
        </is>
      </c>
      <c r="B114" s="1" t="n">
        <v>45107</v>
      </c>
      <c r="C114" s="1" t="n">
        <v>46135</v>
      </c>
      <c r="D114" t="inlineStr">
        <is>
          <t>KALMAR LÄN</t>
        </is>
      </c>
      <c r="E114" t="inlineStr">
        <is>
          <t>BORGHOLM</t>
        </is>
      </c>
      <c r="G114" t="n">
        <v>4.1</v>
      </c>
      <c r="H114" t="n">
        <v>0</v>
      </c>
      <c r="I114" t="n">
        <v>0</v>
      </c>
      <c r="J114" t="n">
        <v>0</v>
      </c>
      <c r="K114" t="n">
        <v>0</v>
      </c>
      <c r="L114" t="n">
        <v>0</v>
      </c>
      <c r="M114" t="n">
        <v>0</v>
      </c>
      <c r="N114" t="n">
        <v>0</v>
      </c>
      <c r="O114" t="n">
        <v>0</v>
      </c>
      <c r="P114" t="n">
        <v>0</v>
      </c>
      <c r="Q114" t="n">
        <v>0</v>
      </c>
      <c r="R114" s="2" t="inlineStr"/>
    </row>
    <row r="115" ht="15" customHeight="1">
      <c r="A115" t="inlineStr">
        <is>
          <t>A 9050-2025</t>
        </is>
      </c>
      <c r="B115" s="1" t="n">
        <v>45713.63512731482</v>
      </c>
      <c r="C115" s="1" t="n">
        <v>46135</v>
      </c>
      <c r="D115" t="inlineStr">
        <is>
          <t>KALMAR LÄN</t>
        </is>
      </c>
      <c r="E115" t="inlineStr">
        <is>
          <t>BORGHOLM</t>
        </is>
      </c>
      <c r="F115" t="inlineStr">
        <is>
          <t>Sveaskog</t>
        </is>
      </c>
      <c r="G115" t="n">
        <v>2.5</v>
      </c>
      <c r="H115" t="n">
        <v>0</v>
      </c>
      <c r="I115" t="n">
        <v>0</v>
      </c>
      <c r="J115" t="n">
        <v>0</v>
      </c>
      <c r="K115" t="n">
        <v>0</v>
      </c>
      <c r="L115" t="n">
        <v>0</v>
      </c>
      <c r="M115" t="n">
        <v>0</v>
      </c>
      <c r="N115" t="n">
        <v>0</v>
      </c>
      <c r="O115" t="n">
        <v>0</v>
      </c>
      <c r="P115" t="n">
        <v>0</v>
      </c>
      <c r="Q115" t="n">
        <v>0</v>
      </c>
      <c r="R115" s="2" t="inlineStr"/>
    </row>
    <row r="116" ht="15" customHeight="1">
      <c r="A116" t="inlineStr">
        <is>
          <t>A 7669-2024</t>
        </is>
      </c>
      <c r="B116" s="1" t="n">
        <v>45348.82498842593</v>
      </c>
      <c r="C116" s="1" t="n">
        <v>46135</v>
      </c>
      <c r="D116" t="inlineStr">
        <is>
          <t>KALMAR LÄN</t>
        </is>
      </c>
      <c r="E116" t="inlineStr">
        <is>
          <t>BORGHOLM</t>
        </is>
      </c>
      <c r="G116" t="n">
        <v>2.3</v>
      </c>
      <c r="H116" t="n">
        <v>0</v>
      </c>
      <c r="I116" t="n">
        <v>0</v>
      </c>
      <c r="J116" t="n">
        <v>0</v>
      </c>
      <c r="K116" t="n">
        <v>0</v>
      </c>
      <c r="L116" t="n">
        <v>0</v>
      </c>
      <c r="M116" t="n">
        <v>0</v>
      </c>
      <c r="N116" t="n">
        <v>0</v>
      </c>
      <c r="O116" t="n">
        <v>0</v>
      </c>
      <c r="P116" t="n">
        <v>0</v>
      </c>
      <c r="Q116" t="n">
        <v>0</v>
      </c>
      <c r="R116" s="2" t="inlineStr"/>
    </row>
    <row r="117" ht="15" customHeight="1">
      <c r="A117" t="inlineStr">
        <is>
          <t>A 31840-2021</t>
        </is>
      </c>
      <c r="B117" s="1" t="n">
        <v>44370</v>
      </c>
      <c r="C117" s="1" t="n">
        <v>46135</v>
      </c>
      <c r="D117" t="inlineStr">
        <is>
          <t>KALMAR LÄN</t>
        </is>
      </c>
      <c r="E117" t="inlineStr">
        <is>
          <t>BORGHOLM</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32919-2023</t>
        </is>
      </c>
      <c r="B118" s="1" t="n">
        <v>45125</v>
      </c>
      <c r="C118" s="1" t="n">
        <v>46135</v>
      </c>
      <c r="D118" t="inlineStr">
        <is>
          <t>KALMAR LÄN</t>
        </is>
      </c>
      <c r="E118" t="inlineStr">
        <is>
          <t>BORGHOLM</t>
        </is>
      </c>
      <c r="G118" t="n">
        <v>2.7</v>
      </c>
      <c r="H118" t="n">
        <v>0</v>
      </c>
      <c r="I118" t="n">
        <v>0</v>
      </c>
      <c r="J118" t="n">
        <v>0</v>
      </c>
      <c r="K118" t="n">
        <v>0</v>
      </c>
      <c r="L118" t="n">
        <v>0</v>
      </c>
      <c r="M118" t="n">
        <v>0</v>
      </c>
      <c r="N118" t="n">
        <v>0</v>
      </c>
      <c r="O118" t="n">
        <v>0</v>
      </c>
      <c r="P118" t="n">
        <v>0</v>
      </c>
      <c r="Q118" t="n">
        <v>0</v>
      </c>
      <c r="R118" s="2" t="inlineStr"/>
    </row>
    <row r="119" ht="15" customHeight="1">
      <c r="A119" t="inlineStr">
        <is>
          <t>A 44678-2022</t>
        </is>
      </c>
      <c r="B119" s="1" t="n">
        <v>44840.65100694444</v>
      </c>
      <c r="C119" s="1" t="n">
        <v>46135</v>
      </c>
      <c r="D119" t="inlineStr">
        <is>
          <t>KALMAR LÄN</t>
        </is>
      </c>
      <c r="E119" t="inlineStr">
        <is>
          <t>BORGHOLM</t>
        </is>
      </c>
      <c r="G119" t="n">
        <v>2.4</v>
      </c>
      <c r="H119" t="n">
        <v>0</v>
      </c>
      <c r="I119" t="n">
        <v>0</v>
      </c>
      <c r="J119" t="n">
        <v>0</v>
      </c>
      <c r="K119" t="n">
        <v>0</v>
      </c>
      <c r="L119" t="n">
        <v>0</v>
      </c>
      <c r="M119" t="n">
        <v>0</v>
      </c>
      <c r="N119" t="n">
        <v>0</v>
      </c>
      <c r="O119" t="n">
        <v>0</v>
      </c>
      <c r="P119" t="n">
        <v>0</v>
      </c>
      <c r="Q119" t="n">
        <v>0</v>
      </c>
      <c r="R119" s="2" t="inlineStr"/>
    </row>
    <row r="120" ht="15" customHeight="1">
      <c r="A120" t="inlineStr">
        <is>
          <t>A 31720-2022</t>
        </is>
      </c>
      <c r="B120" s="1" t="n">
        <v>44776</v>
      </c>
      <c r="C120" s="1" t="n">
        <v>46135</v>
      </c>
      <c r="D120" t="inlineStr">
        <is>
          <t>KALMAR LÄN</t>
        </is>
      </c>
      <c r="E120" t="inlineStr">
        <is>
          <t>BORGHOLM</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44547-2021</t>
        </is>
      </c>
      <c r="B121" s="1" t="n">
        <v>44435</v>
      </c>
      <c r="C121" s="1" t="n">
        <v>46135</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c r="A122" t="inlineStr">
        <is>
          <t>A 5175-2024</t>
        </is>
      </c>
      <c r="B122" s="1" t="n">
        <v>45330</v>
      </c>
      <c r="C122" s="1" t="n">
        <v>46135</v>
      </c>
      <c r="D122" t="inlineStr">
        <is>
          <t>KALMAR LÄN</t>
        </is>
      </c>
      <c r="E122" t="inlineStr">
        <is>
          <t>BORGHOLM</t>
        </is>
      </c>
      <c r="G122" t="n">
        <v>1.5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2026-04-23T10:46:53Z</dcterms:created>
  <dcterms:modified xmlns:dcterms="http://purl.org/dc/terms/" xmlns:xsi="http://www.w3.org/2001/XMLSchema-instance" xsi:type="dcterms:W3CDTF">2026-04-23T10:46:53Z</dcterms:modified>
</cp:coreProperties>
</file>