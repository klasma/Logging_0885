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45907</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32178-2022</t>
        </is>
      </c>
      <c r="B8" s="1" t="n">
        <v>44781</v>
      </c>
      <c r="C8" s="1" t="n">
        <v>45907</v>
      </c>
      <c r="D8" t="inlineStr">
        <is>
          <t>KALMAR LÄN</t>
        </is>
      </c>
      <c r="E8" t="inlineStr">
        <is>
          <t>BORGHOLM</t>
        </is>
      </c>
      <c r="F8" t="inlineStr">
        <is>
          <t>Sveaskog</t>
        </is>
      </c>
      <c r="G8" t="n">
        <v>3.8</v>
      </c>
      <c r="H8" t="n">
        <v>1</v>
      </c>
      <c r="I8" t="n">
        <v>2</v>
      </c>
      <c r="J8" t="n">
        <v>2</v>
      </c>
      <c r="K8" t="n">
        <v>0</v>
      </c>
      <c r="L8" t="n">
        <v>0</v>
      </c>
      <c r="M8" t="n">
        <v>2</v>
      </c>
      <c r="N8" t="n">
        <v>0</v>
      </c>
      <c r="O8" t="n">
        <v>4</v>
      </c>
      <c r="P8" t="n">
        <v>2</v>
      </c>
      <c r="Q8" t="n">
        <v>6</v>
      </c>
      <c r="R8" s="2" t="inlineStr">
        <is>
          <t>Järnek
Skogsalm
Fyrflikig jordstjärna
Grönsångare
Kalktallört
Kamjordstjärna</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57656-2020</t>
        </is>
      </c>
      <c r="B9" s="1" t="n">
        <v>44140</v>
      </c>
      <c r="C9" s="1" t="n">
        <v>45907</v>
      </c>
      <c r="D9" t="inlineStr">
        <is>
          <t>KALMAR LÄN</t>
        </is>
      </c>
      <c r="E9" t="inlineStr">
        <is>
          <t>BORGHOLM</t>
        </is>
      </c>
      <c r="F9" t="inlineStr">
        <is>
          <t>Sveaskog</t>
        </is>
      </c>
      <c r="G9" t="n">
        <v>3.1</v>
      </c>
      <c r="H9" t="n">
        <v>3</v>
      </c>
      <c r="I9" t="n">
        <v>3</v>
      </c>
      <c r="J9" t="n">
        <v>0</v>
      </c>
      <c r="K9" t="n">
        <v>1</v>
      </c>
      <c r="L9" t="n">
        <v>1</v>
      </c>
      <c r="M9" t="n">
        <v>0</v>
      </c>
      <c r="N9" t="n">
        <v>0</v>
      </c>
      <c r="O9" t="n">
        <v>2</v>
      </c>
      <c r="P9" t="n">
        <v>2</v>
      </c>
      <c r="Q9" t="n">
        <v>6</v>
      </c>
      <c r="R9" s="2" t="inlineStr">
        <is>
          <t>Ryl
Gotlandsmåra
Skogsknipprot
Strävlosta
Vit skogslilja
Grönvit nattviol</t>
        </is>
      </c>
      <c r="S9">
        <f>HYPERLINK("https://klasma.github.io/Logging_0885/artfynd/A 57656-2020 artfynd.xlsx", "A 57656-2020")</f>
        <v/>
      </c>
      <c r="T9">
        <f>HYPERLINK("https://klasma.github.io/Logging_0885/kartor/A 57656-2020 karta.png", "A 57656-2020")</f>
        <v/>
      </c>
      <c r="V9">
        <f>HYPERLINK("https://klasma.github.io/Logging_0885/klagomål/A 57656-2020 FSC-klagomål.docx", "A 57656-2020")</f>
        <v/>
      </c>
      <c r="W9">
        <f>HYPERLINK("https://klasma.github.io/Logging_0885/klagomålsmail/A 57656-2020 FSC-klagomål mail.docx", "A 57656-2020")</f>
        <v/>
      </c>
      <c r="X9">
        <f>HYPERLINK("https://klasma.github.io/Logging_0885/tillsyn/A 57656-2020 tillsynsbegäran.docx", "A 57656-2020")</f>
        <v/>
      </c>
      <c r="Y9">
        <f>HYPERLINK("https://klasma.github.io/Logging_0885/tillsynsmail/A 57656-2020 tillsynsbegäran mail.docx", "A 57656-2020")</f>
        <v/>
      </c>
    </row>
    <row r="10" ht="15" customHeight="1">
      <c r="A10" t="inlineStr">
        <is>
          <t>A 34948-2022</t>
        </is>
      </c>
      <c r="B10" s="1" t="n">
        <v>44796</v>
      </c>
      <c r="C10" s="1" t="n">
        <v>45907</v>
      </c>
      <c r="D10" t="inlineStr">
        <is>
          <t>KALMAR LÄN</t>
        </is>
      </c>
      <c r="E10" t="inlineStr">
        <is>
          <t>BORGHOLM</t>
        </is>
      </c>
      <c r="F10" t="inlineStr">
        <is>
          <t>Sveaskog</t>
        </is>
      </c>
      <c r="G10" t="n">
        <v>2.8</v>
      </c>
      <c r="H10" t="n">
        <v>1</v>
      </c>
      <c r="I10" t="n">
        <v>1</v>
      </c>
      <c r="J10" t="n">
        <v>2</v>
      </c>
      <c r="K10" t="n">
        <v>0</v>
      </c>
      <c r="L10" t="n">
        <v>1</v>
      </c>
      <c r="M10" t="n">
        <v>0</v>
      </c>
      <c r="N10" t="n">
        <v>0</v>
      </c>
      <c r="O10" t="n">
        <v>3</v>
      </c>
      <c r="P10" t="n">
        <v>1</v>
      </c>
      <c r="Q10" t="n">
        <v>5</v>
      </c>
      <c r="R10" s="2" t="inlineStr">
        <is>
          <t>Brödmusseron
Juvelspindling
Persiljespindling
Fransig jordstjärna
Blåsippa</t>
        </is>
      </c>
      <c r="S10">
        <f>HYPERLINK("https://klasma.github.io/Logging_0885/artfynd/A 34948-2022 artfynd.xlsx", "A 34948-2022")</f>
        <v/>
      </c>
      <c r="T10">
        <f>HYPERLINK("https://klasma.github.io/Logging_0885/kartor/A 34948-2022 karta.png", "A 34948-2022")</f>
        <v/>
      </c>
      <c r="V10">
        <f>HYPERLINK("https://klasma.github.io/Logging_0885/klagomål/A 34948-2022 FSC-klagomål.docx", "A 34948-2022")</f>
        <v/>
      </c>
      <c r="W10">
        <f>HYPERLINK("https://klasma.github.io/Logging_0885/klagomålsmail/A 34948-2022 FSC-klagomål mail.docx", "A 34948-2022")</f>
        <v/>
      </c>
      <c r="X10">
        <f>HYPERLINK("https://klasma.github.io/Logging_0885/tillsyn/A 34948-2022 tillsynsbegäran.docx", "A 34948-2022")</f>
        <v/>
      </c>
      <c r="Y10">
        <f>HYPERLINK("https://klasma.github.io/Logging_0885/tillsynsmail/A 34948-2022 tillsynsbegäran mail.docx", "A 34948-2022")</f>
        <v/>
      </c>
    </row>
    <row r="11" ht="15" customHeight="1">
      <c r="A11" t="inlineStr">
        <is>
          <t>A 4881-2021</t>
        </is>
      </c>
      <c r="B11" s="1" t="n">
        <v>44225</v>
      </c>
      <c r="C11" s="1" t="n">
        <v>45907</v>
      </c>
      <c r="D11" t="inlineStr">
        <is>
          <t>KALMAR LÄN</t>
        </is>
      </c>
      <c r="E11" t="inlineStr">
        <is>
          <t>BORGHOLM</t>
        </is>
      </c>
      <c r="G11" t="n">
        <v>5.3</v>
      </c>
      <c r="H11" t="n">
        <v>2</v>
      </c>
      <c r="I11" t="n">
        <v>3</v>
      </c>
      <c r="J11" t="n">
        <v>0</v>
      </c>
      <c r="K11" t="n">
        <v>1</v>
      </c>
      <c r="L11" t="n">
        <v>0</v>
      </c>
      <c r="M11" t="n">
        <v>0</v>
      </c>
      <c r="N11" t="n">
        <v>0</v>
      </c>
      <c r="O11" t="n">
        <v>1</v>
      </c>
      <c r="P11" t="n">
        <v>1</v>
      </c>
      <c r="Q11" t="n">
        <v>5</v>
      </c>
      <c r="R11" s="2" t="inlineStr">
        <is>
          <t>Olivfjällskivling
Droppklibbskivling
Murgröna
Skogsknipprot
Blåsippa</t>
        </is>
      </c>
      <c r="S11">
        <f>HYPERLINK("https://klasma.github.io/Logging_0885/artfynd/A 4881-2021 artfynd.xlsx", "A 4881-2021")</f>
        <v/>
      </c>
      <c r="T11">
        <f>HYPERLINK("https://klasma.github.io/Logging_0885/kartor/A 4881-2021 karta.png", "A 4881-2021")</f>
        <v/>
      </c>
      <c r="V11">
        <f>HYPERLINK("https://klasma.github.io/Logging_0885/klagomål/A 4881-2021 FSC-klagomål.docx", "A 4881-2021")</f>
        <v/>
      </c>
      <c r="W11">
        <f>HYPERLINK("https://klasma.github.io/Logging_0885/klagomålsmail/A 4881-2021 FSC-klagomål mail.docx", "A 4881-2021")</f>
        <v/>
      </c>
      <c r="X11">
        <f>HYPERLINK("https://klasma.github.io/Logging_0885/tillsyn/A 4881-2021 tillsynsbegäran.docx", "A 4881-2021")</f>
        <v/>
      </c>
      <c r="Y11">
        <f>HYPERLINK("https://klasma.github.io/Logging_0885/tillsynsmail/A 4881-2021 tillsynsbegäran mail.docx", "A 4881-2021")</f>
        <v/>
      </c>
    </row>
    <row r="12" ht="15" customHeight="1">
      <c r="A12" t="inlineStr">
        <is>
          <t>A 55210-2020</t>
        </is>
      </c>
      <c r="B12" s="1" t="n">
        <v>44130</v>
      </c>
      <c r="C12" s="1" t="n">
        <v>45907</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45907</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45907</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45907</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16171-2023</t>
        </is>
      </c>
      <c r="B16" s="1" t="n">
        <v>45027</v>
      </c>
      <c r="C16" s="1" t="n">
        <v>45907</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45907</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13556-2025</t>
        </is>
      </c>
      <c r="B18" s="1" t="n">
        <v>45736.54759259259</v>
      </c>
      <c r="C18" s="1" t="n">
        <v>45907</v>
      </c>
      <c r="D18" t="inlineStr">
        <is>
          <t>KALMAR LÄN</t>
        </is>
      </c>
      <c r="E18" t="inlineStr">
        <is>
          <t>BORGHOLM</t>
        </is>
      </c>
      <c r="G18" t="n">
        <v>2.3</v>
      </c>
      <c r="H18" t="n">
        <v>2</v>
      </c>
      <c r="I18" t="n">
        <v>1</v>
      </c>
      <c r="J18" t="n">
        <v>0</v>
      </c>
      <c r="K18" t="n">
        <v>0</v>
      </c>
      <c r="L18" t="n">
        <v>0</v>
      </c>
      <c r="M18" t="n">
        <v>0</v>
      </c>
      <c r="N18" t="n">
        <v>0</v>
      </c>
      <c r="O18" t="n">
        <v>0</v>
      </c>
      <c r="P18" t="n">
        <v>0</v>
      </c>
      <c r="Q18" t="n">
        <v>2</v>
      </c>
      <c r="R18" s="2" t="inlineStr">
        <is>
          <t>Tvåblad
Nattviol</t>
        </is>
      </c>
      <c r="S18">
        <f>HYPERLINK("https://klasma.github.io/Logging_0885/artfynd/A 13556-2025 artfynd.xlsx", "A 13556-2025")</f>
        <v/>
      </c>
      <c r="T18">
        <f>HYPERLINK("https://klasma.github.io/Logging_0885/kartor/A 13556-2025 karta.png", "A 13556-2025")</f>
        <v/>
      </c>
      <c r="V18">
        <f>HYPERLINK("https://klasma.github.io/Logging_0885/klagomål/A 13556-2025 FSC-klagomål.docx", "A 13556-2025")</f>
        <v/>
      </c>
      <c r="W18">
        <f>HYPERLINK("https://klasma.github.io/Logging_0885/klagomålsmail/A 13556-2025 FSC-klagomål mail.docx", "A 13556-2025")</f>
        <v/>
      </c>
      <c r="X18">
        <f>HYPERLINK("https://klasma.github.io/Logging_0885/tillsyn/A 13556-2025 tillsynsbegäran.docx", "A 13556-2025")</f>
        <v/>
      </c>
      <c r="Y18">
        <f>HYPERLINK("https://klasma.github.io/Logging_0885/tillsynsmail/A 13556-2025 tillsynsbegäran mail.docx", "A 13556-2025")</f>
        <v/>
      </c>
    </row>
    <row r="19" ht="15" customHeight="1">
      <c r="A19" t="inlineStr">
        <is>
          <t>A 32174-2022</t>
        </is>
      </c>
      <c r="B19" s="1" t="n">
        <v>44781</v>
      </c>
      <c r="C19" s="1" t="n">
        <v>45907</v>
      </c>
      <c r="D19" t="inlineStr">
        <is>
          <t>KALMAR LÄN</t>
        </is>
      </c>
      <c r="E19" t="inlineStr">
        <is>
          <t>BORGHOLM</t>
        </is>
      </c>
      <c r="F19" t="inlineStr">
        <is>
          <t>Sveaskog</t>
        </is>
      </c>
      <c r="G19" t="n">
        <v>1.6</v>
      </c>
      <c r="H19" t="n">
        <v>1</v>
      </c>
      <c r="I19" t="n">
        <v>1</v>
      </c>
      <c r="J19" t="n">
        <v>1</v>
      </c>
      <c r="K19" t="n">
        <v>0</v>
      </c>
      <c r="L19" t="n">
        <v>0</v>
      </c>
      <c r="M19" t="n">
        <v>0</v>
      </c>
      <c r="N19" t="n">
        <v>0</v>
      </c>
      <c r="O19" t="n">
        <v>1</v>
      </c>
      <c r="P19" t="n">
        <v>0</v>
      </c>
      <c r="Q19" t="n">
        <v>2</v>
      </c>
      <c r="R19" s="2" t="inlineStr">
        <is>
          <t>Backklöver
Tvåblad</t>
        </is>
      </c>
      <c r="S19">
        <f>HYPERLINK("https://klasma.github.io/Logging_0885/artfynd/A 32174-2022 artfynd.xlsx", "A 32174-2022")</f>
        <v/>
      </c>
      <c r="T19">
        <f>HYPERLINK("https://klasma.github.io/Logging_0885/kartor/A 32174-2022 karta.png", "A 32174-2022")</f>
        <v/>
      </c>
      <c r="V19">
        <f>HYPERLINK("https://klasma.github.io/Logging_0885/klagomål/A 32174-2022 FSC-klagomål.docx", "A 32174-2022")</f>
        <v/>
      </c>
      <c r="W19">
        <f>HYPERLINK("https://klasma.github.io/Logging_0885/klagomålsmail/A 32174-2022 FSC-klagomål mail.docx", "A 32174-2022")</f>
        <v/>
      </c>
      <c r="X19">
        <f>HYPERLINK("https://klasma.github.io/Logging_0885/tillsyn/A 32174-2022 tillsynsbegäran.docx", "A 32174-2022")</f>
        <v/>
      </c>
      <c r="Y19">
        <f>HYPERLINK("https://klasma.github.io/Logging_0885/tillsynsmail/A 32174-2022 tillsynsbegäran mail.docx", "A 32174-2022")</f>
        <v/>
      </c>
    </row>
    <row r="20" ht="15" customHeight="1">
      <c r="A20" t="inlineStr">
        <is>
          <t>A 43756-2022</t>
        </is>
      </c>
      <c r="B20" s="1" t="n">
        <v>44837</v>
      </c>
      <c r="C20" s="1" t="n">
        <v>45907</v>
      </c>
      <c r="D20" t="inlineStr">
        <is>
          <t>KALMAR LÄN</t>
        </is>
      </c>
      <c r="E20" t="inlineStr">
        <is>
          <t>BORGHOLM</t>
        </is>
      </c>
      <c r="G20" t="n">
        <v>2.2</v>
      </c>
      <c r="H20" t="n">
        <v>1</v>
      </c>
      <c r="I20" t="n">
        <v>1</v>
      </c>
      <c r="J20" t="n">
        <v>0</v>
      </c>
      <c r="K20" t="n">
        <v>0</v>
      </c>
      <c r="L20" t="n">
        <v>0</v>
      </c>
      <c r="M20" t="n">
        <v>0</v>
      </c>
      <c r="N20" t="n">
        <v>0</v>
      </c>
      <c r="O20" t="n">
        <v>0</v>
      </c>
      <c r="P20" t="n">
        <v>0</v>
      </c>
      <c r="Q20" t="n">
        <v>2</v>
      </c>
      <c r="R20" s="2" t="inlineStr">
        <is>
          <t>Murgröna
Blåsippa</t>
        </is>
      </c>
      <c r="S20">
        <f>HYPERLINK("https://klasma.github.io/Logging_0885/artfynd/A 43756-2022 artfynd.xlsx", "A 43756-2022")</f>
        <v/>
      </c>
      <c r="T20">
        <f>HYPERLINK("https://klasma.github.io/Logging_0885/kartor/A 43756-2022 karta.png", "A 43756-2022")</f>
        <v/>
      </c>
      <c r="V20">
        <f>HYPERLINK("https://klasma.github.io/Logging_0885/klagomål/A 43756-2022 FSC-klagomål.docx", "A 43756-2022")</f>
        <v/>
      </c>
      <c r="W20">
        <f>HYPERLINK("https://klasma.github.io/Logging_0885/klagomålsmail/A 43756-2022 FSC-klagomål mail.docx", "A 43756-2022")</f>
        <v/>
      </c>
      <c r="X20">
        <f>HYPERLINK("https://klasma.github.io/Logging_0885/tillsyn/A 43756-2022 tillsynsbegäran.docx", "A 43756-2022")</f>
        <v/>
      </c>
      <c r="Y20">
        <f>HYPERLINK("https://klasma.github.io/Logging_0885/tillsynsmail/A 43756-2022 tillsynsbegäran mail.docx", "A 43756-2022")</f>
        <v/>
      </c>
    </row>
    <row r="21" ht="15" customHeight="1">
      <c r="A21" t="inlineStr">
        <is>
          <t>A 28779-2025</t>
        </is>
      </c>
      <c r="B21" s="1" t="n">
        <v>45820.44920138889</v>
      </c>
      <c r="C21" s="1" t="n">
        <v>45907</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38860-2025</t>
        </is>
      </c>
      <c r="B22" s="1" t="n">
        <v>45887.5609375</v>
      </c>
      <c r="C22" s="1" t="n">
        <v>45907</v>
      </c>
      <c r="D22" t="inlineStr">
        <is>
          <t>KALMAR LÄN</t>
        </is>
      </c>
      <c r="E22" t="inlineStr">
        <is>
          <t>BORGHOLM</t>
        </is>
      </c>
      <c r="G22" t="n">
        <v>5.6</v>
      </c>
      <c r="H22" t="n">
        <v>2</v>
      </c>
      <c r="I22" t="n">
        <v>1</v>
      </c>
      <c r="J22" t="n">
        <v>0</v>
      </c>
      <c r="K22" t="n">
        <v>0</v>
      </c>
      <c r="L22" t="n">
        <v>0</v>
      </c>
      <c r="M22" t="n">
        <v>0</v>
      </c>
      <c r="N22" t="n">
        <v>0</v>
      </c>
      <c r="O22" t="n">
        <v>0</v>
      </c>
      <c r="P22" t="n">
        <v>0</v>
      </c>
      <c r="Q22" t="n">
        <v>2</v>
      </c>
      <c r="R22" s="2" t="inlineStr">
        <is>
          <t>Skogsknipprot
Revlummer</t>
        </is>
      </c>
      <c r="S22">
        <f>HYPERLINK("https://klasma.github.io/Logging_0885/artfynd/A 38860-2025 artfynd.xlsx", "A 38860-2025")</f>
        <v/>
      </c>
      <c r="T22">
        <f>HYPERLINK("https://klasma.github.io/Logging_0885/kartor/A 38860-2025 karta.png", "A 38860-2025")</f>
        <v/>
      </c>
      <c r="V22">
        <f>HYPERLINK("https://klasma.github.io/Logging_0885/klagomål/A 38860-2025 FSC-klagomål.docx", "A 38860-2025")</f>
        <v/>
      </c>
      <c r="W22">
        <f>HYPERLINK("https://klasma.github.io/Logging_0885/klagomålsmail/A 38860-2025 FSC-klagomål mail.docx", "A 38860-2025")</f>
        <v/>
      </c>
      <c r="X22">
        <f>HYPERLINK("https://klasma.github.io/Logging_0885/tillsyn/A 38860-2025 tillsynsbegäran.docx", "A 38860-2025")</f>
        <v/>
      </c>
      <c r="Y22">
        <f>HYPERLINK("https://klasma.github.io/Logging_0885/tillsynsmail/A 38860-2025 tillsynsbegäran mail.docx", "A 38860-2025")</f>
        <v/>
      </c>
    </row>
    <row r="23" ht="15" customHeight="1">
      <c r="A23" t="inlineStr">
        <is>
          <t>A 44008-2022</t>
        </is>
      </c>
      <c r="B23" s="1" t="n">
        <v>44838</v>
      </c>
      <c r="C23" s="1" t="n">
        <v>45907</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4164-2023</t>
        </is>
      </c>
      <c r="B24" s="1" t="n">
        <v>44953</v>
      </c>
      <c r="C24" s="1" t="n">
        <v>45907</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34944-2022</t>
        </is>
      </c>
      <c r="B25" s="1" t="n">
        <v>44796</v>
      </c>
      <c r="C25" s="1" t="n">
        <v>45907</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3871-2021</t>
        </is>
      </c>
      <c r="B26" s="1" t="n">
        <v>44222</v>
      </c>
      <c r="C26" s="1" t="n">
        <v>45907</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45907</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45907</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14789-2021</t>
        </is>
      </c>
      <c r="B29" s="1" t="n">
        <v>44280</v>
      </c>
      <c r="C29" s="1" t="n">
        <v>45907</v>
      </c>
      <c r="D29" t="inlineStr">
        <is>
          <t>KALMAR LÄN</t>
        </is>
      </c>
      <c r="E29" t="inlineStr">
        <is>
          <t>BORGHOLM</t>
        </is>
      </c>
      <c r="G29" t="n">
        <v>1</v>
      </c>
      <c r="H29" t="n">
        <v>1</v>
      </c>
      <c r="I29" t="n">
        <v>1</v>
      </c>
      <c r="J29" t="n">
        <v>0</v>
      </c>
      <c r="K29" t="n">
        <v>0</v>
      </c>
      <c r="L29" t="n">
        <v>0</v>
      </c>
      <c r="M29" t="n">
        <v>0</v>
      </c>
      <c r="N29" t="n">
        <v>0</v>
      </c>
      <c r="O29" t="n">
        <v>0</v>
      </c>
      <c r="P29" t="n">
        <v>0</v>
      </c>
      <c r="Q29" t="n">
        <v>1</v>
      </c>
      <c r="R29" s="2" t="inlineStr">
        <is>
          <t>Skogsknipprot</t>
        </is>
      </c>
      <c r="S29">
        <f>HYPERLINK("https://klasma.github.io/Logging_0885/artfynd/A 14789-2021 artfynd.xlsx", "A 14789-2021")</f>
        <v/>
      </c>
      <c r="T29">
        <f>HYPERLINK("https://klasma.github.io/Logging_0885/kartor/A 14789-2021 karta.png", "A 14789-2021")</f>
        <v/>
      </c>
      <c r="V29">
        <f>HYPERLINK("https://klasma.github.io/Logging_0885/klagomål/A 14789-2021 FSC-klagomål.docx", "A 14789-2021")</f>
        <v/>
      </c>
      <c r="W29">
        <f>HYPERLINK("https://klasma.github.io/Logging_0885/klagomålsmail/A 14789-2021 FSC-klagomål mail.docx", "A 14789-2021")</f>
        <v/>
      </c>
      <c r="X29">
        <f>HYPERLINK("https://klasma.github.io/Logging_0885/tillsyn/A 14789-2021 tillsynsbegäran.docx", "A 14789-2021")</f>
        <v/>
      </c>
      <c r="Y29">
        <f>HYPERLINK("https://klasma.github.io/Logging_0885/tillsynsmail/A 14789-2021 tillsynsbegäran mail.docx", "A 14789-2021")</f>
        <v/>
      </c>
    </row>
    <row r="30" ht="15" customHeight="1">
      <c r="A30" t="inlineStr">
        <is>
          <t>A 13558-2025</t>
        </is>
      </c>
      <c r="B30" s="1" t="n">
        <v>45736.54974537037</v>
      </c>
      <c r="C30" s="1" t="n">
        <v>45907</v>
      </c>
      <c r="D30" t="inlineStr">
        <is>
          <t>KALMAR LÄN</t>
        </is>
      </c>
      <c r="E30" t="inlineStr">
        <is>
          <t>BORGHOLM</t>
        </is>
      </c>
      <c r="G30" t="n">
        <v>0.7</v>
      </c>
      <c r="H30" t="n">
        <v>0</v>
      </c>
      <c r="I30" t="n">
        <v>0</v>
      </c>
      <c r="J30" t="n">
        <v>1</v>
      </c>
      <c r="K30" t="n">
        <v>0</v>
      </c>
      <c r="L30" t="n">
        <v>0</v>
      </c>
      <c r="M30" t="n">
        <v>0</v>
      </c>
      <c r="N30" t="n">
        <v>0</v>
      </c>
      <c r="O30" t="n">
        <v>1</v>
      </c>
      <c r="P30" t="n">
        <v>0</v>
      </c>
      <c r="Q30" t="n">
        <v>1</v>
      </c>
      <c r="R30" s="2" t="inlineStr">
        <is>
          <t>Backruta</t>
        </is>
      </c>
      <c r="S30">
        <f>HYPERLINK("https://klasma.github.io/Logging_0885/artfynd/A 13558-2025 artfynd.xlsx", "A 13558-2025")</f>
        <v/>
      </c>
      <c r="T30">
        <f>HYPERLINK("https://klasma.github.io/Logging_0885/kartor/A 13558-2025 karta.png", "A 13558-2025")</f>
        <v/>
      </c>
      <c r="V30">
        <f>HYPERLINK("https://klasma.github.io/Logging_0885/klagomål/A 13558-2025 FSC-klagomål.docx", "A 13558-2025")</f>
        <v/>
      </c>
      <c r="W30">
        <f>HYPERLINK("https://klasma.github.io/Logging_0885/klagomålsmail/A 13558-2025 FSC-klagomål mail.docx", "A 13558-2025")</f>
        <v/>
      </c>
      <c r="X30">
        <f>HYPERLINK("https://klasma.github.io/Logging_0885/tillsyn/A 13558-2025 tillsynsbegäran.docx", "A 13558-2025")</f>
        <v/>
      </c>
      <c r="Y30">
        <f>HYPERLINK("https://klasma.github.io/Logging_0885/tillsynsmail/A 13558-2025 tillsynsbegäran mail.docx", "A 13558-2025")</f>
        <v/>
      </c>
    </row>
    <row r="31" ht="15" customHeight="1">
      <c r="A31" t="inlineStr">
        <is>
          <t>A 24701-2023</t>
        </is>
      </c>
      <c r="B31" s="1" t="n">
        <v>45084</v>
      </c>
      <c r="C31" s="1" t="n">
        <v>45907</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24048-2025</t>
        </is>
      </c>
      <c r="B32" s="1" t="n">
        <v>45796.4959375</v>
      </c>
      <c r="C32" s="1" t="n">
        <v>45907</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45907</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28785-2025</t>
        </is>
      </c>
      <c r="B34" s="1" t="n">
        <v>45820.46159722222</v>
      </c>
      <c r="C34" s="1" t="n">
        <v>45907</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45907</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34885-2025</t>
        </is>
      </c>
      <c r="B36" s="1" t="n">
        <v>45849.47128472223</v>
      </c>
      <c r="C36" s="1" t="n">
        <v>45907</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24704-2023</t>
        </is>
      </c>
      <c r="B37" s="1" t="n">
        <v>45084</v>
      </c>
      <c r="C37" s="1" t="n">
        <v>45907</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12785-2021</t>
        </is>
      </c>
      <c r="B38" s="1" t="n">
        <v>44270</v>
      </c>
      <c r="C38" s="1" t="n">
        <v>45907</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9745-2023</t>
        </is>
      </c>
      <c r="B39" s="1" t="n">
        <v>44984</v>
      </c>
      <c r="C39" s="1" t="n">
        <v>45907</v>
      </c>
      <c r="D39" t="inlineStr">
        <is>
          <t>KALMAR LÄN</t>
        </is>
      </c>
      <c r="E39" t="inlineStr">
        <is>
          <t>BORGHOLM</t>
        </is>
      </c>
      <c r="G39" t="n">
        <v>1.2</v>
      </c>
      <c r="H39" t="n">
        <v>1</v>
      </c>
      <c r="I39" t="n">
        <v>1</v>
      </c>
      <c r="J39" t="n">
        <v>0</v>
      </c>
      <c r="K39" t="n">
        <v>0</v>
      </c>
      <c r="L39" t="n">
        <v>0</v>
      </c>
      <c r="M39" t="n">
        <v>0</v>
      </c>
      <c r="N39" t="n">
        <v>0</v>
      </c>
      <c r="O39" t="n">
        <v>0</v>
      </c>
      <c r="P39" t="n">
        <v>0</v>
      </c>
      <c r="Q39" t="n">
        <v>1</v>
      </c>
      <c r="R39" s="2" t="inlineStr">
        <is>
          <t>Skogsknipprot</t>
        </is>
      </c>
      <c r="S39">
        <f>HYPERLINK("https://klasma.github.io/Logging_0885/artfynd/A 9745-2023 artfynd.xlsx", "A 9745-2023")</f>
        <v/>
      </c>
      <c r="T39">
        <f>HYPERLINK("https://klasma.github.io/Logging_0885/kartor/A 9745-2023 karta.png", "A 9745-2023")</f>
        <v/>
      </c>
      <c r="V39">
        <f>HYPERLINK("https://klasma.github.io/Logging_0885/klagomål/A 9745-2023 FSC-klagomål.docx", "A 9745-2023")</f>
        <v/>
      </c>
      <c r="W39">
        <f>HYPERLINK("https://klasma.github.io/Logging_0885/klagomålsmail/A 9745-2023 FSC-klagomål mail.docx", "A 9745-2023")</f>
        <v/>
      </c>
      <c r="X39">
        <f>HYPERLINK("https://klasma.github.io/Logging_0885/tillsyn/A 9745-2023 tillsynsbegäran.docx", "A 9745-2023")</f>
        <v/>
      </c>
      <c r="Y39">
        <f>HYPERLINK("https://klasma.github.io/Logging_0885/tillsynsmail/A 9745-2023 tillsynsbegäran mail.docx", "A 9745-2023")</f>
        <v/>
      </c>
    </row>
    <row r="40" ht="15" customHeight="1">
      <c r="A40" t="inlineStr">
        <is>
          <t>A 43603-2024</t>
        </is>
      </c>
      <c r="B40" s="1" t="n">
        <v>45569.44700231482</v>
      </c>
      <c r="C40" s="1" t="n">
        <v>45907</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56499-2020</t>
        </is>
      </c>
      <c r="B41" s="1" t="n">
        <v>44137</v>
      </c>
      <c r="C41" s="1" t="n">
        <v>45907</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58113-2020</t>
        </is>
      </c>
      <c r="B42" s="1" t="n">
        <v>44144</v>
      </c>
      <c r="C42" s="1" t="n">
        <v>45907</v>
      </c>
      <c r="D42" t="inlineStr">
        <is>
          <t>KALMAR LÄN</t>
        </is>
      </c>
      <c r="E42" t="inlineStr">
        <is>
          <t>BORGHOLM</t>
        </is>
      </c>
      <c r="F42" t="inlineStr">
        <is>
          <t>Sveaskog</t>
        </is>
      </c>
      <c r="G42" t="n">
        <v>3</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45907</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45907</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56488-2020</t>
        </is>
      </c>
      <c r="B45" s="1" t="n">
        <v>44137</v>
      </c>
      <c r="C45" s="1" t="n">
        <v>45907</v>
      </c>
      <c r="D45" t="inlineStr">
        <is>
          <t>KALMAR LÄN</t>
        </is>
      </c>
      <c r="E45" t="inlineStr">
        <is>
          <t>BORGHOLM</t>
        </is>
      </c>
      <c r="F45" t="inlineStr">
        <is>
          <t>Sveaskog</t>
        </is>
      </c>
      <c r="G45" t="n">
        <v>1.4</v>
      </c>
      <c r="H45" t="n">
        <v>0</v>
      </c>
      <c r="I45" t="n">
        <v>0</v>
      </c>
      <c r="J45" t="n">
        <v>0</v>
      </c>
      <c r="K45" t="n">
        <v>0</v>
      </c>
      <c r="L45" t="n">
        <v>0</v>
      </c>
      <c r="M45" t="n">
        <v>0</v>
      </c>
      <c r="N45" t="n">
        <v>0</v>
      </c>
      <c r="O45" t="n">
        <v>0</v>
      </c>
      <c r="P45" t="n">
        <v>0</v>
      </c>
      <c r="Q45" t="n">
        <v>0</v>
      </c>
      <c r="R45" s="2" t="inlineStr"/>
    </row>
    <row r="46" ht="15" customHeight="1">
      <c r="A46" t="inlineStr">
        <is>
          <t>A 56506-2020</t>
        </is>
      </c>
      <c r="B46" s="1" t="n">
        <v>44137</v>
      </c>
      <c r="C46" s="1" t="n">
        <v>45907</v>
      </c>
      <c r="D46" t="inlineStr">
        <is>
          <t>KALMAR LÄN</t>
        </is>
      </c>
      <c r="E46" t="inlineStr">
        <is>
          <t>BORGHOLM</t>
        </is>
      </c>
      <c r="F46" t="inlineStr">
        <is>
          <t>Sveaskog</t>
        </is>
      </c>
      <c r="G46" t="n">
        <v>1.7</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45907</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45907</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45907</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45907</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45907</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45907</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45907</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45907</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45907</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45907</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45907</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45907</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45907</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45907</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45907</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45907</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45907</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45907</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45907</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45907</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45907</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45907</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45907</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9034-2025</t>
        </is>
      </c>
      <c r="B70" s="1" t="n">
        <v>45713</v>
      </c>
      <c r="C70" s="1" t="n">
        <v>45907</v>
      </c>
      <c r="D70" t="inlineStr">
        <is>
          <t>KALMAR LÄN</t>
        </is>
      </c>
      <c r="E70" t="inlineStr">
        <is>
          <t>BORGHOLM</t>
        </is>
      </c>
      <c r="F70" t="inlineStr">
        <is>
          <t>Sveaskog</t>
        </is>
      </c>
      <c r="G70" t="n">
        <v>6.8</v>
      </c>
      <c r="H70" t="n">
        <v>0</v>
      </c>
      <c r="I70" t="n">
        <v>0</v>
      </c>
      <c r="J70" t="n">
        <v>0</v>
      </c>
      <c r="K70" t="n">
        <v>0</v>
      </c>
      <c r="L70" t="n">
        <v>0</v>
      </c>
      <c r="M70" t="n">
        <v>0</v>
      </c>
      <c r="N70" t="n">
        <v>0</v>
      </c>
      <c r="O70" t="n">
        <v>0</v>
      </c>
      <c r="P70" t="n">
        <v>0</v>
      </c>
      <c r="Q70" t="n">
        <v>0</v>
      </c>
      <c r="R70" s="2" t="inlineStr"/>
    </row>
    <row r="71" ht="15" customHeight="1">
      <c r="A71" t="inlineStr">
        <is>
          <t>A 13548-2025</t>
        </is>
      </c>
      <c r="B71" s="1" t="n">
        <v>45736.53827546296</v>
      </c>
      <c r="C71" s="1" t="n">
        <v>45907</v>
      </c>
      <c r="D71" t="inlineStr">
        <is>
          <t>KALMAR LÄN</t>
        </is>
      </c>
      <c r="E71" t="inlineStr">
        <is>
          <t>BORGHOLM</t>
        </is>
      </c>
      <c r="G71" t="n">
        <v>1</v>
      </c>
      <c r="H71" t="n">
        <v>0</v>
      </c>
      <c r="I71" t="n">
        <v>0</v>
      </c>
      <c r="J71" t="n">
        <v>0</v>
      </c>
      <c r="K71" t="n">
        <v>0</v>
      </c>
      <c r="L71" t="n">
        <v>0</v>
      </c>
      <c r="M71" t="n">
        <v>0</v>
      </c>
      <c r="N71" t="n">
        <v>0</v>
      </c>
      <c r="O71" t="n">
        <v>0</v>
      </c>
      <c r="P71" t="n">
        <v>0</v>
      </c>
      <c r="Q71" t="n">
        <v>0</v>
      </c>
      <c r="R71" s="2" t="inlineStr"/>
    </row>
    <row r="72" ht="15" customHeight="1">
      <c r="A72" t="inlineStr">
        <is>
          <t>A 3878-2023</t>
        </is>
      </c>
      <c r="B72" s="1" t="n">
        <v>44951</v>
      </c>
      <c r="C72" s="1" t="n">
        <v>45907</v>
      </c>
      <c r="D72" t="inlineStr">
        <is>
          <t>KALMAR LÄN</t>
        </is>
      </c>
      <c r="E72" t="inlineStr">
        <is>
          <t>BORGHOLM</t>
        </is>
      </c>
      <c r="G72" t="n">
        <v>1.7</v>
      </c>
      <c r="H72" t="n">
        <v>0</v>
      </c>
      <c r="I72" t="n">
        <v>0</v>
      </c>
      <c r="J72" t="n">
        <v>0</v>
      </c>
      <c r="K72" t="n">
        <v>0</v>
      </c>
      <c r="L72" t="n">
        <v>0</v>
      </c>
      <c r="M72" t="n">
        <v>0</v>
      </c>
      <c r="N72" t="n">
        <v>0</v>
      </c>
      <c r="O72" t="n">
        <v>0</v>
      </c>
      <c r="P72" t="n">
        <v>0</v>
      </c>
      <c r="Q72" t="n">
        <v>0</v>
      </c>
      <c r="R72" s="2" t="inlineStr"/>
    </row>
    <row r="73" ht="15" customHeight="1">
      <c r="A73" t="inlineStr">
        <is>
          <t>A 31840-2021</t>
        </is>
      </c>
      <c r="B73" s="1" t="n">
        <v>44370</v>
      </c>
      <c r="C73" s="1" t="n">
        <v>45907</v>
      </c>
      <c r="D73" t="inlineStr">
        <is>
          <t>KALMAR LÄN</t>
        </is>
      </c>
      <c r="E73" t="inlineStr">
        <is>
          <t>BORGHOLM</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17978-2021</t>
        </is>
      </c>
      <c r="B74" s="1" t="n">
        <v>44301</v>
      </c>
      <c r="C74" s="1" t="n">
        <v>45907</v>
      </c>
      <c r="D74" t="inlineStr">
        <is>
          <t>KALMAR LÄN</t>
        </is>
      </c>
      <c r="E74" t="inlineStr">
        <is>
          <t>BORGHOLM</t>
        </is>
      </c>
      <c r="G74" t="n">
        <v>6</v>
      </c>
      <c r="H74" t="n">
        <v>0</v>
      </c>
      <c r="I74" t="n">
        <v>0</v>
      </c>
      <c r="J74" t="n">
        <v>0</v>
      </c>
      <c r="K74" t="n">
        <v>0</v>
      </c>
      <c r="L74" t="n">
        <v>0</v>
      </c>
      <c r="M74" t="n">
        <v>0</v>
      </c>
      <c r="N74" t="n">
        <v>0</v>
      </c>
      <c r="O74" t="n">
        <v>0</v>
      </c>
      <c r="P74" t="n">
        <v>0</v>
      </c>
      <c r="Q74" t="n">
        <v>0</v>
      </c>
      <c r="R74" s="2" t="inlineStr"/>
    </row>
    <row r="75" ht="15" customHeight="1">
      <c r="A75" t="inlineStr">
        <is>
          <t>A 12937-2022</t>
        </is>
      </c>
      <c r="B75" s="1" t="n">
        <v>44642</v>
      </c>
      <c r="C75" s="1" t="n">
        <v>45907</v>
      </c>
      <c r="D75" t="inlineStr">
        <is>
          <t>KALMAR LÄN</t>
        </is>
      </c>
      <c r="E75" t="inlineStr">
        <is>
          <t>BORGHOLM</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22785-2025</t>
        </is>
      </c>
      <c r="B76" s="1" t="n">
        <v>45789.64186342592</v>
      </c>
      <c r="C76" s="1" t="n">
        <v>45907</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12534-2022</t>
        </is>
      </c>
      <c r="B77" s="1" t="n">
        <v>44638</v>
      </c>
      <c r="C77" s="1" t="n">
        <v>45907</v>
      </c>
      <c r="D77" t="inlineStr">
        <is>
          <t>KALMAR LÄN</t>
        </is>
      </c>
      <c r="E77" t="inlineStr">
        <is>
          <t>BORGHOLM</t>
        </is>
      </c>
      <c r="G77" t="n">
        <v>8.6</v>
      </c>
      <c r="H77" t="n">
        <v>0</v>
      </c>
      <c r="I77" t="n">
        <v>0</v>
      </c>
      <c r="J77" t="n">
        <v>0</v>
      </c>
      <c r="K77" t="n">
        <v>0</v>
      </c>
      <c r="L77" t="n">
        <v>0</v>
      </c>
      <c r="M77" t="n">
        <v>0</v>
      </c>
      <c r="N77" t="n">
        <v>0</v>
      </c>
      <c r="O77" t="n">
        <v>0</v>
      </c>
      <c r="P77" t="n">
        <v>0</v>
      </c>
      <c r="Q77" t="n">
        <v>0</v>
      </c>
      <c r="R77" s="2" t="inlineStr"/>
    </row>
    <row r="78" ht="15" customHeight="1">
      <c r="A78" t="inlineStr">
        <is>
          <t>A 64303-2023</t>
        </is>
      </c>
      <c r="B78" s="1" t="n">
        <v>45280</v>
      </c>
      <c r="C78" s="1" t="n">
        <v>45907</v>
      </c>
      <c r="D78" t="inlineStr">
        <is>
          <t>KALMAR LÄN</t>
        </is>
      </c>
      <c r="E78" t="inlineStr">
        <is>
          <t>BORGHOLM</t>
        </is>
      </c>
      <c r="G78" t="n">
        <v>1.2</v>
      </c>
      <c r="H78" t="n">
        <v>0</v>
      </c>
      <c r="I78" t="n">
        <v>0</v>
      </c>
      <c r="J78" t="n">
        <v>0</v>
      </c>
      <c r="K78" t="n">
        <v>0</v>
      </c>
      <c r="L78" t="n">
        <v>0</v>
      </c>
      <c r="M78" t="n">
        <v>0</v>
      </c>
      <c r="N78" t="n">
        <v>0</v>
      </c>
      <c r="O78" t="n">
        <v>0</v>
      </c>
      <c r="P78" t="n">
        <v>0</v>
      </c>
      <c r="Q78" t="n">
        <v>0</v>
      </c>
      <c r="R78" s="2" t="inlineStr"/>
    </row>
    <row r="79" ht="15" customHeight="1">
      <c r="A79" t="inlineStr">
        <is>
          <t>A 40339-2023</t>
        </is>
      </c>
      <c r="B79" s="1" t="n">
        <v>45169.62733796296</v>
      </c>
      <c r="C79" s="1" t="n">
        <v>45907</v>
      </c>
      <c r="D79" t="inlineStr">
        <is>
          <t>KALMAR LÄN</t>
        </is>
      </c>
      <c r="E79" t="inlineStr">
        <is>
          <t>BORGHOLM</t>
        </is>
      </c>
      <c r="G79" t="n">
        <v>3.8</v>
      </c>
      <c r="H79" t="n">
        <v>0</v>
      </c>
      <c r="I79" t="n">
        <v>0</v>
      </c>
      <c r="J79" t="n">
        <v>0</v>
      </c>
      <c r="K79" t="n">
        <v>0</v>
      </c>
      <c r="L79" t="n">
        <v>0</v>
      </c>
      <c r="M79" t="n">
        <v>0</v>
      </c>
      <c r="N79" t="n">
        <v>0</v>
      </c>
      <c r="O79" t="n">
        <v>0</v>
      </c>
      <c r="P79" t="n">
        <v>0</v>
      </c>
      <c r="Q79" t="n">
        <v>0</v>
      </c>
      <c r="R79" s="2" t="inlineStr"/>
    </row>
    <row r="80" ht="15" customHeight="1">
      <c r="A80" t="inlineStr">
        <is>
          <t>A 24166-2022</t>
        </is>
      </c>
      <c r="B80" s="1" t="n">
        <v>44725</v>
      </c>
      <c r="C80" s="1" t="n">
        <v>45907</v>
      </c>
      <c r="D80" t="inlineStr">
        <is>
          <t>KALMAR LÄN</t>
        </is>
      </c>
      <c r="E80" t="inlineStr">
        <is>
          <t>BORGHOLM</t>
        </is>
      </c>
      <c r="G80" t="n">
        <v>10.7</v>
      </c>
      <c r="H80" t="n">
        <v>0</v>
      </c>
      <c r="I80" t="n">
        <v>0</v>
      </c>
      <c r="J80" t="n">
        <v>0</v>
      </c>
      <c r="K80" t="n">
        <v>0</v>
      </c>
      <c r="L80" t="n">
        <v>0</v>
      </c>
      <c r="M80" t="n">
        <v>0</v>
      </c>
      <c r="N80" t="n">
        <v>0</v>
      </c>
      <c r="O80" t="n">
        <v>0</v>
      </c>
      <c r="P80" t="n">
        <v>0</v>
      </c>
      <c r="Q80" t="n">
        <v>0</v>
      </c>
      <c r="R80" s="2" t="inlineStr"/>
    </row>
    <row r="81" ht="15" customHeight="1">
      <c r="A81" t="inlineStr">
        <is>
          <t>A 32919-2023</t>
        </is>
      </c>
      <c r="B81" s="1" t="n">
        <v>45125</v>
      </c>
      <c r="C81" s="1" t="n">
        <v>45907</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45907</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44678-2022</t>
        </is>
      </c>
      <c r="B83" s="1" t="n">
        <v>44840.65100694444</v>
      </c>
      <c r="C83" s="1" t="n">
        <v>45907</v>
      </c>
      <c r="D83" t="inlineStr">
        <is>
          <t>KALMAR LÄN</t>
        </is>
      </c>
      <c r="E83" t="inlineStr">
        <is>
          <t>BORGHOLM</t>
        </is>
      </c>
      <c r="G83" t="n">
        <v>2.4</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45907</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45907</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31720-2022</t>
        </is>
      </c>
      <c r="B86" s="1" t="n">
        <v>44776</v>
      </c>
      <c r="C86" s="1" t="n">
        <v>45907</v>
      </c>
      <c r="D86" t="inlineStr">
        <is>
          <t>KALMAR LÄN</t>
        </is>
      </c>
      <c r="E86" t="inlineStr">
        <is>
          <t>BORGHOLM</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45907</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44547-2021</t>
        </is>
      </c>
      <c r="B88" s="1" t="n">
        <v>44435</v>
      </c>
      <c r="C88" s="1" t="n">
        <v>45907</v>
      </c>
      <c r="D88" t="inlineStr">
        <is>
          <t>KALMAR LÄN</t>
        </is>
      </c>
      <c r="E88" t="inlineStr">
        <is>
          <t>BORGHOLM</t>
        </is>
      </c>
      <c r="G88" t="n">
        <v>1.4</v>
      </c>
      <c r="H88" t="n">
        <v>0</v>
      </c>
      <c r="I88" t="n">
        <v>0</v>
      </c>
      <c r="J88" t="n">
        <v>0</v>
      </c>
      <c r="K88" t="n">
        <v>0</v>
      </c>
      <c r="L88" t="n">
        <v>0</v>
      </c>
      <c r="M88" t="n">
        <v>0</v>
      </c>
      <c r="N88" t="n">
        <v>0</v>
      </c>
      <c r="O88" t="n">
        <v>0</v>
      </c>
      <c r="P88" t="n">
        <v>0</v>
      </c>
      <c r="Q88" t="n">
        <v>0</v>
      </c>
      <c r="R88" s="2" t="inlineStr"/>
    </row>
    <row r="89" ht="15" customHeight="1">
      <c r="A89" t="inlineStr">
        <is>
          <t>A 5175-2024</t>
        </is>
      </c>
      <c r="B89" s="1" t="n">
        <v>45330</v>
      </c>
      <c r="C89" s="1" t="n">
        <v>45907</v>
      </c>
      <c r="D89" t="inlineStr">
        <is>
          <t>KALMAR LÄN</t>
        </is>
      </c>
      <c r="E89" t="inlineStr">
        <is>
          <t>BORGHOLM</t>
        </is>
      </c>
      <c r="G89" t="n">
        <v>1.5</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45907</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19867-2024</t>
        </is>
      </c>
      <c r="B91" s="1" t="n">
        <v>45433</v>
      </c>
      <c r="C91" s="1" t="n">
        <v>45907</v>
      </c>
      <c r="D91" t="inlineStr">
        <is>
          <t>KALMAR LÄN</t>
        </is>
      </c>
      <c r="E91" t="inlineStr">
        <is>
          <t>BORGHOLM</t>
        </is>
      </c>
      <c r="G91" t="n">
        <v>3.9</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45907</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45907</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27366-2025</t>
        </is>
      </c>
      <c r="B94" s="1" t="n">
        <v>45812.64475694444</v>
      </c>
      <c r="C94" s="1" t="n">
        <v>45907</v>
      </c>
      <c r="D94" t="inlineStr">
        <is>
          <t>KALMAR LÄN</t>
        </is>
      </c>
      <c r="E94" t="inlineStr">
        <is>
          <t>BORGHOLM</t>
        </is>
      </c>
      <c r="F94" t="inlineStr">
        <is>
          <t>Sveaskog</t>
        </is>
      </c>
      <c r="G94" t="n">
        <v>2.5</v>
      </c>
      <c r="H94" t="n">
        <v>0</v>
      </c>
      <c r="I94" t="n">
        <v>0</v>
      </c>
      <c r="J94" t="n">
        <v>0</v>
      </c>
      <c r="K94" t="n">
        <v>0</v>
      </c>
      <c r="L94" t="n">
        <v>0</v>
      </c>
      <c r="M94" t="n">
        <v>0</v>
      </c>
      <c r="N94" t="n">
        <v>0</v>
      </c>
      <c r="O94" t="n">
        <v>0</v>
      </c>
      <c r="P94" t="n">
        <v>0</v>
      </c>
      <c r="Q94" t="n">
        <v>0</v>
      </c>
      <c r="R94" s="2" t="inlineStr"/>
    </row>
    <row r="95" ht="15" customHeight="1">
      <c r="A95" t="inlineStr">
        <is>
          <t>A 13383-2023</t>
        </is>
      </c>
      <c r="B95" s="1" t="n">
        <v>45005</v>
      </c>
      <c r="C95" s="1" t="n">
        <v>45907</v>
      </c>
      <c r="D95" t="inlineStr">
        <is>
          <t>KALMAR LÄN</t>
        </is>
      </c>
      <c r="E95" t="inlineStr">
        <is>
          <t>BORGHOLM</t>
        </is>
      </c>
      <c r="G95" t="n">
        <v>0.8</v>
      </c>
      <c r="H95" t="n">
        <v>0</v>
      </c>
      <c r="I95" t="n">
        <v>0</v>
      </c>
      <c r="J95" t="n">
        <v>0</v>
      </c>
      <c r="K95" t="n">
        <v>0</v>
      </c>
      <c r="L95" t="n">
        <v>0</v>
      </c>
      <c r="M95" t="n">
        <v>0</v>
      </c>
      <c r="N95" t="n">
        <v>0</v>
      </c>
      <c r="O95" t="n">
        <v>0</v>
      </c>
      <c r="P95" t="n">
        <v>0</v>
      </c>
      <c r="Q95" t="n">
        <v>0</v>
      </c>
      <c r="R95" s="2" t="inlineStr"/>
    </row>
    <row r="96" ht="15" customHeight="1">
      <c r="A96" t="inlineStr">
        <is>
          <t>A 28782-2025</t>
        </is>
      </c>
      <c r="B96" s="1" t="n">
        <v>45820.45572916666</v>
      </c>
      <c r="C96" s="1" t="n">
        <v>45907</v>
      </c>
      <c r="D96" t="inlineStr">
        <is>
          <t>KALMAR LÄN</t>
        </is>
      </c>
      <c r="E96" t="inlineStr">
        <is>
          <t>BORGHOLM</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45907</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61438-2023</t>
        </is>
      </c>
      <c r="B98" s="1" t="n">
        <v>45264</v>
      </c>
      <c r="C98" s="1" t="n">
        <v>45907</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13041-2024</t>
        </is>
      </c>
      <c r="B99" s="1" t="n">
        <v>45385.60065972222</v>
      </c>
      <c r="C99" s="1" t="n">
        <v>45907</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45907</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45907</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36269-2025</t>
        </is>
      </c>
      <c r="B102" s="1" t="n">
        <v>45867.61736111111</v>
      </c>
      <c r="C102" s="1" t="n">
        <v>45907</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27326-2025</t>
        </is>
      </c>
      <c r="B103" s="1" t="n">
        <v>45812</v>
      </c>
      <c r="C103" s="1" t="n">
        <v>45907</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4159-2024</t>
        </is>
      </c>
      <c r="B104" s="1" t="n">
        <v>45323</v>
      </c>
      <c r="C104" s="1" t="n">
        <v>45907</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50129-2021</t>
        </is>
      </c>
      <c r="B105" s="1" t="n">
        <v>44456</v>
      </c>
      <c r="C105" s="1" t="n">
        <v>45907</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41831-2025</t>
        </is>
      </c>
      <c r="B106" s="1" t="n">
        <v>45902.67887731481</v>
      </c>
      <c r="C106" s="1" t="n">
        <v>45907</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45907</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41950-2025</t>
        </is>
      </c>
      <c r="B108" s="1" t="n">
        <v>45903.45767361111</v>
      </c>
      <c r="C108" s="1" t="n">
        <v>45907</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45907</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12481-2025</t>
        </is>
      </c>
      <c r="B110" s="1" t="n">
        <v>45730.57878472222</v>
      </c>
      <c r="C110" s="1" t="n">
        <v>45907</v>
      </c>
      <c r="D110" t="inlineStr">
        <is>
          <t>KALMAR LÄN</t>
        </is>
      </c>
      <c r="E110" t="inlineStr">
        <is>
          <t>BORGHOLM</t>
        </is>
      </c>
      <c r="G110" t="n">
        <v>7.2</v>
      </c>
      <c r="H110" t="n">
        <v>0</v>
      </c>
      <c r="I110" t="n">
        <v>0</v>
      </c>
      <c r="J110" t="n">
        <v>0</v>
      </c>
      <c r="K110" t="n">
        <v>0</v>
      </c>
      <c r="L110" t="n">
        <v>0</v>
      </c>
      <c r="M110" t="n">
        <v>0</v>
      </c>
      <c r="N110" t="n">
        <v>0</v>
      </c>
      <c r="O110" t="n">
        <v>0</v>
      </c>
      <c r="P110" t="n">
        <v>0</v>
      </c>
      <c r="Q110" t="n">
        <v>0</v>
      </c>
      <c r="R110" s="2" t="inlineStr"/>
    </row>
    <row r="111" ht="15" customHeight="1">
      <c r="A111" t="inlineStr">
        <is>
          <t>A 42232-2025</t>
        </is>
      </c>
      <c r="B111" s="1" t="n">
        <v>45904.55591435185</v>
      </c>
      <c r="C111" s="1" t="n">
        <v>45907</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63276-2023</t>
        </is>
      </c>
      <c r="B112" s="1" t="n">
        <v>45273.82195601852</v>
      </c>
      <c r="C112" s="1" t="n">
        <v>45907</v>
      </c>
      <c r="D112" t="inlineStr">
        <is>
          <t>KALMAR LÄN</t>
        </is>
      </c>
      <c r="E112" t="inlineStr">
        <is>
          <t>BORGHOLM</t>
        </is>
      </c>
      <c r="G112" t="n">
        <v>5</v>
      </c>
      <c r="H112" t="n">
        <v>0</v>
      </c>
      <c r="I112" t="n">
        <v>0</v>
      </c>
      <c r="J112" t="n">
        <v>0</v>
      </c>
      <c r="K112" t="n">
        <v>0</v>
      </c>
      <c r="L112" t="n">
        <v>0</v>
      </c>
      <c r="M112" t="n">
        <v>0</v>
      </c>
      <c r="N112" t="n">
        <v>0</v>
      </c>
      <c r="O112" t="n">
        <v>0</v>
      </c>
      <c r="P112" t="n">
        <v>0</v>
      </c>
      <c r="Q112" t="n">
        <v>0</v>
      </c>
      <c r="R112" s="2" t="inlineStr"/>
    </row>
    <row r="113" ht="15" customHeight="1">
      <c r="A113" t="inlineStr">
        <is>
          <t>A 1614-2025</t>
        </is>
      </c>
      <c r="B113" s="1" t="n">
        <v>45670.60094907408</v>
      </c>
      <c r="C113" s="1" t="n">
        <v>45907</v>
      </c>
      <c r="D113" t="inlineStr">
        <is>
          <t>KALMAR LÄN</t>
        </is>
      </c>
      <c r="E113" t="inlineStr">
        <is>
          <t>BORGHOLM</t>
        </is>
      </c>
      <c r="G113" t="n">
        <v>1.4</v>
      </c>
      <c r="H113" t="n">
        <v>0</v>
      </c>
      <c r="I113" t="n">
        <v>0</v>
      </c>
      <c r="J113" t="n">
        <v>0</v>
      </c>
      <c r="K113" t="n">
        <v>0</v>
      </c>
      <c r="L113" t="n">
        <v>0</v>
      </c>
      <c r="M113" t="n">
        <v>0</v>
      </c>
      <c r="N113" t="n">
        <v>0</v>
      </c>
      <c r="O113" t="n">
        <v>0</v>
      </c>
      <c r="P113" t="n">
        <v>0</v>
      </c>
      <c r="Q113" t="n">
        <v>0</v>
      </c>
      <c r="R113" s="2" t="inlineStr"/>
    </row>
    <row r="114" ht="15" customHeight="1">
      <c r="A114" t="inlineStr">
        <is>
          <t>A 13043-2024</t>
        </is>
      </c>
      <c r="B114" s="1" t="n">
        <v>45385.60111111111</v>
      </c>
      <c r="C114" s="1" t="n">
        <v>45907</v>
      </c>
      <c r="D114" t="inlineStr">
        <is>
          <t>KALMAR LÄN</t>
        </is>
      </c>
      <c r="E114" t="inlineStr">
        <is>
          <t>BORGHOLM</t>
        </is>
      </c>
      <c r="G114" t="n">
        <v>0.4</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45907</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9076-2025</t>
        </is>
      </c>
      <c r="B116" s="1" t="n">
        <v>45713.6596875</v>
      </c>
      <c r="C116" s="1" t="n">
        <v>45907</v>
      </c>
      <c r="D116" t="inlineStr">
        <is>
          <t>KALMAR LÄN</t>
        </is>
      </c>
      <c r="E116" t="inlineStr">
        <is>
          <t>BORGHOLM</t>
        </is>
      </c>
      <c r="F116" t="inlineStr">
        <is>
          <t>Sveaskog</t>
        </is>
      </c>
      <c r="G116" t="n">
        <v>4.2</v>
      </c>
      <c r="H116" t="n">
        <v>0</v>
      </c>
      <c r="I116" t="n">
        <v>0</v>
      </c>
      <c r="J116" t="n">
        <v>0</v>
      </c>
      <c r="K116" t="n">
        <v>0</v>
      </c>
      <c r="L116" t="n">
        <v>0</v>
      </c>
      <c r="M116" t="n">
        <v>0</v>
      </c>
      <c r="N116" t="n">
        <v>0</v>
      </c>
      <c r="O116" t="n">
        <v>0</v>
      </c>
      <c r="P116" t="n">
        <v>0</v>
      </c>
      <c r="Q116" t="n">
        <v>0</v>
      </c>
      <c r="R116" s="2" t="inlineStr"/>
    </row>
    <row r="117" ht="15" customHeight="1">
      <c r="A117" t="inlineStr">
        <is>
          <t>A 1757-2025</t>
        </is>
      </c>
      <c r="B117" s="1" t="n">
        <v>45671.42195601852</v>
      </c>
      <c r="C117" s="1" t="n">
        <v>45907</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9044-2025</t>
        </is>
      </c>
      <c r="B118" s="1" t="n">
        <v>45713.6275</v>
      </c>
      <c r="C118" s="1" t="n">
        <v>45907</v>
      </c>
      <c r="D118" t="inlineStr">
        <is>
          <t>KALMAR LÄN</t>
        </is>
      </c>
      <c r="E118" t="inlineStr">
        <is>
          <t>BORGHOLM</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45907</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20878-2024</t>
        </is>
      </c>
      <c r="B120" s="1" t="n">
        <v>45439.44748842593</v>
      </c>
      <c r="C120" s="1" t="n">
        <v>45907</v>
      </c>
      <c r="D120" t="inlineStr">
        <is>
          <t>KALMAR LÄN</t>
        </is>
      </c>
      <c r="E120" t="inlineStr">
        <is>
          <t>BORGHOLM</t>
        </is>
      </c>
      <c r="G120" t="n">
        <v>1.9</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45907</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20287-2025</t>
        </is>
      </c>
      <c r="B122" s="1" t="n">
        <v>45774.60741898148</v>
      </c>
      <c r="C122" s="1" t="n">
        <v>45907</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45907</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26160-2024</t>
        </is>
      </c>
      <c r="B124" s="1" t="n">
        <v>45468</v>
      </c>
      <c r="C124" s="1" t="n">
        <v>45907</v>
      </c>
      <c r="D124" t="inlineStr">
        <is>
          <t>KALMAR LÄN</t>
        </is>
      </c>
      <c r="E124" t="inlineStr">
        <is>
          <t>BORGHOLM</t>
        </is>
      </c>
      <c r="G124" t="n">
        <v>0.4</v>
      </c>
      <c r="H124" t="n">
        <v>0</v>
      </c>
      <c r="I124" t="n">
        <v>0</v>
      </c>
      <c r="J124" t="n">
        <v>0</v>
      </c>
      <c r="K124" t="n">
        <v>0</v>
      </c>
      <c r="L124" t="n">
        <v>0</v>
      </c>
      <c r="M124" t="n">
        <v>0</v>
      </c>
      <c r="N124" t="n">
        <v>0</v>
      </c>
      <c r="O124" t="n">
        <v>0</v>
      </c>
      <c r="P124" t="n">
        <v>0</v>
      </c>
      <c r="Q124" t="n">
        <v>0</v>
      </c>
      <c r="R124" s="2" t="inlineStr"/>
      <c r="T124">
        <f>HYPERLINK("https://klasma.github.io/Logging_0885/kartor/A 26160-2024 karta.png", "A 26160-2024")</f>
        <v/>
      </c>
      <c r="V124">
        <f>HYPERLINK("https://klasma.github.io/Logging_0885/klagomål/A 26160-2024 FSC-klagomål.docx", "A 26160-2024")</f>
        <v/>
      </c>
      <c r="W124">
        <f>HYPERLINK("https://klasma.github.io/Logging_0885/klagomålsmail/A 26160-2024 FSC-klagomål mail.docx", "A 26160-2024")</f>
        <v/>
      </c>
      <c r="X124">
        <f>HYPERLINK("https://klasma.github.io/Logging_0885/tillsyn/A 26160-2024 tillsynsbegäran.docx", "A 26160-2024")</f>
        <v/>
      </c>
      <c r="Y124">
        <f>HYPERLINK("https://klasma.github.io/Logging_0885/tillsynsmail/A 26160-2024 tillsynsbegäran mail.docx", "A 26160-2024")</f>
        <v/>
      </c>
    </row>
    <row r="125" ht="15" customHeight="1">
      <c r="A125" t="inlineStr">
        <is>
          <t>A 9050-2025</t>
        </is>
      </c>
      <c r="B125" s="1" t="n">
        <v>45713.63512731482</v>
      </c>
      <c r="C125" s="1" t="n">
        <v>45907</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row r="126" ht="15" customHeight="1">
      <c r="A126" t="inlineStr">
        <is>
          <t>A 9028-2025</t>
        </is>
      </c>
      <c r="B126" s="1" t="n">
        <v>45713</v>
      </c>
      <c r="C126" s="1" t="n">
        <v>45907</v>
      </c>
      <c r="D126" t="inlineStr">
        <is>
          <t>KALMAR LÄN</t>
        </is>
      </c>
      <c r="E126" t="inlineStr">
        <is>
          <t>BORGHOLM</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63075-2023</t>
        </is>
      </c>
      <c r="B127" s="1" t="n">
        <v>45273</v>
      </c>
      <c r="C127" s="1" t="n">
        <v>45907</v>
      </c>
      <c r="D127" t="inlineStr">
        <is>
          <t>KALMAR LÄN</t>
        </is>
      </c>
      <c r="E127" t="inlineStr">
        <is>
          <t>BORGHOLM</t>
        </is>
      </c>
      <c r="G127" t="n">
        <v>1.1</v>
      </c>
      <c r="H127" t="n">
        <v>0</v>
      </c>
      <c r="I127" t="n">
        <v>0</v>
      </c>
      <c r="J127" t="n">
        <v>0</v>
      </c>
      <c r="K127" t="n">
        <v>0</v>
      </c>
      <c r="L127" t="n">
        <v>0</v>
      </c>
      <c r="M127" t="n">
        <v>0</v>
      </c>
      <c r="N127" t="n">
        <v>0</v>
      </c>
      <c r="O127" t="n">
        <v>0</v>
      </c>
      <c r="P127" t="n">
        <v>0</v>
      </c>
      <c r="Q127" t="n">
        <v>0</v>
      </c>
      <c r="R127" s="2" t="inlineStr"/>
    </row>
    <row r="128">
      <c r="A128" t="inlineStr">
        <is>
          <t>A 7669-2024</t>
        </is>
      </c>
      <c r="B128" s="1" t="n">
        <v>45348.82498842593</v>
      </c>
      <c r="C128" s="1" t="n">
        <v>45907</v>
      </c>
      <c r="D128" t="inlineStr">
        <is>
          <t>KALMAR LÄN</t>
        </is>
      </c>
      <c r="E128" t="inlineStr">
        <is>
          <t>BORGHOLM</t>
        </is>
      </c>
      <c r="G128" t="n">
        <v>2.3</v>
      </c>
      <c r="H128" t="n">
        <v>0</v>
      </c>
      <c r="I128" t="n">
        <v>0</v>
      </c>
      <c r="J128" t="n">
        <v>0</v>
      </c>
      <c r="K128" t="n">
        <v>0</v>
      </c>
      <c r="L128" t="n">
        <v>0</v>
      </c>
      <c r="M128" t="n">
        <v>0</v>
      </c>
      <c r="N128" t="n">
        <v>0</v>
      </c>
      <c r="O128" t="n">
        <v>0</v>
      </c>
      <c r="P128" t="n">
        <v>0</v>
      </c>
      <c r="Q128" t="n">
        <v>0</v>
      </c>
      <c r="R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2025-09-07T09:04:07Z</dcterms:created>
  <dcterms:modified xmlns:dcterms="http://purl.org/dc/terms/" xmlns:xsi="http://www.w3.org/2001/XMLSchema-instance" xsi:type="dcterms:W3CDTF">2025-09-07T09:04:08Z</dcterms:modified>
</cp:coreProperties>
</file>