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46097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46097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46097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46097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46097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46097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46097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46097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46097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46097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46097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46097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46097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46097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46097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46097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46097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34944-2022</t>
        </is>
      </c>
      <c r="B19" s="1" t="n">
        <v>44796</v>
      </c>
      <c r="C19" s="1" t="n">
        <v>46097</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32174-2022</t>
        </is>
      </c>
      <c r="B20" s="1" t="n">
        <v>44781</v>
      </c>
      <c r="C20" s="1" t="n">
        <v>46097</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4164-2023</t>
        </is>
      </c>
      <c r="B21" s="1" t="n">
        <v>44953</v>
      </c>
      <c r="C21" s="1" t="n">
        <v>46097</v>
      </c>
      <c r="D21" t="inlineStr">
        <is>
          <t>KALMAR LÄN</t>
        </is>
      </c>
      <c r="E21" t="inlineStr">
        <is>
          <t>BORGHOLM</t>
        </is>
      </c>
      <c r="G21" t="n">
        <v>3.3</v>
      </c>
      <c r="H21" t="n">
        <v>1</v>
      </c>
      <c r="I21" t="n">
        <v>1</v>
      </c>
      <c r="J21" t="n">
        <v>0</v>
      </c>
      <c r="K21" t="n">
        <v>0</v>
      </c>
      <c r="L21" t="n">
        <v>0</v>
      </c>
      <c r="M21" t="n">
        <v>0</v>
      </c>
      <c r="N21" t="n">
        <v>0</v>
      </c>
      <c r="O21" t="n">
        <v>0</v>
      </c>
      <c r="P21" t="n">
        <v>0</v>
      </c>
      <c r="Q21" t="n">
        <v>2</v>
      </c>
      <c r="R21" s="2" t="inlineStr">
        <is>
          <t>Murgröna
Blåsippa</t>
        </is>
      </c>
      <c r="S21">
        <f>HYPERLINK("https://klasma.github.io/Logging_0885/artfynd/A 4164-2023 artfynd.xlsx", "A 4164-2023")</f>
        <v/>
      </c>
      <c r="T21">
        <f>HYPERLINK("https://klasma.github.io/Logging_0885/kartor/A 4164-2023 karta.png", "A 4164-2023")</f>
        <v/>
      </c>
      <c r="V21">
        <f>HYPERLINK("https://klasma.github.io/Logging_0885/klagomål/A 4164-2023 FSC-klagomål.docx", "A 4164-2023")</f>
        <v/>
      </c>
      <c r="W21">
        <f>HYPERLINK("https://klasma.github.io/Logging_0885/klagomålsmail/A 4164-2023 FSC-klagomål mail.docx", "A 4164-2023")</f>
        <v/>
      </c>
      <c r="X21">
        <f>HYPERLINK("https://klasma.github.io/Logging_0885/tillsyn/A 4164-2023 tillsynsbegäran.docx", "A 4164-2023")</f>
        <v/>
      </c>
      <c r="Y21">
        <f>HYPERLINK("https://klasma.github.io/Logging_0885/tillsynsmail/A 4164-2023 tillsynsbegäran mail.docx", "A 4164-2023")</f>
        <v/>
      </c>
    </row>
    <row r="22" ht="15" customHeight="1">
      <c r="A22" t="inlineStr">
        <is>
          <t>A 43756-2022</t>
        </is>
      </c>
      <c r="B22" s="1" t="n">
        <v>44837</v>
      </c>
      <c r="C22" s="1" t="n">
        <v>46097</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13556-2025</t>
        </is>
      </c>
      <c r="B23" s="1" t="n">
        <v>45736.54759259259</v>
      </c>
      <c r="C23" s="1" t="n">
        <v>46097</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28779-2025</t>
        </is>
      </c>
      <c r="B24" s="1" t="n">
        <v>45820.44920138889</v>
      </c>
      <c r="C24" s="1" t="n">
        <v>46097</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38860-2025</t>
        </is>
      </c>
      <c r="B25" s="1" t="n">
        <v>45887.5609375</v>
      </c>
      <c r="C25" s="1" t="n">
        <v>46097</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44008-2022</t>
        </is>
      </c>
      <c r="B26" s="1" t="n">
        <v>44838</v>
      </c>
      <c r="C26" s="1" t="n">
        <v>46097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60140-2025</t>
        </is>
      </c>
      <c r="B27" s="1" t="n">
        <v>45994.36274305556</v>
      </c>
      <c r="C27" s="1" t="n">
        <v>46097</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9253-2026</t>
        </is>
      </c>
      <c r="B28" s="1" t="n">
        <v>46070.51003472223</v>
      </c>
      <c r="C28" s="1" t="n">
        <v>46097</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31790-2021</t>
        </is>
      </c>
      <c r="B29" s="1" t="n">
        <v>44370</v>
      </c>
      <c r="C29" s="1" t="n">
        <v>46097</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46097</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46097</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12785-2021</t>
        </is>
      </c>
      <c r="B32" s="1" t="n">
        <v>44270</v>
      </c>
      <c r="C32" s="1" t="n">
        <v>46097</v>
      </c>
      <c r="D32" t="inlineStr">
        <is>
          <t>KALMAR LÄN</t>
        </is>
      </c>
      <c r="E32" t="inlineStr">
        <is>
          <t>BORGHOLM</t>
        </is>
      </c>
      <c r="G32" t="n">
        <v>1.2</v>
      </c>
      <c r="H32" t="n">
        <v>0</v>
      </c>
      <c r="I32" t="n">
        <v>0</v>
      </c>
      <c r="J32" t="n">
        <v>0</v>
      </c>
      <c r="K32" t="n">
        <v>0</v>
      </c>
      <c r="L32" t="n">
        <v>1</v>
      </c>
      <c r="M32" t="n">
        <v>0</v>
      </c>
      <c r="N32" t="n">
        <v>0</v>
      </c>
      <c r="O32" t="n">
        <v>1</v>
      </c>
      <c r="P32" t="n">
        <v>1</v>
      </c>
      <c r="Q32" t="n">
        <v>1</v>
      </c>
      <c r="R32" s="2" t="inlineStr">
        <is>
          <t>Ask</t>
        </is>
      </c>
      <c r="S32">
        <f>HYPERLINK("https://klasma.github.io/Logging_0885/artfynd/A 12785-2021 artfynd.xlsx", "A 12785-2021")</f>
        <v/>
      </c>
      <c r="T32">
        <f>HYPERLINK("https://klasma.github.io/Logging_0885/kartor/A 12785-2021 karta.png", "A 12785-2021")</f>
        <v/>
      </c>
      <c r="V32">
        <f>HYPERLINK("https://klasma.github.io/Logging_0885/klagomål/A 12785-2021 FSC-klagomål.docx", "A 12785-2021")</f>
        <v/>
      </c>
      <c r="W32">
        <f>HYPERLINK("https://klasma.github.io/Logging_0885/klagomålsmail/A 12785-2021 FSC-klagomål mail.docx", "A 12785-2021")</f>
        <v/>
      </c>
      <c r="X32">
        <f>HYPERLINK("https://klasma.github.io/Logging_0885/tillsyn/A 12785-2021 tillsynsbegäran.docx", "A 12785-2021")</f>
        <v/>
      </c>
      <c r="Y32">
        <f>HYPERLINK("https://klasma.github.io/Logging_0885/tillsynsmail/A 12785-2021 tillsynsbegäran mail.docx", "A 12785-2021")</f>
        <v/>
      </c>
    </row>
    <row r="33" ht="15" customHeight="1">
      <c r="A33" t="inlineStr">
        <is>
          <t>A 43603-2024</t>
        </is>
      </c>
      <c r="B33" s="1" t="n">
        <v>45569.44700231482</v>
      </c>
      <c r="C33" s="1" t="n">
        <v>46097</v>
      </c>
      <c r="D33" t="inlineStr">
        <is>
          <t>KALMAR LÄN</t>
        </is>
      </c>
      <c r="E33" t="inlineStr">
        <is>
          <t>BORGHOLM</t>
        </is>
      </c>
      <c r="G33" t="n">
        <v>3.8</v>
      </c>
      <c r="H33" t="n">
        <v>1</v>
      </c>
      <c r="I33" t="n">
        <v>0</v>
      </c>
      <c r="J33" t="n">
        <v>0</v>
      </c>
      <c r="K33" t="n">
        <v>1</v>
      </c>
      <c r="L33" t="n">
        <v>0</v>
      </c>
      <c r="M33" t="n">
        <v>0</v>
      </c>
      <c r="N33" t="n">
        <v>0</v>
      </c>
      <c r="O33" t="n">
        <v>1</v>
      </c>
      <c r="P33" t="n">
        <v>1</v>
      </c>
      <c r="Q33" t="n">
        <v>1</v>
      </c>
      <c r="R33" s="2" t="inlineStr">
        <is>
          <t>Väddnätfjäril</t>
        </is>
      </c>
      <c r="S33">
        <f>HYPERLINK("https://klasma.github.io/Logging_0885/artfynd/A 43603-2024 artfynd.xlsx", "A 43603-2024")</f>
        <v/>
      </c>
      <c r="T33">
        <f>HYPERLINK("https://klasma.github.io/Logging_0885/kartor/A 43603-2024 karta.png", "A 43603-2024")</f>
        <v/>
      </c>
      <c r="V33">
        <f>HYPERLINK("https://klasma.github.io/Logging_0885/klagomål/A 43603-2024 FSC-klagomål.docx", "A 43603-2024")</f>
        <v/>
      </c>
      <c r="W33">
        <f>HYPERLINK("https://klasma.github.io/Logging_0885/klagomålsmail/A 43603-2024 FSC-klagomål mail.docx", "A 43603-2024")</f>
        <v/>
      </c>
      <c r="X33">
        <f>HYPERLINK("https://klasma.github.io/Logging_0885/tillsyn/A 43603-2024 tillsynsbegäran.docx", "A 43603-2024")</f>
        <v/>
      </c>
      <c r="Y33">
        <f>HYPERLINK("https://klasma.github.io/Logging_0885/tillsynsmail/A 43603-2024 tillsynsbegäran mail.docx", "A 43603-2024")</f>
        <v/>
      </c>
    </row>
    <row r="34" ht="15" customHeight="1">
      <c r="A34" t="inlineStr">
        <is>
          <t>A 9745-2023</t>
        </is>
      </c>
      <c r="B34" s="1" t="n">
        <v>44984</v>
      </c>
      <c r="C34" s="1" t="n">
        <v>46097</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13558-2025</t>
        </is>
      </c>
      <c r="B35" s="1" t="n">
        <v>45736.54974537037</v>
      </c>
      <c r="C35" s="1" t="n">
        <v>46097</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24704-2023</t>
        </is>
      </c>
      <c r="B36" s="1" t="n">
        <v>45084</v>
      </c>
      <c r="C36" s="1" t="n">
        <v>46097</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24701-2023</t>
        </is>
      </c>
      <c r="B37" s="1" t="n">
        <v>45084</v>
      </c>
      <c r="C37" s="1" t="n">
        <v>46097</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28785-2025</t>
        </is>
      </c>
      <c r="B38" s="1" t="n">
        <v>45820.46159722222</v>
      </c>
      <c r="C38" s="1" t="n">
        <v>46097</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46097</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24048-2025</t>
        </is>
      </c>
      <c r="B40" s="1" t="n">
        <v>45796.4959375</v>
      </c>
      <c r="C40" s="1" t="n">
        <v>46097</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34885-2025</t>
        </is>
      </c>
      <c r="B41" s="1" t="n">
        <v>45849.47128472223</v>
      </c>
      <c r="C41" s="1" t="n">
        <v>46097</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41640-2023</t>
        </is>
      </c>
      <c r="B42" s="1" t="n">
        <v>45175</v>
      </c>
      <c r="C42" s="1" t="n">
        <v>46097</v>
      </c>
      <c r="D42" t="inlineStr">
        <is>
          <t>KALMAR LÄN</t>
        </is>
      </c>
      <c r="E42" t="inlineStr">
        <is>
          <t>BORGHOLM</t>
        </is>
      </c>
      <c r="G42" t="n">
        <v>5</v>
      </c>
      <c r="H42" t="n">
        <v>1</v>
      </c>
      <c r="I42" t="n">
        <v>0</v>
      </c>
      <c r="J42" t="n">
        <v>0</v>
      </c>
      <c r="K42" t="n">
        <v>0</v>
      </c>
      <c r="L42" t="n">
        <v>0</v>
      </c>
      <c r="M42" t="n">
        <v>0</v>
      </c>
      <c r="N42" t="n">
        <v>0</v>
      </c>
      <c r="O42" t="n">
        <v>0</v>
      </c>
      <c r="P42" t="n">
        <v>0</v>
      </c>
      <c r="Q42" t="n">
        <v>1</v>
      </c>
      <c r="R42" s="2" t="inlineStr">
        <is>
          <t>Johannesnycklar</t>
        </is>
      </c>
      <c r="S42">
        <f>HYPERLINK("https://klasma.github.io/Logging_0885/artfynd/A 41640-2023 artfynd.xlsx", "A 41640-2023")</f>
        <v/>
      </c>
      <c r="T42">
        <f>HYPERLINK("https://klasma.github.io/Logging_0885/kartor/A 41640-2023 karta.png", "A 41640-2023")</f>
        <v/>
      </c>
      <c r="V42">
        <f>HYPERLINK("https://klasma.github.io/Logging_0885/klagomål/A 41640-2023 FSC-klagomål.docx", "A 41640-2023")</f>
        <v/>
      </c>
      <c r="W42">
        <f>HYPERLINK("https://klasma.github.io/Logging_0885/klagomålsmail/A 41640-2023 FSC-klagomål mail.docx", "A 41640-2023")</f>
        <v/>
      </c>
      <c r="X42">
        <f>HYPERLINK("https://klasma.github.io/Logging_0885/tillsyn/A 41640-2023 tillsynsbegäran.docx", "A 41640-2023")</f>
        <v/>
      </c>
      <c r="Y42">
        <f>HYPERLINK("https://klasma.github.io/Logging_0885/tillsynsmail/A 41640-2023 tillsynsbegäran mail.docx", "A 41640-2023")</f>
        <v/>
      </c>
    </row>
    <row r="43" ht="15" customHeight="1">
      <c r="A43" t="inlineStr">
        <is>
          <t>A 45693-2025</t>
        </is>
      </c>
      <c r="B43" s="1" t="n">
        <v>45923</v>
      </c>
      <c r="C43" s="1" t="n">
        <v>46097</v>
      </c>
      <c r="D43" t="inlineStr">
        <is>
          <t>KALMAR LÄN</t>
        </is>
      </c>
      <c r="E43" t="inlineStr">
        <is>
          <t>BORGHOLM</t>
        </is>
      </c>
      <c r="G43" t="n">
        <v>4.8</v>
      </c>
      <c r="H43" t="n">
        <v>0</v>
      </c>
      <c r="I43" t="n">
        <v>0</v>
      </c>
      <c r="J43" t="n">
        <v>1</v>
      </c>
      <c r="K43" t="n">
        <v>0</v>
      </c>
      <c r="L43" t="n">
        <v>0</v>
      </c>
      <c r="M43" t="n">
        <v>0</v>
      </c>
      <c r="N43" t="n">
        <v>0</v>
      </c>
      <c r="O43" t="n">
        <v>1</v>
      </c>
      <c r="P43" t="n">
        <v>0</v>
      </c>
      <c r="Q43" t="n">
        <v>1</v>
      </c>
      <c r="R43" s="2" t="inlineStr">
        <is>
          <t>Stjälkröksvamp</t>
        </is>
      </c>
      <c r="S43">
        <f>HYPERLINK("https://klasma.github.io/Logging_0885/artfynd/A 45693-2025 artfynd.xlsx", "A 45693-2025")</f>
        <v/>
      </c>
      <c r="T43">
        <f>HYPERLINK("https://klasma.github.io/Logging_0885/kartor/A 45693-2025 karta.png", "A 45693-2025")</f>
        <v/>
      </c>
      <c r="V43">
        <f>HYPERLINK("https://klasma.github.io/Logging_0885/klagomål/A 45693-2025 FSC-klagomål.docx", "A 45693-2025")</f>
        <v/>
      </c>
      <c r="W43">
        <f>HYPERLINK("https://klasma.github.io/Logging_0885/klagomålsmail/A 45693-2025 FSC-klagomål mail.docx", "A 45693-2025")</f>
        <v/>
      </c>
      <c r="X43">
        <f>HYPERLINK("https://klasma.github.io/Logging_0885/tillsyn/A 45693-2025 tillsynsbegäran.docx", "A 45693-2025")</f>
        <v/>
      </c>
      <c r="Y43">
        <f>HYPERLINK("https://klasma.github.io/Logging_0885/tillsynsmail/A 45693-2025 tillsynsbegäran mail.docx", "A 45693-2025")</f>
        <v/>
      </c>
    </row>
    <row r="44" ht="15" customHeight="1">
      <c r="A44" t="inlineStr">
        <is>
          <t>A 3302-2026</t>
        </is>
      </c>
      <c r="B44" s="1" t="n">
        <v>46041</v>
      </c>
      <c r="C44" s="1" t="n">
        <v>46097</v>
      </c>
      <c r="D44" t="inlineStr">
        <is>
          <t>KALMAR LÄN</t>
        </is>
      </c>
      <c r="E44" t="inlineStr">
        <is>
          <t>BORGHOLM</t>
        </is>
      </c>
      <c r="G44" t="n">
        <v>3.9</v>
      </c>
      <c r="H44" t="n">
        <v>1</v>
      </c>
      <c r="I44" t="n">
        <v>0</v>
      </c>
      <c r="J44" t="n">
        <v>0</v>
      </c>
      <c r="K44" t="n">
        <v>0</v>
      </c>
      <c r="L44" t="n">
        <v>0</v>
      </c>
      <c r="M44" t="n">
        <v>0</v>
      </c>
      <c r="N44" t="n">
        <v>0</v>
      </c>
      <c r="O44" t="n">
        <v>0</v>
      </c>
      <c r="P44" t="n">
        <v>0</v>
      </c>
      <c r="Q44" t="n">
        <v>1</v>
      </c>
      <c r="R44" s="2" t="inlineStr">
        <is>
          <t>Blåsippa</t>
        </is>
      </c>
      <c r="S44">
        <f>HYPERLINK("https://klasma.github.io/Logging_0885/artfynd/A 3302-2026 artfynd.xlsx", "A 3302-2026")</f>
        <v/>
      </c>
      <c r="T44">
        <f>HYPERLINK("https://klasma.github.io/Logging_0885/kartor/A 3302-2026 karta.png", "A 3302-2026")</f>
        <v/>
      </c>
      <c r="V44">
        <f>HYPERLINK("https://klasma.github.io/Logging_0885/klagomål/A 3302-2026 FSC-klagomål.docx", "A 3302-2026")</f>
        <v/>
      </c>
      <c r="W44">
        <f>HYPERLINK("https://klasma.github.io/Logging_0885/klagomålsmail/A 3302-2026 FSC-klagomål mail.docx", "A 3302-2026")</f>
        <v/>
      </c>
      <c r="X44">
        <f>HYPERLINK("https://klasma.github.io/Logging_0885/tillsyn/A 3302-2026 tillsynsbegäran.docx", "A 3302-2026")</f>
        <v/>
      </c>
      <c r="Y44">
        <f>HYPERLINK("https://klasma.github.io/Logging_0885/tillsynsmail/A 3302-2026 tillsynsbegäran mail.docx", "A 3302-2026")</f>
        <v/>
      </c>
    </row>
    <row r="45" ht="15" customHeight="1">
      <c r="A45" t="inlineStr">
        <is>
          <t>A 12711-2021</t>
        </is>
      </c>
      <c r="B45" s="1" t="n">
        <v>44270</v>
      </c>
      <c r="C45" s="1" t="n">
        <v>46097</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46097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46097</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46097</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46097</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46097</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61828-2021</t>
        </is>
      </c>
      <c r="B51" s="1" t="n">
        <v>44501</v>
      </c>
      <c r="C51" s="1" t="n">
        <v>46097</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46097</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46097</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46097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46097</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46097</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46097</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46097</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46097</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46097</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46097</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46097</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31720-2022</t>
        </is>
      </c>
      <c r="B63" s="1" t="n">
        <v>44776</v>
      </c>
      <c r="C63" s="1" t="n">
        <v>46097</v>
      </c>
      <c r="D63" t="inlineStr">
        <is>
          <t>KALMAR LÄN</t>
        </is>
      </c>
      <c r="E63" t="inlineStr">
        <is>
          <t>BORGHOLM</t>
        </is>
      </c>
      <c r="F63" t="inlineStr">
        <is>
          <t>Sveaskog</t>
        </is>
      </c>
      <c r="G63" t="n">
        <v>4.5</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46097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29656-2023</t>
        </is>
      </c>
      <c r="B65" s="1" t="n">
        <v>45107</v>
      </c>
      <c r="C65" s="1" t="n">
        <v>46097</v>
      </c>
      <c r="D65" t="inlineStr">
        <is>
          <t>KALMAR LÄN</t>
        </is>
      </c>
      <c r="E65" t="inlineStr">
        <is>
          <t>BORGHOLM</t>
        </is>
      </c>
      <c r="G65" t="n">
        <v>4.1</v>
      </c>
      <c r="H65" t="n">
        <v>0</v>
      </c>
      <c r="I65" t="n">
        <v>0</v>
      </c>
      <c r="J65" t="n">
        <v>0</v>
      </c>
      <c r="K65" t="n">
        <v>0</v>
      </c>
      <c r="L65" t="n">
        <v>0</v>
      </c>
      <c r="M65" t="n">
        <v>0</v>
      </c>
      <c r="N65" t="n">
        <v>0</v>
      </c>
      <c r="O65" t="n">
        <v>0</v>
      </c>
      <c r="P65" t="n">
        <v>0</v>
      </c>
      <c r="Q65" t="n">
        <v>0</v>
      </c>
      <c r="R65" s="2" t="inlineStr"/>
    </row>
    <row r="66" ht="15" customHeight="1">
      <c r="A66" t="inlineStr">
        <is>
          <t>A 26160-2024</t>
        </is>
      </c>
      <c r="B66" s="1" t="n">
        <v>45468</v>
      </c>
      <c r="C66" s="1" t="n">
        <v>46097</v>
      </c>
      <c r="D66" t="inlineStr">
        <is>
          <t>KALMAR LÄN</t>
        </is>
      </c>
      <c r="E66" t="inlineStr">
        <is>
          <t>BORGHOLM</t>
        </is>
      </c>
      <c r="G66" t="n">
        <v>0.4</v>
      </c>
      <c r="H66" t="n">
        <v>0</v>
      </c>
      <c r="I66" t="n">
        <v>0</v>
      </c>
      <c r="J66" t="n">
        <v>0</v>
      </c>
      <c r="K66" t="n">
        <v>0</v>
      </c>
      <c r="L66" t="n">
        <v>0</v>
      </c>
      <c r="M66" t="n">
        <v>0</v>
      </c>
      <c r="N66" t="n">
        <v>0</v>
      </c>
      <c r="O66" t="n">
        <v>0</v>
      </c>
      <c r="P66" t="n">
        <v>0</v>
      </c>
      <c r="Q66" t="n">
        <v>0</v>
      </c>
      <c r="R66" s="2" t="inlineStr"/>
      <c r="T66">
        <f>HYPERLINK("https://klasma.github.io/Logging_0885/kartor/A 26160-2024 karta.png", "A 26160-2024")</f>
        <v/>
      </c>
      <c r="V66">
        <f>HYPERLINK("https://klasma.github.io/Logging_0885/klagomål/A 26160-2024 FSC-klagomål.docx", "A 26160-2024")</f>
        <v/>
      </c>
      <c r="W66">
        <f>HYPERLINK("https://klasma.github.io/Logging_0885/klagomålsmail/A 26160-2024 FSC-klagomål mail.docx", "A 26160-2024")</f>
        <v/>
      </c>
      <c r="X66">
        <f>HYPERLINK("https://klasma.github.io/Logging_0885/tillsyn/A 26160-2024 tillsynsbegäran.docx", "A 26160-2024")</f>
        <v/>
      </c>
      <c r="Y66">
        <f>HYPERLINK("https://klasma.github.io/Logging_0885/tillsynsmail/A 26160-2024 tillsynsbegäran mail.docx", "A 26160-2024")</f>
        <v/>
      </c>
    </row>
    <row r="67" ht="15" customHeight="1">
      <c r="A67" t="inlineStr">
        <is>
          <t>A 44547-2021</t>
        </is>
      </c>
      <c r="B67" s="1" t="n">
        <v>44435</v>
      </c>
      <c r="C67" s="1" t="n">
        <v>46097</v>
      </c>
      <c r="D67" t="inlineStr">
        <is>
          <t>KALMAR LÄN</t>
        </is>
      </c>
      <c r="E67" t="inlineStr">
        <is>
          <t>BORGHOLM</t>
        </is>
      </c>
      <c r="G67" t="n">
        <v>1.4</v>
      </c>
      <c r="H67" t="n">
        <v>0</v>
      </c>
      <c r="I67" t="n">
        <v>0</v>
      </c>
      <c r="J67" t="n">
        <v>0</v>
      </c>
      <c r="K67" t="n">
        <v>0</v>
      </c>
      <c r="L67" t="n">
        <v>0</v>
      </c>
      <c r="M67" t="n">
        <v>0</v>
      </c>
      <c r="N67" t="n">
        <v>0</v>
      </c>
      <c r="O67" t="n">
        <v>0</v>
      </c>
      <c r="P67" t="n">
        <v>0</v>
      </c>
      <c r="Q67" t="n">
        <v>0</v>
      </c>
      <c r="R67" s="2" t="inlineStr"/>
    </row>
    <row r="68" ht="15" customHeight="1">
      <c r="A68" t="inlineStr">
        <is>
          <t>A 4165-2023</t>
        </is>
      </c>
      <c r="B68" s="1" t="n">
        <v>44953</v>
      </c>
      <c r="C68" s="1" t="n">
        <v>46097</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46097</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46097</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20878-2024</t>
        </is>
      </c>
      <c r="B71" s="1" t="n">
        <v>45439.44748842593</v>
      </c>
      <c r="C71" s="1" t="n">
        <v>46097</v>
      </c>
      <c r="D71" t="inlineStr">
        <is>
          <t>KALMAR LÄN</t>
        </is>
      </c>
      <c r="E71" t="inlineStr">
        <is>
          <t>BORGHOLM</t>
        </is>
      </c>
      <c r="G71" t="n">
        <v>1.9</v>
      </c>
      <c r="H71" t="n">
        <v>0</v>
      </c>
      <c r="I71" t="n">
        <v>0</v>
      </c>
      <c r="J71" t="n">
        <v>0</v>
      </c>
      <c r="K71" t="n">
        <v>0</v>
      </c>
      <c r="L71" t="n">
        <v>0</v>
      </c>
      <c r="M71" t="n">
        <v>0</v>
      </c>
      <c r="N71" t="n">
        <v>0</v>
      </c>
      <c r="O71" t="n">
        <v>0</v>
      </c>
      <c r="P71" t="n">
        <v>0</v>
      </c>
      <c r="Q71" t="n">
        <v>0</v>
      </c>
      <c r="R71" s="2" t="inlineStr"/>
    </row>
    <row r="72" ht="15" customHeight="1">
      <c r="A72" t="inlineStr">
        <is>
          <t>A 13548-2025</t>
        </is>
      </c>
      <c r="B72" s="1" t="n">
        <v>45736.53827546296</v>
      </c>
      <c r="C72" s="1" t="n">
        <v>46097</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32921-2023</t>
        </is>
      </c>
      <c r="B73" s="1" t="n">
        <v>45125</v>
      </c>
      <c r="C73" s="1" t="n">
        <v>46097</v>
      </c>
      <c r="D73" t="inlineStr">
        <is>
          <t>KALMAR LÄN</t>
        </is>
      </c>
      <c r="E73" t="inlineStr">
        <is>
          <t>BORGHOLM</t>
        </is>
      </c>
      <c r="G73" t="n">
        <v>2.9</v>
      </c>
      <c r="H73" t="n">
        <v>0</v>
      </c>
      <c r="I73" t="n">
        <v>0</v>
      </c>
      <c r="J73" t="n">
        <v>0</v>
      </c>
      <c r="K73" t="n">
        <v>0</v>
      </c>
      <c r="L73" t="n">
        <v>0</v>
      </c>
      <c r="M73" t="n">
        <v>0</v>
      </c>
      <c r="N73" t="n">
        <v>0</v>
      </c>
      <c r="O73" t="n">
        <v>0</v>
      </c>
      <c r="P73" t="n">
        <v>0</v>
      </c>
      <c r="Q73" t="n">
        <v>0</v>
      </c>
      <c r="R73" s="2" t="inlineStr"/>
    </row>
    <row r="74" ht="15" customHeight="1">
      <c r="A74" t="inlineStr">
        <is>
          <t>A 4159-2024</t>
        </is>
      </c>
      <c r="B74" s="1" t="n">
        <v>45323</v>
      </c>
      <c r="C74" s="1" t="n">
        <v>46097</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31840-2021</t>
        </is>
      </c>
      <c r="B75" s="1" t="n">
        <v>44370</v>
      </c>
      <c r="C75" s="1" t="n">
        <v>46097</v>
      </c>
      <c r="D75" t="inlineStr">
        <is>
          <t>KALMAR LÄN</t>
        </is>
      </c>
      <c r="E75" t="inlineStr">
        <is>
          <t>BORGHOLM</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1757-2025</t>
        </is>
      </c>
      <c r="B76" s="1" t="n">
        <v>45671.42195601852</v>
      </c>
      <c r="C76" s="1" t="n">
        <v>46097</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17699-2025</t>
        </is>
      </c>
      <c r="B77" s="1" t="n">
        <v>45758.41846064815</v>
      </c>
      <c r="C77" s="1" t="n">
        <v>46097</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7669-2024</t>
        </is>
      </c>
      <c r="B78" s="1" t="n">
        <v>45348.82498842593</v>
      </c>
      <c r="C78" s="1" t="n">
        <v>46097</v>
      </c>
      <c r="D78" t="inlineStr">
        <is>
          <t>KALMAR LÄN</t>
        </is>
      </c>
      <c r="E78" t="inlineStr">
        <is>
          <t>BORGHOLM</t>
        </is>
      </c>
      <c r="G78" t="n">
        <v>2.3</v>
      </c>
      <c r="H78" t="n">
        <v>0</v>
      </c>
      <c r="I78" t="n">
        <v>0</v>
      </c>
      <c r="J78" t="n">
        <v>0</v>
      </c>
      <c r="K78" t="n">
        <v>0</v>
      </c>
      <c r="L78" t="n">
        <v>0</v>
      </c>
      <c r="M78" t="n">
        <v>0</v>
      </c>
      <c r="N78" t="n">
        <v>0</v>
      </c>
      <c r="O78" t="n">
        <v>0</v>
      </c>
      <c r="P78" t="n">
        <v>0</v>
      </c>
      <c r="Q78" t="n">
        <v>0</v>
      </c>
      <c r="R78" s="2" t="inlineStr"/>
    </row>
    <row r="79" ht="15" customHeight="1">
      <c r="A79" t="inlineStr">
        <is>
          <t>A 34780-2022</t>
        </is>
      </c>
      <c r="B79" s="1" t="n">
        <v>44795</v>
      </c>
      <c r="C79" s="1" t="n">
        <v>46097</v>
      </c>
      <c r="D79" t="inlineStr">
        <is>
          <t>KALMAR LÄN</t>
        </is>
      </c>
      <c r="E79" t="inlineStr">
        <is>
          <t>BORGHOLM</t>
        </is>
      </c>
      <c r="F79" t="inlineStr">
        <is>
          <t>Sveaskog</t>
        </is>
      </c>
      <c r="G79" t="n">
        <v>6.7</v>
      </c>
      <c r="H79" t="n">
        <v>0</v>
      </c>
      <c r="I79" t="n">
        <v>0</v>
      </c>
      <c r="J79" t="n">
        <v>0</v>
      </c>
      <c r="K79" t="n">
        <v>0</v>
      </c>
      <c r="L79" t="n">
        <v>0</v>
      </c>
      <c r="M79" t="n">
        <v>0</v>
      </c>
      <c r="N79" t="n">
        <v>0</v>
      </c>
      <c r="O79" t="n">
        <v>0</v>
      </c>
      <c r="P79" t="n">
        <v>0</v>
      </c>
      <c r="Q79" t="n">
        <v>0</v>
      </c>
      <c r="R79" s="2" t="inlineStr"/>
    </row>
    <row r="80" ht="15" customHeight="1">
      <c r="A80" t="inlineStr">
        <is>
          <t>A 44678-2022</t>
        </is>
      </c>
      <c r="B80" s="1" t="n">
        <v>44840.65100694444</v>
      </c>
      <c r="C80" s="1" t="n">
        <v>46097</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55367-2024</t>
        </is>
      </c>
      <c r="B81" s="1" t="n">
        <v>45621.87075231481</v>
      </c>
      <c r="C81" s="1" t="n">
        <v>46097</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46097</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46097</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3878-2023</t>
        </is>
      </c>
      <c r="B84" s="1" t="n">
        <v>44951</v>
      </c>
      <c r="C84" s="1" t="n">
        <v>46097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46097</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9050-2025</t>
        </is>
      </c>
      <c r="B86" s="1" t="n">
        <v>45713.63512731482</v>
      </c>
      <c r="C86" s="1" t="n">
        <v>46097</v>
      </c>
      <c r="D86" t="inlineStr">
        <is>
          <t>KALMAR LÄN</t>
        </is>
      </c>
      <c r="E86" t="inlineStr">
        <is>
          <t>BORGHOLM</t>
        </is>
      </c>
      <c r="F86" t="inlineStr">
        <is>
          <t>Sveaskog</t>
        </is>
      </c>
      <c r="G86" t="n">
        <v>2.5</v>
      </c>
      <c r="H86" t="n">
        <v>0</v>
      </c>
      <c r="I86" t="n">
        <v>0</v>
      </c>
      <c r="J86" t="n">
        <v>0</v>
      </c>
      <c r="K86" t="n">
        <v>0</v>
      </c>
      <c r="L86" t="n">
        <v>0</v>
      </c>
      <c r="M86" t="n">
        <v>0</v>
      </c>
      <c r="N86" t="n">
        <v>0</v>
      </c>
      <c r="O86" t="n">
        <v>0</v>
      </c>
      <c r="P86" t="n">
        <v>0</v>
      </c>
      <c r="Q86" t="n">
        <v>0</v>
      </c>
      <c r="R86" s="2" t="inlineStr"/>
    </row>
    <row r="87" ht="15" customHeight="1">
      <c r="A87" t="inlineStr">
        <is>
          <t>A 19867-2024</t>
        </is>
      </c>
      <c r="B87" s="1" t="n">
        <v>45433</v>
      </c>
      <c r="C87" s="1" t="n">
        <v>46097</v>
      </c>
      <c r="D87" t="inlineStr">
        <is>
          <t>KALMAR LÄN</t>
        </is>
      </c>
      <c r="E87" t="inlineStr">
        <is>
          <t>BORGHOLM</t>
        </is>
      </c>
      <c r="G87" t="n">
        <v>3.9</v>
      </c>
      <c r="H87" t="n">
        <v>0</v>
      </c>
      <c r="I87" t="n">
        <v>0</v>
      </c>
      <c r="J87" t="n">
        <v>0</v>
      </c>
      <c r="K87" t="n">
        <v>0</v>
      </c>
      <c r="L87" t="n">
        <v>0</v>
      </c>
      <c r="M87" t="n">
        <v>0</v>
      </c>
      <c r="N87" t="n">
        <v>0</v>
      </c>
      <c r="O87" t="n">
        <v>0</v>
      </c>
      <c r="P87" t="n">
        <v>0</v>
      </c>
      <c r="Q87" t="n">
        <v>0</v>
      </c>
      <c r="R87" s="2" t="inlineStr"/>
    </row>
    <row r="88" ht="15" customHeight="1">
      <c r="A88" t="inlineStr">
        <is>
          <t>A 26160-2025</t>
        </is>
      </c>
      <c r="B88" s="1" t="n">
        <v>45805.4490162037</v>
      </c>
      <c r="C88" s="1" t="n">
        <v>46097</v>
      </c>
      <c r="D88" t="inlineStr">
        <is>
          <t>KALMAR LÄN</t>
        </is>
      </c>
      <c r="E88" t="inlineStr">
        <is>
          <t>BORGHOLM</t>
        </is>
      </c>
      <c r="G88" t="n">
        <v>3.7</v>
      </c>
      <c r="H88" t="n">
        <v>0</v>
      </c>
      <c r="I88" t="n">
        <v>0</v>
      </c>
      <c r="J88" t="n">
        <v>0</v>
      </c>
      <c r="K88" t="n">
        <v>0</v>
      </c>
      <c r="L88" t="n">
        <v>0</v>
      </c>
      <c r="M88" t="n">
        <v>0</v>
      </c>
      <c r="N88" t="n">
        <v>0</v>
      </c>
      <c r="O88" t="n">
        <v>0</v>
      </c>
      <c r="P88" t="n">
        <v>0</v>
      </c>
      <c r="Q88" t="n">
        <v>0</v>
      </c>
      <c r="R88" s="2" t="inlineStr"/>
    </row>
    <row r="89" ht="15" customHeight="1">
      <c r="A89" t="inlineStr">
        <is>
          <t>A 26190-2025</t>
        </is>
      </c>
      <c r="B89" s="1" t="n">
        <v>45805.48349537037</v>
      </c>
      <c r="C89" s="1" t="n">
        <v>46097</v>
      </c>
      <c r="D89" t="inlineStr">
        <is>
          <t>KALMAR LÄN</t>
        </is>
      </c>
      <c r="E89" t="inlineStr">
        <is>
          <t>BORGHOLM</t>
        </is>
      </c>
      <c r="G89" t="n">
        <v>3.2</v>
      </c>
      <c r="H89" t="n">
        <v>0</v>
      </c>
      <c r="I89" t="n">
        <v>0</v>
      </c>
      <c r="J89" t="n">
        <v>0</v>
      </c>
      <c r="K89" t="n">
        <v>0</v>
      </c>
      <c r="L89" t="n">
        <v>0</v>
      </c>
      <c r="M89" t="n">
        <v>0</v>
      </c>
      <c r="N89" t="n">
        <v>0</v>
      </c>
      <c r="O89" t="n">
        <v>0</v>
      </c>
      <c r="P89" t="n">
        <v>0</v>
      </c>
      <c r="Q89" t="n">
        <v>0</v>
      </c>
      <c r="R89" s="2" t="inlineStr"/>
    </row>
    <row r="90" ht="15" customHeight="1">
      <c r="A90" t="inlineStr">
        <is>
          <t>A 13383-2023</t>
        </is>
      </c>
      <c r="B90" s="1" t="n">
        <v>45005</v>
      </c>
      <c r="C90" s="1" t="n">
        <v>46097</v>
      </c>
      <c r="D90" t="inlineStr">
        <is>
          <t>KALMAR LÄN</t>
        </is>
      </c>
      <c r="E90" t="inlineStr">
        <is>
          <t>BORGHOLM</t>
        </is>
      </c>
      <c r="G90" t="n">
        <v>0.8</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46097</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32919-2023</t>
        </is>
      </c>
      <c r="B92" s="1" t="n">
        <v>45125</v>
      </c>
      <c r="C92" s="1" t="n">
        <v>46097</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27366-2025</t>
        </is>
      </c>
      <c r="B93" s="1" t="n">
        <v>45812.64475694444</v>
      </c>
      <c r="C93" s="1" t="n">
        <v>46097</v>
      </c>
      <c r="D93" t="inlineStr">
        <is>
          <t>KALMAR LÄN</t>
        </is>
      </c>
      <c r="E93" t="inlineStr">
        <is>
          <t>BORGHOLM</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13043-2024</t>
        </is>
      </c>
      <c r="B94" s="1" t="n">
        <v>45385.60111111111</v>
      </c>
      <c r="C94" s="1" t="n">
        <v>46097</v>
      </c>
      <c r="D94" t="inlineStr">
        <is>
          <t>KALMAR LÄN</t>
        </is>
      </c>
      <c r="E94" t="inlineStr">
        <is>
          <t>BORGHOLM</t>
        </is>
      </c>
      <c r="G94" t="n">
        <v>0.4</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46097</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17978-2021</t>
        </is>
      </c>
      <c r="B96" s="1" t="n">
        <v>44301</v>
      </c>
      <c r="C96" s="1" t="n">
        <v>46097</v>
      </c>
      <c r="D96" t="inlineStr">
        <is>
          <t>KALMAR LÄN</t>
        </is>
      </c>
      <c r="E96" t="inlineStr">
        <is>
          <t>BORGHOLM</t>
        </is>
      </c>
      <c r="G96" t="n">
        <v>6</v>
      </c>
      <c r="H96" t="n">
        <v>0</v>
      </c>
      <c r="I96" t="n">
        <v>0</v>
      </c>
      <c r="J96" t="n">
        <v>0</v>
      </c>
      <c r="K96" t="n">
        <v>0</v>
      </c>
      <c r="L96" t="n">
        <v>0</v>
      </c>
      <c r="M96" t="n">
        <v>0</v>
      </c>
      <c r="N96" t="n">
        <v>0</v>
      </c>
      <c r="O96" t="n">
        <v>0</v>
      </c>
      <c r="P96" t="n">
        <v>0</v>
      </c>
      <c r="Q96" t="n">
        <v>0</v>
      </c>
      <c r="R96" s="2" t="inlineStr"/>
    </row>
    <row r="97" ht="15" customHeight="1">
      <c r="A97" t="inlineStr">
        <is>
          <t>A 21908-2022</t>
        </is>
      </c>
      <c r="B97" s="1" t="n">
        <v>44711</v>
      </c>
      <c r="C97" s="1" t="n">
        <v>46097</v>
      </c>
      <c r="D97" t="inlineStr">
        <is>
          <t>KALMAR LÄN</t>
        </is>
      </c>
      <c r="E97" t="inlineStr">
        <is>
          <t>BORGHOLM</t>
        </is>
      </c>
      <c r="G97" t="n">
        <v>4.7</v>
      </c>
      <c r="H97" t="n">
        <v>0</v>
      </c>
      <c r="I97" t="n">
        <v>0</v>
      </c>
      <c r="J97" t="n">
        <v>0</v>
      </c>
      <c r="K97" t="n">
        <v>0</v>
      </c>
      <c r="L97" t="n">
        <v>0</v>
      </c>
      <c r="M97" t="n">
        <v>0</v>
      </c>
      <c r="N97" t="n">
        <v>0</v>
      </c>
      <c r="O97" t="n">
        <v>0</v>
      </c>
      <c r="P97" t="n">
        <v>0</v>
      </c>
      <c r="Q97" t="n">
        <v>0</v>
      </c>
      <c r="R97" s="2" t="inlineStr"/>
    </row>
    <row r="98" ht="15" customHeight="1">
      <c r="A98" t="inlineStr">
        <is>
          <t>A 22785-2025</t>
        </is>
      </c>
      <c r="B98" s="1" t="n">
        <v>45789.64186342592</v>
      </c>
      <c r="C98" s="1" t="n">
        <v>46097</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34951-2022</t>
        </is>
      </c>
      <c r="B99" s="1" t="n">
        <v>44796</v>
      </c>
      <c r="C99" s="1" t="n">
        <v>46097</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9034-2025</t>
        </is>
      </c>
      <c r="B100" s="1" t="n">
        <v>45713</v>
      </c>
      <c r="C100" s="1" t="n">
        <v>46097</v>
      </c>
      <c r="D100" t="inlineStr">
        <is>
          <t>KALMAR LÄN</t>
        </is>
      </c>
      <c r="E100" t="inlineStr">
        <is>
          <t>BORGHOLM</t>
        </is>
      </c>
      <c r="F100" t="inlineStr">
        <is>
          <t>Sveaskog</t>
        </is>
      </c>
      <c r="G100" t="n">
        <v>6.8</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46097</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46097</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46097</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46097</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46097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36269-2025</t>
        </is>
      </c>
      <c r="B106" s="1" t="n">
        <v>45867.61736111111</v>
      </c>
      <c r="C106" s="1" t="n">
        <v>46097</v>
      </c>
      <c r="D106" t="inlineStr">
        <is>
          <t>KALMAR LÄN</t>
        </is>
      </c>
      <c r="E106" t="inlineStr">
        <is>
          <t>BORGHOLM</t>
        </is>
      </c>
      <c r="F106" t="inlineStr">
        <is>
          <t>Sveaskog</t>
        </is>
      </c>
      <c r="G106" t="n">
        <v>3.3</v>
      </c>
      <c r="H106" t="n">
        <v>0</v>
      </c>
      <c r="I106" t="n">
        <v>0</v>
      </c>
      <c r="J106" t="n">
        <v>0</v>
      </c>
      <c r="K106" t="n">
        <v>0</v>
      </c>
      <c r="L106" t="n">
        <v>0</v>
      </c>
      <c r="M106" t="n">
        <v>0</v>
      </c>
      <c r="N106" t="n">
        <v>0</v>
      </c>
      <c r="O106" t="n">
        <v>0</v>
      </c>
      <c r="P106" t="n">
        <v>0</v>
      </c>
      <c r="Q106" t="n">
        <v>0</v>
      </c>
      <c r="R106" s="2" t="inlineStr"/>
    </row>
    <row r="107" ht="15" customHeight="1">
      <c r="A107" t="inlineStr">
        <is>
          <t>A 7960-2023</t>
        </is>
      </c>
      <c r="B107" s="1" t="n">
        <v>44973</v>
      </c>
      <c r="C107" s="1" t="n">
        <v>46097</v>
      </c>
      <c r="D107" t="inlineStr">
        <is>
          <t>KALMAR LÄN</t>
        </is>
      </c>
      <c r="E107" t="inlineStr">
        <is>
          <t>BORGHOLM</t>
        </is>
      </c>
      <c r="G107" t="n">
        <v>2.1</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46097</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46097</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41831-2025</t>
        </is>
      </c>
      <c r="B110" s="1" t="n">
        <v>45902.67887731481</v>
      </c>
      <c r="C110" s="1" t="n">
        <v>46097</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42232-2025</t>
        </is>
      </c>
      <c r="B111" s="1" t="n">
        <v>45904.55591435185</v>
      </c>
      <c r="C111" s="1" t="n">
        <v>46097</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41950-2025</t>
        </is>
      </c>
      <c r="B112" s="1" t="n">
        <v>45903.45767361111</v>
      </c>
      <c r="C112" s="1" t="n">
        <v>46097</v>
      </c>
      <c r="D112" t="inlineStr">
        <is>
          <t>KALMAR LÄN</t>
        </is>
      </c>
      <c r="E112" t="inlineStr">
        <is>
          <t>BORGHOLM</t>
        </is>
      </c>
      <c r="G112" t="n">
        <v>1.8</v>
      </c>
      <c r="H112" t="n">
        <v>0</v>
      </c>
      <c r="I112" t="n">
        <v>0</v>
      </c>
      <c r="J112" t="n">
        <v>0</v>
      </c>
      <c r="K112" t="n">
        <v>0</v>
      </c>
      <c r="L112" t="n">
        <v>0</v>
      </c>
      <c r="M112" t="n">
        <v>0</v>
      </c>
      <c r="N112" t="n">
        <v>0</v>
      </c>
      <c r="O112" t="n">
        <v>0</v>
      </c>
      <c r="P112" t="n">
        <v>0</v>
      </c>
      <c r="Q112" t="n">
        <v>0</v>
      </c>
      <c r="R112" s="2" t="inlineStr"/>
    </row>
    <row r="113" ht="15" customHeight="1">
      <c r="A113" t="inlineStr">
        <is>
          <t>A 1614-2025</t>
        </is>
      </c>
      <c r="B113" s="1" t="n">
        <v>45670.60094907408</v>
      </c>
      <c r="C113" s="1" t="n">
        <v>46097</v>
      </c>
      <c r="D113" t="inlineStr">
        <is>
          <t>KALMAR LÄN</t>
        </is>
      </c>
      <c r="E113" t="inlineStr">
        <is>
          <t>BORGHOLM</t>
        </is>
      </c>
      <c r="G113" t="n">
        <v>1.4</v>
      </c>
      <c r="H113" t="n">
        <v>0</v>
      </c>
      <c r="I113" t="n">
        <v>0</v>
      </c>
      <c r="J113" t="n">
        <v>0</v>
      </c>
      <c r="K113" t="n">
        <v>0</v>
      </c>
      <c r="L113" t="n">
        <v>0</v>
      </c>
      <c r="M113" t="n">
        <v>0</v>
      </c>
      <c r="N113" t="n">
        <v>0</v>
      </c>
      <c r="O113" t="n">
        <v>0</v>
      </c>
      <c r="P113" t="n">
        <v>0</v>
      </c>
      <c r="Q113" t="n">
        <v>0</v>
      </c>
      <c r="R113" s="2" t="inlineStr"/>
    </row>
    <row r="114" ht="15" customHeight="1">
      <c r="A114" t="inlineStr">
        <is>
          <t>A 43542-2025</t>
        </is>
      </c>
      <c r="B114" s="1" t="n">
        <v>45911.61123842592</v>
      </c>
      <c r="C114" s="1" t="n">
        <v>46097</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45734-2025</t>
        </is>
      </c>
      <c r="B115" s="1" t="n">
        <v>45923.46512731481</v>
      </c>
      <c r="C115" s="1" t="n">
        <v>46097</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45869-2025</t>
        </is>
      </c>
      <c r="B116" s="1" t="n">
        <v>45923.65313657407</v>
      </c>
      <c r="C116" s="1" t="n">
        <v>46097</v>
      </c>
      <c r="D116" t="inlineStr">
        <is>
          <t>KALMAR LÄN</t>
        </is>
      </c>
      <c r="E116" t="inlineStr">
        <is>
          <t>BORGHOLM</t>
        </is>
      </c>
      <c r="G116" t="n">
        <v>4.5</v>
      </c>
      <c r="H116" t="n">
        <v>0</v>
      </c>
      <c r="I116" t="n">
        <v>0</v>
      </c>
      <c r="J116" t="n">
        <v>0</v>
      </c>
      <c r="K116" t="n">
        <v>0</v>
      </c>
      <c r="L116" t="n">
        <v>0</v>
      </c>
      <c r="M116" t="n">
        <v>0</v>
      </c>
      <c r="N116" t="n">
        <v>0</v>
      </c>
      <c r="O116" t="n">
        <v>0</v>
      </c>
      <c r="P116" t="n">
        <v>0</v>
      </c>
      <c r="Q116" t="n">
        <v>0</v>
      </c>
      <c r="R116" s="2" t="inlineStr"/>
    </row>
    <row r="117" ht="15" customHeight="1">
      <c r="A117" t="inlineStr">
        <is>
          <t>A 46845-2025</t>
        </is>
      </c>
      <c r="B117" s="1" t="n">
        <v>45928</v>
      </c>
      <c r="C117" s="1" t="n">
        <v>46097</v>
      </c>
      <c r="D117" t="inlineStr">
        <is>
          <t>KALMAR LÄN</t>
        </is>
      </c>
      <c r="E117" t="inlineStr">
        <is>
          <t>BORGHOLM</t>
        </is>
      </c>
      <c r="G117" t="n">
        <v>2.7</v>
      </c>
      <c r="H117" t="n">
        <v>0</v>
      </c>
      <c r="I117" t="n">
        <v>0</v>
      </c>
      <c r="J117" t="n">
        <v>0</v>
      </c>
      <c r="K117" t="n">
        <v>0</v>
      </c>
      <c r="L117" t="n">
        <v>0</v>
      </c>
      <c r="M117" t="n">
        <v>0</v>
      </c>
      <c r="N117" t="n">
        <v>0</v>
      </c>
      <c r="O117" t="n">
        <v>0</v>
      </c>
      <c r="P117" t="n">
        <v>0</v>
      </c>
      <c r="Q117" t="n">
        <v>0</v>
      </c>
      <c r="R117" s="2" t="inlineStr"/>
    </row>
    <row r="118" ht="15" customHeight="1">
      <c r="A118" t="inlineStr">
        <is>
          <t>A 60141-2025</t>
        </is>
      </c>
      <c r="B118" s="1" t="n">
        <v>45994.36873842592</v>
      </c>
      <c r="C118" s="1" t="n">
        <v>46097</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61723-2025</t>
        </is>
      </c>
      <c r="B119" s="1" t="n">
        <v>46002.58388888889</v>
      </c>
      <c r="C119" s="1" t="n">
        <v>46097</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7481-2026</t>
        </is>
      </c>
      <c r="B120" s="1" t="n">
        <v>46059.51359953704</v>
      </c>
      <c r="C120" s="1" t="n">
        <v>46097</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9259-2026</t>
        </is>
      </c>
      <c r="B121" s="1" t="n">
        <v>46070.51917824074</v>
      </c>
      <c r="C121" s="1" t="n">
        <v>46097</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ht="15" customHeight="1">
      <c r="A122" t="inlineStr">
        <is>
          <t>A 9104-2026</t>
        </is>
      </c>
      <c r="B122" s="1" t="n">
        <v>46069</v>
      </c>
      <c r="C122" s="1" t="n">
        <v>46097</v>
      </c>
      <c r="D122" t="inlineStr">
        <is>
          <t>KALMAR LÄN</t>
        </is>
      </c>
      <c r="E122" t="inlineStr">
        <is>
          <t>BORGHOLM</t>
        </is>
      </c>
      <c r="G122" t="n">
        <v>1.3</v>
      </c>
      <c r="H122" t="n">
        <v>0</v>
      </c>
      <c r="I122" t="n">
        <v>0</v>
      </c>
      <c r="J122" t="n">
        <v>0</v>
      </c>
      <c r="K122" t="n">
        <v>0</v>
      </c>
      <c r="L122" t="n">
        <v>0</v>
      </c>
      <c r="M122" t="n">
        <v>0</v>
      </c>
      <c r="N122" t="n">
        <v>0</v>
      </c>
      <c r="O122" t="n">
        <v>0</v>
      </c>
      <c r="P122" t="n">
        <v>0</v>
      </c>
      <c r="Q122" t="n">
        <v>0</v>
      </c>
      <c r="R122" s="2" t="inlineStr"/>
    </row>
    <row r="123">
      <c r="A123" t="inlineStr">
        <is>
          <t>A 9905-2026</t>
        </is>
      </c>
      <c r="B123" s="1" t="n">
        <v>46073.4108912037</v>
      </c>
      <c r="C123" s="1" t="n">
        <v>46097</v>
      </c>
      <c r="D123" t="inlineStr">
        <is>
          <t>KALMAR LÄN</t>
        </is>
      </c>
      <c r="E123" t="inlineStr">
        <is>
          <t>BORGHOLM</t>
        </is>
      </c>
      <c r="G123" t="n">
        <v>1.4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2026-03-16T11:20:15Z</dcterms:created>
  <dcterms:modified xmlns:dcterms="http://purl.org/dc/terms/" xmlns:xsi="http://www.w3.org/2001/XMLSchema-instance" xsi:type="dcterms:W3CDTF">2026-03-16T11:20:15Z</dcterms:modified>
</cp:coreProperties>
</file>