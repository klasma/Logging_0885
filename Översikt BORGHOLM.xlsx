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45997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45997</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45006-2025</t>
        </is>
      </c>
      <c r="B8" s="1" t="n">
        <v>45918</v>
      </c>
      <c r="C8" s="1" t="n">
        <v>45997</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45997</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45997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45997</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45997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45997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45997</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45997</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45997</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45997</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45997</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45997</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34944-2022</t>
        </is>
      </c>
      <c r="B21" s="1" t="n">
        <v>44796</v>
      </c>
      <c r="C21" s="1" t="n">
        <v>45997</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4164-2023</t>
        </is>
      </c>
      <c r="B22" s="1" t="n">
        <v>44953</v>
      </c>
      <c r="C22" s="1" t="n">
        <v>45997</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45997</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44008-2022</t>
        </is>
      </c>
      <c r="B24" s="1" t="n">
        <v>44838</v>
      </c>
      <c r="C24" s="1" t="n">
        <v>45997</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38860-2025</t>
        </is>
      </c>
      <c r="B25" s="1" t="n">
        <v>45887.5609375</v>
      </c>
      <c r="C25" s="1" t="n">
        <v>45997</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28779-2025</t>
        </is>
      </c>
      <c r="B26" s="1" t="n">
        <v>45820.44920138889</v>
      </c>
      <c r="C26" s="1" t="n">
        <v>45997</v>
      </c>
      <c r="D26" t="inlineStr">
        <is>
          <t>KALMAR LÄN</t>
        </is>
      </c>
      <c r="E26" t="inlineStr">
        <is>
          <t>BORGHOLM</t>
        </is>
      </c>
      <c r="F26" t="inlineStr">
        <is>
          <t>Sveaskog</t>
        </is>
      </c>
      <c r="G26" t="n">
        <v>4.1</v>
      </c>
      <c r="H26" t="n">
        <v>2</v>
      </c>
      <c r="I26" t="n">
        <v>1</v>
      </c>
      <c r="J26" t="n">
        <v>1</v>
      </c>
      <c r="K26" t="n">
        <v>0</v>
      </c>
      <c r="L26" t="n">
        <v>0</v>
      </c>
      <c r="M26" t="n">
        <v>0</v>
      </c>
      <c r="N26" t="n">
        <v>0</v>
      </c>
      <c r="O26" t="n">
        <v>1</v>
      </c>
      <c r="P26" t="n">
        <v>0</v>
      </c>
      <c r="Q26" t="n">
        <v>2</v>
      </c>
      <c r="R26" s="2" t="inlineStr">
        <is>
          <t>Havsörn
Skogsknipprot</t>
        </is>
      </c>
      <c r="S26">
        <f>HYPERLINK("https://klasma.github.io/Logging_0885/artfynd/A 28779-2025 artfynd.xlsx", "A 28779-2025")</f>
        <v/>
      </c>
      <c r="T26">
        <f>HYPERLINK("https://klasma.github.io/Logging_0885/kartor/A 28779-2025 karta.png", "A 28779-2025")</f>
        <v/>
      </c>
      <c r="V26">
        <f>HYPERLINK("https://klasma.github.io/Logging_0885/klagomål/A 28779-2025 FSC-klagomål.docx", "A 28779-2025")</f>
        <v/>
      </c>
      <c r="W26">
        <f>HYPERLINK("https://klasma.github.io/Logging_0885/klagomålsmail/A 28779-2025 FSC-klagomål mail.docx", "A 28779-2025")</f>
        <v/>
      </c>
      <c r="X26">
        <f>HYPERLINK("https://klasma.github.io/Logging_0885/tillsyn/A 28779-2025 tillsynsbegäran.docx", "A 28779-2025")</f>
        <v/>
      </c>
      <c r="Y26">
        <f>HYPERLINK("https://klasma.github.io/Logging_0885/tillsynsmail/A 28779-2025 tillsynsbegäran mail.docx", "A 28779-2025")</f>
        <v/>
      </c>
      <c r="Z26">
        <f>HYPERLINK("https://klasma.github.io/Logging_0885/fåglar/A 28779-2025 prioriterade fågelarter.docx", "A 28779-2025")</f>
        <v/>
      </c>
    </row>
    <row r="27" ht="15" customHeight="1">
      <c r="A27" t="inlineStr">
        <is>
          <t>A 60140-2025</t>
        </is>
      </c>
      <c r="B27" s="1" t="n">
        <v>45994.36274305556</v>
      </c>
      <c r="C27" s="1" t="n">
        <v>45997</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32174-2022</t>
        </is>
      </c>
      <c r="B28" s="1" t="n">
        <v>44781</v>
      </c>
      <c r="C28" s="1" t="n">
        <v>45997</v>
      </c>
      <c r="D28" t="inlineStr">
        <is>
          <t>KALMAR LÄN</t>
        </is>
      </c>
      <c r="E28" t="inlineStr">
        <is>
          <t>BORGHOLM</t>
        </is>
      </c>
      <c r="F28" t="inlineStr">
        <is>
          <t>Sveaskog</t>
        </is>
      </c>
      <c r="G28" t="n">
        <v>1.6</v>
      </c>
      <c r="H28" t="n">
        <v>1</v>
      </c>
      <c r="I28" t="n">
        <v>1</v>
      </c>
      <c r="J28" t="n">
        <v>1</v>
      </c>
      <c r="K28" t="n">
        <v>0</v>
      </c>
      <c r="L28" t="n">
        <v>0</v>
      </c>
      <c r="M28" t="n">
        <v>0</v>
      </c>
      <c r="N28" t="n">
        <v>0</v>
      </c>
      <c r="O28" t="n">
        <v>1</v>
      </c>
      <c r="P28" t="n">
        <v>0</v>
      </c>
      <c r="Q28" t="n">
        <v>2</v>
      </c>
      <c r="R28" s="2" t="inlineStr">
        <is>
          <t>Backklöver
Tvåblad</t>
        </is>
      </c>
      <c r="S28">
        <f>HYPERLINK("https://klasma.github.io/Logging_0885/artfynd/A 32174-2022 artfynd.xlsx", "A 32174-2022")</f>
        <v/>
      </c>
      <c r="T28">
        <f>HYPERLINK("https://klasma.github.io/Logging_0885/kartor/A 32174-2022 karta.png", "A 32174-2022")</f>
        <v/>
      </c>
      <c r="V28">
        <f>HYPERLINK("https://klasma.github.io/Logging_0885/klagomål/A 32174-2022 FSC-klagomål.docx", "A 32174-2022")</f>
        <v/>
      </c>
      <c r="W28">
        <f>HYPERLINK("https://klasma.github.io/Logging_0885/klagomålsmail/A 32174-2022 FSC-klagomål mail.docx", "A 32174-2022")</f>
        <v/>
      </c>
      <c r="X28">
        <f>HYPERLINK("https://klasma.github.io/Logging_0885/tillsyn/A 32174-2022 tillsynsbegäran.docx", "A 32174-2022")</f>
        <v/>
      </c>
      <c r="Y28">
        <f>HYPERLINK("https://klasma.github.io/Logging_0885/tillsynsmail/A 32174-2022 tillsynsbegäran mail.docx", "A 32174-2022")</f>
        <v/>
      </c>
    </row>
    <row r="29" ht="15" customHeight="1">
      <c r="A29" t="inlineStr">
        <is>
          <t>A 3871-2021</t>
        </is>
      </c>
      <c r="B29" s="1" t="n">
        <v>44222</v>
      </c>
      <c r="C29" s="1" t="n">
        <v>45997</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45997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66329-2020</t>
        </is>
      </c>
      <c r="B31" s="1" t="n">
        <v>44176</v>
      </c>
      <c r="C31" s="1" t="n">
        <v>45997</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31295-2022</t>
        </is>
      </c>
      <c r="B32" s="1" t="n">
        <v>44772</v>
      </c>
      <c r="C32" s="1" t="n">
        <v>45997</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24701-2023</t>
        </is>
      </c>
      <c r="B33" s="1" t="n">
        <v>45084</v>
      </c>
      <c r="C33" s="1" t="n">
        <v>45997</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14789-2021</t>
        </is>
      </c>
      <c r="B34" s="1" t="n">
        <v>44280</v>
      </c>
      <c r="C34" s="1" t="n">
        <v>45997</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9745-2023</t>
        </is>
      </c>
      <c r="B35" s="1" t="n">
        <v>44984</v>
      </c>
      <c r="C35" s="1" t="n">
        <v>45997</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43603-2024</t>
        </is>
      </c>
      <c r="B36" s="1" t="n">
        <v>45569.44700231482</v>
      </c>
      <c r="C36" s="1" t="n">
        <v>45997</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45997</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24048-2025</t>
        </is>
      </c>
      <c r="B38" s="1" t="n">
        <v>45796.4959375</v>
      </c>
      <c r="C38" s="1" t="n">
        <v>45997</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45997</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45693-2025</t>
        </is>
      </c>
      <c r="B40" s="1" t="n">
        <v>45923</v>
      </c>
      <c r="C40" s="1" t="n">
        <v>45997</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28785-2025</t>
        </is>
      </c>
      <c r="B41" s="1" t="n">
        <v>45820.46159722222</v>
      </c>
      <c r="C41" s="1" t="n">
        <v>45997</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45997</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45997</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12785-2021</t>
        </is>
      </c>
      <c r="B44" s="1" t="n">
        <v>44270</v>
      </c>
      <c r="C44" s="1" t="n">
        <v>45997</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13558-2025</t>
        </is>
      </c>
      <c r="B45" s="1" t="n">
        <v>45736.54974537037</v>
      </c>
      <c r="C45" s="1" t="n">
        <v>45997</v>
      </c>
      <c r="D45" t="inlineStr">
        <is>
          <t>KALMAR LÄN</t>
        </is>
      </c>
      <c r="E45" t="inlineStr">
        <is>
          <t>BORGHOLM</t>
        </is>
      </c>
      <c r="G45" t="n">
        <v>0.7</v>
      </c>
      <c r="H45" t="n">
        <v>0</v>
      </c>
      <c r="I45" t="n">
        <v>0</v>
      </c>
      <c r="J45" t="n">
        <v>1</v>
      </c>
      <c r="K45" t="n">
        <v>0</v>
      </c>
      <c r="L45" t="n">
        <v>0</v>
      </c>
      <c r="M45" t="n">
        <v>0</v>
      </c>
      <c r="N45" t="n">
        <v>0</v>
      </c>
      <c r="O45" t="n">
        <v>1</v>
      </c>
      <c r="P45" t="n">
        <v>0</v>
      </c>
      <c r="Q45" t="n">
        <v>1</v>
      </c>
      <c r="R45" s="2" t="inlineStr">
        <is>
          <t>Backruta</t>
        </is>
      </c>
      <c r="S45">
        <f>HYPERLINK("https://klasma.github.io/Logging_0885/artfynd/A 13558-2025 artfynd.xlsx", "A 13558-2025")</f>
        <v/>
      </c>
      <c r="T45">
        <f>HYPERLINK("https://klasma.github.io/Logging_0885/kartor/A 13558-2025 karta.png", "A 13558-2025")</f>
        <v/>
      </c>
      <c r="V45">
        <f>HYPERLINK("https://klasma.github.io/Logging_0885/klagomål/A 13558-2025 FSC-klagomål.docx", "A 13558-2025")</f>
        <v/>
      </c>
      <c r="W45">
        <f>HYPERLINK("https://klasma.github.io/Logging_0885/klagomålsmail/A 13558-2025 FSC-klagomål mail.docx", "A 13558-2025")</f>
        <v/>
      </c>
      <c r="X45">
        <f>HYPERLINK("https://klasma.github.io/Logging_0885/tillsyn/A 13558-2025 tillsynsbegäran.docx", "A 13558-2025")</f>
        <v/>
      </c>
      <c r="Y45">
        <f>HYPERLINK("https://klasma.github.io/Logging_0885/tillsynsmail/A 13558-2025 tillsynsbegäran mail.docx", "A 13558-2025")</f>
        <v/>
      </c>
    </row>
    <row r="46" ht="15" customHeight="1">
      <c r="A46" t="inlineStr">
        <is>
          <t>A 12711-2021</t>
        </is>
      </c>
      <c r="B46" s="1" t="n">
        <v>44270</v>
      </c>
      <c r="C46" s="1" t="n">
        <v>45997</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45997</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45997</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45997</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45997</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45997</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45997</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45997</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45997</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45997</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45997</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45997</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45997</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45997</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45997</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44678-2022</t>
        </is>
      </c>
      <c r="B61" s="1" t="n">
        <v>44840.65100694444</v>
      </c>
      <c r="C61" s="1" t="n">
        <v>45997</v>
      </c>
      <c r="D61" t="inlineStr">
        <is>
          <t>KALMAR LÄN</t>
        </is>
      </c>
      <c r="E61" t="inlineStr">
        <is>
          <t>BORGHOLM</t>
        </is>
      </c>
      <c r="G61" t="n">
        <v>2.4</v>
      </c>
      <c r="H61" t="n">
        <v>0</v>
      </c>
      <c r="I61" t="n">
        <v>0</v>
      </c>
      <c r="J61" t="n">
        <v>0</v>
      </c>
      <c r="K61" t="n">
        <v>0</v>
      </c>
      <c r="L61" t="n">
        <v>0</v>
      </c>
      <c r="M61" t="n">
        <v>0</v>
      </c>
      <c r="N61" t="n">
        <v>0</v>
      </c>
      <c r="O61" t="n">
        <v>0</v>
      </c>
      <c r="P61" t="n">
        <v>0</v>
      </c>
      <c r="Q61" t="n">
        <v>0</v>
      </c>
      <c r="R61" s="2" t="inlineStr"/>
    </row>
    <row r="62" ht="15" customHeight="1">
      <c r="A62" t="inlineStr">
        <is>
          <t>A 31699-2022</t>
        </is>
      </c>
      <c r="B62" s="1" t="n">
        <v>44776</v>
      </c>
      <c r="C62" s="1" t="n">
        <v>45997</v>
      </c>
      <c r="D62" t="inlineStr">
        <is>
          <t>KALMAR LÄN</t>
        </is>
      </c>
      <c r="E62" t="inlineStr">
        <is>
          <t>BORGHOLM</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45997</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45997</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64303-2023</t>
        </is>
      </c>
      <c r="B65" s="1" t="n">
        <v>45280</v>
      </c>
      <c r="C65" s="1" t="n">
        <v>45997</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44547-2021</t>
        </is>
      </c>
      <c r="B66" s="1" t="n">
        <v>44435</v>
      </c>
      <c r="C66" s="1" t="n">
        <v>45997</v>
      </c>
      <c r="D66" t="inlineStr">
        <is>
          <t>KALMAR LÄN</t>
        </is>
      </c>
      <c r="E66" t="inlineStr">
        <is>
          <t>BORGHOLM</t>
        </is>
      </c>
      <c r="G66" t="n">
        <v>1.4</v>
      </c>
      <c r="H66" t="n">
        <v>0</v>
      </c>
      <c r="I66" t="n">
        <v>0</v>
      </c>
      <c r="J66" t="n">
        <v>0</v>
      </c>
      <c r="K66" t="n">
        <v>0</v>
      </c>
      <c r="L66" t="n">
        <v>0</v>
      </c>
      <c r="M66" t="n">
        <v>0</v>
      </c>
      <c r="N66" t="n">
        <v>0</v>
      </c>
      <c r="O66" t="n">
        <v>0</v>
      </c>
      <c r="P66" t="n">
        <v>0</v>
      </c>
      <c r="Q66" t="n">
        <v>0</v>
      </c>
      <c r="R66" s="2" t="inlineStr"/>
    </row>
    <row r="67" ht="15" customHeight="1">
      <c r="A67" t="inlineStr">
        <is>
          <t>A 63075-2023</t>
        </is>
      </c>
      <c r="B67" s="1" t="n">
        <v>45273</v>
      </c>
      <c r="C67" s="1" t="n">
        <v>45997</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50129-2021</t>
        </is>
      </c>
      <c r="B68" s="1" t="n">
        <v>44456</v>
      </c>
      <c r="C68" s="1" t="n">
        <v>45997</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3878-2023</t>
        </is>
      </c>
      <c r="B69" s="1" t="n">
        <v>44951</v>
      </c>
      <c r="C69" s="1" t="n">
        <v>45997</v>
      </c>
      <c r="D69" t="inlineStr">
        <is>
          <t>KALMAR LÄN</t>
        </is>
      </c>
      <c r="E69" t="inlineStr">
        <is>
          <t>BORGHOLM</t>
        </is>
      </c>
      <c r="G69" t="n">
        <v>1.7</v>
      </c>
      <c r="H69" t="n">
        <v>0</v>
      </c>
      <c r="I69" t="n">
        <v>0</v>
      </c>
      <c r="J69" t="n">
        <v>0</v>
      </c>
      <c r="K69" t="n">
        <v>0</v>
      </c>
      <c r="L69" t="n">
        <v>0</v>
      </c>
      <c r="M69" t="n">
        <v>0</v>
      </c>
      <c r="N69" t="n">
        <v>0</v>
      </c>
      <c r="O69" t="n">
        <v>0</v>
      </c>
      <c r="P69" t="n">
        <v>0</v>
      </c>
      <c r="Q69" t="n">
        <v>0</v>
      </c>
      <c r="R69" s="2" t="inlineStr"/>
    </row>
    <row r="70" ht="15" customHeight="1">
      <c r="A70" t="inlineStr">
        <is>
          <t>A 20878-2024</t>
        </is>
      </c>
      <c r="B70" s="1" t="n">
        <v>45439.44748842593</v>
      </c>
      <c r="C70" s="1" t="n">
        <v>45997</v>
      </c>
      <c r="D70" t="inlineStr">
        <is>
          <t>KALMAR LÄN</t>
        </is>
      </c>
      <c r="E70" t="inlineStr">
        <is>
          <t>BORGHOLM</t>
        </is>
      </c>
      <c r="G70" t="n">
        <v>1.9</v>
      </c>
      <c r="H70" t="n">
        <v>0</v>
      </c>
      <c r="I70" t="n">
        <v>0</v>
      </c>
      <c r="J70" t="n">
        <v>0</v>
      </c>
      <c r="K70" t="n">
        <v>0</v>
      </c>
      <c r="L70" t="n">
        <v>0</v>
      </c>
      <c r="M70" t="n">
        <v>0</v>
      </c>
      <c r="N70" t="n">
        <v>0</v>
      </c>
      <c r="O70" t="n">
        <v>0</v>
      </c>
      <c r="P70" t="n">
        <v>0</v>
      </c>
      <c r="Q70" t="n">
        <v>0</v>
      </c>
      <c r="R70" s="2" t="inlineStr"/>
    </row>
    <row r="71" ht="15" customHeight="1">
      <c r="A71" t="inlineStr">
        <is>
          <t>A 1757-2025</t>
        </is>
      </c>
      <c r="B71" s="1" t="n">
        <v>45671.42195601852</v>
      </c>
      <c r="C71" s="1" t="n">
        <v>45997</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19867-2024</t>
        </is>
      </c>
      <c r="B72" s="1" t="n">
        <v>45433</v>
      </c>
      <c r="C72" s="1" t="n">
        <v>45997</v>
      </c>
      <c r="D72" t="inlineStr">
        <is>
          <t>KALMAR LÄN</t>
        </is>
      </c>
      <c r="E72" t="inlineStr">
        <is>
          <t>BORGHOLM</t>
        </is>
      </c>
      <c r="G72" t="n">
        <v>3.9</v>
      </c>
      <c r="H72" t="n">
        <v>0</v>
      </c>
      <c r="I72" t="n">
        <v>0</v>
      </c>
      <c r="J72" t="n">
        <v>0</v>
      </c>
      <c r="K72" t="n">
        <v>0</v>
      </c>
      <c r="L72" t="n">
        <v>0</v>
      </c>
      <c r="M72" t="n">
        <v>0</v>
      </c>
      <c r="N72" t="n">
        <v>0</v>
      </c>
      <c r="O72" t="n">
        <v>0</v>
      </c>
      <c r="P72" t="n">
        <v>0</v>
      </c>
      <c r="Q72" t="n">
        <v>0</v>
      </c>
      <c r="R72" s="2" t="inlineStr"/>
    </row>
    <row r="73" ht="15" customHeight="1">
      <c r="A73" t="inlineStr">
        <is>
          <t>A 13383-2023</t>
        </is>
      </c>
      <c r="B73" s="1" t="n">
        <v>45005</v>
      </c>
      <c r="C73" s="1" t="n">
        <v>45997</v>
      </c>
      <c r="D73" t="inlineStr">
        <is>
          <t>KALMAR LÄN</t>
        </is>
      </c>
      <c r="E73" t="inlineStr">
        <is>
          <t>BORGHOLM</t>
        </is>
      </c>
      <c r="G73" t="n">
        <v>0.8</v>
      </c>
      <c r="H73" t="n">
        <v>0</v>
      </c>
      <c r="I73" t="n">
        <v>0</v>
      </c>
      <c r="J73" t="n">
        <v>0</v>
      </c>
      <c r="K73" t="n">
        <v>0</v>
      </c>
      <c r="L73" t="n">
        <v>0</v>
      </c>
      <c r="M73" t="n">
        <v>0</v>
      </c>
      <c r="N73" t="n">
        <v>0</v>
      </c>
      <c r="O73" t="n">
        <v>0</v>
      </c>
      <c r="P73" t="n">
        <v>0</v>
      </c>
      <c r="Q73" t="n">
        <v>0</v>
      </c>
      <c r="R73" s="2" t="inlineStr"/>
    </row>
    <row r="74" ht="15" customHeight="1">
      <c r="A74" t="inlineStr">
        <is>
          <t>A 17699-2025</t>
        </is>
      </c>
      <c r="B74" s="1" t="n">
        <v>45758.41846064815</v>
      </c>
      <c r="C74" s="1" t="n">
        <v>45997</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7669-2024</t>
        </is>
      </c>
      <c r="B75" s="1" t="n">
        <v>45348.82498842593</v>
      </c>
      <c r="C75" s="1" t="n">
        <v>45997</v>
      </c>
      <c r="D75" t="inlineStr">
        <is>
          <t>KALMAR LÄN</t>
        </is>
      </c>
      <c r="E75" t="inlineStr">
        <is>
          <t>BORGHOLM</t>
        </is>
      </c>
      <c r="G75" t="n">
        <v>2.3</v>
      </c>
      <c r="H75" t="n">
        <v>0</v>
      </c>
      <c r="I75" t="n">
        <v>0</v>
      </c>
      <c r="J75" t="n">
        <v>0</v>
      </c>
      <c r="K75" t="n">
        <v>0</v>
      </c>
      <c r="L75" t="n">
        <v>0</v>
      </c>
      <c r="M75" t="n">
        <v>0</v>
      </c>
      <c r="N75" t="n">
        <v>0</v>
      </c>
      <c r="O75" t="n">
        <v>0</v>
      </c>
      <c r="P75" t="n">
        <v>0</v>
      </c>
      <c r="Q75" t="n">
        <v>0</v>
      </c>
      <c r="R75" s="2" t="inlineStr"/>
    </row>
    <row r="76" ht="15" customHeight="1">
      <c r="A76" t="inlineStr">
        <is>
          <t>A 34780-2022</t>
        </is>
      </c>
      <c r="B76" s="1" t="n">
        <v>44795</v>
      </c>
      <c r="C76" s="1" t="n">
        <v>45997</v>
      </c>
      <c r="D76" t="inlineStr">
        <is>
          <t>KALMAR LÄN</t>
        </is>
      </c>
      <c r="E76" t="inlineStr">
        <is>
          <t>BORGHOLM</t>
        </is>
      </c>
      <c r="F76" t="inlineStr">
        <is>
          <t>Sveaskog</t>
        </is>
      </c>
      <c r="G76" t="n">
        <v>6.7</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45997</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20287-2025</t>
        </is>
      </c>
      <c r="B78" s="1" t="n">
        <v>45774.60741898148</v>
      </c>
      <c r="C78" s="1" t="n">
        <v>45997</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13043-2024</t>
        </is>
      </c>
      <c r="B79" s="1" t="n">
        <v>45385.60111111111</v>
      </c>
      <c r="C79" s="1" t="n">
        <v>45997</v>
      </c>
      <c r="D79" t="inlineStr">
        <is>
          <t>KALMAR LÄN</t>
        </is>
      </c>
      <c r="E79" t="inlineStr">
        <is>
          <t>BORGHOLM</t>
        </is>
      </c>
      <c r="G79" t="n">
        <v>0.4</v>
      </c>
      <c r="H79" t="n">
        <v>0</v>
      </c>
      <c r="I79" t="n">
        <v>0</v>
      </c>
      <c r="J79" t="n">
        <v>0</v>
      </c>
      <c r="K79" t="n">
        <v>0</v>
      </c>
      <c r="L79" t="n">
        <v>0</v>
      </c>
      <c r="M79" t="n">
        <v>0</v>
      </c>
      <c r="N79" t="n">
        <v>0</v>
      </c>
      <c r="O79" t="n">
        <v>0</v>
      </c>
      <c r="P79" t="n">
        <v>0</v>
      </c>
      <c r="Q79" t="n">
        <v>0</v>
      </c>
      <c r="R79" s="2" t="inlineStr"/>
    </row>
    <row r="80" ht="15" customHeight="1">
      <c r="A80" t="inlineStr">
        <is>
          <t>A 12937-2022</t>
        </is>
      </c>
      <c r="B80" s="1" t="n">
        <v>44642</v>
      </c>
      <c r="C80" s="1" t="n">
        <v>45997</v>
      </c>
      <c r="D80" t="inlineStr">
        <is>
          <t>KALMAR LÄN</t>
        </is>
      </c>
      <c r="E80" t="inlineStr">
        <is>
          <t>BORGHOLM</t>
        </is>
      </c>
      <c r="F80" t="inlineStr">
        <is>
          <t>Sveaskog</t>
        </is>
      </c>
      <c r="G80" t="n">
        <v>1.8</v>
      </c>
      <c r="H80" t="n">
        <v>0</v>
      </c>
      <c r="I80" t="n">
        <v>0</v>
      </c>
      <c r="J80" t="n">
        <v>0</v>
      </c>
      <c r="K80" t="n">
        <v>0</v>
      </c>
      <c r="L80" t="n">
        <v>0</v>
      </c>
      <c r="M80" t="n">
        <v>0</v>
      </c>
      <c r="N80" t="n">
        <v>0</v>
      </c>
      <c r="O80" t="n">
        <v>0</v>
      </c>
      <c r="P80" t="n">
        <v>0</v>
      </c>
      <c r="Q80" t="n">
        <v>0</v>
      </c>
      <c r="R80" s="2" t="inlineStr"/>
    </row>
    <row r="81" ht="15" customHeight="1">
      <c r="A81" t="inlineStr">
        <is>
          <t>A 9076-2025</t>
        </is>
      </c>
      <c r="B81" s="1" t="n">
        <v>45713.6596875</v>
      </c>
      <c r="C81" s="1" t="n">
        <v>45997</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7960-2023</t>
        </is>
      </c>
      <c r="B82" s="1" t="n">
        <v>44973</v>
      </c>
      <c r="C82" s="1" t="n">
        <v>45997</v>
      </c>
      <c r="D82" t="inlineStr">
        <is>
          <t>KALMAR LÄN</t>
        </is>
      </c>
      <c r="E82" t="inlineStr">
        <is>
          <t>BORGHOLM</t>
        </is>
      </c>
      <c r="G82" t="n">
        <v>2.1</v>
      </c>
      <c r="H82" t="n">
        <v>0</v>
      </c>
      <c r="I82" t="n">
        <v>0</v>
      </c>
      <c r="J82" t="n">
        <v>0</v>
      </c>
      <c r="K82" t="n">
        <v>0</v>
      </c>
      <c r="L82" t="n">
        <v>0</v>
      </c>
      <c r="M82" t="n">
        <v>0</v>
      </c>
      <c r="N82" t="n">
        <v>0</v>
      </c>
      <c r="O82" t="n">
        <v>0</v>
      </c>
      <c r="P82" t="n">
        <v>0</v>
      </c>
      <c r="Q82" t="n">
        <v>0</v>
      </c>
      <c r="R82" s="2" t="inlineStr"/>
    </row>
    <row r="83" ht="15" customHeight="1">
      <c r="A83" t="inlineStr">
        <is>
          <t>A 61438-2023</t>
        </is>
      </c>
      <c r="B83" s="1" t="n">
        <v>45264</v>
      </c>
      <c r="C83" s="1" t="n">
        <v>45997</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32919-2023</t>
        </is>
      </c>
      <c r="B84" s="1" t="n">
        <v>45125</v>
      </c>
      <c r="C84" s="1" t="n">
        <v>45997</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13041-2024</t>
        </is>
      </c>
      <c r="B85" s="1" t="n">
        <v>45385.60065972222</v>
      </c>
      <c r="C85" s="1" t="n">
        <v>45997</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45997</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45997</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63276-2023</t>
        </is>
      </c>
      <c r="B88" s="1" t="n">
        <v>45273.82195601852</v>
      </c>
      <c r="C88" s="1" t="n">
        <v>45997</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21908-2022</t>
        </is>
      </c>
      <c r="B89" s="1" t="n">
        <v>44711</v>
      </c>
      <c r="C89" s="1" t="n">
        <v>45997</v>
      </c>
      <c r="D89" t="inlineStr">
        <is>
          <t>KALMAR LÄN</t>
        </is>
      </c>
      <c r="E89" t="inlineStr">
        <is>
          <t>BORGHOLM</t>
        </is>
      </c>
      <c r="G89" t="n">
        <v>4.7</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45997</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9050-2025</t>
        </is>
      </c>
      <c r="B91" s="1" t="n">
        <v>45713.63512731482</v>
      </c>
      <c r="C91" s="1" t="n">
        <v>45997</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45997</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9034-2025</t>
        </is>
      </c>
      <c r="B93" s="1" t="n">
        <v>45713</v>
      </c>
      <c r="C93" s="1" t="n">
        <v>45997</v>
      </c>
      <c r="D93" t="inlineStr">
        <is>
          <t>KALMAR LÄN</t>
        </is>
      </c>
      <c r="E93" t="inlineStr">
        <is>
          <t>BORGHOLM</t>
        </is>
      </c>
      <c r="F93" t="inlineStr">
        <is>
          <t>Sveaskog</t>
        </is>
      </c>
      <c r="G93" t="n">
        <v>6.8</v>
      </c>
      <c r="H93" t="n">
        <v>0</v>
      </c>
      <c r="I93" t="n">
        <v>0</v>
      </c>
      <c r="J93" t="n">
        <v>0</v>
      </c>
      <c r="K93" t="n">
        <v>0</v>
      </c>
      <c r="L93" t="n">
        <v>0</v>
      </c>
      <c r="M93" t="n">
        <v>0</v>
      </c>
      <c r="N93" t="n">
        <v>0</v>
      </c>
      <c r="O93" t="n">
        <v>0</v>
      </c>
      <c r="P93" t="n">
        <v>0</v>
      </c>
      <c r="Q93" t="n">
        <v>0</v>
      </c>
      <c r="R93" s="2" t="inlineStr"/>
    </row>
    <row r="94" ht="15" customHeight="1">
      <c r="A94" t="inlineStr">
        <is>
          <t>A 5175-2024</t>
        </is>
      </c>
      <c r="B94" s="1" t="n">
        <v>45330</v>
      </c>
      <c r="C94" s="1" t="n">
        <v>45997</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36269-2025</t>
        </is>
      </c>
      <c r="B95" s="1" t="n">
        <v>45867.61736111111</v>
      </c>
      <c r="C95" s="1" t="n">
        <v>45997</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22785-2025</t>
        </is>
      </c>
      <c r="B96" s="1" t="n">
        <v>45789.64186342592</v>
      </c>
      <c r="C96" s="1" t="n">
        <v>45997</v>
      </c>
      <c r="D96" t="inlineStr">
        <is>
          <t>KALMAR LÄN</t>
        </is>
      </c>
      <c r="E96" t="inlineStr">
        <is>
          <t>BORGHOLM</t>
        </is>
      </c>
      <c r="G96" t="n">
        <v>0.6</v>
      </c>
      <c r="H96" t="n">
        <v>0</v>
      </c>
      <c r="I96" t="n">
        <v>0</v>
      </c>
      <c r="J96" t="n">
        <v>0</v>
      </c>
      <c r="K96" t="n">
        <v>0</v>
      </c>
      <c r="L96" t="n">
        <v>0</v>
      </c>
      <c r="M96" t="n">
        <v>0</v>
      </c>
      <c r="N96" t="n">
        <v>0</v>
      </c>
      <c r="O96" t="n">
        <v>0</v>
      </c>
      <c r="P96" t="n">
        <v>0</v>
      </c>
      <c r="Q96" t="n">
        <v>0</v>
      </c>
      <c r="R96" s="2" t="inlineStr"/>
    </row>
    <row r="97" ht="15" customHeight="1">
      <c r="A97" t="inlineStr">
        <is>
          <t>A 4159-2024</t>
        </is>
      </c>
      <c r="B97" s="1" t="n">
        <v>45323</v>
      </c>
      <c r="C97" s="1" t="n">
        <v>45997</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46845-2025</t>
        </is>
      </c>
      <c r="B98" s="1" t="n">
        <v>45928</v>
      </c>
      <c r="C98" s="1" t="n">
        <v>45997</v>
      </c>
      <c r="D98" t="inlineStr">
        <is>
          <t>KALMAR LÄN</t>
        </is>
      </c>
      <c r="E98" t="inlineStr">
        <is>
          <t>BORGHOLM</t>
        </is>
      </c>
      <c r="G98" t="n">
        <v>2.7</v>
      </c>
      <c r="H98" t="n">
        <v>0</v>
      </c>
      <c r="I98" t="n">
        <v>0</v>
      </c>
      <c r="J98" t="n">
        <v>0</v>
      </c>
      <c r="K98" t="n">
        <v>0</v>
      </c>
      <c r="L98" t="n">
        <v>0</v>
      </c>
      <c r="M98" t="n">
        <v>0</v>
      </c>
      <c r="N98" t="n">
        <v>0</v>
      </c>
      <c r="O98" t="n">
        <v>0</v>
      </c>
      <c r="P98" t="n">
        <v>0</v>
      </c>
      <c r="Q98" t="n">
        <v>0</v>
      </c>
      <c r="R98" s="2" t="inlineStr"/>
    </row>
    <row r="99" ht="15" customHeight="1">
      <c r="A99" t="inlineStr">
        <is>
          <t>A 41831-2025</t>
        </is>
      </c>
      <c r="B99" s="1" t="n">
        <v>45902.67887731481</v>
      </c>
      <c r="C99" s="1" t="n">
        <v>45997</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42232-2025</t>
        </is>
      </c>
      <c r="B100" s="1" t="n">
        <v>45904.55591435185</v>
      </c>
      <c r="C100" s="1" t="n">
        <v>45997</v>
      </c>
      <c r="D100" t="inlineStr">
        <is>
          <t>KALMAR LÄN</t>
        </is>
      </c>
      <c r="E100" t="inlineStr">
        <is>
          <t>BORGHOLM</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41950-2025</t>
        </is>
      </c>
      <c r="B101" s="1" t="n">
        <v>45903.45767361111</v>
      </c>
      <c r="C101" s="1" t="n">
        <v>45997</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45997</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43542-2025</t>
        </is>
      </c>
      <c r="B103" s="1" t="n">
        <v>45911.61123842592</v>
      </c>
      <c r="C103" s="1" t="n">
        <v>45997</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45997</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45997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44224-2025</t>
        </is>
      </c>
      <c r="B106" s="1" t="n">
        <v>45915</v>
      </c>
      <c r="C106" s="1" t="n">
        <v>45997</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26160-2025</t>
        </is>
      </c>
      <c r="B107" s="1" t="n">
        <v>45805.4490162037</v>
      </c>
      <c r="C107" s="1" t="n">
        <v>45997</v>
      </c>
      <c r="D107" t="inlineStr">
        <is>
          <t>KALMAR LÄN</t>
        </is>
      </c>
      <c r="E107" t="inlineStr">
        <is>
          <t>BORGHOLM</t>
        </is>
      </c>
      <c r="G107" t="n">
        <v>3.7</v>
      </c>
      <c r="H107" t="n">
        <v>0</v>
      </c>
      <c r="I107" t="n">
        <v>0</v>
      </c>
      <c r="J107" t="n">
        <v>0</v>
      </c>
      <c r="K107" t="n">
        <v>0</v>
      </c>
      <c r="L107" t="n">
        <v>0</v>
      </c>
      <c r="M107" t="n">
        <v>0</v>
      </c>
      <c r="N107" t="n">
        <v>0</v>
      </c>
      <c r="O107" t="n">
        <v>0</v>
      </c>
      <c r="P107" t="n">
        <v>0</v>
      </c>
      <c r="Q107" t="n">
        <v>0</v>
      </c>
      <c r="R107" s="2" t="inlineStr"/>
    </row>
    <row r="108" ht="15" customHeight="1">
      <c r="A108" t="inlineStr">
        <is>
          <t>A 26190-2025</t>
        </is>
      </c>
      <c r="B108" s="1" t="n">
        <v>45805.48349537037</v>
      </c>
      <c r="C108" s="1" t="n">
        <v>45997</v>
      </c>
      <c r="D108" t="inlineStr">
        <is>
          <t>KALMAR LÄN</t>
        </is>
      </c>
      <c r="E108" t="inlineStr">
        <is>
          <t>BORGHOLM</t>
        </is>
      </c>
      <c r="G108" t="n">
        <v>3.2</v>
      </c>
      <c r="H108" t="n">
        <v>0</v>
      </c>
      <c r="I108" t="n">
        <v>0</v>
      </c>
      <c r="J108" t="n">
        <v>0</v>
      </c>
      <c r="K108" t="n">
        <v>0</v>
      </c>
      <c r="L108" t="n">
        <v>0</v>
      </c>
      <c r="M108" t="n">
        <v>0</v>
      </c>
      <c r="N108" t="n">
        <v>0</v>
      </c>
      <c r="O108" t="n">
        <v>0</v>
      </c>
      <c r="P108" t="n">
        <v>0</v>
      </c>
      <c r="Q108" t="n">
        <v>0</v>
      </c>
      <c r="R108" s="2" t="inlineStr"/>
    </row>
    <row r="109" ht="15" customHeight="1">
      <c r="A109" t="inlineStr">
        <is>
          <t>A 27357-2025</t>
        </is>
      </c>
      <c r="B109" s="1" t="n">
        <v>45812.63650462963</v>
      </c>
      <c r="C109" s="1" t="n">
        <v>45997</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27366-2025</t>
        </is>
      </c>
      <c r="B110" s="1" t="n">
        <v>45812.64475694444</v>
      </c>
      <c r="C110" s="1" t="n">
        <v>45997</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45734-2025</t>
        </is>
      </c>
      <c r="B111" s="1" t="n">
        <v>45923.46512731481</v>
      </c>
      <c r="C111" s="1" t="n">
        <v>45997</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45869-2025</t>
        </is>
      </c>
      <c r="B112" s="1" t="n">
        <v>45923.65313657407</v>
      </c>
      <c r="C112" s="1" t="n">
        <v>45997</v>
      </c>
      <c r="D112" t="inlineStr">
        <is>
          <t>KALMAR LÄN</t>
        </is>
      </c>
      <c r="E112" t="inlineStr">
        <is>
          <t>BORGHOLM</t>
        </is>
      </c>
      <c r="G112" t="n">
        <v>4.5</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45997</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60141-2025</t>
        </is>
      </c>
      <c r="B114" s="1" t="n">
        <v>45994.36873842592</v>
      </c>
      <c r="C114" s="1" t="n">
        <v>45997</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65144-2020</t>
        </is>
      </c>
      <c r="B115" s="1" t="n">
        <v>44172</v>
      </c>
      <c r="C115" s="1" t="n">
        <v>45997</v>
      </c>
      <c r="D115" t="inlineStr">
        <is>
          <t>KALMAR LÄN</t>
        </is>
      </c>
      <c r="E115" t="inlineStr">
        <is>
          <t>BORGHOLM</t>
        </is>
      </c>
      <c r="G115" t="n">
        <v>1.7</v>
      </c>
      <c r="H115" t="n">
        <v>0</v>
      </c>
      <c r="I115" t="n">
        <v>0</v>
      </c>
      <c r="J115" t="n">
        <v>0</v>
      </c>
      <c r="K115" t="n">
        <v>0</v>
      </c>
      <c r="L115" t="n">
        <v>0</v>
      </c>
      <c r="M115" t="n">
        <v>0</v>
      </c>
      <c r="N115" t="n">
        <v>0</v>
      </c>
      <c r="O115" t="n">
        <v>0</v>
      </c>
      <c r="P115" t="n">
        <v>0</v>
      </c>
      <c r="Q115" t="n">
        <v>0</v>
      </c>
      <c r="R115" s="2" t="inlineStr"/>
    </row>
    <row r="116" ht="15" customHeight="1">
      <c r="A116" t="inlineStr">
        <is>
          <t>A 53050-2021</t>
        </is>
      </c>
      <c r="B116" s="1" t="n">
        <v>44467</v>
      </c>
      <c r="C116" s="1" t="n">
        <v>45997</v>
      </c>
      <c r="D116" t="inlineStr">
        <is>
          <t>KALMAR LÄN</t>
        </is>
      </c>
      <c r="E116" t="inlineStr">
        <is>
          <t>BORGHOLM</t>
        </is>
      </c>
      <c r="G116" t="n">
        <v>3.6</v>
      </c>
      <c r="H116" t="n">
        <v>0</v>
      </c>
      <c r="I116" t="n">
        <v>0</v>
      </c>
      <c r="J116" t="n">
        <v>0</v>
      </c>
      <c r="K116" t="n">
        <v>0</v>
      </c>
      <c r="L116" t="n">
        <v>0</v>
      </c>
      <c r="M116" t="n">
        <v>0</v>
      </c>
      <c r="N116" t="n">
        <v>0</v>
      </c>
      <c r="O116" t="n">
        <v>0</v>
      </c>
      <c r="P116" t="n">
        <v>0</v>
      </c>
      <c r="Q116" t="n">
        <v>0</v>
      </c>
      <c r="R116" s="2" t="inlineStr"/>
    </row>
    <row r="117" ht="15" customHeight="1">
      <c r="A117" t="inlineStr">
        <is>
          <t>A 31720-2022</t>
        </is>
      </c>
      <c r="B117" s="1" t="n">
        <v>44776</v>
      </c>
      <c r="C117" s="1" t="n">
        <v>45997</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29656-2023</t>
        </is>
      </c>
      <c r="B118" s="1" t="n">
        <v>45107</v>
      </c>
      <c r="C118" s="1" t="n">
        <v>45997</v>
      </c>
      <c r="D118" t="inlineStr">
        <is>
          <t>KALMAR LÄN</t>
        </is>
      </c>
      <c r="E118" t="inlineStr">
        <is>
          <t>BORGHOLM</t>
        </is>
      </c>
      <c r="G118" t="n">
        <v>4.1</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45997</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13548-2025</t>
        </is>
      </c>
      <c r="B120" s="1" t="n">
        <v>45736.53827546296</v>
      </c>
      <c r="C120" s="1" t="n">
        <v>45997</v>
      </c>
      <c r="D120" t="inlineStr">
        <is>
          <t>KALMAR LÄN</t>
        </is>
      </c>
      <c r="E120" t="inlineStr">
        <is>
          <t>BORGHOLM</t>
        </is>
      </c>
      <c r="G120" t="n">
        <v>1</v>
      </c>
      <c r="H120" t="n">
        <v>0</v>
      </c>
      <c r="I120" t="n">
        <v>0</v>
      </c>
      <c r="J120" t="n">
        <v>0</v>
      </c>
      <c r="K120" t="n">
        <v>0</v>
      </c>
      <c r="L120" t="n">
        <v>0</v>
      </c>
      <c r="M120" t="n">
        <v>0</v>
      </c>
      <c r="N120" t="n">
        <v>0</v>
      </c>
      <c r="O120" t="n">
        <v>0</v>
      </c>
      <c r="P120" t="n">
        <v>0</v>
      </c>
      <c r="Q120" t="n">
        <v>0</v>
      </c>
      <c r="R120" s="2" t="inlineStr"/>
    </row>
    <row r="121" ht="15" customHeight="1">
      <c r="A121" t="inlineStr">
        <is>
          <t>A 32921-2023</t>
        </is>
      </c>
      <c r="B121" s="1" t="n">
        <v>45125</v>
      </c>
      <c r="C121" s="1" t="n">
        <v>45997</v>
      </c>
      <c r="D121" t="inlineStr">
        <is>
          <t>KALMAR LÄN</t>
        </is>
      </c>
      <c r="E121" t="inlineStr">
        <is>
          <t>BORGHOLM</t>
        </is>
      </c>
      <c r="G121" t="n">
        <v>2.9</v>
      </c>
      <c r="H121" t="n">
        <v>0</v>
      </c>
      <c r="I121" t="n">
        <v>0</v>
      </c>
      <c r="J121" t="n">
        <v>0</v>
      </c>
      <c r="K121" t="n">
        <v>0</v>
      </c>
      <c r="L121" t="n">
        <v>0</v>
      </c>
      <c r="M121" t="n">
        <v>0</v>
      </c>
      <c r="N121" t="n">
        <v>0</v>
      </c>
      <c r="O121" t="n">
        <v>0</v>
      </c>
      <c r="P121" t="n">
        <v>0</v>
      </c>
      <c r="Q121" t="n">
        <v>0</v>
      </c>
      <c r="R121" s="2" t="inlineStr"/>
    </row>
    <row r="122">
      <c r="A122" t="inlineStr">
        <is>
          <t>A 31840-2021</t>
        </is>
      </c>
      <c r="B122" s="1" t="n">
        <v>44370</v>
      </c>
      <c r="C122" s="1" t="n">
        <v>45997</v>
      </c>
      <c r="D122" t="inlineStr">
        <is>
          <t>KALMAR LÄN</t>
        </is>
      </c>
      <c r="E122" t="inlineStr">
        <is>
          <t>BORGHOLM</t>
        </is>
      </c>
      <c r="F122" t="inlineStr">
        <is>
          <t>Sveaskog</t>
        </is>
      </c>
      <c r="G122" t="n">
        <v>2.8</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2025-12-06T10:27:19Z</dcterms:created>
  <dcterms:modified xmlns:dcterms="http://purl.org/dc/terms/" xmlns:xsi="http://www.w3.org/2001/XMLSchema-instance" xsi:type="dcterms:W3CDTF">2025-12-06T10:27:20Z</dcterms:modified>
</cp:coreProperties>
</file>