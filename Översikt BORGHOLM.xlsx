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46183</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46183</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37421-2022</t>
        </is>
      </c>
      <c r="B5" s="1" t="n">
        <v>44809</v>
      </c>
      <c r="C5" s="1" t="n">
        <v>46183</v>
      </c>
      <c r="D5" t="inlineStr">
        <is>
          <t>KALMAR LÄN</t>
        </is>
      </c>
      <c r="E5" t="inlineStr">
        <is>
          <t>BORGHOLM</t>
        </is>
      </c>
      <c r="G5" t="n">
        <v>3.4</v>
      </c>
      <c r="H5" t="n">
        <v>6</v>
      </c>
      <c r="I5" t="n">
        <v>5</v>
      </c>
      <c r="J5" t="n">
        <v>3</v>
      </c>
      <c r="K5" t="n">
        <v>0</v>
      </c>
      <c r="L5" t="n">
        <v>0</v>
      </c>
      <c r="M5" t="n">
        <v>0</v>
      </c>
      <c r="N5" t="n">
        <v>0</v>
      </c>
      <c r="O5" t="n">
        <v>3</v>
      </c>
      <c r="P5" t="n">
        <v>0</v>
      </c>
      <c r="Q5" t="n">
        <v>9</v>
      </c>
      <c r="R5" s="2" t="inlineStr">
        <is>
          <t>Bredarun
Höstlåsbräken
Sammetsfrölöpare
Murgröna
Skogsknipprot
Tvåblad
Vit skogslilja
Ögonpyrola
Fläcknycklar</t>
        </is>
      </c>
      <c r="S5">
        <f>HYPERLINK("https://klasma.github.io/Logging_0885/artfynd/A 37421-2022 artfynd.xlsx", "A 37421-2022")</f>
        <v/>
      </c>
      <c r="T5">
        <f>HYPERLINK("https://klasma.github.io/Logging_0885/kartor/A 37421-2022 karta.png", "A 37421-2022")</f>
        <v/>
      </c>
      <c r="V5">
        <f>HYPERLINK("https://klasma.github.io/Logging_0885/klagomål/A 37421-2022 FSC-klagomål.docx", "A 37421-2022")</f>
        <v/>
      </c>
      <c r="W5">
        <f>HYPERLINK("https://klasma.github.io/Logging_0885/klagomålsmail/A 37421-2022 FSC-klagomål mail.docx", "A 37421-2022")</f>
        <v/>
      </c>
      <c r="X5">
        <f>HYPERLINK("https://klasma.github.io/Logging_0885/tillsyn/A 37421-2022 tillsynsbegäran.docx", "A 37421-2022")</f>
        <v/>
      </c>
      <c r="Y5">
        <f>HYPERLINK("https://klasma.github.io/Logging_0885/tillsynsmail/A 37421-2022 tillsynsbegäran mail.docx", "A 37421-2022")</f>
        <v/>
      </c>
    </row>
    <row r="6" ht="15" customHeight="1">
      <c r="A6" t="inlineStr">
        <is>
          <t>A 34948-2022</t>
        </is>
      </c>
      <c r="B6" s="1" t="n">
        <v>44796</v>
      </c>
      <c r="C6" s="1" t="n">
        <v>46183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44885-2025</t>
        </is>
      </c>
      <c r="B7" s="1" t="n">
        <v>45918.49010416667</v>
      </c>
      <c r="C7" s="1" t="n">
        <v>46183</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46183</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46183</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46183</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46183</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46183</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46183</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46183</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46183</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21797-2024</t>
        </is>
      </c>
      <c r="B16" s="1" t="n">
        <v>45442.6512037037</v>
      </c>
      <c r="C16" s="1" t="n">
        <v>46183</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46183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46183</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38860-2025</t>
        </is>
      </c>
      <c r="B19" s="1" t="n">
        <v>45887.5609375</v>
      </c>
      <c r="C19" s="1" t="n">
        <v>46183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34944-2022</t>
        </is>
      </c>
      <c r="B20" s="1" t="n">
        <v>44796</v>
      </c>
      <c r="C20" s="1" t="n">
        <v>46183</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34944-2022 artfynd.xlsx", "A 34944-2022")</f>
        <v/>
      </c>
      <c r="T20">
        <f>HYPERLINK("https://klasma.github.io/Logging_0885/kartor/A 34944-2022 karta.png", "A 34944-2022")</f>
        <v/>
      </c>
      <c r="V20">
        <f>HYPERLINK("https://klasma.github.io/Logging_0885/klagomål/A 34944-2022 FSC-klagomål.docx", "A 34944-2022")</f>
        <v/>
      </c>
      <c r="W20">
        <f>HYPERLINK("https://klasma.github.io/Logging_0885/klagomålsmail/A 34944-2022 FSC-klagomål mail.docx", "A 34944-2022")</f>
        <v/>
      </c>
      <c r="X20">
        <f>HYPERLINK("https://klasma.github.io/Logging_0885/tillsyn/A 34944-2022 tillsynsbegäran.docx", "A 34944-2022")</f>
        <v/>
      </c>
      <c r="Y20">
        <f>HYPERLINK("https://klasma.github.io/Logging_0885/tillsynsmail/A 34944-2022 tillsynsbegäran mail.docx", "A 34944-2022")</f>
        <v/>
      </c>
      <c r="Z20">
        <f>HYPERLINK("https://klasma.github.io/Logging_0885/fåglar/A 34944-2022 prioriterade fågelarter.docx", "A 34944-2022")</f>
        <v/>
      </c>
    </row>
    <row r="21" ht="15" customHeight="1">
      <c r="A21" t="inlineStr">
        <is>
          <t>A 32174-2022</t>
        </is>
      </c>
      <c r="B21" s="1" t="n">
        <v>44781</v>
      </c>
      <c r="C21" s="1" t="n">
        <v>46183</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46183</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46183</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13556-2025</t>
        </is>
      </c>
      <c r="B24" s="1" t="n">
        <v>45736.54759259259</v>
      </c>
      <c r="C24" s="1" t="n">
        <v>46183</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60140-2025</t>
        </is>
      </c>
      <c r="B25" s="1" t="n">
        <v>45994.36274305556</v>
      </c>
      <c r="C25" s="1" t="n">
        <v>46183</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9253-2026</t>
        </is>
      </c>
      <c r="B26" s="1" t="n">
        <v>46070.51003472223</v>
      </c>
      <c r="C26" s="1" t="n">
        <v>46183</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15285-2026</t>
        </is>
      </c>
      <c r="B27" s="1" t="n">
        <v>46105.6156712963</v>
      </c>
      <c r="C27" s="1" t="n">
        <v>46183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24322-2026</t>
        </is>
      </c>
      <c r="B28" s="1" t="n">
        <v>46169.48598379629</v>
      </c>
      <c r="C28" s="1" t="n">
        <v>46183</v>
      </c>
      <c r="D28" t="inlineStr">
        <is>
          <t>KALMAR LÄN</t>
        </is>
      </c>
      <c r="E28" t="inlineStr">
        <is>
          <t>BORGHOLM</t>
        </is>
      </c>
      <c r="F28" t="inlineStr">
        <is>
          <t>Sveaskog</t>
        </is>
      </c>
      <c r="G28" t="n">
        <v>5.5</v>
      </c>
      <c r="H28" t="n">
        <v>2</v>
      </c>
      <c r="I28" t="n">
        <v>2</v>
      </c>
      <c r="J28" t="n">
        <v>0</v>
      </c>
      <c r="K28" t="n">
        <v>0</v>
      </c>
      <c r="L28" t="n">
        <v>0</v>
      </c>
      <c r="M28" t="n">
        <v>0</v>
      </c>
      <c r="N28" t="n">
        <v>0</v>
      </c>
      <c r="O28" t="n">
        <v>0</v>
      </c>
      <c r="P28" t="n">
        <v>0</v>
      </c>
      <c r="Q28" t="n">
        <v>2</v>
      </c>
      <c r="R28" s="2" t="inlineStr">
        <is>
          <t>Purpurknipprot
Skogsknipprot</t>
        </is>
      </c>
      <c r="S28">
        <f>HYPERLINK("https://klasma.github.io/Logging_0885/artfynd/A 24322-2026 artfynd.xlsx", "A 24322-2026")</f>
        <v/>
      </c>
      <c r="T28">
        <f>HYPERLINK("https://klasma.github.io/Logging_0885/kartor/A 24322-2026 karta.png", "A 24322-2026")</f>
        <v/>
      </c>
      <c r="V28">
        <f>HYPERLINK("https://klasma.github.io/Logging_0885/klagomål/A 24322-2026 FSC-klagomål.docx", "A 24322-2026")</f>
        <v/>
      </c>
      <c r="W28">
        <f>HYPERLINK("https://klasma.github.io/Logging_0885/klagomålsmail/A 24322-2026 FSC-klagomål mail.docx", "A 24322-2026")</f>
        <v/>
      </c>
      <c r="X28">
        <f>HYPERLINK("https://klasma.github.io/Logging_0885/tillsyn/A 24322-2026 tillsynsbegäran.docx", "A 24322-2026")</f>
        <v/>
      </c>
      <c r="Y28">
        <f>HYPERLINK("https://klasma.github.io/Logging_0885/tillsynsmail/A 24322-2026 tillsynsbegäran mail.docx", "A 24322-2026")</f>
        <v/>
      </c>
    </row>
    <row r="29" ht="15" customHeight="1">
      <c r="A29" t="inlineStr">
        <is>
          <t>A 31790-2021</t>
        </is>
      </c>
      <c r="B29" s="1" t="n">
        <v>44370</v>
      </c>
      <c r="C29" s="1" t="n">
        <v>46183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46183</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43603-2024</t>
        </is>
      </c>
      <c r="B31" s="1" t="n">
        <v>45569.44700231482</v>
      </c>
      <c r="C31" s="1" t="n">
        <v>46183</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24704-2023</t>
        </is>
      </c>
      <c r="B32" s="1" t="n">
        <v>45084</v>
      </c>
      <c r="C32" s="1" t="n">
        <v>46183</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24048-2025</t>
        </is>
      </c>
      <c r="B33" s="1" t="n">
        <v>45796.4959375</v>
      </c>
      <c r="C33" s="1" t="n">
        <v>46183</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9745-2023</t>
        </is>
      </c>
      <c r="B34" s="1" t="n">
        <v>44984</v>
      </c>
      <c r="C34" s="1" t="n">
        <v>46183</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41640-2023</t>
        </is>
      </c>
      <c r="B35" s="1" t="n">
        <v>45175</v>
      </c>
      <c r="C35" s="1" t="n">
        <v>46183</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46183</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13558-2025</t>
        </is>
      </c>
      <c r="B37" s="1" t="n">
        <v>45736.54974537037</v>
      </c>
      <c r="C37" s="1" t="n">
        <v>46183</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46183</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3302-2026</t>
        </is>
      </c>
      <c r="B39" s="1" t="n">
        <v>46041</v>
      </c>
      <c r="C39" s="1" t="n">
        <v>46183</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42761-2021</t>
        </is>
      </c>
      <c r="B40" s="1" t="n">
        <v>44428</v>
      </c>
      <c r="C40" s="1" t="n">
        <v>46183</v>
      </c>
      <c r="D40" t="inlineStr">
        <is>
          <t>KALMAR LÄN</t>
        </is>
      </c>
      <c r="E40" t="inlineStr">
        <is>
          <t>BORGHOLM</t>
        </is>
      </c>
      <c r="G40" t="n">
        <v>1.5</v>
      </c>
      <c r="H40" t="n">
        <v>0</v>
      </c>
      <c r="I40" t="n">
        <v>0</v>
      </c>
      <c r="J40" t="n">
        <v>0</v>
      </c>
      <c r="K40" t="n">
        <v>0</v>
      </c>
      <c r="L40" t="n">
        <v>0</v>
      </c>
      <c r="M40" t="n">
        <v>0</v>
      </c>
      <c r="N40" t="n">
        <v>0</v>
      </c>
      <c r="O40" t="n">
        <v>0</v>
      </c>
      <c r="P40" t="n">
        <v>0</v>
      </c>
      <c r="Q40" t="n">
        <v>0</v>
      </c>
      <c r="R40" s="2" t="inlineStr"/>
    </row>
    <row r="41" ht="15" customHeight="1">
      <c r="A41" t="inlineStr">
        <is>
          <t>A 32665-2022</t>
        </is>
      </c>
      <c r="B41" s="1" t="n">
        <v>44783</v>
      </c>
      <c r="C41" s="1" t="n">
        <v>46183</v>
      </c>
      <c r="D41" t="inlineStr">
        <is>
          <t>KALMAR LÄN</t>
        </is>
      </c>
      <c r="E41" t="inlineStr">
        <is>
          <t>BORGHOLM</t>
        </is>
      </c>
      <c r="F41" t="inlineStr">
        <is>
          <t>Sveaskog</t>
        </is>
      </c>
      <c r="G41" t="n">
        <v>4.2</v>
      </c>
      <c r="H41" t="n">
        <v>0</v>
      </c>
      <c r="I41" t="n">
        <v>0</v>
      </c>
      <c r="J41" t="n">
        <v>0</v>
      </c>
      <c r="K41" t="n">
        <v>0</v>
      </c>
      <c r="L41" t="n">
        <v>0</v>
      </c>
      <c r="M41" t="n">
        <v>0</v>
      </c>
      <c r="N41" t="n">
        <v>0</v>
      </c>
      <c r="O41" t="n">
        <v>0</v>
      </c>
      <c r="P41" t="n">
        <v>0</v>
      </c>
      <c r="Q41" t="n">
        <v>0</v>
      </c>
      <c r="R41" s="2" t="inlineStr"/>
    </row>
    <row r="42" ht="15" customHeight="1">
      <c r="A42" t="inlineStr">
        <is>
          <t>A 28345-2022</t>
        </is>
      </c>
      <c r="B42" s="1" t="n">
        <v>44747</v>
      </c>
      <c r="C42" s="1" t="n">
        <v>46183</v>
      </c>
      <c r="D42" t="inlineStr">
        <is>
          <t>KALMAR LÄN</t>
        </is>
      </c>
      <c r="E42" t="inlineStr">
        <is>
          <t>BORGHOLM</t>
        </is>
      </c>
      <c r="G42" t="n">
        <v>1.5</v>
      </c>
      <c r="H42" t="n">
        <v>0</v>
      </c>
      <c r="I42" t="n">
        <v>0</v>
      </c>
      <c r="J42" t="n">
        <v>0</v>
      </c>
      <c r="K42" t="n">
        <v>0</v>
      </c>
      <c r="L42" t="n">
        <v>0</v>
      </c>
      <c r="M42" t="n">
        <v>0</v>
      </c>
      <c r="N42" t="n">
        <v>0</v>
      </c>
      <c r="O42" t="n">
        <v>0</v>
      </c>
      <c r="P42" t="n">
        <v>0</v>
      </c>
      <c r="Q42" t="n">
        <v>0</v>
      </c>
      <c r="R42" s="2" t="inlineStr"/>
    </row>
    <row r="43" ht="15" customHeight="1">
      <c r="A43" t="inlineStr">
        <is>
          <t>A 10348-2022</t>
        </is>
      </c>
      <c r="B43" s="1" t="n">
        <v>44623</v>
      </c>
      <c r="C43" s="1" t="n">
        <v>46183</v>
      </c>
      <c r="D43" t="inlineStr">
        <is>
          <t>KALMAR LÄN</t>
        </is>
      </c>
      <c r="E43" t="inlineStr">
        <is>
          <t>BORGHOLM</t>
        </is>
      </c>
      <c r="G43" t="n">
        <v>0.4</v>
      </c>
      <c r="H43" t="n">
        <v>0</v>
      </c>
      <c r="I43" t="n">
        <v>0</v>
      </c>
      <c r="J43" t="n">
        <v>0</v>
      </c>
      <c r="K43" t="n">
        <v>0</v>
      </c>
      <c r="L43" t="n">
        <v>0</v>
      </c>
      <c r="M43" t="n">
        <v>0</v>
      </c>
      <c r="N43" t="n">
        <v>0</v>
      </c>
      <c r="O43" t="n">
        <v>0</v>
      </c>
      <c r="P43" t="n">
        <v>0</v>
      </c>
      <c r="Q43" t="n">
        <v>0</v>
      </c>
      <c r="R43" s="2" t="inlineStr"/>
    </row>
    <row r="44" ht="15" customHeight="1">
      <c r="A44" t="inlineStr">
        <is>
          <t>A 44681-2022</t>
        </is>
      </c>
      <c r="B44" s="1" t="n">
        <v>44840</v>
      </c>
      <c r="C44" s="1" t="n">
        <v>46183</v>
      </c>
      <c r="D44" t="inlineStr">
        <is>
          <t>KALMAR LÄN</t>
        </is>
      </c>
      <c r="E44" t="inlineStr">
        <is>
          <t>BORGHOLM</t>
        </is>
      </c>
      <c r="G44" t="n">
        <v>0.5</v>
      </c>
      <c r="H44" t="n">
        <v>0</v>
      </c>
      <c r="I44" t="n">
        <v>0</v>
      </c>
      <c r="J44" t="n">
        <v>0</v>
      </c>
      <c r="K44" t="n">
        <v>0</v>
      </c>
      <c r="L44" t="n">
        <v>0</v>
      </c>
      <c r="M44" t="n">
        <v>0</v>
      </c>
      <c r="N44" t="n">
        <v>0</v>
      </c>
      <c r="O44" t="n">
        <v>0</v>
      </c>
      <c r="P44" t="n">
        <v>0</v>
      </c>
      <c r="Q44" t="n">
        <v>0</v>
      </c>
      <c r="R44" s="2" t="inlineStr"/>
    </row>
    <row r="45" ht="15" customHeight="1">
      <c r="A45" t="inlineStr">
        <is>
          <t>A 32608-2022</t>
        </is>
      </c>
      <c r="B45" s="1" t="n">
        <v>44783</v>
      </c>
      <c r="C45" s="1" t="n">
        <v>46183</v>
      </c>
      <c r="D45" t="inlineStr">
        <is>
          <t>KALMAR LÄN</t>
        </is>
      </c>
      <c r="E45" t="inlineStr">
        <is>
          <t>BORGHOLM</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61828-2021</t>
        </is>
      </c>
      <c r="B46" s="1" t="n">
        <v>44501</v>
      </c>
      <c r="C46" s="1" t="n">
        <v>46183</v>
      </c>
      <c r="D46" t="inlineStr">
        <is>
          <t>KALMAR LÄN</t>
        </is>
      </c>
      <c r="E46" t="inlineStr">
        <is>
          <t>BORGHOLM</t>
        </is>
      </c>
      <c r="G46" t="n">
        <v>0.5</v>
      </c>
      <c r="H46" t="n">
        <v>0</v>
      </c>
      <c r="I46" t="n">
        <v>0</v>
      </c>
      <c r="J46" t="n">
        <v>0</v>
      </c>
      <c r="K46" t="n">
        <v>0</v>
      </c>
      <c r="L46" t="n">
        <v>0</v>
      </c>
      <c r="M46" t="n">
        <v>0</v>
      </c>
      <c r="N46" t="n">
        <v>0</v>
      </c>
      <c r="O46" t="n">
        <v>0</v>
      </c>
      <c r="P46" t="n">
        <v>0</v>
      </c>
      <c r="Q46" t="n">
        <v>0</v>
      </c>
      <c r="R46" s="2" t="inlineStr"/>
    </row>
    <row r="47" ht="15" customHeight="1">
      <c r="A47" t="inlineStr">
        <is>
          <t>A 56188-2021</t>
        </is>
      </c>
      <c r="B47" s="1" t="n">
        <v>44477.83525462963</v>
      </c>
      <c r="C47" s="1" t="n">
        <v>46183</v>
      </c>
      <c r="D47" t="inlineStr">
        <is>
          <t>KALMAR LÄN</t>
        </is>
      </c>
      <c r="E47" t="inlineStr">
        <is>
          <t>BORGHOLM</t>
        </is>
      </c>
      <c r="G47" t="n">
        <v>1.8</v>
      </c>
      <c r="H47" t="n">
        <v>0</v>
      </c>
      <c r="I47" t="n">
        <v>0</v>
      </c>
      <c r="J47" t="n">
        <v>0</v>
      </c>
      <c r="K47" t="n">
        <v>0</v>
      </c>
      <c r="L47" t="n">
        <v>0</v>
      </c>
      <c r="M47" t="n">
        <v>0</v>
      </c>
      <c r="N47" t="n">
        <v>0</v>
      </c>
      <c r="O47" t="n">
        <v>0</v>
      </c>
      <c r="P47" t="n">
        <v>0</v>
      </c>
      <c r="Q47" t="n">
        <v>0</v>
      </c>
      <c r="R47" s="2" t="inlineStr"/>
    </row>
    <row r="48" ht="15" customHeight="1">
      <c r="A48" t="inlineStr">
        <is>
          <t>A 56983-2021</t>
        </is>
      </c>
      <c r="B48" s="1" t="n">
        <v>44482</v>
      </c>
      <c r="C48" s="1" t="n">
        <v>46183</v>
      </c>
      <c r="D48" t="inlineStr">
        <is>
          <t>KALMAR LÄN</t>
        </is>
      </c>
      <c r="E48" t="inlineStr">
        <is>
          <t>BORGHOLM</t>
        </is>
      </c>
      <c r="G48" t="n">
        <v>1.2</v>
      </c>
      <c r="H48" t="n">
        <v>0</v>
      </c>
      <c r="I48" t="n">
        <v>0</v>
      </c>
      <c r="J48" t="n">
        <v>0</v>
      </c>
      <c r="K48" t="n">
        <v>0</v>
      </c>
      <c r="L48" t="n">
        <v>0</v>
      </c>
      <c r="M48" t="n">
        <v>0</v>
      </c>
      <c r="N48" t="n">
        <v>0</v>
      </c>
      <c r="O48" t="n">
        <v>0</v>
      </c>
      <c r="P48" t="n">
        <v>0</v>
      </c>
      <c r="Q48" t="n">
        <v>0</v>
      </c>
      <c r="R48" s="2" t="inlineStr"/>
    </row>
    <row r="49" ht="15" customHeight="1">
      <c r="A49" t="inlineStr">
        <is>
          <t>A 42785-2021</t>
        </is>
      </c>
      <c r="B49" s="1" t="n">
        <v>44428</v>
      </c>
      <c r="C49" s="1" t="n">
        <v>46183</v>
      </c>
      <c r="D49" t="inlineStr">
        <is>
          <t>KALMAR LÄN</t>
        </is>
      </c>
      <c r="E49" t="inlineStr">
        <is>
          <t>BORGHOLM</t>
        </is>
      </c>
      <c r="G49" t="n">
        <v>2.8</v>
      </c>
      <c r="H49" t="n">
        <v>0</v>
      </c>
      <c r="I49" t="n">
        <v>0</v>
      </c>
      <c r="J49" t="n">
        <v>0</v>
      </c>
      <c r="K49" t="n">
        <v>0</v>
      </c>
      <c r="L49" t="n">
        <v>0</v>
      </c>
      <c r="M49" t="n">
        <v>0</v>
      </c>
      <c r="N49" t="n">
        <v>0</v>
      </c>
      <c r="O49" t="n">
        <v>0</v>
      </c>
      <c r="P49" t="n">
        <v>0</v>
      </c>
      <c r="Q49" t="n">
        <v>0</v>
      </c>
      <c r="R49" s="2" t="inlineStr"/>
    </row>
    <row r="50" ht="15" customHeight="1">
      <c r="A50" t="inlineStr">
        <is>
          <t>A 32180-2022</t>
        </is>
      </c>
      <c r="B50" s="1" t="n">
        <v>44781</v>
      </c>
      <c r="C50" s="1" t="n">
        <v>46183</v>
      </c>
      <c r="D50" t="inlineStr">
        <is>
          <t>KALMAR LÄN</t>
        </is>
      </c>
      <c r="E50" t="inlineStr">
        <is>
          <t>BORGHOLM</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27437-2022</t>
        </is>
      </c>
      <c r="B51" s="1" t="n">
        <v>44742.55567129629</v>
      </c>
      <c r="C51" s="1" t="n">
        <v>46183</v>
      </c>
      <c r="D51" t="inlineStr">
        <is>
          <t>KALMAR LÄN</t>
        </is>
      </c>
      <c r="E51" t="inlineStr">
        <is>
          <t>BORGHOLM</t>
        </is>
      </c>
      <c r="G51" t="n">
        <v>0.6</v>
      </c>
      <c r="H51" t="n">
        <v>0</v>
      </c>
      <c r="I51" t="n">
        <v>0</v>
      </c>
      <c r="J51" t="n">
        <v>0</v>
      </c>
      <c r="K51" t="n">
        <v>0</v>
      </c>
      <c r="L51" t="n">
        <v>0</v>
      </c>
      <c r="M51" t="n">
        <v>0</v>
      </c>
      <c r="N51" t="n">
        <v>0</v>
      </c>
      <c r="O51" t="n">
        <v>0</v>
      </c>
      <c r="P51" t="n">
        <v>0</v>
      </c>
      <c r="Q51" t="n">
        <v>0</v>
      </c>
      <c r="R51" s="2" t="inlineStr"/>
    </row>
    <row r="52" ht="15" customHeight="1">
      <c r="A52" t="inlineStr">
        <is>
          <t>A 62631-2021</t>
        </is>
      </c>
      <c r="B52" s="1" t="n">
        <v>44503</v>
      </c>
      <c r="C52" s="1" t="n">
        <v>46183</v>
      </c>
      <c r="D52" t="inlineStr">
        <is>
          <t>KALMAR LÄN</t>
        </is>
      </c>
      <c r="E52" t="inlineStr">
        <is>
          <t>BORGHOLM</t>
        </is>
      </c>
      <c r="G52" t="n">
        <v>1</v>
      </c>
      <c r="H52" t="n">
        <v>0</v>
      </c>
      <c r="I52" t="n">
        <v>0</v>
      </c>
      <c r="J52" t="n">
        <v>0</v>
      </c>
      <c r="K52" t="n">
        <v>0</v>
      </c>
      <c r="L52" t="n">
        <v>0</v>
      </c>
      <c r="M52" t="n">
        <v>0</v>
      </c>
      <c r="N52" t="n">
        <v>0</v>
      </c>
      <c r="O52" t="n">
        <v>0</v>
      </c>
      <c r="P52" t="n">
        <v>0</v>
      </c>
      <c r="Q52" t="n">
        <v>0</v>
      </c>
      <c r="R52" s="2" t="inlineStr"/>
    </row>
    <row r="53" ht="15" customHeight="1">
      <c r="A53" t="inlineStr">
        <is>
          <t>A 63075-2023</t>
        </is>
      </c>
      <c r="B53" s="1" t="n">
        <v>45273</v>
      </c>
      <c r="C53" s="1" t="n">
        <v>46183</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50129-2021</t>
        </is>
      </c>
      <c r="B54" s="1" t="n">
        <v>44456</v>
      </c>
      <c r="C54" s="1" t="n">
        <v>46183</v>
      </c>
      <c r="D54" t="inlineStr">
        <is>
          <t>KALMAR LÄN</t>
        </is>
      </c>
      <c r="E54" t="inlineStr">
        <is>
          <t>BORGHOLM</t>
        </is>
      </c>
      <c r="G54" t="n">
        <v>1.6</v>
      </c>
      <c r="H54" t="n">
        <v>0</v>
      </c>
      <c r="I54" t="n">
        <v>0</v>
      </c>
      <c r="J54" t="n">
        <v>0</v>
      </c>
      <c r="K54" t="n">
        <v>0</v>
      </c>
      <c r="L54" t="n">
        <v>0</v>
      </c>
      <c r="M54" t="n">
        <v>0</v>
      </c>
      <c r="N54" t="n">
        <v>0</v>
      </c>
      <c r="O54" t="n">
        <v>0</v>
      </c>
      <c r="P54" t="n">
        <v>0</v>
      </c>
      <c r="Q54" t="n">
        <v>0</v>
      </c>
      <c r="R54" s="2" t="inlineStr"/>
    </row>
    <row r="55" ht="15" customHeight="1">
      <c r="A55" t="inlineStr">
        <is>
          <t>A 13043-2024</t>
        </is>
      </c>
      <c r="B55" s="1" t="n">
        <v>45385.60111111111</v>
      </c>
      <c r="C55" s="1" t="n">
        <v>46183</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26160-2024</t>
        </is>
      </c>
      <c r="B56" s="1" t="n">
        <v>45468</v>
      </c>
      <c r="C56" s="1" t="n">
        <v>46183</v>
      </c>
      <c r="D56" t="inlineStr">
        <is>
          <t>KALMAR LÄN</t>
        </is>
      </c>
      <c r="E56" t="inlineStr">
        <is>
          <t>BORGHOLM</t>
        </is>
      </c>
      <c r="G56" t="n">
        <v>0.4</v>
      </c>
      <c r="H56" t="n">
        <v>0</v>
      </c>
      <c r="I56" t="n">
        <v>0</v>
      </c>
      <c r="J56" t="n">
        <v>0</v>
      </c>
      <c r="K56" t="n">
        <v>0</v>
      </c>
      <c r="L56" t="n">
        <v>0</v>
      </c>
      <c r="M56" t="n">
        <v>0</v>
      </c>
      <c r="N56" t="n">
        <v>0</v>
      </c>
      <c r="O56" t="n">
        <v>0</v>
      </c>
      <c r="P56" t="n">
        <v>0</v>
      </c>
      <c r="Q56" t="n">
        <v>0</v>
      </c>
      <c r="R56" s="2" t="inlineStr"/>
      <c r="T56">
        <f>HYPERLINK("https://klasma.github.io/Logging_0885/kartor/A 26160-2024 karta.png", "A 26160-2024")</f>
        <v/>
      </c>
      <c r="V56">
        <f>HYPERLINK("https://klasma.github.io/Logging_0885/klagomål/A 26160-2024 FSC-klagomål.docx", "A 26160-2024")</f>
        <v/>
      </c>
      <c r="W56">
        <f>HYPERLINK("https://klasma.github.io/Logging_0885/klagomålsmail/A 26160-2024 FSC-klagomål mail.docx", "A 26160-2024")</f>
        <v/>
      </c>
      <c r="X56">
        <f>HYPERLINK("https://klasma.github.io/Logging_0885/tillsyn/A 26160-2024 tillsynsbegäran.docx", "A 26160-2024")</f>
        <v/>
      </c>
      <c r="Y56">
        <f>HYPERLINK("https://klasma.github.io/Logging_0885/tillsynsmail/A 26160-2024 tillsynsbegäran mail.docx", "A 26160-2024")</f>
        <v/>
      </c>
    </row>
    <row r="57" ht="15" customHeight="1">
      <c r="A57" t="inlineStr">
        <is>
          <t>A 22785-2025</t>
        </is>
      </c>
      <c r="B57" s="1" t="n">
        <v>45789.64186342592</v>
      </c>
      <c r="C57" s="1" t="n">
        <v>46183</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1757-2025</t>
        </is>
      </c>
      <c r="B58" s="1" t="n">
        <v>45671.42195601852</v>
      </c>
      <c r="C58" s="1" t="n">
        <v>46183</v>
      </c>
      <c r="D58" t="inlineStr">
        <is>
          <t>KALMAR LÄN</t>
        </is>
      </c>
      <c r="E58" t="inlineStr">
        <is>
          <t>BORGHOLM</t>
        </is>
      </c>
      <c r="G58" t="n">
        <v>1.4</v>
      </c>
      <c r="H58" t="n">
        <v>0</v>
      </c>
      <c r="I58" t="n">
        <v>0</v>
      </c>
      <c r="J58" t="n">
        <v>0</v>
      </c>
      <c r="K58" t="n">
        <v>0</v>
      </c>
      <c r="L58" t="n">
        <v>0</v>
      </c>
      <c r="M58" t="n">
        <v>0</v>
      </c>
      <c r="N58" t="n">
        <v>0</v>
      </c>
      <c r="O58" t="n">
        <v>0</v>
      </c>
      <c r="P58" t="n">
        <v>0</v>
      </c>
      <c r="Q58" t="n">
        <v>0</v>
      </c>
      <c r="R58" s="2" t="inlineStr"/>
    </row>
    <row r="59" ht="15" customHeight="1">
      <c r="A59" t="inlineStr">
        <is>
          <t>A 31699-2022</t>
        </is>
      </c>
      <c r="B59" s="1" t="n">
        <v>44776</v>
      </c>
      <c r="C59" s="1" t="n">
        <v>46183</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12534-2022</t>
        </is>
      </c>
      <c r="B60" s="1" t="n">
        <v>44638</v>
      </c>
      <c r="C60" s="1" t="n">
        <v>46183</v>
      </c>
      <c r="D60" t="inlineStr">
        <is>
          <t>KALMAR LÄN</t>
        </is>
      </c>
      <c r="E60" t="inlineStr">
        <is>
          <t>BORGHOLM</t>
        </is>
      </c>
      <c r="G60" t="n">
        <v>8.6</v>
      </c>
      <c r="H60" t="n">
        <v>0</v>
      </c>
      <c r="I60" t="n">
        <v>0</v>
      </c>
      <c r="J60" t="n">
        <v>0</v>
      </c>
      <c r="K60" t="n">
        <v>0</v>
      </c>
      <c r="L60" t="n">
        <v>0</v>
      </c>
      <c r="M60" t="n">
        <v>0</v>
      </c>
      <c r="N60" t="n">
        <v>0</v>
      </c>
      <c r="O60" t="n">
        <v>0</v>
      </c>
      <c r="P60" t="n">
        <v>0</v>
      </c>
      <c r="Q60" t="n">
        <v>0</v>
      </c>
      <c r="R60" s="2" t="inlineStr"/>
    </row>
    <row r="61" ht="15" customHeight="1">
      <c r="A61" t="inlineStr">
        <is>
          <t>A 17699-2025</t>
        </is>
      </c>
      <c r="B61" s="1" t="n">
        <v>45758.41846064815</v>
      </c>
      <c r="C61" s="1" t="n">
        <v>46183</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7669-2024</t>
        </is>
      </c>
      <c r="B62" s="1" t="n">
        <v>45348.82498842593</v>
      </c>
      <c r="C62" s="1" t="n">
        <v>46183</v>
      </c>
      <c r="D62" t="inlineStr">
        <is>
          <t>KALMAR LÄN</t>
        </is>
      </c>
      <c r="E62" t="inlineStr">
        <is>
          <t>BORGHOLM</t>
        </is>
      </c>
      <c r="G62" t="n">
        <v>2.3</v>
      </c>
      <c r="H62" t="n">
        <v>0</v>
      </c>
      <c r="I62" t="n">
        <v>0</v>
      </c>
      <c r="J62" t="n">
        <v>0</v>
      </c>
      <c r="K62" t="n">
        <v>0</v>
      </c>
      <c r="L62" t="n">
        <v>0</v>
      </c>
      <c r="M62" t="n">
        <v>0</v>
      </c>
      <c r="N62" t="n">
        <v>0</v>
      </c>
      <c r="O62" t="n">
        <v>0</v>
      </c>
      <c r="P62" t="n">
        <v>0</v>
      </c>
      <c r="Q62" t="n">
        <v>0</v>
      </c>
      <c r="R62" s="2" t="inlineStr"/>
    </row>
    <row r="63" ht="15" customHeight="1">
      <c r="A63" t="inlineStr">
        <is>
          <t>A 34780-2022</t>
        </is>
      </c>
      <c r="B63" s="1" t="n">
        <v>44795</v>
      </c>
      <c r="C63" s="1" t="n">
        <v>46183</v>
      </c>
      <c r="D63" t="inlineStr">
        <is>
          <t>KALMAR LÄN</t>
        </is>
      </c>
      <c r="E63" t="inlineStr">
        <is>
          <t>BORGHOLM</t>
        </is>
      </c>
      <c r="F63" t="inlineStr">
        <is>
          <t>Sveaskog</t>
        </is>
      </c>
      <c r="G63" t="n">
        <v>6.7</v>
      </c>
      <c r="H63" t="n">
        <v>0</v>
      </c>
      <c r="I63" t="n">
        <v>0</v>
      </c>
      <c r="J63" t="n">
        <v>0</v>
      </c>
      <c r="K63" t="n">
        <v>0</v>
      </c>
      <c r="L63" t="n">
        <v>0</v>
      </c>
      <c r="M63" t="n">
        <v>0</v>
      </c>
      <c r="N63" t="n">
        <v>0</v>
      </c>
      <c r="O63" t="n">
        <v>0</v>
      </c>
      <c r="P63" t="n">
        <v>0</v>
      </c>
      <c r="Q63" t="n">
        <v>0</v>
      </c>
      <c r="R63" s="2" t="inlineStr"/>
    </row>
    <row r="64" ht="15" customHeight="1">
      <c r="A64" t="inlineStr">
        <is>
          <t>A 55367-2024</t>
        </is>
      </c>
      <c r="B64" s="1" t="n">
        <v>45621.87075231481</v>
      </c>
      <c r="C64" s="1" t="n">
        <v>46183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46183</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46183</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20287-2025</t>
        </is>
      </c>
      <c r="B67" s="1" t="n">
        <v>45774.60741898148</v>
      </c>
      <c r="C67" s="1" t="n">
        <v>46183</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46183</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9076-2025</t>
        </is>
      </c>
      <c r="B69" s="1" t="n">
        <v>45713.6596875</v>
      </c>
      <c r="C69" s="1" t="n">
        <v>46183</v>
      </c>
      <c r="D69" t="inlineStr">
        <is>
          <t>KALMAR LÄN</t>
        </is>
      </c>
      <c r="E69" t="inlineStr">
        <is>
          <t>BORGHOLM</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26160-2025</t>
        </is>
      </c>
      <c r="B70" s="1" t="n">
        <v>45805.4490162037</v>
      </c>
      <c r="C70" s="1" t="n">
        <v>46183</v>
      </c>
      <c r="D70" t="inlineStr">
        <is>
          <t>KALMAR LÄN</t>
        </is>
      </c>
      <c r="E70" t="inlineStr">
        <is>
          <t>BORGHOLM</t>
        </is>
      </c>
      <c r="G70" t="n">
        <v>3.7</v>
      </c>
      <c r="H70" t="n">
        <v>0</v>
      </c>
      <c r="I70" t="n">
        <v>0</v>
      </c>
      <c r="J70" t="n">
        <v>0</v>
      </c>
      <c r="K70" t="n">
        <v>0</v>
      </c>
      <c r="L70" t="n">
        <v>0</v>
      </c>
      <c r="M70" t="n">
        <v>0</v>
      </c>
      <c r="N70" t="n">
        <v>0</v>
      </c>
      <c r="O70" t="n">
        <v>0</v>
      </c>
      <c r="P70" t="n">
        <v>0</v>
      </c>
      <c r="Q70" t="n">
        <v>0</v>
      </c>
      <c r="R70" s="2" t="inlineStr"/>
    </row>
    <row r="71" ht="15" customHeight="1">
      <c r="A71" t="inlineStr">
        <is>
          <t>A 26190-2025</t>
        </is>
      </c>
      <c r="B71" s="1" t="n">
        <v>45805.48349537037</v>
      </c>
      <c r="C71" s="1" t="n">
        <v>46183</v>
      </c>
      <c r="D71" t="inlineStr">
        <is>
          <t>KALMAR LÄN</t>
        </is>
      </c>
      <c r="E71" t="inlineStr">
        <is>
          <t>BORGHOLM</t>
        </is>
      </c>
      <c r="G71" t="n">
        <v>3.2</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46183</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4159-2024</t>
        </is>
      </c>
      <c r="B73" s="1" t="n">
        <v>45323</v>
      </c>
      <c r="C73" s="1" t="n">
        <v>46183</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46183</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32919-2023</t>
        </is>
      </c>
      <c r="B75" s="1" t="n">
        <v>45125</v>
      </c>
      <c r="C75" s="1" t="n">
        <v>46183</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46183</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53050-2021</t>
        </is>
      </c>
      <c r="B77" s="1" t="n">
        <v>44467</v>
      </c>
      <c r="C77" s="1" t="n">
        <v>46183</v>
      </c>
      <c r="D77" t="inlineStr">
        <is>
          <t>KALMAR LÄN</t>
        </is>
      </c>
      <c r="E77" t="inlineStr">
        <is>
          <t>BORGHOLM</t>
        </is>
      </c>
      <c r="G77" t="n">
        <v>3.6</v>
      </c>
      <c r="H77" t="n">
        <v>0</v>
      </c>
      <c r="I77" t="n">
        <v>0</v>
      </c>
      <c r="J77" t="n">
        <v>0</v>
      </c>
      <c r="K77" t="n">
        <v>0</v>
      </c>
      <c r="L77" t="n">
        <v>0</v>
      </c>
      <c r="M77" t="n">
        <v>0</v>
      </c>
      <c r="N77" t="n">
        <v>0</v>
      </c>
      <c r="O77" t="n">
        <v>0</v>
      </c>
      <c r="P77" t="n">
        <v>0</v>
      </c>
      <c r="Q77" t="n">
        <v>0</v>
      </c>
      <c r="R77" s="2" t="inlineStr"/>
    </row>
    <row r="78" ht="15" customHeight="1">
      <c r="A78" t="inlineStr">
        <is>
          <t>A 21908-2022</t>
        </is>
      </c>
      <c r="B78" s="1" t="n">
        <v>44711</v>
      </c>
      <c r="C78" s="1" t="n">
        <v>46183</v>
      </c>
      <c r="D78" t="inlineStr">
        <is>
          <t>KALMAR LÄN</t>
        </is>
      </c>
      <c r="E78" t="inlineStr">
        <is>
          <t>BORGHOLM</t>
        </is>
      </c>
      <c r="G78" t="n">
        <v>4.7</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46183</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46183</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36269-2025</t>
        </is>
      </c>
      <c r="B81" s="1" t="n">
        <v>45867.61736111111</v>
      </c>
      <c r="C81" s="1" t="n">
        <v>46183</v>
      </c>
      <c r="D81" t="inlineStr">
        <is>
          <t>KALMAR LÄN</t>
        </is>
      </c>
      <c r="E81" t="inlineStr">
        <is>
          <t>BORGHOLM</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34951-2022</t>
        </is>
      </c>
      <c r="B82" s="1" t="n">
        <v>44796</v>
      </c>
      <c r="C82" s="1" t="n">
        <v>46183</v>
      </c>
      <c r="D82" t="inlineStr">
        <is>
          <t>KALMAR LÄN</t>
        </is>
      </c>
      <c r="E82" t="inlineStr">
        <is>
          <t>BORGHOLM</t>
        </is>
      </c>
      <c r="F82" t="inlineStr">
        <is>
          <t>Sveaskog</t>
        </is>
      </c>
      <c r="G82" t="n">
        <v>4.6</v>
      </c>
      <c r="H82" t="n">
        <v>0</v>
      </c>
      <c r="I82" t="n">
        <v>0</v>
      </c>
      <c r="J82" t="n">
        <v>0</v>
      </c>
      <c r="K82" t="n">
        <v>0</v>
      </c>
      <c r="L82" t="n">
        <v>0</v>
      </c>
      <c r="M82" t="n">
        <v>0</v>
      </c>
      <c r="N82" t="n">
        <v>0</v>
      </c>
      <c r="O82" t="n">
        <v>0</v>
      </c>
      <c r="P82" t="n">
        <v>0</v>
      </c>
      <c r="Q82" t="n">
        <v>0</v>
      </c>
      <c r="R82" s="2" t="inlineStr"/>
    </row>
    <row r="83" ht="15" customHeight="1">
      <c r="A83" t="inlineStr">
        <is>
          <t>A 41831-2025</t>
        </is>
      </c>
      <c r="B83" s="1" t="n">
        <v>45902.67887731481</v>
      </c>
      <c r="C83" s="1" t="n">
        <v>46183</v>
      </c>
      <c r="D83" t="inlineStr">
        <is>
          <t>KALMAR LÄN</t>
        </is>
      </c>
      <c r="E83" t="inlineStr">
        <is>
          <t>BORGHOLM</t>
        </is>
      </c>
      <c r="G83" t="n">
        <v>1.5</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46183</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41950-2025</t>
        </is>
      </c>
      <c r="B85" s="1" t="n">
        <v>45903.45767361111</v>
      </c>
      <c r="C85" s="1" t="n">
        <v>46183</v>
      </c>
      <c r="D85" t="inlineStr">
        <is>
          <t>KALMAR LÄN</t>
        </is>
      </c>
      <c r="E85" t="inlineStr">
        <is>
          <t>BORGHOLM</t>
        </is>
      </c>
      <c r="G85" t="n">
        <v>1.8</v>
      </c>
      <c r="H85" t="n">
        <v>0</v>
      </c>
      <c r="I85" t="n">
        <v>0</v>
      </c>
      <c r="J85" t="n">
        <v>0</v>
      </c>
      <c r="K85" t="n">
        <v>0</v>
      </c>
      <c r="L85" t="n">
        <v>0</v>
      </c>
      <c r="M85" t="n">
        <v>0</v>
      </c>
      <c r="N85" t="n">
        <v>0</v>
      </c>
      <c r="O85" t="n">
        <v>0</v>
      </c>
      <c r="P85" t="n">
        <v>0</v>
      </c>
      <c r="Q85" t="n">
        <v>0</v>
      </c>
      <c r="R85" s="2" t="inlineStr"/>
    </row>
    <row r="86" ht="15" customHeight="1">
      <c r="A86" t="inlineStr">
        <is>
          <t>A 5175-2024</t>
        </is>
      </c>
      <c r="B86" s="1" t="n">
        <v>45330</v>
      </c>
      <c r="C86" s="1" t="n">
        <v>46183</v>
      </c>
      <c r="D86" t="inlineStr">
        <is>
          <t>KALMAR LÄN</t>
        </is>
      </c>
      <c r="E86" t="inlineStr">
        <is>
          <t>BORGHOLM</t>
        </is>
      </c>
      <c r="G86" t="n">
        <v>1.5</v>
      </c>
      <c r="H86" t="n">
        <v>0</v>
      </c>
      <c r="I86" t="n">
        <v>0</v>
      </c>
      <c r="J86" t="n">
        <v>0</v>
      </c>
      <c r="K86" t="n">
        <v>0</v>
      </c>
      <c r="L86" t="n">
        <v>0</v>
      </c>
      <c r="M86" t="n">
        <v>0</v>
      </c>
      <c r="N86" t="n">
        <v>0</v>
      </c>
      <c r="O86" t="n">
        <v>0</v>
      </c>
      <c r="P86" t="n">
        <v>0</v>
      </c>
      <c r="Q86" t="n">
        <v>0</v>
      </c>
      <c r="R86" s="2" t="inlineStr"/>
    </row>
    <row r="87" ht="15" customHeight="1">
      <c r="A87" t="inlineStr">
        <is>
          <t>A 43542-2025</t>
        </is>
      </c>
      <c r="B87" s="1" t="n">
        <v>45911.61123842592</v>
      </c>
      <c r="C87" s="1" t="n">
        <v>46183</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46183</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46183</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45734-2025</t>
        </is>
      </c>
      <c r="B90" s="1" t="n">
        <v>45923.46512731481</v>
      </c>
      <c r="C90" s="1" t="n">
        <v>46183</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45869-2025</t>
        </is>
      </c>
      <c r="B91" s="1" t="n">
        <v>45923.65313657407</v>
      </c>
      <c r="C91" s="1" t="n">
        <v>46183</v>
      </c>
      <c r="D91" t="inlineStr">
        <is>
          <t>KALMAR LÄN</t>
        </is>
      </c>
      <c r="E91" t="inlineStr">
        <is>
          <t>BORGHOLM</t>
        </is>
      </c>
      <c r="G91" t="n">
        <v>4.5</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46183</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46183</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3878-2023</t>
        </is>
      </c>
      <c r="B94" s="1" t="n">
        <v>44951</v>
      </c>
      <c r="C94" s="1" t="n">
        <v>46183</v>
      </c>
      <c r="D94" t="inlineStr">
        <is>
          <t>KALMAR LÄN</t>
        </is>
      </c>
      <c r="E94" t="inlineStr">
        <is>
          <t>BORGHOLM</t>
        </is>
      </c>
      <c r="G94" t="n">
        <v>1.7</v>
      </c>
      <c r="H94" t="n">
        <v>0</v>
      </c>
      <c r="I94" t="n">
        <v>0</v>
      </c>
      <c r="J94" t="n">
        <v>0</v>
      </c>
      <c r="K94" t="n">
        <v>0</v>
      </c>
      <c r="L94" t="n">
        <v>0</v>
      </c>
      <c r="M94" t="n">
        <v>0</v>
      </c>
      <c r="N94" t="n">
        <v>0</v>
      </c>
      <c r="O94" t="n">
        <v>0</v>
      </c>
      <c r="P94" t="n">
        <v>0</v>
      </c>
      <c r="Q94" t="n">
        <v>0</v>
      </c>
      <c r="R94" s="2" t="inlineStr"/>
    </row>
    <row r="95" ht="15" customHeight="1">
      <c r="A95" t="inlineStr">
        <is>
          <t>A 44678-2022</t>
        </is>
      </c>
      <c r="B95" s="1" t="n">
        <v>44840.65100694444</v>
      </c>
      <c r="C95" s="1" t="n">
        <v>46183</v>
      </c>
      <c r="D95" t="inlineStr">
        <is>
          <t>KALMAR LÄN</t>
        </is>
      </c>
      <c r="E95" t="inlineStr">
        <is>
          <t>BORGHOLM</t>
        </is>
      </c>
      <c r="G95" t="n">
        <v>2.4</v>
      </c>
      <c r="H95" t="n">
        <v>0</v>
      </c>
      <c r="I95" t="n">
        <v>0</v>
      </c>
      <c r="J95" t="n">
        <v>0</v>
      </c>
      <c r="K95" t="n">
        <v>0</v>
      </c>
      <c r="L95" t="n">
        <v>0</v>
      </c>
      <c r="M95" t="n">
        <v>0</v>
      </c>
      <c r="N95" t="n">
        <v>0</v>
      </c>
      <c r="O95" t="n">
        <v>0</v>
      </c>
      <c r="P95" t="n">
        <v>0</v>
      </c>
      <c r="Q95" t="n">
        <v>0</v>
      </c>
      <c r="R95" s="2" t="inlineStr"/>
    </row>
    <row r="96" ht="15" customHeight="1">
      <c r="A96" t="inlineStr">
        <is>
          <t>A 19867-2024</t>
        </is>
      </c>
      <c r="B96" s="1" t="n">
        <v>45433</v>
      </c>
      <c r="C96" s="1" t="n">
        <v>46183</v>
      </c>
      <c r="D96" t="inlineStr">
        <is>
          <t>KALMAR LÄN</t>
        </is>
      </c>
      <c r="E96" t="inlineStr">
        <is>
          <t>BORGHOLM</t>
        </is>
      </c>
      <c r="G96" t="n">
        <v>3.9</v>
      </c>
      <c r="H96" t="n">
        <v>0</v>
      </c>
      <c r="I96" t="n">
        <v>0</v>
      </c>
      <c r="J96" t="n">
        <v>0</v>
      </c>
      <c r="K96" t="n">
        <v>0</v>
      </c>
      <c r="L96" t="n">
        <v>0</v>
      </c>
      <c r="M96" t="n">
        <v>0</v>
      </c>
      <c r="N96" t="n">
        <v>0</v>
      </c>
      <c r="O96" t="n">
        <v>0</v>
      </c>
      <c r="P96" t="n">
        <v>0</v>
      </c>
      <c r="Q96" t="n">
        <v>0</v>
      </c>
      <c r="R96" s="2" t="inlineStr"/>
    </row>
    <row r="97" ht="15" customHeight="1">
      <c r="A97" t="inlineStr">
        <is>
          <t>A 13383-2023</t>
        </is>
      </c>
      <c r="B97" s="1" t="n">
        <v>45005</v>
      </c>
      <c r="C97" s="1" t="n">
        <v>46183</v>
      </c>
      <c r="D97" t="inlineStr">
        <is>
          <t>KALMAR LÄN</t>
        </is>
      </c>
      <c r="E97" t="inlineStr">
        <is>
          <t>BORGHOLM</t>
        </is>
      </c>
      <c r="G97" t="n">
        <v>0.8</v>
      </c>
      <c r="H97" t="n">
        <v>0</v>
      </c>
      <c r="I97" t="n">
        <v>0</v>
      </c>
      <c r="J97" t="n">
        <v>0</v>
      </c>
      <c r="K97" t="n">
        <v>0</v>
      </c>
      <c r="L97" t="n">
        <v>0</v>
      </c>
      <c r="M97" t="n">
        <v>0</v>
      </c>
      <c r="N97" t="n">
        <v>0</v>
      </c>
      <c r="O97" t="n">
        <v>0</v>
      </c>
      <c r="P97" t="n">
        <v>0</v>
      </c>
      <c r="Q97" t="n">
        <v>0</v>
      </c>
      <c r="R97" s="2" t="inlineStr"/>
    </row>
    <row r="98" ht="15" customHeight="1">
      <c r="A98" t="inlineStr">
        <is>
          <t>A 64303-2023</t>
        </is>
      </c>
      <c r="B98" s="1" t="n">
        <v>45280</v>
      </c>
      <c r="C98" s="1" t="n">
        <v>46183</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12937-2022</t>
        </is>
      </c>
      <c r="B99" s="1" t="n">
        <v>44642</v>
      </c>
      <c r="C99" s="1" t="n">
        <v>46183</v>
      </c>
      <c r="D99" t="inlineStr">
        <is>
          <t>KALMAR LÄN</t>
        </is>
      </c>
      <c r="E99" t="inlineStr">
        <is>
          <t>BORGHOLM</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46183</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7960-2023</t>
        </is>
      </c>
      <c r="B101" s="1" t="n">
        <v>44973</v>
      </c>
      <c r="C101" s="1" t="n">
        <v>46183</v>
      </c>
      <c r="D101" t="inlineStr">
        <is>
          <t>KALMAR LÄN</t>
        </is>
      </c>
      <c r="E101" t="inlineStr">
        <is>
          <t>BORGHOLM</t>
        </is>
      </c>
      <c r="G101" t="n">
        <v>2.1</v>
      </c>
      <c r="H101" t="n">
        <v>0</v>
      </c>
      <c r="I101" t="n">
        <v>0</v>
      </c>
      <c r="J101" t="n">
        <v>0</v>
      </c>
      <c r="K101" t="n">
        <v>0</v>
      </c>
      <c r="L101" t="n">
        <v>0</v>
      </c>
      <c r="M101" t="n">
        <v>0</v>
      </c>
      <c r="N101" t="n">
        <v>0</v>
      </c>
      <c r="O101" t="n">
        <v>0</v>
      </c>
      <c r="P101" t="n">
        <v>0</v>
      </c>
      <c r="Q101" t="n">
        <v>0</v>
      </c>
      <c r="R101" s="2" t="inlineStr"/>
    </row>
    <row r="102" ht="15" customHeight="1">
      <c r="A102" t="inlineStr">
        <is>
          <t>A 61438-2023</t>
        </is>
      </c>
      <c r="B102" s="1" t="n">
        <v>45264</v>
      </c>
      <c r="C102" s="1" t="n">
        <v>46183</v>
      </c>
      <c r="D102" t="inlineStr">
        <is>
          <t>KALMAR LÄN</t>
        </is>
      </c>
      <c r="E102" t="inlineStr">
        <is>
          <t>BORGHOLM</t>
        </is>
      </c>
      <c r="G102" t="n">
        <v>1.1</v>
      </c>
      <c r="H102" t="n">
        <v>0</v>
      </c>
      <c r="I102" t="n">
        <v>0</v>
      </c>
      <c r="J102" t="n">
        <v>0</v>
      </c>
      <c r="K102" t="n">
        <v>0</v>
      </c>
      <c r="L102" t="n">
        <v>0</v>
      </c>
      <c r="M102" t="n">
        <v>0</v>
      </c>
      <c r="N102" t="n">
        <v>0</v>
      </c>
      <c r="O102" t="n">
        <v>0</v>
      </c>
      <c r="P102" t="n">
        <v>0</v>
      </c>
      <c r="Q102" t="n">
        <v>0</v>
      </c>
      <c r="R102" s="2" t="inlineStr"/>
    </row>
    <row r="103" ht="15" customHeight="1">
      <c r="A103" t="inlineStr">
        <is>
          <t>A 13041-2024</t>
        </is>
      </c>
      <c r="B103" s="1" t="n">
        <v>45385.60065972222</v>
      </c>
      <c r="C103" s="1" t="n">
        <v>46183</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1614-2025</t>
        </is>
      </c>
      <c r="B104" s="1" t="n">
        <v>45670.60094907408</v>
      </c>
      <c r="C104" s="1" t="n">
        <v>46183</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60141-2025</t>
        </is>
      </c>
      <c r="B105" s="1" t="n">
        <v>45994.36873842592</v>
      </c>
      <c r="C105" s="1" t="n">
        <v>46183</v>
      </c>
      <c r="D105" t="inlineStr">
        <is>
          <t>KALMAR LÄN</t>
        </is>
      </c>
      <c r="E105" t="inlineStr">
        <is>
          <t>BORGHOLM</t>
        </is>
      </c>
      <c r="G105" t="n">
        <v>0.7</v>
      </c>
      <c r="H105" t="n">
        <v>0</v>
      </c>
      <c r="I105" t="n">
        <v>0</v>
      </c>
      <c r="J105" t="n">
        <v>0</v>
      </c>
      <c r="K105" t="n">
        <v>0</v>
      </c>
      <c r="L105" t="n">
        <v>0</v>
      </c>
      <c r="M105" t="n">
        <v>0</v>
      </c>
      <c r="N105" t="n">
        <v>0</v>
      </c>
      <c r="O105" t="n">
        <v>0</v>
      </c>
      <c r="P105" t="n">
        <v>0</v>
      </c>
      <c r="Q105" t="n">
        <v>0</v>
      </c>
      <c r="R105" s="2" t="inlineStr"/>
    </row>
    <row r="106" ht="15" customHeight="1">
      <c r="A106" t="inlineStr">
        <is>
          <t>A 63276-2023</t>
        </is>
      </c>
      <c r="B106" s="1" t="n">
        <v>45273.82195601852</v>
      </c>
      <c r="C106" s="1" t="n">
        <v>46183</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9050-2025</t>
        </is>
      </c>
      <c r="B107" s="1" t="n">
        <v>45713.63512731482</v>
      </c>
      <c r="C107" s="1" t="n">
        <v>46183</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7481-2026</t>
        </is>
      </c>
      <c r="B108" s="1" t="n">
        <v>46059.51359953704</v>
      </c>
      <c r="C108" s="1" t="n">
        <v>46183</v>
      </c>
      <c r="D108" t="inlineStr">
        <is>
          <t>KALMAR LÄN</t>
        </is>
      </c>
      <c r="E108" t="inlineStr">
        <is>
          <t>BORGHOLM</t>
        </is>
      </c>
      <c r="G108" t="n">
        <v>1.9</v>
      </c>
      <c r="H108" t="n">
        <v>0</v>
      </c>
      <c r="I108" t="n">
        <v>0</v>
      </c>
      <c r="J108" t="n">
        <v>0</v>
      </c>
      <c r="K108" t="n">
        <v>0</v>
      </c>
      <c r="L108" t="n">
        <v>0</v>
      </c>
      <c r="M108" t="n">
        <v>0</v>
      </c>
      <c r="N108" t="n">
        <v>0</v>
      </c>
      <c r="O108" t="n">
        <v>0</v>
      </c>
      <c r="P108" t="n">
        <v>0</v>
      </c>
      <c r="Q108" t="n">
        <v>0</v>
      </c>
      <c r="R108" s="2" t="inlineStr"/>
    </row>
    <row r="109" ht="15" customHeight="1">
      <c r="A109" t="inlineStr">
        <is>
          <t>A 9104-2026</t>
        </is>
      </c>
      <c r="B109" s="1" t="n">
        <v>46069</v>
      </c>
      <c r="C109" s="1" t="n">
        <v>46183</v>
      </c>
      <c r="D109" t="inlineStr">
        <is>
          <t>KALMAR LÄN</t>
        </is>
      </c>
      <c r="E109" t="inlineStr">
        <is>
          <t>BORGHOLM</t>
        </is>
      </c>
      <c r="G109" t="n">
        <v>1.3</v>
      </c>
      <c r="H109" t="n">
        <v>0</v>
      </c>
      <c r="I109" t="n">
        <v>0</v>
      </c>
      <c r="J109" t="n">
        <v>0</v>
      </c>
      <c r="K109" t="n">
        <v>0</v>
      </c>
      <c r="L109" t="n">
        <v>0</v>
      </c>
      <c r="M109" t="n">
        <v>0</v>
      </c>
      <c r="N109" t="n">
        <v>0</v>
      </c>
      <c r="O109" t="n">
        <v>0</v>
      </c>
      <c r="P109" t="n">
        <v>0</v>
      </c>
      <c r="Q109" t="n">
        <v>0</v>
      </c>
      <c r="R109" s="2" t="inlineStr"/>
    </row>
    <row r="110" ht="15" customHeight="1">
      <c r="A110" t="inlineStr">
        <is>
          <t>A 9259-2026</t>
        </is>
      </c>
      <c r="B110" s="1" t="n">
        <v>46070.51917824074</v>
      </c>
      <c r="C110" s="1" t="n">
        <v>46183</v>
      </c>
      <c r="D110" t="inlineStr">
        <is>
          <t>KALMAR LÄN</t>
        </is>
      </c>
      <c r="E110" t="inlineStr">
        <is>
          <t>BORGHOLM</t>
        </is>
      </c>
      <c r="G110" t="n">
        <v>1.6</v>
      </c>
      <c r="H110" t="n">
        <v>0</v>
      </c>
      <c r="I110" t="n">
        <v>0</v>
      </c>
      <c r="J110" t="n">
        <v>0</v>
      </c>
      <c r="K110" t="n">
        <v>0</v>
      </c>
      <c r="L110" t="n">
        <v>0</v>
      </c>
      <c r="M110" t="n">
        <v>0</v>
      </c>
      <c r="N110" t="n">
        <v>0</v>
      </c>
      <c r="O110" t="n">
        <v>0</v>
      </c>
      <c r="P110" t="n">
        <v>0</v>
      </c>
      <c r="Q110" t="n">
        <v>0</v>
      </c>
      <c r="R110" s="2" t="inlineStr"/>
    </row>
    <row r="111" ht="15" customHeight="1">
      <c r="A111" t="inlineStr">
        <is>
          <t>A 9905-2026</t>
        </is>
      </c>
      <c r="B111" s="1" t="n">
        <v>46073.4108912037</v>
      </c>
      <c r="C111" s="1" t="n">
        <v>46183</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15272-2026</t>
        </is>
      </c>
      <c r="B112" s="1" t="n">
        <v>46105.60017361111</v>
      </c>
      <c r="C112" s="1" t="n">
        <v>46183</v>
      </c>
      <c r="D112" t="inlineStr">
        <is>
          <t>KALMAR LÄN</t>
        </is>
      </c>
      <c r="E112" t="inlineStr">
        <is>
          <t>BORGHOLM</t>
        </is>
      </c>
      <c r="F112" t="inlineStr">
        <is>
          <t>Sveaskog</t>
        </is>
      </c>
      <c r="G112" t="n">
        <v>2.9</v>
      </c>
      <c r="H112" t="n">
        <v>0</v>
      </c>
      <c r="I112" t="n">
        <v>0</v>
      </c>
      <c r="J112" t="n">
        <v>0</v>
      </c>
      <c r="K112" t="n">
        <v>0</v>
      </c>
      <c r="L112" t="n">
        <v>0</v>
      </c>
      <c r="M112" t="n">
        <v>0</v>
      </c>
      <c r="N112" t="n">
        <v>0</v>
      </c>
      <c r="O112" t="n">
        <v>0</v>
      </c>
      <c r="P112" t="n">
        <v>0</v>
      </c>
      <c r="Q112" t="n">
        <v>0</v>
      </c>
      <c r="R112" s="2" t="inlineStr"/>
    </row>
    <row r="113" ht="15" customHeight="1">
      <c r="A113" t="inlineStr">
        <is>
          <t>A 15279-2026</t>
        </is>
      </c>
      <c r="B113" s="1" t="n">
        <v>46105.61030092592</v>
      </c>
      <c r="C113" s="1" t="n">
        <v>46183</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15264-2026</t>
        </is>
      </c>
      <c r="B114" s="1" t="n">
        <v>46105.59372685185</v>
      </c>
      <c r="C114" s="1" t="n">
        <v>46183</v>
      </c>
      <c r="D114" t="inlineStr">
        <is>
          <t>KALMAR LÄN</t>
        </is>
      </c>
      <c r="E114" t="inlineStr">
        <is>
          <t>BORGHOLM</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24323-2026</t>
        </is>
      </c>
      <c r="B115" s="1" t="n">
        <v>46169.49458333333</v>
      </c>
      <c r="C115" s="1" t="n">
        <v>46183</v>
      </c>
      <c r="D115" t="inlineStr">
        <is>
          <t>KALMAR LÄN</t>
        </is>
      </c>
      <c r="E115" t="inlineStr">
        <is>
          <t>BORGHOLM</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24338-2026</t>
        </is>
      </c>
      <c r="B116" s="1" t="n">
        <v>46169.54258101852</v>
      </c>
      <c r="C116" s="1" t="n">
        <v>46183</v>
      </c>
      <c r="D116" t="inlineStr">
        <is>
          <t>KALMAR LÄN</t>
        </is>
      </c>
      <c r="E116" t="inlineStr">
        <is>
          <t>BORGHOLM</t>
        </is>
      </c>
      <c r="F116" t="inlineStr">
        <is>
          <t>Sveaskog</t>
        </is>
      </c>
      <c r="G116" t="n">
        <v>1.1</v>
      </c>
      <c r="H116" t="n">
        <v>0</v>
      </c>
      <c r="I116" t="n">
        <v>0</v>
      </c>
      <c r="J116" t="n">
        <v>0</v>
      </c>
      <c r="K116" t="n">
        <v>0</v>
      </c>
      <c r="L116" t="n">
        <v>0</v>
      </c>
      <c r="M116" t="n">
        <v>0</v>
      </c>
      <c r="N116" t="n">
        <v>0</v>
      </c>
      <c r="O116" t="n">
        <v>0</v>
      </c>
      <c r="P116" t="n">
        <v>0</v>
      </c>
      <c r="Q116" t="n">
        <v>0</v>
      </c>
      <c r="R116" s="2" t="inlineStr"/>
    </row>
    <row r="117">
      <c r="A117" t="inlineStr">
        <is>
          <t>A 24345-2026</t>
        </is>
      </c>
      <c r="B117" s="1" t="n">
        <v>46169.55112268519</v>
      </c>
      <c r="C117" s="1" t="n">
        <v>46183</v>
      </c>
      <c r="D117" t="inlineStr">
        <is>
          <t>KALMAR LÄN</t>
        </is>
      </c>
      <c r="E117" t="inlineStr">
        <is>
          <t>BORGHOLM</t>
        </is>
      </c>
      <c r="F117" t="inlineStr">
        <is>
          <t>Sveaskog</t>
        </is>
      </c>
      <c r="G117" t="n">
        <v>7.3</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2026-06-10T09:25:43Z</dcterms:created>
  <dcterms:modified xmlns:dcterms="http://purl.org/dc/terms/" xmlns:xsi="http://www.w3.org/2001/XMLSchema-instance" xsi:type="dcterms:W3CDTF">2026-06-10T09:25:43Z</dcterms:modified>
</cp:coreProperties>
</file>