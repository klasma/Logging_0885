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46313</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46313</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46313</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46313</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46313</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46313</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46313</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46313</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46313</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46313</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46313</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46313</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46313</v>
      </c>
      <c r="F14" t="inlineStr">
        <is>
          <t>KALMAR LÄN</t>
        </is>
      </c>
      <c r="G14" t="inlineStr">
        <is>
          <t>BORGHOLM</t>
        </is>
      </c>
      <c r="I14" t="n">
        <v>7.8</v>
      </c>
      <c r="J14" t="n">
        <v>6</v>
      </c>
      <c r="K14" t="n">
        <v>6</v>
      </c>
      <c r="L14" t="n">
        <v>5</v>
      </c>
      <c r="M14" t="n">
        <v>1</v>
      </c>
      <c r="N14" t="n">
        <v>0</v>
      </c>
      <c r="O14" t="n">
        <v>0</v>
      </c>
      <c r="P14" t="n">
        <v>0</v>
      </c>
      <c r="Q14" t="n">
        <v>6</v>
      </c>
      <c r="R14" t="n">
        <v>1</v>
      </c>
      <c r="S14" t="n">
        <v>15</v>
      </c>
      <c r="T14" t="n">
        <v>21</v>
      </c>
      <c r="U14" t="n">
        <v>20</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S 2659-2026</t>
        </is>
      </c>
      <c r="B15" t="inlineStr">
        <is>
          <t>samrådsanmälan</t>
        </is>
      </c>
      <c r="C15" t="inlineStr">
        <is>
          <t>Annan skogsbruksåtgärd</t>
        </is>
      </c>
      <c r="D15" s="1" t="n">
        <v>46307</v>
      </c>
      <c r="E15" s="1" t="n">
        <v>46313</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46313</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46313</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46313</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46313</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46313</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46313</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46313</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46313</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46313</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31399-2026</t>
        </is>
      </c>
      <c r="B25" t="inlineStr">
        <is>
          <t>avverkningsanmälan</t>
        </is>
      </c>
      <c r="C25" t="inlineStr">
        <is>
          <t>Föryngringsavverkning</t>
        </is>
      </c>
      <c r="D25" s="1" t="n">
        <v>46220</v>
      </c>
      <c r="E25" s="1" t="n">
        <v>46313</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46313</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46313</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11</v>
      </c>
      <c r="U27" t="n">
        <v>1</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A 12534-2022</t>
        </is>
      </c>
      <c r="B28" t="inlineStr">
        <is>
          <t>avverkningsanmälan</t>
        </is>
      </c>
      <c r="C28" t="inlineStr">
        <is>
          <t>Föryngringsavverkning</t>
        </is>
      </c>
      <c r="D28" s="1" t="n">
        <v>44638</v>
      </c>
      <c r="E28" s="1" t="n">
        <v>46313</v>
      </c>
      <c r="F28" t="inlineStr">
        <is>
          <t>KALMAR LÄN</t>
        </is>
      </c>
      <c r="G28" t="inlineStr">
        <is>
          <t>BORGHOLM</t>
        </is>
      </c>
      <c r="I28" t="n">
        <v>8.6</v>
      </c>
      <c r="J28" t="n">
        <v>3</v>
      </c>
      <c r="K28" t="n">
        <v>0</v>
      </c>
      <c r="L28" t="n">
        <v>5</v>
      </c>
      <c r="M28" t="n">
        <v>0</v>
      </c>
      <c r="N28" t="n">
        <v>0</v>
      </c>
      <c r="O28" t="n">
        <v>0</v>
      </c>
      <c r="P28" t="n">
        <v>0</v>
      </c>
      <c r="Q28" t="n">
        <v>5</v>
      </c>
      <c r="R28" t="n">
        <v>0</v>
      </c>
      <c r="S28" t="n">
        <v>8</v>
      </c>
      <c r="T28" t="n">
        <v>9</v>
      </c>
      <c r="U28" t="n">
        <v>9</v>
      </c>
      <c r="V28" s="2" t="inlineStr">
        <is>
          <t>Backklöver
Backtimjan
Jordtistel
Sårläka
Vårstarr
Krutbrännare
Nattviol
Sankt pers nycklar</t>
        </is>
      </c>
      <c r="W28">
        <f>HYPERLINK("https://klasma.github.io/Logging_0885/artfynd/A 12534-2022 artfynd.xlsx", "A 12534-2022")</f>
        <v/>
      </c>
      <c r="X28">
        <f>HYPERLINK("https://klasma.github.io/Logging_0885/kartor/A 12534-2022 karta.png", "A 12534-2022")</f>
        <v/>
      </c>
      <c r="Y28">
        <f>HYPERLINK("https://klasma.github.io/Logging_0885/kartor_geotiff/A 12534-2022 georefererad karta.tif", "A 12534-2022")</f>
        <v/>
      </c>
      <c r="AA28">
        <f>HYPERLINK("https://klasma.github.io/Logging_0885/klagomål/A 12534-2022 FSC-klagomål.docx", "A 12534-2022")</f>
        <v/>
      </c>
      <c r="AB28">
        <f>HYPERLINK("https://klasma.github.io/Logging_0885/klagomålsmail/A 12534-2022 FSC-klagomål mail.docx", "A 12534-2022")</f>
        <v/>
      </c>
      <c r="AC28">
        <f>HYPERLINK("https://klasma.github.io/Logging_0885/tillsyn/A 12534-2022 tillsynsbegäran.docx", "A 12534-2022")</f>
        <v/>
      </c>
      <c r="AD28">
        <f>HYPERLINK("https://klasma.github.io/Logging_0885/tillsynsmail/A 12534-2022 tillsynsbegäran mail.docx", "A 12534-2022")</f>
        <v/>
      </c>
    </row>
    <row r="29" ht="15" customHeight="1">
      <c r="A29" t="inlineStr">
        <is>
          <t>S 2741-2022</t>
        </is>
      </c>
      <c r="B29" t="inlineStr">
        <is>
          <t>samrådsanmälan</t>
        </is>
      </c>
      <c r="C29" t="inlineStr">
        <is>
          <t>Annan skogsbruksåtgärd</t>
        </is>
      </c>
      <c r="D29" s="1" t="n">
        <v>44704</v>
      </c>
      <c r="E29" s="1" t="n">
        <v>46313</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46313</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46313</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46313</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46794-2025</t>
        </is>
      </c>
      <c r="B33" t="inlineStr">
        <is>
          <t>avverkningsanmälan</t>
        </is>
      </c>
      <c r="C33" t="inlineStr">
        <is>
          <t>Avverkning för annat ändamål</t>
        </is>
      </c>
      <c r="D33" s="1" t="n">
        <v>45926</v>
      </c>
      <c r="E33" s="1" t="n">
        <v>46313</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46313</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46313</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8</v>
      </c>
      <c r="U35" t="n">
        <v>1</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A 16171-2023</t>
        </is>
      </c>
      <c r="B36" t="inlineStr">
        <is>
          <t>avverkningsanmälan</t>
        </is>
      </c>
      <c r="C36" t="inlineStr">
        <is>
          <t>Föryngringsavverkning</t>
        </is>
      </c>
      <c r="D36" s="1" t="n">
        <v>45027</v>
      </c>
      <c r="E36" s="1" t="n">
        <v>46313</v>
      </c>
      <c r="F36" t="inlineStr">
        <is>
          <t>KALMAR LÄN</t>
        </is>
      </c>
      <c r="G36" t="inlineStr">
        <is>
          <t>BORGHOLM</t>
        </is>
      </c>
      <c r="I36" t="n">
        <v>12.2</v>
      </c>
      <c r="J36" t="n">
        <v>2</v>
      </c>
      <c r="K36" t="n">
        <v>1</v>
      </c>
      <c r="L36" t="n">
        <v>2</v>
      </c>
      <c r="M36" t="n">
        <v>0</v>
      </c>
      <c r="N36" t="n">
        <v>0</v>
      </c>
      <c r="O36" t="n">
        <v>0</v>
      </c>
      <c r="P36" t="n">
        <v>0</v>
      </c>
      <c r="Q36" t="n">
        <v>2</v>
      </c>
      <c r="R36" t="n">
        <v>0</v>
      </c>
      <c r="S36" t="n">
        <v>6</v>
      </c>
      <c r="T36" t="n">
        <v>7</v>
      </c>
      <c r="U36" t="n">
        <v>6</v>
      </c>
      <c r="V36" s="2" t="inlineStr">
        <is>
          <t>Sårläka
Älg
Murgröna
Blåsippa
Rostticka
Bredarun</t>
        </is>
      </c>
      <c r="W36">
        <f>HYPERLINK("https://klasma.github.io/Logging_0885/artfynd/A 16171-2023 artfynd.xlsx", "A 16171-2023")</f>
        <v/>
      </c>
      <c r="X36">
        <f>HYPERLINK("https://klasma.github.io/Logging_0885/kartor/A 16171-2023 karta.png", "A 16171-2023")</f>
        <v/>
      </c>
      <c r="Y36">
        <f>HYPERLINK("https://klasma.github.io/Logging_0885/kartor_geotiff/A 16171-2023 georefererad karta.tif", "A 16171-2023")</f>
        <v/>
      </c>
      <c r="AA36">
        <f>HYPERLINK("https://klasma.github.io/Logging_0885/klagomål/A 16171-2023 FSC-klagomål.docx", "A 16171-2023")</f>
        <v/>
      </c>
      <c r="AB36">
        <f>HYPERLINK("https://klasma.github.io/Logging_0885/klagomålsmail/A 16171-2023 FSC-klagomål mail.docx", "A 16171-2023")</f>
        <v/>
      </c>
      <c r="AC36">
        <f>HYPERLINK("https://klasma.github.io/Logging_0885/tillsyn/A 16171-2023 tillsynsbegäran.docx", "A 16171-2023")</f>
        <v/>
      </c>
      <c r="AD36">
        <f>HYPERLINK("https://klasma.github.io/Logging_0885/tillsynsmail/A 16171-2023 tillsynsbegäran mail.docx", "A 16171-2023")</f>
        <v/>
      </c>
    </row>
    <row r="37" ht="15" customHeight="1">
      <c r="A37" t="inlineStr">
        <is>
          <t>S 2737-2022</t>
        </is>
      </c>
      <c r="B37" t="inlineStr">
        <is>
          <t>samrådsanmälan</t>
        </is>
      </c>
      <c r="C37" t="inlineStr">
        <is>
          <t>Annan skogsbruksåtgärd</t>
        </is>
      </c>
      <c r="D37" s="1" t="n">
        <v>44704</v>
      </c>
      <c r="E37" s="1" t="n">
        <v>46313</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46313</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46313</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46313</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46313</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46313</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46313</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64303-2023</t>
        </is>
      </c>
      <c r="B44" t="inlineStr">
        <is>
          <t>avverkningsanmälan</t>
        </is>
      </c>
      <c r="C44" t="inlineStr">
        <is>
          <t>Avverkning för annat ändamål</t>
        </is>
      </c>
      <c r="D44" s="1" t="n">
        <v>45280</v>
      </c>
      <c r="E44" s="1" t="n">
        <v>46313</v>
      </c>
      <c r="F44" t="inlineStr">
        <is>
          <t>KALMAR LÄN</t>
        </is>
      </c>
      <c r="G44" t="inlineStr">
        <is>
          <t>BORGHOLM</t>
        </is>
      </c>
      <c r="I44" t="n">
        <v>1.2</v>
      </c>
      <c r="J44" t="n">
        <v>0</v>
      </c>
      <c r="K44" t="n">
        <v>1</v>
      </c>
      <c r="L44" t="n">
        <v>2</v>
      </c>
      <c r="M44" t="n">
        <v>1</v>
      </c>
      <c r="N44" t="n">
        <v>0</v>
      </c>
      <c r="O44" t="n">
        <v>0</v>
      </c>
      <c r="P44" t="n">
        <v>0</v>
      </c>
      <c r="Q44" t="n">
        <v>3</v>
      </c>
      <c r="R44" t="n">
        <v>1</v>
      </c>
      <c r="S44" t="n">
        <v>4</v>
      </c>
      <c r="T44" t="n">
        <v>6</v>
      </c>
      <c r="U44" t="n">
        <v>6</v>
      </c>
      <c r="V44" s="2" t="inlineStr">
        <is>
          <t>Skogskorn
Grisspindling
Sårläka
Myskmadra</t>
        </is>
      </c>
      <c r="W44">
        <f>HYPERLINK("https://klasma.github.io/Logging_0885/artfynd/A 64303-2023 artfynd.xlsx", "A 64303-2023")</f>
        <v/>
      </c>
      <c r="X44">
        <f>HYPERLINK("https://klasma.github.io/Logging_0885/kartor/A 64303-2023 karta.png", "A 64303-2023")</f>
        <v/>
      </c>
      <c r="Y44">
        <f>HYPERLINK("https://klasma.github.io/Logging_0885/kartor_geotiff/A 64303-2023 georefererad karta.tif", "A 64303-2023")</f>
        <v/>
      </c>
      <c r="AA44">
        <f>HYPERLINK("https://klasma.github.io/Logging_0885/klagomål/A 64303-2023 FSC-klagomål.docx", "A 64303-2023")</f>
        <v/>
      </c>
      <c r="AB44">
        <f>HYPERLINK("https://klasma.github.io/Logging_0885/klagomålsmail/A 64303-2023 FSC-klagomål mail.docx", "A 64303-2023")</f>
        <v/>
      </c>
      <c r="AC44">
        <f>HYPERLINK("https://klasma.github.io/Logging_0885/tillsyn/A 64303-2023 tillsynsbegäran.docx", "A 64303-2023")</f>
        <v/>
      </c>
      <c r="AD44">
        <f>HYPERLINK("https://klasma.github.io/Logging_0885/tillsynsmail/A 64303-2023 tillsynsbegäran mail.docx", "A 64303-2023")</f>
        <v/>
      </c>
    </row>
    <row r="45" ht="15" customHeight="1">
      <c r="A45" t="inlineStr">
        <is>
          <t>A 7960-2023</t>
        </is>
      </c>
      <c r="B45" t="inlineStr">
        <is>
          <t>avverkningsanmälan</t>
        </is>
      </c>
      <c r="C45" t="inlineStr">
        <is>
          <t>Föryngringsavverkning</t>
        </is>
      </c>
      <c r="D45" s="1" t="n">
        <v>44973</v>
      </c>
      <c r="E45" s="1" t="n">
        <v>46313</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46313</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46313</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21797-2024</t>
        </is>
      </c>
      <c r="B48" t="inlineStr">
        <is>
          <t>avverkningsanmälan</t>
        </is>
      </c>
      <c r="C48" t="inlineStr">
        <is>
          <t>Föryngringsavverkning</t>
        </is>
      </c>
      <c r="D48" s="1" t="n">
        <v>45442</v>
      </c>
      <c r="E48" s="1" t="n">
        <v>46313</v>
      </c>
      <c r="F48" t="inlineStr">
        <is>
          <t>KALMAR LÄN</t>
        </is>
      </c>
      <c r="G48" t="inlineStr">
        <is>
          <t>BORGHOLM</t>
        </is>
      </c>
      <c r="I48" t="n">
        <v>1.4</v>
      </c>
      <c r="J48" t="n">
        <v>2</v>
      </c>
      <c r="K48" t="n">
        <v>2</v>
      </c>
      <c r="L48" t="n">
        <v>1</v>
      </c>
      <c r="M48" t="n">
        <v>0</v>
      </c>
      <c r="N48" t="n">
        <v>0</v>
      </c>
      <c r="O48" t="n">
        <v>0</v>
      </c>
      <c r="P48" t="n">
        <v>0</v>
      </c>
      <c r="Q48" t="n">
        <v>1</v>
      </c>
      <c r="R48" t="n">
        <v>0</v>
      </c>
      <c r="S48" t="n">
        <v>4</v>
      </c>
      <c r="T48" t="n">
        <v>11</v>
      </c>
      <c r="U48" t="n">
        <v>6</v>
      </c>
      <c r="V48" s="2" t="inlineStr">
        <is>
          <t>Sydlig kantmusseron
Murgröna
Skogsknipprot
Revlummer</t>
        </is>
      </c>
      <c r="W48">
        <f>HYPERLINK("https://klasma.github.io/Logging_0885/artfynd/A 21797-2024 artfynd.xlsx", "A 21797-2024")</f>
        <v/>
      </c>
      <c r="X48">
        <f>HYPERLINK("https://klasma.github.io/Logging_0885/kartor/A 21797-2024 karta.png", "A 21797-2024")</f>
        <v/>
      </c>
      <c r="Y48">
        <f>HYPERLINK("https://klasma.github.io/Logging_0885/kartor_geotiff/A 21797-2024 georefererad karta.tif", "A 21797-2024")</f>
        <v/>
      </c>
      <c r="AA48">
        <f>HYPERLINK("https://klasma.github.io/Logging_0885/klagomål/A 21797-2024 FSC-klagomål.docx", "A 21797-2024")</f>
        <v/>
      </c>
      <c r="AB48">
        <f>HYPERLINK("https://klasma.github.io/Logging_0885/klagomålsmail/A 21797-2024 FSC-klagomål mail.docx", "A 21797-2024")</f>
        <v/>
      </c>
      <c r="AC48">
        <f>HYPERLINK("https://klasma.github.io/Logging_0885/tillsyn/A 21797-2024 tillsynsbegäran.docx", "A 21797-2024")</f>
        <v/>
      </c>
      <c r="AD48">
        <f>HYPERLINK("https://klasma.github.io/Logging_0885/tillsynsmail/A 21797-2024 tillsynsbegäran mail.docx", "A 21797-2024")</f>
        <v/>
      </c>
    </row>
    <row r="49" ht="15" customHeight="1">
      <c r="A49" t="inlineStr">
        <is>
          <t>S 2740-2022</t>
        </is>
      </c>
      <c r="B49" t="inlineStr">
        <is>
          <t>samrådsanmälan</t>
        </is>
      </c>
      <c r="C49" t="inlineStr">
        <is>
          <t>Annan skogsbruksåtgärd</t>
        </is>
      </c>
      <c r="D49" s="1" t="n">
        <v>44704</v>
      </c>
      <c r="E49" s="1" t="n">
        <v>46313</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46313</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46313</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46313</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46313</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32174-2022</t>
        </is>
      </c>
      <c r="B54" t="inlineStr">
        <is>
          <t>avverkningsanmälan</t>
        </is>
      </c>
      <c r="C54" t="inlineStr">
        <is>
          <t>Avverkning för att bevara och utveckla /försöksver</t>
        </is>
      </c>
      <c r="D54" s="1" t="n">
        <v>44781</v>
      </c>
      <c r="E54" s="1" t="n">
        <v>46313</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43756-2022</t>
        </is>
      </c>
      <c r="B55" t="inlineStr">
        <is>
          <t>avverkningsanmälan</t>
        </is>
      </c>
      <c r="C55" t="inlineStr">
        <is>
          <t>Föryngringsavverkning</t>
        </is>
      </c>
      <c r="D55" s="1" t="n">
        <v>44837</v>
      </c>
      <c r="E55" s="1" t="n">
        <v>46313</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27283-2026</t>
        </is>
      </c>
      <c r="B56" t="inlineStr">
        <is>
          <t>avverkningsanmälan</t>
        </is>
      </c>
      <c r="C56" t="inlineStr">
        <is>
          <t>Avverkning för att bevara och utveckla /försöksver</t>
        </is>
      </c>
      <c r="D56" s="1" t="n">
        <v>46188</v>
      </c>
      <c r="E56" s="1" t="n">
        <v>46313</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46313</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15285-2026</t>
        </is>
      </c>
      <c r="B58" t="inlineStr">
        <is>
          <t>avverkningsanmälan</t>
        </is>
      </c>
      <c r="C58" t="inlineStr">
        <is>
          <t>Avverkning för att bevara och utveckla /försöksver</t>
        </is>
      </c>
      <c r="D58" s="1" t="n">
        <v>46105</v>
      </c>
      <c r="E58" s="1" t="n">
        <v>46313</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A 31520-2026</t>
        </is>
      </c>
      <c r="B59" t="inlineStr">
        <is>
          <t>avverkningsanmälan</t>
        </is>
      </c>
      <c r="C59" t="inlineStr">
        <is>
          <t>Avverkning för att bevara och utveckla /försöksver</t>
        </is>
      </c>
      <c r="D59" s="1" t="n">
        <v>46223</v>
      </c>
      <c r="E59" s="1" t="n">
        <v>46313</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A 24048-2025</t>
        </is>
      </c>
      <c r="B60" t="inlineStr">
        <is>
          <t>avverkningsanmälan</t>
        </is>
      </c>
      <c r="C60" t="inlineStr">
        <is>
          <t>Föryngringsavverkning</t>
        </is>
      </c>
      <c r="D60" s="1" t="n">
        <v>45796</v>
      </c>
      <c r="E60" s="1" t="n">
        <v>46313</v>
      </c>
      <c r="F60" t="inlineStr">
        <is>
          <t>KALMAR LÄN</t>
        </is>
      </c>
      <c r="G60" t="inlineStr">
        <is>
          <t>BORGHOLM</t>
        </is>
      </c>
      <c r="I60" t="n">
        <v>2</v>
      </c>
      <c r="J60" t="n">
        <v>1</v>
      </c>
      <c r="K60" t="n">
        <v>0</v>
      </c>
      <c r="L60" t="n">
        <v>2</v>
      </c>
      <c r="M60" t="n">
        <v>0</v>
      </c>
      <c r="N60" t="n">
        <v>0</v>
      </c>
      <c r="O60" t="n">
        <v>0</v>
      </c>
      <c r="P60" t="n">
        <v>0</v>
      </c>
      <c r="Q60" t="n">
        <v>2</v>
      </c>
      <c r="R60" t="n">
        <v>0</v>
      </c>
      <c r="S60" t="n">
        <v>3</v>
      </c>
      <c r="T60" t="n">
        <v>5</v>
      </c>
      <c r="U60" t="n">
        <v>0</v>
      </c>
      <c r="V60" s="2" t="inlineStr">
        <is>
          <t>Loppstarr
Ängsstarr
Kärrknipprot</t>
        </is>
      </c>
      <c r="W60">
        <f>HYPERLINK("https://klasma.github.io/Logging_0885/artfynd/A 24048-2025 artfynd.xlsx", "A 24048-2025")</f>
        <v/>
      </c>
      <c r="X60">
        <f>HYPERLINK("https://klasma.github.io/Logging_0885/kartor/A 24048-2025 karta.png", "A 24048-2025")</f>
        <v/>
      </c>
      <c r="Y60">
        <f>HYPERLINK("https://klasma.github.io/Logging_0885/kartor_geotiff/A 24048-2025 georefererad karta.tif", "A 24048-2025")</f>
        <v/>
      </c>
      <c r="AA60">
        <f>HYPERLINK("https://klasma.github.io/Logging_0885/klagomål/A 24048-2025 FSC-klagomål.docx", "A 24048-2025")</f>
        <v/>
      </c>
      <c r="AB60">
        <f>HYPERLINK("https://klasma.github.io/Logging_0885/klagomålsmail/A 24048-2025 FSC-klagomål mail.docx", "A 24048-2025")</f>
        <v/>
      </c>
      <c r="AC60">
        <f>HYPERLINK("https://klasma.github.io/Logging_0885/tillsyn/A 24048-2025 tillsynsbegäran.docx", "A 24048-2025")</f>
        <v/>
      </c>
      <c r="AD60">
        <f>HYPERLINK("https://klasma.github.io/Logging_0885/tillsynsmail/A 24048-2025 tillsynsbegäran mail.docx", "A 24048-2025")</f>
        <v/>
      </c>
    </row>
    <row r="61" ht="15" customHeight="1">
      <c r="A61" t="inlineStr">
        <is>
          <t>S 846-2026</t>
        </is>
      </c>
      <c r="B61" t="inlineStr">
        <is>
          <t>samrådsanmälan</t>
        </is>
      </c>
      <c r="C61" t="inlineStr">
        <is>
          <t>Annan skogsbruksåtgärd</t>
        </is>
      </c>
      <c r="D61" s="1" t="n">
        <v>46105</v>
      </c>
      <c r="E61" s="1" t="n">
        <v>46313</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46313</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46313</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46313</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21908-2022</t>
        </is>
      </c>
      <c r="B65" t="inlineStr">
        <is>
          <t>avverkningsanmälan</t>
        </is>
      </c>
      <c r="C65" t="inlineStr">
        <is>
          <t>Föryngringsavverkning</t>
        </is>
      </c>
      <c r="D65" s="1" t="n">
        <v>44711</v>
      </c>
      <c r="E65" s="1" t="n">
        <v>46313</v>
      </c>
      <c r="F65" t="inlineStr">
        <is>
          <t>KALMAR LÄN</t>
        </is>
      </c>
      <c r="G65" t="inlineStr">
        <is>
          <t>BORGHOLM</t>
        </is>
      </c>
      <c r="I65" t="n">
        <v>4.7</v>
      </c>
      <c r="J65" t="n">
        <v>1</v>
      </c>
      <c r="K65" t="n">
        <v>2</v>
      </c>
      <c r="L65" t="n">
        <v>0</v>
      </c>
      <c r="M65" t="n">
        <v>0</v>
      </c>
      <c r="N65" t="n">
        <v>0</v>
      </c>
      <c r="O65" t="n">
        <v>0</v>
      </c>
      <c r="P65" t="n">
        <v>0</v>
      </c>
      <c r="Q65" t="n">
        <v>0</v>
      </c>
      <c r="R65" t="n">
        <v>0</v>
      </c>
      <c r="S65" t="n">
        <v>2</v>
      </c>
      <c r="T65" t="n">
        <v>2</v>
      </c>
      <c r="U65" t="n">
        <v>2</v>
      </c>
      <c r="V65" s="2" t="inlineStr">
        <is>
          <t>Myskmadra
Skogsknipprot</t>
        </is>
      </c>
      <c r="W65">
        <f>HYPERLINK("https://klasma.github.io/Logging_0885/artfynd/A 21908-2022 artfynd.xlsx", "A 21908-2022")</f>
        <v/>
      </c>
      <c r="X65">
        <f>HYPERLINK("https://klasma.github.io/Logging_0885/kartor/A 21908-2022 karta.png", "A 21908-2022")</f>
        <v/>
      </c>
      <c r="Y65">
        <f>HYPERLINK("https://klasma.github.io/Logging_0885/kartor_geotiff/A 21908-2022 georefererad karta.tif", "A 21908-2022")</f>
        <v/>
      </c>
      <c r="AA65">
        <f>HYPERLINK("https://klasma.github.io/Logging_0885/klagomål/A 21908-2022 FSC-klagomål.docx", "A 21908-2022")</f>
        <v/>
      </c>
      <c r="AB65">
        <f>HYPERLINK("https://klasma.github.io/Logging_0885/klagomålsmail/A 21908-2022 FSC-klagomål mail.docx", "A 21908-2022")</f>
        <v/>
      </c>
      <c r="AC65">
        <f>HYPERLINK("https://klasma.github.io/Logging_0885/tillsyn/A 21908-2022 tillsynsbegäran.docx", "A 21908-2022")</f>
        <v/>
      </c>
      <c r="AD65">
        <f>HYPERLINK("https://klasma.github.io/Logging_0885/tillsynsmail/A 21908-2022 tillsynsbegäran mail.docx", "A 21908-2022")</f>
        <v/>
      </c>
    </row>
    <row r="66" ht="15" customHeight="1">
      <c r="A66" t="inlineStr">
        <is>
          <t>A 60141-2025</t>
        </is>
      </c>
      <c r="B66" t="inlineStr">
        <is>
          <t>avverkningsanmälan</t>
        </is>
      </c>
      <c r="C66" t="inlineStr">
        <is>
          <t>Föryngringsavverkning</t>
        </is>
      </c>
      <c r="D66" s="1" t="n">
        <v>45994</v>
      </c>
      <c r="E66" s="1" t="n">
        <v>46313</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46313</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24322-2026</t>
        </is>
      </c>
      <c r="B68" t="inlineStr">
        <is>
          <t>avverkningsanmälan</t>
        </is>
      </c>
      <c r="C68" t="inlineStr">
        <is>
          <t>Föryngringsavverkning</t>
        </is>
      </c>
      <c r="D68" s="1" t="n">
        <v>46169</v>
      </c>
      <c r="E68" s="1" t="n">
        <v>46313</v>
      </c>
      <c r="F68" t="inlineStr">
        <is>
          <t>KALMAR LÄN</t>
        </is>
      </c>
      <c r="G68" t="inlineStr">
        <is>
          <t>BORGHOLM</t>
        </is>
      </c>
      <c r="H68" t="inlineStr">
        <is>
          <t>Sveaskog</t>
        </is>
      </c>
      <c r="I68" t="n">
        <v>5.5</v>
      </c>
      <c r="J68" t="n">
        <v>2</v>
      </c>
      <c r="K68" t="n">
        <v>2</v>
      </c>
      <c r="L68" t="n">
        <v>0</v>
      </c>
      <c r="M68" t="n">
        <v>0</v>
      </c>
      <c r="N68" t="n">
        <v>0</v>
      </c>
      <c r="O68" t="n">
        <v>0</v>
      </c>
      <c r="P68" t="n">
        <v>0</v>
      </c>
      <c r="Q68" t="n">
        <v>0</v>
      </c>
      <c r="R68" t="n">
        <v>0</v>
      </c>
      <c r="S68" t="n">
        <v>2</v>
      </c>
      <c r="T68" t="n">
        <v>2</v>
      </c>
      <c r="U68" t="n">
        <v>0</v>
      </c>
      <c r="V68" s="2" t="inlineStr">
        <is>
          <t>Purpurknipprot
Skogsknipprot</t>
        </is>
      </c>
      <c r="W68">
        <f>HYPERLINK("https://klasma.github.io/Logging_0885/artfynd/A 24322-2026 artfynd.xlsx", "A 24322-2026")</f>
        <v/>
      </c>
      <c r="X68">
        <f>HYPERLINK("https://klasma.github.io/Logging_0885/kartor/A 24322-2026 karta.png", "A 24322-2026")</f>
        <v/>
      </c>
      <c r="Y68">
        <f>HYPERLINK("https://klasma.github.io/Logging_0885/kartor_geotiff/A 24322-2026 georefererad karta.tif", "A 24322-2026")</f>
        <v/>
      </c>
      <c r="AA68">
        <f>HYPERLINK("https://klasma.github.io/Logging_0885/klagomål/A 24322-2026 FSC-klagomål.docx", "A 24322-2026")</f>
        <v/>
      </c>
      <c r="AB68">
        <f>HYPERLINK("https://klasma.github.io/Logging_0885/klagomålsmail/A 24322-2026 FSC-klagomål mail.docx", "A 24322-2026")</f>
        <v/>
      </c>
      <c r="AC68">
        <f>HYPERLINK("https://klasma.github.io/Logging_0885/tillsyn/A 24322-2026 tillsynsbegäran.docx", "A 24322-2026")</f>
        <v/>
      </c>
      <c r="AD68">
        <f>HYPERLINK("https://klasma.github.io/Logging_0885/tillsynsmail/A 24322-2026 tillsynsbegäran mail.docx", "A 24322-2026")</f>
        <v/>
      </c>
    </row>
    <row r="69" ht="15" customHeight="1">
      <c r="A69" t="inlineStr">
        <is>
          <t>A 9253-2026</t>
        </is>
      </c>
      <c r="B69" t="inlineStr">
        <is>
          <t>avverkningsanmälan</t>
        </is>
      </c>
      <c r="C69" t="inlineStr">
        <is>
          <t>Föryngringsavverkning</t>
        </is>
      </c>
      <c r="D69" s="1" t="n">
        <v>46070</v>
      </c>
      <c r="E69" s="1" t="n">
        <v>46313</v>
      </c>
      <c r="F69" t="inlineStr">
        <is>
          <t>KALMAR LÄN</t>
        </is>
      </c>
      <c r="G69" t="inlineStr">
        <is>
          <t>BORGHOLM</t>
        </is>
      </c>
      <c r="I69" t="n">
        <v>1.1</v>
      </c>
      <c r="J69" t="n">
        <v>1</v>
      </c>
      <c r="K69" t="n">
        <v>1</v>
      </c>
      <c r="L69" t="n">
        <v>0</v>
      </c>
      <c r="M69" t="n">
        <v>0</v>
      </c>
      <c r="N69" t="n">
        <v>0</v>
      </c>
      <c r="O69" t="n">
        <v>0</v>
      </c>
      <c r="P69" t="n">
        <v>0</v>
      </c>
      <c r="Q69" t="n">
        <v>0</v>
      </c>
      <c r="R69" t="n">
        <v>0</v>
      </c>
      <c r="S69" t="n">
        <v>2</v>
      </c>
      <c r="T69" t="n">
        <v>2</v>
      </c>
      <c r="U69" t="n">
        <v>0</v>
      </c>
      <c r="V69" s="2" t="inlineStr">
        <is>
          <t>Murgröna
Gullviva</t>
        </is>
      </c>
      <c r="W69">
        <f>HYPERLINK("https://klasma.github.io/Logging_0885/artfynd/A 9253-2026 artfynd.xlsx", "A 9253-2026")</f>
        <v/>
      </c>
      <c r="X69">
        <f>HYPERLINK("https://klasma.github.io/Logging_0885/kartor/A 9253-2026 karta.png", "A 9253-2026")</f>
        <v/>
      </c>
      <c r="Y69">
        <f>HYPERLINK("https://klasma.github.io/Logging_0885/kartor_geotiff/A 9253-2026 georefererad karta.tif", "A 9253-2026")</f>
        <v/>
      </c>
      <c r="AA69">
        <f>HYPERLINK("https://klasma.github.io/Logging_0885/klagomål/A 9253-2026 FSC-klagomål.docx", "A 9253-2026")</f>
        <v/>
      </c>
      <c r="AB69">
        <f>HYPERLINK("https://klasma.github.io/Logging_0885/klagomålsmail/A 9253-2026 FSC-klagomål mail.docx", "A 9253-2026")</f>
        <v/>
      </c>
      <c r="AC69">
        <f>HYPERLINK("https://klasma.github.io/Logging_0885/tillsyn/A 9253-2026 tillsynsbegäran.docx", "A 9253-2026")</f>
        <v/>
      </c>
      <c r="AD69">
        <f>HYPERLINK("https://klasma.github.io/Logging_0885/tillsynsmail/A 9253-2026 tillsynsbegäran mail.docx", "A 9253-2026")</f>
        <v/>
      </c>
    </row>
    <row r="70" ht="15" customHeight="1">
      <c r="A70" t="inlineStr">
        <is>
          <t>A 44678-2022</t>
        </is>
      </c>
      <c r="B70" t="inlineStr">
        <is>
          <t>avverkningsanmälan</t>
        </is>
      </c>
      <c r="C70" t="inlineStr">
        <is>
          <t>Föryngringsavverkning</t>
        </is>
      </c>
      <c r="D70" s="1" t="n">
        <v>44840</v>
      </c>
      <c r="E70" s="1" t="n">
        <v>46313</v>
      </c>
      <c r="F70" t="inlineStr">
        <is>
          <t>KALMAR LÄN</t>
        </is>
      </c>
      <c r="G70" t="inlineStr">
        <is>
          <t>BORGHOLM</t>
        </is>
      </c>
      <c r="I70" t="n">
        <v>2.4</v>
      </c>
      <c r="J70" t="n">
        <v>1</v>
      </c>
      <c r="K70" t="n">
        <v>1</v>
      </c>
      <c r="L70" t="n">
        <v>0</v>
      </c>
      <c r="M70" t="n">
        <v>0</v>
      </c>
      <c r="N70" t="n">
        <v>1</v>
      </c>
      <c r="O70" t="n">
        <v>0</v>
      </c>
      <c r="P70" t="n">
        <v>0</v>
      </c>
      <c r="Q70" t="n">
        <v>1</v>
      </c>
      <c r="R70" t="n">
        <v>1</v>
      </c>
      <c r="S70" t="n">
        <v>2</v>
      </c>
      <c r="T70" t="n">
        <v>2</v>
      </c>
      <c r="U70" t="n">
        <v>1</v>
      </c>
      <c r="V70" s="2" t="inlineStr">
        <is>
          <t>Ask
Skogsknipprot</t>
        </is>
      </c>
      <c r="W70">
        <f>HYPERLINK("https://klasma.github.io/Logging_0885/artfynd/A 44678-2022 artfynd.xlsx", "A 44678-2022")</f>
        <v/>
      </c>
      <c r="X70">
        <f>HYPERLINK("https://klasma.github.io/Logging_0885/kartor/A 44678-2022 karta.png", "A 44678-2022")</f>
        <v/>
      </c>
      <c r="Y70">
        <f>HYPERLINK("https://klasma.github.io/Logging_0885/kartor_geotiff/A 44678-2022 georefererad karta.tif", "A 44678-2022")</f>
        <v/>
      </c>
      <c r="AA70">
        <f>HYPERLINK("https://klasma.github.io/Logging_0885/klagomål/A 44678-2022 FSC-klagomål.docx", "A 44678-2022")</f>
        <v/>
      </c>
      <c r="AB70">
        <f>HYPERLINK("https://klasma.github.io/Logging_0885/klagomålsmail/A 44678-2022 FSC-klagomål mail.docx", "A 44678-2022")</f>
        <v/>
      </c>
      <c r="AC70">
        <f>HYPERLINK("https://klasma.github.io/Logging_0885/tillsyn/A 44678-2022 tillsynsbegäran.docx", "A 44678-2022")</f>
        <v/>
      </c>
      <c r="AD70">
        <f>HYPERLINK("https://klasma.github.io/Logging_0885/tillsynsmail/A 44678-2022 tillsynsbegäran mail.docx", "A 44678-2022")</f>
        <v/>
      </c>
    </row>
    <row r="71" ht="15" customHeight="1">
      <c r="A71" t="inlineStr">
        <is>
          <t>A 29411-2026</t>
        </is>
      </c>
      <c r="B71" t="inlineStr">
        <is>
          <t>avverkningsanmälan</t>
        </is>
      </c>
      <c r="C71" t="inlineStr">
        <is>
          <t>Avverkning för att bevara och utveckla /försöksver</t>
        </is>
      </c>
      <c r="D71" s="1" t="n">
        <v>46203</v>
      </c>
      <c r="E71" s="1" t="n">
        <v>46313</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17699-2025</t>
        </is>
      </c>
      <c r="B72" t="inlineStr">
        <is>
          <t>avverkningsanmälan</t>
        </is>
      </c>
      <c r="C72" t="inlineStr">
        <is>
          <t>Föryngringsavverkning</t>
        </is>
      </c>
      <c r="D72" s="1" t="n">
        <v>45758</v>
      </c>
      <c r="E72" s="1" t="n">
        <v>46313</v>
      </c>
      <c r="F72" t="inlineStr">
        <is>
          <t>KALMAR LÄN</t>
        </is>
      </c>
      <c r="G72" t="inlineStr">
        <is>
          <t>BORGHOLM</t>
        </is>
      </c>
      <c r="I72" t="n">
        <v>0.7</v>
      </c>
      <c r="J72" t="n">
        <v>0</v>
      </c>
      <c r="K72" t="n">
        <v>0</v>
      </c>
      <c r="L72" t="n">
        <v>2</v>
      </c>
      <c r="M72" t="n">
        <v>0</v>
      </c>
      <c r="N72" t="n">
        <v>0</v>
      </c>
      <c r="O72" t="n">
        <v>0</v>
      </c>
      <c r="P72" t="n">
        <v>0</v>
      </c>
      <c r="Q72" t="n">
        <v>2</v>
      </c>
      <c r="R72" t="n">
        <v>0</v>
      </c>
      <c r="S72" t="n">
        <v>2</v>
      </c>
      <c r="T72" t="n">
        <v>2</v>
      </c>
      <c r="U72" t="n">
        <v>2</v>
      </c>
      <c r="V72" s="2" t="inlineStr">
        <is>
          <t>Backtimjan
Klibbveronika</t>
        </is>
      </c>
      <c r="W72">
        <f>HYPERLINK("https://klasma.github.io/Logging_0885/artfynd/A 17699-2025 artfynd.xlsx", "A 17699-2025")</f>
        <v/>
      </c>
      <c r="X72">
        <f>HYPERLINK("https://klasma.github.io/Logging_0885/kartor/A 17699-2025 karta.png", "A 17699-2025")</f>
        <v/>
      </c>
      <c r="Y72">
        <f>HYPERLINK("https://klasma.github.io/Logging_0885/kartor_geotiff/A 17699-2025 georefererad karta.tif", "A 17699-2025")</f>
        <v/>
      </c>
      <c r="AA72">
        <f>HYPERLINK("https://klasma.github.io/Logging_0885/klagomål/A 17699-2025 FSC-klagomål.docx", "A 17699-2025")</f>
        <v/>
      </c>
      <c r="AB72">
        <f>HYPERLINK("https://klasma.github.io/Logging_0885/klagomålsmail/A 17699-2025 FSC-klagomål mail.docx", "A 17699-2025")</f>
        <v/>
      </c>
      <c r="AC72">
        <f>HYPERLINK("https://klasma.github.io/Logging_0885/tillsyn/A 17699-2025 tillsynsbegäran.docx", "A 17699-2025")</f>
        <v/>
      </c>
      <c r="AD72">
        <f>HYPERLINK("https://klasma.github.io/Logging_0885/tillsynsmail/A 17699-2025 tillsynsbegäran mail.docx", "A 17699-2025")</f>
        <v/>
      </c>
    </row>
    <row r="73" ht="15" customHeight="1">
      <c r="A73" t="inlineStr">
        <is>
          <t>A 24166-2022</t>
        </is>
      </c>
      <c r="B73" t="inlineStr">
        <is>
          <t>avverkningsanmälan</t>
        </is>
      </c>
      <c r="C73" t="inlineStr">
        <is>
          <t>Avverkning för annat ändamål</t>
        </is>
      </c>
      <c r="D73" s="1" t="n">
        <v>44725</v>
      </c>
      <c r="E73" s="1" t="n">
        <v>46313</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A 29434-2026</t>
        </is>
      </c>
      <c r="B74" t="inlineStr">
        <is>
          <t>avverkningsanmälan</t>
        </is>
      </c>
      <c r="C74" t="inlineStr">
        <is>
          <t>Avverkning för att bevara och utveckla /försöksver</t>
        </is>
      </c>
      <c r="D74" s="1" t="n">
        <v>46203</v>
      </c>
      <c r="E74" s="1" t="n">
        <v>46313</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S 6144-2022</t>
        </is>
      </c>
      <c r="B75" t="inlineStr">
        <is>
          <t>samrådsanmälan</t>
        </is>
      </c>
      <c r="C75" t="inlineStr">
        <is>
          <t>Annan skogsbruksåtgärd</t>
        </is>
      </c>
      <c r="D75" s="1" t="n">
        <v>44865</v>
      </c>
      <c r="E75" s="1" t="n">
        <v>46313</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46313</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46313</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46313</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46313</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46313</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24701-2023</t>
        </is>
      </c>
      <c r="B81" t="inlineStr">
        <is>
          <t>avverkningsanmälan</t>
        </is>
      </c>
      <c r="C81" t="inlineStr">
        <is>
          <t>Föryngringsavverkning</t>
        </is>
      </c>
      <c r="D81" s="1" t="n">
        <v>45084</v>
      </c>
      <c r="E81" s="1" t="n">
        <v>46313</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63276-2023</t>
        </is>
      </c>
      <c r="B82" t="inlineStr">
        <is>
          <t>avverkningsanmälan</t>
        </is>
      </c>
      <c r="C82" t="inlineStr">
        <is>
          <t>Föryngringsavverkning</t>
        </is>
      </c>
      <c r="D82" s="1" t="n">
        <v>45273</v>
      </c>
      <c r="E82" s="1" t="n">
        <v>46313</v>
      </c>
      <c r="F82" t="inlineStr">
        <is>
          <t>KALMAR LÄN</t>
        </is>
      </c>
      <c r="G82" t="inlineStr">
        <is>
          <t>BORGHOLM</t>
        </is>
      </c>
      <c r="I82" t="n">
        <v>5</v>
      </c>
      <c r="J82" t="n">
        <v>0</v>
      </c>
      <c r="K82" t="n">
        <v>0</v>
      </c>
      <c r="L82" t="n">
        <v>0</v>
      </c>
      <c r="M82" t="n">
        <v>1</v>
      </c>
      <c r="N82" t="n">
        <v>0</v>
      </c>
      <c r="O82" t="n">
        <v>0</v>
      </c>
      <c r="P82" t="n">
        <v>0</v>
      </c>
      <c r="Q82" t="n">
        <v>1</v>
      </c>
      <c r="R82" t="n">
        <v>1</v>
      </c>
      <c r="S82" t="n">
        <v>1</v>
      </c>
      <c r="T82" t="n">
        <v>1</v>
      </c>
      <c r="U82" t="n">
        <v>0</v>
      </c>
      <c r="V82" s="2" t="inlineStr">
        <is>
          <t>Elaphomyces barrioi</t>
        </is>
      </c>
      <c r="W82">
        <f>HYPERLINK("https://klasma.github.io/Logging_0885/artfynd/A 63276-2023 artfynd.xlsx", "A 63276-2023")</f>
        <v/>
      </c>
      <c r="X82">
        <f>HYPERLINK("https://klasma.github.io/Logging_0885/kartor/A 63276-2023 karta.png", "A 63276-2023")</f>
        <v/>
      </c>
      <c r="Y82">
        <f>HYPERLINK("https://klasma.github.io/Logging_0885/kartor_geotiff/A 63276-2023 georefererad karta.tif", "A 63276-2023")</f>
        <v/>
      </c>
      <c r="AA82">
        <f>HYPERLINK("https://klasma.github.io/Logging_0885/klagomål/A 63276-2023 FSC-klagomål.docx", "A 63276-2023")</f>
        <v/>
      </c>
      <c r="AB82">
        <f>HYPERLINK("https://klasma.github.io/Logging_0885/klagomålsmail/A 63276-2023 FSC-klagomål mail.docx", "A 63276-2023")</f>
        <v/>
      </c>
      <c r="AC82">
        <f>HYPERLINK("https://klasma.github.io/Logging_0885/tillsyn/A 63276-2023 tillsynsbegäran.docx", "A 63276-2023")</f>
        <v/>
      </c>
      <c r="AD82">
        <f>HYPERLINK("https://klasma.github.io/Logging_0885/tillsynsmail/A 63276-2023 tillsynsbegäran mail.docx", "A 63276-2023")</f>
        <v/>
      </c>
    </row>
    <row r="83" ht="15" customHeight="1">
      <c r="A83" t="inlineStr">
        <is>
          <t>A 24704-2023</t>
        </is>
      </c>
      <c r="B83" t="inlineStr">
        <is>
          <t>avverkningsanmälan</t>
        </is>
      </c>
      <c r="C83" t="inlineStr">
        <is>
          <t>Föryngringsavverkning</t>
        </is>
      </c>
      <c r="D83" s="1" t="n">
        <v>45084</v>
      </c>
      <c r="E83" s="1" t="n">
        <v>46313</v>
      </c>
      <c r="F83" t="inlineStr">
        <is>
          <t>KALMAR LÄN</t>
        </is>
      </c>
      <c r="G83" t="inlineStr">
        <is>
          <t>BORGHOLM</t>
        </is>
      </c>
      <c r="I83" t="n">
        <v>3.5</v>
      </c>
      <c r="J83" t="n">
        <v>0</v>
      </c>
      <c r="K83" t="n">
        <v>0</v>
      </c>
      <c r="L83" t="n">
        <v>0</v>
      </c>
      <c r="M83" t="n">
        <v>0</v>
      </c>
      <c r="N83" t="n">
        <v>1</v>
      </c>
      <c r="O83" t="n">
        <v>0</v>
      </c>
      <c r="P83" t="n">
        <v>0</v>
      </c>
      <c r="Q83" t="n">
        <v>1</v>
      </c>
      <c r="R83" t="n">
        <v>1</v>
      </c>
      <c r="S83" t="n">
        <v>1</v>
      </c>
      <c r="T83" t="n">
        <v>2</v>
      </c>
      <c r="U83" t="n">
        <v>0</v>
      </c>
      <c r="V83" s="2" t="inlineStr">
        <is>
          <t>Ask</t>
        </is>
      </c>
      <c r="W83">
        <f>HYPERLINK("https://klasma.github.io/Logging_0885/artfynd/A 24704-2023 artfynd.xlsx", "A 24704-2023")</f>
        <v/>
      </c>
      <c r="X83">
        <f>HYPERLINK("https://klasma.github.io/Logging_0885/kartor/A 24704-2023 karta.png", "A 24704-2023")</f>
        <v/>
      </c>
      <c r="Y83">
        <f>HYPERLINK("https://klasma.github.io/Logging_0885/kartor_geotiff/A 24704-2023 georefererad karta.tif", "A 24704-2023")</f>
        <v/>
      </c>
      <c r="AA83">
        <f>HYPERLINK("https://klasma.github.io/Logging_0885/klagomål/A 24704-2023 FSC-klagomål.docx", "A 24704-2023")</f>
        <v/>
      </c>
      <c r="AB83">
        <f>HYPERLINK("https://klasma.github.io/Logging_0885/klagomålsmail/A 24704-2023 FSC-klagomål mail.docx", "A 24704-2023")</f>
        <v/>
      </c>
      <c r="AC83">
        <f>HYPERLINK("https://klasma.github.io/Logging_0885/tillsyn/A 24704-2023 tillsynsbegäran.docx", "A 24704-2023")</f>
        <v/>
      </c>
      <c r="AD83">
        <f>HYPERLINK("https://klasma.github.io/Logging_0885/tillsynsmail/A 24704-2023 tillsynsbegäran mail.docx", "A 24704-2023")</f>
        <v/>
      </c>
    </row>
    <row r="84" ht="15" customHeight="1">
      <c r="A84" t="inlineStr">
        <is>
          <t>A 41831-2025</t>
        </is>
      </c>
      <c r="B84" t="inlineStr">
        <is>
          <t>avverkningsanmälan</t>
        </is>
      </c>
      <c r="C84" t="inlineStr">
        <is>
          <t>Föryngringsavverkning</t>
        </is>
      </c>
      <c r="D84" s="1" t="n">
        <v>45902</v>
      </c>
      <c r="E84" s="1" t="n">
        <v>46313</v>
      </c>
      <c r="F84" t="inlineStr">
        <is>
          <t>KALMAR LÄN</t>
        </is>
      </c>
      <c r="G84" t="inlineStr">
        <is>
          <t>BORGHOLM</t>
        </is>
      </c>
      <c r="I84" t="n">
        <v>1.5</v>
      </c>
      <c r="J84" t="n">
        <v>1</v>
      </c>
      <c r="K84" t="n">
        <v>1</v>
      </c>
      <c r="L84" t="n">
        <v>0</v>
      </c>
      <c r="M84" t="n">
        <v>0</v>
      </c>
      <c r="N84" t="n">
        <v>0</v>
      </c>
      <c r="O84" t="n">
        <v>0</v>
      </c>
      <c r="P84" t="n">
        <v>0</v>
      </c>
      <c r="Q84" t="n">
        <v>0</v>
      </c>
      <c r="R84" t="n">
        <v>0</v>
      </c>
      <c r="S84" t="n">
        <v>1</v>
      </c>
      <c r="T84" t="n">
        <v>1</v>
      </c>
      <c r="U84" t="n">
        <v>0</v>
      </c>
      <c r="V84" s="2" t="inlineStr">
        <is>
          <t>Skogsknipprot</t>
        </is>
      </c>
      <c r="W84">
        <f>HYPERLINK("https://klasma.github.io/Logging_0885/artfynd/A 41831-2025 artfynd.xlsx", "A 41831-2025")</f>
        <v/>
      </c>
      <c r="X84">
        <f>HYPERLINK("https://klasma.github.io/Logging_0885/kartor/A 41831-2025 karta.png", "A 41831-2025")</f>
        <v/>
      </c>
      <c r="Y84">
        <f>HYPERLINK("https://klasma.github.io/Logging_0885/kartor_geotiff/A 41831-2025 georefererad karta.tif", "A 41831-2025")</f>
        <v/>
      </c>
      <c r="AA84">
        <f>HYPERLINK("https://klasma.github.io/Logging_0885/klagomål/A 41831-2025 FSC-klagomål.docx", "A 41831-2025")</f>
        <v/>
      </c>
      <c r="AB84">
        <f>HYPERLINK("https://klasma.github.io/Logging_0885/klagomålsmail/A 41831-2025 FSC-klagomål mail.docx", "A 41831-2025")</f>
        <v/>
      </c>
      <c r="AC84">
        <f>HYPERLINK("https://klasma.github.io/Logging_0885/tillsyn/A 41831-2025 tillsynsbegäran.docx", "A 41831-2025")</f>
        <v/>
      </c>
      <c r="AD84">
        <f>HYPERLINK("https://klasma.github.io/Logging_0885/tillsynsmail/A 41831-2025 tillsynsbegäran mail.docx", "A 41831-2025")</f>
        <v/>
      </c>
    </row>
    <row r="85" ht="15" customHeight="1">
      <c r="A85" t="inlineStr">
        <is>
          <t>A 9745-2023</t>
        </is>
      </c>
      <c r="B85" t="inlineStr">
        <is>
          <t>avverkningsanmälan</t>
        </is>
      </c>
      <c r="C85" t="inlineStr">
        <is>
          <t>Föryngringsavverkning</t>
        </is>
      </c>
      <c r="D85" s="1" t="n">
        <v>44984</v>
      </c>
      <c r="E85" s="1" t="n">
        <v>46313</v>
      </c>
      <c r="F85" t="inlineStr">
        <is>
          <t>KALMAR LÄN</t>
        </is>
      </c>
      <c r="G85" t="inlineStr">
        <is>
          <t>BORGHOLM</t>
        </is>
      </c>
      <c r="I85" t="n">
        <v>1.2</v>
      </c>
      <c r="J85" t="n">
        <v>1</v>
      </c>
      <c r="K85" t="n">
        <v>1</v>
      </c>
      <c r="L85" t="n">
        <v>0</v>
      </c>
      <c r="M85" t="n">
        <v>0</v>
      </c>
      <c r="N85" t="n">
        <v>0</v>
      </c>
      <c r="O85" t="n">
        <v>0</v>
      </c>
      <c r="P85" t="n">
        <v>0</v>
      </c>
      <c r="Q85" t="n">
        <v>0</v>
      </c>
      <c r="R85" t="n">
        <v>0</v>
      </c>
      <c r="S85" t="n">
        <v>1</v>
      </c>
      <c r="T85" t="n">
        <v>2</v>
      </c>
      <c r="U85" t="n">
        <v>1</v>
      </c>
      <c r="V85" s="2" t="inlineStr">
        <is>
          <t>Skogsknipprot</t>
        </is>
      </c>
      <c r="W85">
        <f>HYPERLINK("https://klasma.github.io/Logging_0885/artfynd/A 9745-2023 artfynd.xlsx", "A 9745-2023")</f>
        <v/>
      </c>
      <c r="X85">
        <f>HYPERLINK("https://klasma.github.io/Logging_0885/kartor/A 9745-2023 karta.png", "A 9745-2023")</f>
        <v/>
      </c>
      <c r="Y85">
        <f>HYPERLINK("https://klasma.github.io/Logging_0885/kartor_geotiff/A 9745-2023 georefererad karta.tif", "A 9745-2023")</f>
        <v/>
      </c>
      <c r="AA85">
        <f>HYPERLINK("https://klasma.github.io/Logging_0885/klagomål/A 9745-2023 FSC-klagomål.docx", "A 9745-2023")</f>
        <v/>
      </c>
      <c r="AB85">
        <f>HYPERLINK("https://klasma.github.io/Logging_0885/klagomålsmail/A 9745-2023 FSC-klagomål mail.docx", "A 9745-2023")</f>
        <v/>
      </c>
      <c r="AC85">
        <f>HYPERLINK("https://klasma.github.io/Logging_0885/tillsyn/A 9745-2023 tillsynsbegäran.docx", "A 9745-2023")</f>
        <v/>
      </c>
      <c r="AD85">
        <f>HYPERLINK("https://klasma.github.io/Logging_0885/tillsynsmail/A 9745-2023 tillsynsbegäran mail.docx", "A 9745-2023")</f>
        <v/>
      </c>
    </row>
    <row r="86" ht="15" customHeight="1">
      <c r="A86" t="inlineStr">
        <is>
          <t>A 3302-2026</t>
        </is>
      </c>
      <c r="B86" t="inlineStr">
        <is>
          <t>avverkningsanmälan</t>
        </is>
      </c>
      <c r="C86" t="inlineStr">
        <is>
          <t>Avverkning för annat ändamål</t>
        </is>
      </c>
      <c r="D86" s="1" t="n">
        <v>46041</v>
      </c>
      <c r="E86" s="1" t="n">
        <v>46313</v>
      </c>
      <c r="F86" t="inlineStr">
        <is>
          <t>KALMAR LÄN</t>
        </is>
      </c>
      <c r="G86" t="inlineStr">
        <is>
          <t>BORGHOLM</t>
        </is>
      </c>
      <c r="I86" t="n">
        <v>3.9</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HYPERLINK("https://klasma.github.io/Logging_0885/artfynd/A 3302-2026 artfynd.xlsx", "A 3302-2026")</f>
        <v/>
      </c>
      <c r="X86">
        <f>HYPERLINK("https://klasma.github.io/Logging_0885/kartor/A 3302-2026 karta.png", "A 3302-2026")</f>
        <v/>
      </c>
      <c r="Y86">
        <f>HYPERLINK("https://klasma.github.io/Logging_0885/kartor_geotiff/A 3302-2026 georefererad karta.tif", "A 3302-2026")</f>
        <v/>
      </c>
      <c r="AA86">
        <f>HYPERLINK("https://klasma.github.io/Logging_0885/klagomål/A 3302-2026 FSC-klagomål.docx", "A 3302-2026")</f>
        <v/>
      </c>
      <c r="AB86">
        <f>HYPERLINK("https://klasma.github.io/Logging_0885/klagomålsmail/A 3302-2026 FSC-klagomål mail.docx", "A 3302-2026")</f>
        <v/>
      </c>
      <c r="AC86">
        <f>HYPERLINK("https://klasma.github.io/Logging_0885/tillsyn/A 3302-2026 tillsynsbegäran.docx", "A 3302-2026")</f>
        <v/>
      </c>
      <c r="AD86">
        <f>HYPERLINK("https://klasma.github.io/Logging_0885/tillsynsmail/A 3302-2026 tillsynsbegäran mail.docx", "A 3302-2026")</f>
        <v/>
      </c>
    </row>
    <row r="87" ht="15" customHeight="1">
      <c r="A87" t="inlineStr">
        <is>
          <t>A 7481-2026</t>
        </is>
      </c>
      <c r="B87" t="inlineStr">
        <is>
          <t>avverkningsanmälan</t>
        </is>
      </c>
      <c r="C87" t="inlineStr">
        <is>
          <t>Föryngringsavverkning</t>
        </is>
      </c>
      <c r="D87" s="1" t="n">
        <v>46059</v>
      </c>
      <c r="E87" s="1" t="n">
        <v>46313</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9104-2026</t>
        </is>
      </c>
      <c r="B88" t="inlineStr">
        <is>
          <t>avverkningsanmälan</t>
        </is>
      </c>
      <c r="C88" t="inlineStr">
        <is>
          <t>Avverkning för annat ändamål</t>
        </is>
      </c>
      <c r="D88" s="1" t="n">
        <v>46069</v>
      </c>
      <c r="E88" s="1" t="n">
        <v>46313</v>
      </c>
      <c r="F88" t="inlineStr">
        <is>
          <t>KALMAR LÄN</t>
        </is>
      </c>
      <c r="G88" t="inlineStr">
        <is>
          <t>BORGHOLM</t>
        </is>
      </c>
      <c r="I88" t="n">
        <v>1.3</v>
      </c>
      <c r="J88" t="n">
        <v>0</v>
      </c>
      <c r="K88" t="n">
        <v>0</v>
      </c>
      <c r="L88" t="n">
        <v>0</v>
      </c>
      <c r="M88" t="n">
        <v>0</v>
      </c>
      <c r="N88" t="n">
        <v>0</v>
      </c>
      <c r="O88" t="n">
        <v>0</v>
      </c>
      <c r="P88" t="n">
        <v>0</v>
      </c>
      <c r="Q88" t="n">
        <v>0</v>
      </c>
      <c r="R88" t="n">
        <v>0</v>
      </c>
      <c r="S88" t="n">
        <v>1</v>
      </c>
      <c r="T88" t="n">
        <v>1</v>
      </c>
      <c r="U88" t="n">
        <v>1</v>
      </c>
      <c r="V88" s="2" t="inlineStr">
        <is>
          <t>Liljekonvalj</t>
        </is>
      </c>
      <c r="W88">
        <f>HYPERLINK("https://klasma.github.io/Logging_0885/artfynd/A 9104-2026 artfynd.xlsx", "A 9104-2026")</f>
        <v/>
      </c>
      <c r="X88">
        <f>HYPERLINK("https://klasma.github.io/Logging_0885/kartor/A 9104-2026 karta.png", "A 9104-2026")</f>
        <v/>
      </c>
      <c r="Y88">
        <f>HYPERLINK("https://klasma.github.io/Logging_0885/kartor_geotiff/A 9104-2026 georefererad karta.tif", "A 9104-2026")</f>
        <v/>
      </c>
      <c r="AA88">
        <f>HYPERLINK("https://klasma.github.io/Logging_0885/klagomål/A 9104-2026 FSC-klagomål.docx", "A 9104-2026")</f>
        <v/>
      </c>
      <c r="AB88">
        <f>HYPERLINK("https://klasma.github.io/Logging_0885/klagomålsmail/A 9104-2026 FSC-klagomål mail.docx", "A 9104-2026")</f>
        <v/>
      </c>
      <c r="AC88">
        <f>HYPERLINK("https://klasma.github.io/Logging_0885/tillsyn/A 9104-2026 tillsynsbegäran.docx", "A 9104-2026")</f>
        <v/>
      </c>
      <c r="AD88">
        <f>HYPERLINK("https://klasma.github.io/Logging_0885/tillsynsmail/A 9104-2026 tillsynsbegäran mail.docx", "A 9104-2026")</f>
        <v/>
      </c>
    </row>
    <row r="89" ht="15" customHeight="1">
      <c r="A89" t="inlineStr">
        <is>
          <t>A 9905-2026</t>
        </is>
      </c>
      <c r="B89" t="inlineStr">
        <is>
          <t>avverkningsanmälan</t>
        </is>
      </c>
      <c r="C89" t="inlineStr">
        <is>
          <t>Föryngringsavverkning</t>
        </is>
      </c>
      <c r="D89" s="1" t="n">
        <v>46073</v>
      </c>
      <c r="E89" s="1" t="n">
        <v>46313</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26840-2026</t>
        </is>
      </c>
      <c r="B90" t="inlineStr">
        <is>
          <t>avverkningsanmälan</t>
        </is>
      </c>
      <c r="C90" t="inlineStr">
        <is>
          <t>Avverkning för att bevara och utveckla /försöksver</t>
        </is>
      </c>
      <c r="D90" s="1" t="n">
        <v>46185</v>
      </c>
      <c r="E90" s="1" t="n">
        <v>46313</v>
      </c>
      <c r="F90" t="inlineStr">
        <is>
          <t>KALMAR LÄN</t>
        </is>
      </c>
      <c r="G90" t="inlineStr">
        <is>
          <t>BORGHOLM</t>
        </is>
      </c>
      <c r="H90" t="inlineStr">
        <is>
          <t>Sveaskog</t>
        </is>
      </c>
      <c r="I90" t="n">
        <v>1.4</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26840-2026 artfynd.xlsx", "A 26840-2026")</f>
        <v/>
      </c>
      <c r="X90">
        <f>HYPERLINK("https://klasma.github.io/Logging_0885/kartor/A 26840-2026 karta.png", "A 26840-2026")</f>
        <v/>
      </c>
      <c r="Y90">
        <f>HYPERLINK("https://klasma.github.io/Logging_0885/kartor_geotiff/A 26840-2026 georefererad karta.tif", "A 26840-2026")</f>
        <v/>
      </c>
      <c r="AA90">
        <f>HYPERLINK("https://klasma.github.io/Logging_0885/klagomål/A 26840-2026 FSC-klagomål.docx", "A 26840-2026")</f>
        <v/>
      </c>
      <c r="AB90">
        <f>HYPERLINK("https://klasma.github.io/Logging_0885/klagomålsmail/A 26840-2026 FSC-klagomål mail.docx", "A 26840-2026")</f>
        <v/>
      </c>
      <c r="AC90">
        <f>HYPERLINK("https://klasma.github.io/Logging_0885/tillsyn/A 26840-2026 tillsynsbegäran.docx", "A 26840-2026")</f>
        <v/>
      </c>
      <c r="AD90">
        <f>HYPERLINK("https://klasma.github.io/Logging_0885/tillsynsmail/A 26840-2026 tillsynsbegäran mail.docx", "A 26840-2026")</f>
        <v/>
      </c>
    </row>
    <row r="91" ht="15" customHeight="1">
      <c r="A91" t="inlineStr">
        <is>
          <t>A 31720-2022</t>
        </is>
      </c>
      <c r="B91" t="inlineStr">
        <is>
          <t>avverkningsanmälan</t>
        </is>
      </c>
      <c r="C91" t="inlineStr">
        <is>
          <t>Föryngringsavverkning</t>
        </is>
      </c>
      <c r="D91" s="1" t="n">
        <v>44776</v>
      </c>
      <c r="E91" s="1" t="n">
        <v>46313</v>
      </c>
      <c r="F91" t="inlineStr">
        <is>
          <t>KALMAR LÄN</t>
        </is>
      </c>
      <c r="G91" t="inlineStr">
        <is>
          <t>BORGHOLM</t>
        </is>
      </c>
      <c r="H91" t="inlineStr">
        <is>
          <t>Sveaskog</t>
        </is>
      </c>
      <c r="I91" t="n">
        <v>4.5</v>
      </c>
      <c r="J91" t="n">
        <v>1</v>
      </c>
      <c r="K91" t="n">
        <v>1</v>
      </c>
      <c r="L91" t="n">
        <v>0</v>
      </c>
      <c r="M91" t="n">
        <v>0</v>
      </c>
      <c r="N91" t="n">
        <v>0</v>
      </c>
      <c r="O91" t="n">
        <v>0</v>
      </c>
      <c r="P91" t="n">
        <v>0</v>
      </c>
      <c r="Q91" t="n">
        <v>0</v>
      </c>
      <c r="R91" t="n">
        <v>0</v>
      </c>
      <c r="S91" t="n">
        <v>1</v>
      </c>
      <c r="T91" t="n">
        <v>1</v>
      </c>
      <c r="U91" t="n">
        <v>1</v>
      </c>
      <c r="V91" s="2" t="inlineStr">
        <is>
          <t>Tvåblad</t>
        </is>
      </c>
      <c r="W91">
        <f>HYPERLINK("https://klasma.github.io/Logging_0885/artfynd/A 31720-2022 artfynd.xlsx", "A 31720-2022")</f>
        <v/>
      </c>
      <c r="X91">
        <f>HYPERLINK("https://klasma.github.io/Logging_0885/kartor/A 31720-2022 karta.png", "A 31720-2022")</f>
        <v/>
      </c>
      <c r="Y91">
        <f>HYPERLINK("https://klasma.github.io/Logging_0885/kartor_geotiff/A 31720-2022 georefererad karta.tif", "A 31720-2022")</f>
        <v/>
      </c>
      <c r="AA91">
        <f>HYPERLINK("https://klasma.github.io/Logging_0885/klagomål/A 31720-2022 FSC-klagomål.docx", "A 31720-2022")</f>
        <v/>
      </c>
      <c r="AB91">
        <f>HYPERLINK("https://klasma.github.io/Logging_0885/klagomålsmail/A 31720-2022 FSC-klagomål mail.docx", "A 31720-2022")</f>
        <v/>
      </c>
      <c r="AC91">
        <f>HYPERLINK("https://klasma.github.io/Logging_0885/tillsyn/A 31720-2022 tillsynsbegäran.docx", "A 31720-2022")</f>
        <v/>
      </c>
      <c r="AD91">
        <f>HYPERLINK("https://klasma.github.io/Logging_0885/tillsynsmail/A 31720-2022 tillsynsbegäran mail.docx", "A 31720-2022")</f>
        <v/>
      </c>
    </row>
    <row r="92" ht="15" customHeight="1">
      <c r="A92" t="inlineStr">
        <is>
          <t>A 19867-2024</t>
        </is>
      </c>
      <c r="B92" t="inlineStr">
        <is>
          <t>avverkningsanmälan</t>
        </is>
      </c>
      <c r="C92" t="inlineStr">
        <is>
          <t>Föryngringsavverkning</t>
        </is>
      </c>
      <c r="D92" s="1" t="n">
        <v>45433</v>
      </c>
      <c r="E92" s="1" t="n">
        <v>46313</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28374-2026</t>
        </is>
      </c>
      <c r="B93" t="inlineStr">
        <is>
          <t>avverkningsanmälan</t>
        </is>
      </c>
      <c r="C93" t="inlineStr">
        <is>
          <t>Avverkning för att bevara och utveckla /försöksver</t>
        </is>
      </c>
      <c r="D93" s="1" t="n">
        <v>46196</v>
      </c>
      <c r="E93" s="1" t="n">
        <v>46313</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t="n">
        <v>0</v>
      </c>
      <c r="V93" s="2" t="inlineStr">
        <is>
          <t>Purpurmusseron</t>
        </is>
      </c>
      <c r="W93">
        <f>HYPERLINK("https://klasma.github.io/Logging_0885/artfynd/A 28374-2026 artfynd.xlsx", "A 28374-2026")</f>
        <v/>
      </c>
      <c r="X93">
        <f>HYPERLINK("https://klasma.github.io/Logging_0885/kartor/A 28374-2026 karta.png", "A 28374-2026")</f>
        <v/>
      </c>
      <c r="Y93">
        <f>HYPERLINK("https://klasma.github.io/Logging_0885/kartor_geotiff/A 28374-2026 georefererad karta.tif", "A 28374-2026")</f>
        <v/>
      </c>
      <c r="AA93">
        <f>HYPERLINK("https://klasma.github.io/Logging_0885/klagomål/A 28374-2026 FSC-klagomål.docx", "A 28374-2026")</f>
        <v/>
      </c>
      <c r="AB93">
        <f>HYPERLINK("https://klasma.github.io/Logging_0885/klagomålsmail/A 28374-2026 FSC-klagomål mail.docx", "A 28374-2026")</f>
        <v/>
      </c>
      <c r="AC93">
        <f>HYPERLINK("https://klasma.github.io/Logging_0885/tillsyn/A 28374-2026 tillsynsbegäran.docx", "A 28374-2026")</f>
        <v/>
      </c>
      <c r="AD93">
        <f>HYPERLINK("https://klasma.github.io/Logging_0885/tillsynsmail/A 28374-2026 tillsynsbegäran mail.docx", "A 28374-2026")</f>
        <v/>
      </c>
    </row>
    <row r="94" ht="15" customHeight="1">
      <c r="A94" t="inlineStr">
        <is>
          <t>A 28430-2026</t>
        </is>
      </c>
      <c r="B94" t="inlineStr">
        <is>
          <t>avverkningsanmälan</t>
        </is>
      </c>
      <c r="C94" t="inlineStr">
        <is>
          <t>Avverkning för att bevara och utveckla /försöksver</t>
        </is>
      </c>
      <c r="D94" s="1" t="n">
        <v>46197</v>
      </c>
      <c r="E94" s="1" t="n">
        <v>46313</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t="n">
        <v>0</v>
      </c>
      <c r="V94" s="2" t="inlineStr">
        <is>
          <t>Oxtungssvamp</t>
        </is>
      </c>
      <c r="W94">
        <f>HYPERLINK("https://klasma.github.io/Logging_0885/artfynd/A 28430-2026 artfynd.xlsx", "A 28430-2026")</f>
        <v/>
      </c>
      <c r="X94">
        <f>HYPERLINK("https://klasma.github.io/Logging_0885/kartor/A 28430-2026 karta.png", "A 28430-2026")</f>
        <v/>
      </c>
      <c r="Y94">
        <f>HYPERLINK("https://klasma.github.io/Logging_0885/kartor_geotiff/A 28430-2026 georefererad karta.tif", "A 28430-2026")</f>
        <v/>
      </c>
      <c r="AA94">
        <f>HYPERLINK("https://klasma.github.io/Logging_0885/klagomål/A 28430-2026 FSC-klagomål.docx", "A 28430-2026")</f>
        <v/>
      </c>
      <c r="AB94">
        <f>HYPERLINK("https://klasma.github.io/Logging_0885/klagomålsmail/A 28430-2026 FSC-klagomål mail.docx", "A 28430-2026")</f>
        <v/>
      </c>
      <c r="AC94">
        <f>HYPERLINK("https://klasma.github.io/Logging_0885/tillsyn/A 28430-2026 tillsynsbegäran.docx", "A 28430-2026")</f>
        <v/>
      </c>
      <c r="AD94">
        <f>HYPERLINK("https://klasma.github.io/Logging_0885/tillsynsmail/A 28430-2026 tillsynsbegäran mail.docx", "A 28430-2026")</f>
        <v/>
      </c>
    </row>
    <row r="95" ht="15" customHeight="1">
      <c r="A95" t="inlineStr">
        <is>
          <t>A 13043-2024</t>
        </is>
      </c>
      <c r="B95" t="inlineStr">
        <is>
          <t>avverkningsanmälan</t>
        </is>
      </c>
      <c r="C95" t="inlineStr">
        <is>
          <t>Föryngringsavverkning</t>
        </is>
      </c>
      <c r="D95" s="1" t="n">
        <v>45385</v>
      </c>
      <c r="E95" s="1" t="n">
        <v>46313</v>
      </c>
      <c r="F95" t="inlineStr">
        <is>
          <t>KALMAR LÄN</t>
        </is>
      </c>
      <c r="G95" t="inlineStr">
        <is>
          <t>BORGHOLM</t>
        </is>
      </c>
      <c r="I95" t="n">
        <v>0.4</v>
      </c>
      <c r="J95" t="n">
        <v>1</v>
      </c>
      <c r="K95" t="n">
        <v>1</v>
      </c>
      <c r="L95" t="n">
        <v>0</v>
      </c>
      <c r="M95" t="n">
        <v>0</v>
      </c>
      <c r="N95" t="n">
        <v>0</v>
      </c>
      <c r="O95" t="n">
        <v>0</v>
      </c>
      <c r="P95" t="n">
        <v>0</v>
      </c>
      <c r="Q95" t="n">
        <v>0</v>
      </c>
      <c r="R95" t="n">
        <v>0</v>
      </c>
      <c r="S95" t="n">
        <v>1</v>
      </c>
      <c r="T95" t="n">
        <v>1</v>
      </c>
      <c r="U95" t="n">
        <v>0</v>
      </c>
      <c r="V95" s="2" t="inlineStr">
        <is>
          <t>Ekoxe</t>
        </is>
      </c>
      <c r="W95">
        <f>HYPERLINK("https://klasma.github.io/Logging_0885/artfynd/A 13043-2024 artfynd.xlsx", "A 13043-2024")</f>
        <v/>
      </c>
      <c r="X95">
        <f>HYPERLINK("https://klasma.github.io/Logging_0885/kartor/A 13043-2024 karta.png", "A 13043-2024")</f>
        <v/>
      </c>
      <c r="Y95">
        <f>HYPERLINK("https://klasma.github.io/Logging_0885/kartor_geotiff/A 13043-2024 georefererad karta.tif", "A 13043-2024")</f>
        <v/>
      </c>
      <c r="AA95">
        <f>HYPERLINK("https://klasma.github.io/Logging_0885/klagomål/A 13043-2024 FSC-klagomål.docx", "A 13043-2024")</f>
        <v/>
      </c>
      <c r="AB95">
        <f>HYPERLINK("https://klasma.github.io/Logging_0885/klagomålsmail/A 13043-2024 FSC-klagomål mail.docx", "A 13043-2024")</f>
        <v/>
      </c>
      <c r="AC95">
        <f>HYPERLINK("https://klasma.github.io/Logging_0885/tillsyn/A 13043-2024 tillsynsbegäran.docx", "A 13043-2024")</f>
        <v/>
      </c>
      <c r="AD95">
        <f>HYPERLINK("https://klasma.github.io/Logging_0885/tillsynsmail/A 13043-2024 tillsynsbegäran mail.docx", "A 13043-2024")</f>
        <v/>
      </c>
    </row>
    <row r="96" ht="15" customHeight="1">
      <c r="A96" t="inlineStr">
        <is>
          <t>A 20878-2024</t>
        </is>
      </c>
      <c r="B96" t="inlineStr">
        <is>
          <t>avverkningsanmälan</t>
        </is>
      </c>
      <c r="C96" t="inlineStr">
        <is>
          <t>Föryngringsavverkning</t>
        </is>
      </c>
      <c r="D96" s="1" t="n">
        <v>45439</v>
      </c>
      <c r="E96" s="1" t="n">
        <v>46313</v>
      </c>
      <c r="F96" t="inlineStr">
        <is>
          <t>KALMAR LÄN</t>
        </is>
      </c>
      <c r="G96" t="inlineStr">
        <is>
          <t>BORGHOLM</t>
        </is>
      </c>
      <c r="I96" t="n">
        <v>1.9</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HYPERLINK("https://klasma.github.io/Logging_0885/artfynd/A 20878-2024 artfynd.xlsx", "A 20878-2024")</f>
        <v/>
      </c>
      <c r="X96">
        <f>HYPERLINK("https://klasma.github.io/Logging_0885/kartor/A 20878-2024 karta.png", "A 20878-2024")</f>
        <v/>
      </c>
      <c r="Y96">
        <f>HYPERLINK("https://klasma.github.io/Logging_0885/kartor_geotiff/A 20878-2024 georefererad karta.tif", "A 20878-2024")</f>
        <v/>
      </c>
      <c r="AA96">
        <f>HYPERLINK("https://klasma.github.io/Logging_0885/klagomål/A 20878-2024 FSC-klagomål.docx", "A 20878-2024")</f>
        <v/>
      </c>
      <c r="AB96">
        <f>HYPERLINK("https://klasma.github.io/Logging_0885/klagomålsmail/A 20878-2024 FSC-klagomål mail.docx", "A 20878-2024")</f>
        <v/>
      </c>
      <c r="AC96">
        <f>HYPERLINK("https://klasma.github.io/Logging_0885/tillsyn/A 20878-2024 tillsynsbegäran.docx", "A 20878-2024")</f>
        <v/>
      </c>
      <c r="AD96">
        <f>HYPERLINK("https://klasma.github.io/Logging_0885/tillsynsmail/A 20878-2024 tillsynsbegäran mail.docx", "A 20878-2024")</f>
        <v/>
      </c>
    </row>
    <row r="97" ht="15" customHeight="1">
      <c r="A97" t="inlineStr">
        <is>
          <t>A 33293-2026</t>
        </is>
      </c>
      <c r="B97" t="inlineStr">
        <is>
          <t>avverkningsanmälan</t>
        </is>
      </c>
      <c r="C97" t="inlineStr">
        <is>
          <t>Avverkning för att bevara och utveckla /försöksver</t>
        </is>
      </c>
      <c r="D97" s="1" t="n">
        <v>46246</v>
      </c>
      <c r="E97" s="1" t="n">
        <v>46313</v>
      </c>
      <c r="F97" t="inlineStr">
        <is>
          <t>KALMAR LÄN</t>
        </is>
      </c>
      <c r="G97" t="inlineStr">
        <is>
          <t>BORGHOLM</t>
        </is>
      </c>
      <c r="H97" t="inlineStr">
        <is>
          <t>Sveaskog</t>
        </is>
      </c>
      <c r="I97" t="n">
        <v>3.8</v>
      </c>
      <c r="J97" t="n">
        <v>1</v>
      </c>
      <c r="K97" t="n">
        <v>1</v>
      </c>
      <c r="L97" t="n">
        <v>0</v>
      </c>
      <c r="M97" t="n">
        <v>0</v>
      </c>
      <c r="N97" t="n">
        <v>0</v>
      </c>
      <c r="O97" t="n">
        <v>0</v>
      </c>
      <c r="P97" t="n">
        <v>0</v>
      </c>
      <c r="Q97" t="n">
        <v>0</v>
      </c>
      <c r="R97" t="n">
        <v>0</v>
      </c>
      <c r="S97" t="n">
        <v>1</v>
      </c>
      <c r="T97" t="n">
        <v>2</v>
      </c>
      <c r="U97" t="n">
        <v>0</v>
      </c>
      <c r="V97" s="2" t="inlineStr">
        <is>
          <t>Skogsknipprot</t>
        </is>
      </c>
      <c r="W97">
        <f>HYPERLINK("https://klasma.github.io/Logging_0885/artfynd/A 33293-2026 artfynd.xlsx", "A 33293-2026")</f>
        <v/>
      </c>
      <c r="X97">
        <f>HYPERLINK("https://klasma.github.io/Logging_0885/kartor/A 33293-2026 karta.png", "A 33293-2026")</f>
        <v/>
      </c>
      <c r="Y97">
        <f>HYPERLINK("https://klasma.github.io/Logging_0885/kartor_geotiff/A 33293-2026 georefererad karta.tif", "A 33293-2026")</f>
        <v/>
      </c>
      <c r="AA97">
        <f>HYPERLINK("https://klasma.github.io/Logging_0885/klagomål/A 33293-2026 FSC-klagomål.docx", "A 33293-2026")</f>
        <v/>
      </c>
      <c r="AB97">
        <f>HYPERLINK("https://klasma.github.io/Logging_0885/klagomålsmail/A 33293-2026 FSC-klagomål mail.docx", "A 33293-2026")</f>
        <v/>
      </c>
      <c r="AC97">
        <f>HYPERLINK("https://klasma.github.io/Logging_0885/tillsyn/A 33293-2026 tillsynsbegäran.docx", "A 33293-2026")</f>
        <v/>
      </c>
      <c r="AD97">
        <f>HYPERLINK("https://klasma.github.io/Logging_0885/tillsynsmail/A 33293-2026 tillsynsbegäran mail.docx", "A 33293-2026")</f>
        <v/>
      </c>
    </row>
    <row r="98" ht="15" customHeight="1">
      <c r="A98" t="inlineStr">
        <is>
          <t>A 28785-2025</t>
        </is>
      </c>
      <c r="B98" t="inlineStr">
        <is>
          <t>avverkningsanmälan</t>
        </is>
      </c>
      <c r="C98" t="inlineStr">
        <is>
          <t>Avverkning för att bevara och utveckla /försöksver</t>
        </is>
      </c>
      <c r="D98" s="1" t="n">
        <v>45820</v>
      </c>
      <c r="E98" s="1" t="n">
        <v>46313</v>
      </c>
      <c r="F98" t="inlineStr">
        <is>
          <t>KALMAR LÄN</t>
        </is>
      </c>
      <c r="G98" t="inlineStr">
        <is>
          <t>BORGHOLM</t>
        </is>
      </c>
      <c r="H98" t="inlineStr">
        <is>
          <t>Sveaskog</t>
        </is>
      </c>
      <c r="I98" t="n">
        <v>2.3</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HYPERLINK("https://klasma.github.io/Logging_0885/artfynd/A 28785-2025 artfynd.xlsx", "A 28785-2025")</f>
        <v/>
      </c>
      <c r="X98">
        <f>HYPERLINK("https://klasma.github.io/Logging_0885/kartor/A 28785-2025 karta.png", "A 28785-2025")</f>
        <v/>
      </c>
      <c r="Y98">
        <f>HYPERLINK("https://klasma.github.io/Logging_0885/kartor_geotiff/A 28785-2025 georefererad karta.tif", "A 28785-2025")</f>
        <v/>
      </c>
      <c r="AA98">
        <f>HYPERLINK("https://klasma.github.io/Logging_0885/klagomål/A 28785-2025 FSC-klagomål.docx", "A 28785-2025")</f>
        <v/>
      </c>
      <c r="AB98">
        <f>HYPERLINK("https://klasma.github.io/Logging_0885/klagomålsmail/A 28785-2025 FSC-klagomål mail.docx", "A 28785-2025")</f>
        <v/>
      </c>
      <c r="AC98">
        <f>HYPERLINK("https://klasma.github.io/Logging_0885/tillsyn/A 28785-2025 tillsynsbegäran.docx", "A 28785-2025")</f>
        <v/>
      </c>
      <c r="AD98">
        <f>HYPERLINK("https://klasma.github.io/Logging_0885/tillsynsmail/A 28785-2025 tillsynsbegäran mail.docx", "A 28785-2025")</f>
        <v/>
      </c>
      <c r="AE98">
        <f>HYPERLINK("https://klasma.github.io/Logging_0885/fåglar/A 28785-2025 prioriterade fågelarter.docx", "A 28785-2025")</f>
        <v/>
      </c>
    </row>
    <row r="99" ht="15" customHeight="1">
      <c r="A99" t="inlineStr">
        <is>
          <t>A 28782-2025</t>
        </is>
      </c>
      <c r="B99" t="inlineStr">
        <is>
          <t>avverkningsanmälan</t>
        </is>
      </c>
      <c r="C99" t="inlineStr">
        <is>
          <t>Avverkning för att bevara och utveckla /försöksver</t>
        </is>
      </c>
      <c r="D99" s="1" t="n">
        <v>45820</v>
      </c>
      <c r="E99" s="1" t="n">
        <v>46313</v>
      </c>
      <c r="F99" t="inlineStr">
        <is>
          <t>KALMAR LÄN</t>
        </is>
      </c>
      <c r="G99" t="inlineStr">
        <is>
          <t>BORGHOLM</t>
        </is>
      </c>
      <c r="H99" t="inlineStr">
        <is>
          <t>Sveaskog</t>
        </is>
      </c>
      <c r="I99" t="n">
        <v>0.8</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HYPERLINK("https://klasma.github.io/Logging_0885/artfynd/A 28782-2025 artfynd.xlsx", "A 28782-2025")</f>
        <v/>
      </c>
      <c r="X99">
        <f>HYPERLINK("https://klasma.github.io/Logging_0885/kartor/A 28782-2025 karta.png", "A 28782-2025")</f>
        <v/>
      </c>
      <c r="Y99">
        <f>HYPERLINK("https://klasma.github.io/Logging_0885/kartor_geotiff/A 28782-2025 georefererad karta.tif", "A 28782-2025")</f>
        <v/>
      </c>
      <c r="AA99">
        <f>HYPERLINK("https://klasma.github.io/Logging_0885/klagomål/A 28782-2025 FSC-klagomål.docx", "A 28782-2025")</f>
        <v/>
      </c>
      <c r="AB99">
        <f>HYPERLINK("https://klasma.github.io/Logging_0885/klagomålsmail/A 28782-2025 FSC-klagomål mail.docx", "A 28782-2025")</f>
        <v/>
      </c>
      <c r="AC99">
        <f>HYPERLINK("https://klasma.github.io/Logging_0885/tillsyn/A 28782-2025 tillsynsbegäran.docx", "A 28782-2025")</f>
        <v/>
      </c>
      <c r="AD99">
        <f>HYPERLINK("https://klasma.github.io/Logging_0885/tillsynsmail/A 28782-2025 tillsynsbegäran mail.docx", "A 28782-2025")</f>
        <v/>
      </c>
      <c r="AE99">
        <f>HYPERLINK("https://klasma.github.io/Logging_0885/fåglar/A 28782-2025 prioriterade fågelarter.docx", "A 28782-2025")</f>
        <v/>
      </c>
    </row>
    <row r="100" ht="15" customHeight="1">
      <c r="A100" t="inlineStr">
        <is>
          <t>S 2390-2023</t>
        </is>
      </c>
      <c r="B100" t="inlineStr">
        <is>
          <t>samrådsanmälan</t>
        </is>
      </c>
      <c r="C100" t="inlineStr">
        <is>
          <t>Annan skogsbruksåtgärd</t>
        </is>
      </c>
      <c r="D100" s="1" t="n">
        <v>45111</v>
      </c>
      <c r="E100" s="1" t="n">
        <v>46313</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46313</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46313</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1803-2026</t>
        </is>
      </c>
      <c r="B103" t="inlineStr">
        <is>
          <t>samrådsanmälan</t>
        </is>
      </c>
      <c r="C103" t="inlineStr">
        <is>
          <t>Annan skogsbruksåtgärd</t>
        </is>
      </c>
      <c r="D103" s="1" t="n">
        <v>46196</v>
      </c>
      <c r="E103" s="1" t="n">
        <v>46313</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1813-2026</t>
        </is>
      </c>
      <c r="B104" t="inlineStr">
        <is>
          <t>samrådsanmälan</t>
        </is>
      </c>
      <c r="C104" t="inlineStr">
        <is>
          <t>Annan skogsbruksåtgärd</t>
        </is>
      </c>
      <c r="D104" s="1" t="n">
        <v>46197</v>
      </c>
      <c r="E104" s="1" t="n">
        <v>46313</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2140-2026</t>
        </is>
      </c>
      <c r="B105" t="inlineStr">
        <is>
          <t>samrådsanmälan</t>
        </is>
      </c>
      <c r="C105" t="inlineStr">
        <is>
          <t>Annan skogsbruksåtgärd</t>
        </is>
      </c>
      <c r="D105" s="1" t="n">
        <v>46246</v>
      </c>
      <c r="E105" s="1" t="n">
        <v>46313</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46313</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46313</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46313</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46313</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46313</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46313</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46313</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46313</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46313</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55367-2024</t>
        </is>
      </c>
      <c r="B115" t="inlineStr">
        <is>
          <t>avverkningsanmälan</t>
        </is>
      </c>
      <c r="C115" t="inlineStr">
        <is>
          <t>Föryngringsavverkning</t>
        </is>
      </c>
      <c r="D115" s="1" t="n">
        <v>45621</v>
      </c>
      <c r="E115" s="1" t="n">
        <v>46313</v>
      </c>
      <c r="F115" t="inlineStr">
        <is>
          <t>KALMAR LÄN</t>
        </is>
      </c>
      <c r="G115" t="inlineStr">
        <is>
          <t>BORGHOLM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4159-2024</t>
        </is>
      </c>
      <c r="B116" t="inlineStr">
        <is>
          <t>avverkningsanmälan</t>
        </is>
      </c>
      <c r="C116" t="inlineStr">
        <is>
          <t>Föryngringsavverkning</t>
        </is>
      </c>
      <c r="D116" s="1" t="n">
        <v>45323</v>
      </c>
      <c r="E116" s="1" t="n">
        <v>46313</v>
      </c>
      <c r="F116" t="inlineStr">
        <is>
          <t>KALMAR LÄN</t>
        </is>
      </c>
      <c r="G116" t="inlineStr">
        <is>
          <t>BORGHOLM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32921-2023</t>
        </is>
      </c>
      <c r="B117" t="inlineStr">
        <is>
          <t>avverkningsanmälan</t>
        </is>
      </c>
      <c r="C117" t="inlineStr">
        <is>
          <t>Föryngringsavverkning</t>
        </is>
      </c>
      <c r="D117" s="1" t="n">
        <v>45125</v>
      </c>
      <c r="E117" s="1" t="n">
        <v>46313</v>
      </c>
      <c r="F117" t="inlineStr">
        <is>
          <t>KALMAR LÄN</t>
        </is>
      </c>
      <c r="G117" t="inlineStr">
        <is>
          <t>BORGHOLM</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31699-2022</t>
        </is>
      </c>
      <c r="B118" t="inlineStr">
        <is>
          <t>avverkningsanmälan</t>
        </is>
      </c>
      <c r="C118" t="inlineStr">
        <is>
          <t>Föryngringsavverkning</t>
        </is>
      </c>
      <c r="D118" s="1" t="n">
        <v>44776</v>
      </c>
      <c r="E118" s="1" t="n">
        <v>46313</v>
      </c>
      <c r="F118" t="inlineStr">
        <is>
          <t>KALMAR LÄN</t>
        </is>
      </c>
      <c r="G118" t="inlineStr">
        <is>
          <t>BORGHOLM</t>
        </is>
      </c>
      <c r="H118" t="inlineStr">
        <is>
          <t>Sveaskog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1614-2025</t>
        </is>
      </c>
      <c r="B119" t="inlineStr">
        <is>
          <t>avverkningsanmälan</t>
        </is>
      </c>
      <c r="C119" t="inlineStr">
        <is>
          <t>Föryngringsavverkning</t>
        </is>
      </c>
      <c r="D119" s="1" t="n">
        <v>45670</v>
      </c>
      <c r="E119" s="1" t="n">
        <v>46313</v>
      </c>
      <c r="F119" t="inlineStr">
        <is>
          <t>KALMAR LÄN</t>
        </is>
      </c>
      <c r="G119" t="inlineStr">
        <is>
          <t>BORGHOLM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41950-2025</t>
        </is>
      </c>
      <c r="B120" t="inlineStr">
        <is>
          <t>avverkningsanmälan</t>
        </is>
      </c>
      <c r="C120" t="inlineStr">
        <is>
          <t>Föryngringsavverkning</t>
        </is>
      </c>
      <c r="D120" s="1" t="n">
        <v>45903</v>
      </c>
      <c r="E120" s="1" t="n">
        <v>46313</v>
      </c>
      <c r="F120" t="inlineStr">
        <is>
          <t>KALMAR LÄN</t>
        </is>
      </c>
      <c r="G120" t="inlineStr">
        <is>
          <t>BORGHOLM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9076-2025</t>
        </is>
      </c>
      <c r="B121" t="inlineStr">
        <is>
          <t>avverkningsanmälan</t>
        </is>
      </c>
      <c r="C121" t="inlineStr">
        <is>
          <t>Föryngringsavverkning</t>
        </is>
      </c>
      <c r="D121" s="1" t="n">
        <v>45713</v>
      </c>
      <c r="E121" s="1" t="n">
        <v>46313</v>
      </c>
      <c r="F121" t="inlineStr">
        <is>
          <t>KALMAR LÄN</t>
        </is>
      </c>
      <c r="G121" t="inlineStr">
        <is>
          <t>BORGHOLM</t>
        </is>
      </c>
      <c r="H121" t="inlineStr">
        <is>
          <t>Sveaskog</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45869-2025</t>
        </is>
      </c>
      <c r="B122" t="inlineStr">
        <is>
          <t>avverkningsanmälan</t>
        </is>
      </c>
      <c r="C122" t="inlineStr">
        <is>
          <t>Föryngringsavverkning</t>
        </is>
      </c>
      <c r="D122" s="1" t="n">
        <v>45923</v>
      </c>
      <c r="E122" s="1" t="n">
        <v>46313</v>
      </c>
      <c r="F122" t="inlineStr">
        <is>
          <t>KALMAR LÄN</t>
        </is>
      </c>
      <c r="G122" t="inlineStr">
        <is>
          <t>BORGHOLM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1757-2025</t>
        </is>
      </c>
      <c r="B123" t="inlineStr">
        <is>
          <t>avverkningsanmälan</t>
        </is>
      </c>
      <c r="C123" t="inlineStr">
        <is>
          <t>Föryngringsavverkning</t>
        </is>
      </c>
      <c r="D123" s="1" t="n">
        <v>45671</v>
      </c>
      <c r="E123" s="1" t="n">
        <v>46313</v>
      </c>
      <c r="F123" t="inlineStr">
        <is>
          <t>KALMAR LÄN</t>
        </is>
      </c>
      <c r="G123" t="inlineStr">
        <is>
          <t>BORGHOLM</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46845-2025</t>
        </is>
      </c>
      <c r="B124" t="inlineStr">
        <is>
          <t>avverkningsanmälan</t>
        </is>
      </c>
      <c r="C124" t="inlineStr">
        <is>
          <t>Avverkning för annat ändamål</t>
        </is>
      </c>
      <c r="D124" s="1" t="n">
        <v>45928</v>
      </c>
      <c r="E124" s="1" t="n">
        <v>46313</v>
      </c>
      <c r="F124" t="inlineStr">
        <is>
          <t>KALMAR LÄN</t>
        </is>
      </c>
      <c r="G124" t="inlineStr">
        <is>
          <t>BORGHOLM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27357-2025</t>
        </is>
      </c>
      <c r="B125" t="inlineStr">
        <is>
          <t>avverkningsanmälan</t>
        </is>
      </c>
      <c r="C125" t="inlineStr">
        <is>
          <t>Avverkning för att bevara och utveckla /försöksver</t>
        </is>
      </c>
      <c r="D125" s="1" t="n">
        <v>45812</v>
      </c>
      <c r="E125" s="1" t="n">
        <v>46313</v>
      </c>
      <c r="F125" t="inlineStr">
        <is>
          <t>KALMAR LÄN</t>
        </is>
      </c>
      <c r="G125" t="inlineStr">
        <is>
          <t>BORGHOLM</t>
        </is>
      </c>
      <c r="H125" t="inlineStr">
        <is>
          <t>Sveaskog</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7669-2024</t>
        </is>
      </c>
      <c r="B126" t="inlineStr">
        <is>
          <t>avverkningsanmälan</t>
        </is>
      </c>
      <c r="C126" t="inlineStr">
        <is>
          <t>Föryngringsavverkning</t>
        </is>
      </c>
      <c r="D126" s="1" t="n">
        <v>45348</v>
      </c>
      <c r="E126" s="1" t="n">
        <v>46313</v>
      </c>
      <c r="F126" t="inlineStr">
        <is>
          <t>KALMAR LÄN</t>
        </is>
      </c>
      <c r="G126" t="inlineStr">
        <is>
          <t>BORGHOLM</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9050-2025</t>
        </is>
      </c>
      <c r="B127" t="inlineStr">
        <is>
          <t>avverkningsanmälan</t>
        </is>
      </c>
      <c r="C127" t="inlineStr">
        <is>
          <t>Avverkning för att bevara och utveckla /försöksver</t>
        </is>
      </c>
      <c r="D127" s="1" t="n">
        <v>45713</v>
      </c>
      <c r="E127" s="1" t="n">
        <v>46313</v>
      </c>
      <c r="F127" t="inlineStr">
        <is>
          <t>KALMAR LÄN</t>
        </is>
      </c>
      <c r="G127" t="inlineStr">
        <is>
          <t>BORGHOLM</t>
        </is>
      </c>
      <c r="H127" t="inlineStr">
        <is>
          <t>Sveaskog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43603-2024</t>
        </is>
      </c>
      <c r="B128" t="inlineStr">
        <is>
          <t>avverkningsanmälan</t>
        </is>
      </c>
      <c r="C128" t="inlineStr">
        <is>
          <t>Föryngringsavverkning</t>
        </is>
      </c>
      <c r="D128" s="1" t="n">
        <v>45569</v>
      </c>
      <c r="E128" s="1" t="n">
        <v>46313</v>
      </c>
      <c r="F128" t="inlineStr">
        <is>
          <t>KALMAR LÄN</t>
        </is>
      </c>
      <c r="G128" t="inlineStr">
        <is>
          <t>BORGHOLM</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24323-2026</t>
        </is>
      </c>
      <c r="B129" t="inlineStr">
        <is>
          <t>avverkningsanmälan</t>
        </is>
      </c>
      <c r="C129" t="inlineStr">
        <is>
          <t>Föryngringsavverkning</t>
        </is>
      </c>
      <c r="D129" s="1" t="n">
        <v>46169</v>
      </c>
      <c r="E129" s="1" t="n">
        <v>46313</v>
      </c>
      <c r="F129" t="inlineStr">
        <is>
          <t>KALMAR LÄN</t>
        </is>
      </c>
      <c r="G129" t="inlineStr">
        <is>
          <t>BORGHOLM</t>
        </is>
      </c>
      <c r="H129" t="inlineStr">
        <is>
          <t>Sveaskog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9259-2026</t>
        </is>
      </c>
      <c r="B130" t="inlineStr">
        <is>
          <t>avverkningsanmälan</t>
        </is>
      </c>
      <c r="C130" t="inlineStr">
        <is>
          <t>Föryngringsavverkning</t>
        </is>
      </c>
      <c r="D130" s="1" t="n">
        <v>46070</v>
      </c>
      <c r="E130" s="1" t="n">
        <v>46313</v>
      </c>
      <c r="F130" t="inlineStr">
        <is>
          <t>KALMAR LÄN</t>
        </is>
      </c>
      <c r="G130" t="inlineStr">
        <is>
          <t>BORGHOLM</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32919-2023</t>
        </is>
      </c>
      <c r="B131" t="inlineStr">
        <is>
          <t>avverkningsanmälan</t>
        </is>
      </c>
      <c r="C131" t="inlineStr">
        <is>
          <t>Föryngringsavverkning</t>
        </is>
      </c>
      <c r="D131" s="1" t="n">
        <v>45125</v>
      </c>
      <c r="E131" s="1" t="n">
        <v>46313</v>
      </c>
      <c r="F131" t="inlineStr">
        <is>
          <t>KALMAR LÄN</t>
        </is>
      </c>
      <c r="G131" t="inlineStr">
        <is>
          <t>BORGHOLM</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5175-2024</t>
        </is>
      </c>
      <c r="B132" t="inlineStr">
        <is>
          <t>avverkningsanmälan</t>
        </is>
      </c>
      <c r="C132" t="inlineStr">
        <is>
          <t>Föryngringsavverkning</t>
        </is>
      </c>
      <c r="D132" s="1" t="n">
        <v>45330</v>
      </c>
      <c r="E132" s="1" t="n">
        <v>46313</v>
      </c>
      <c r="F132" t="inlineStr">
        <is>
          <t>KALMAR LÄN</t>
        </is>
      </c>
      <c r="G132" t="inlineStr">
        <is>
          <t>BORGHOLM</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34951-2022</t>
        </is>
      </c>
      <c r="B133" t="inlineStr">
        <is>
          <t>avverkningsanmälan</t>
        </is>
      </c>
      <c r="C133" t="inlineStr">
        <is>
          <t>Avverkning för att bevara och utveckla /försöksver</t>
        </is>
      </c>
      <c r="D133" s="1" t="n">
        <v>44796</v>
      </c>
      <c r="E133" s="1" t="n">
        <v>46313</v>
      </c>
      <c r="F133" t="inlineStr">
        <is>
          <t>KALMAR LÄN</t>
        </is>
      </c>
      <c r="G133" t="inlineStr">
        <is>
          <t>BORGHOLM</t>
        </is>
      </c>
      <c r="H133" t="inlineStr">
        <is>
          <t>Sveaskog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15272-2026</t>
        </is>
      </c>
      <c r="B134" t="inlineStr">
        <is>
          <t>avverkningsanmälan</t>
        </is>
      </c>
      <c r="C134" t="inlineStr">
        <is>
          <t>Avverkning för att bevara och utveckla /försöksver</t>
        </is>
      </c>
      <c r="D134" s="1" t="n">
        <v>46105</v>
      </c>
      <c r="E134" s="1" t="n">
        <v>46313</v>
      </c>
      <c r="F134" t="inlineStr">
        <is>
          <t>KALMAR LÄN</t>
        </is>
      </c>
      <c r="G134" t="inlineStr">
        <is>
          <t>BORGHOLM</t>
        </is>
      </c>
      <c r="H134" t="inlineStr">
        <is>
          <t>Sveaskog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15264-2026</t>
        </is>
      </c>
      <c r="B135" t="inlineStr">
        <is>
          <t>avverkningsanmälan</t>
        </is>
      </c>
      <c r="C135" t="inlineStr">
        <is>
          <t>Avverkning för att bevara och utveckla /försöksver</t>
        </is>
      </c>
      <c r="D135" s="1" t="n">
        <v>46105</v>
      </c>
      <c r="E135" s="1" t="n">
        <v>46313</v>
      </c>
      <c r="F135" t="inlineStr">
        <is>
          <t>KALMAR LÄN</t>
        </is>
      </c>
      <c r="G135" t="inlineStr">
        <is>
          <t>BORGHOLM</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28381-2026</t>
        </is>
      </c>
      <c r="B136" t="inlineStr">
        <is>
          <t>avverkningsanmälan</t>
        </is>
      </c>
      <c r="C136" t="inlineStr">
        <is>
          <t>Avverkning för att bevara och utveckla /försöksver</t>
        </is>
      </c>
      <c r="D136" s="1" t="n">
        <v>46196</v>
      </c>
      <c r="E136" s="1" t="n">
        <v>46313</v>
      </c>
      <c r="F136" t="inlineStr">
        <is>
          <t>KALMAR LÄN</t>
        </is>
      </c>
      <c r="G136" t="inlineStr">
        <is>
          <t>BORGHOLM</t>
        </is>
      </c>
      <c r="H136" t="inlineStr">
        <is>
          <t>Sveaskog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28380-2026</t>
        </is>
      </c>
      <c r="B137" t="inlineStr">
        <is>
          <t>avverkningsanmälan</t>
        </is>
      </c>
      <c r="C137" t="inlineStr">
        <is>
          <t>Avverkning för att bevara och utveckla /försöksver</t>
        </is>
      </c>
      <c r="D137" s="1" t="n">
        <v>46196</v>
      </c>
      <c r="E137" s="1" t="n">
        <v>46313</v>
      </c>
      <c r="F137" t="inlineStr">
        <is>
          <t>KALMAR LÄN</t>
        </is>
      </c>
      <c r="G137" t="inlineStr">
        <is>
          <t>BORGHOLM</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28411-2026</t>
        </is>
      </c>
      <c r="B138" t="inlineStr">
        <is>
          <t>avverkningsanmälan</t>
        </is>
      </c>
      <c r="C138" t="inlineStr">
        <is>
          <t>Avverkning för att bevara och utveckla /försöksver</t>
        </is>
      </c>
      <c r="D138" s="1" t="n">
        <v>46197</v>
      </c>
      <c r="E138" s="1" t="n">
        <v>46313</v>
      </c>
      <c r="F138" t="inlineStr">
        <is>
          <t>KALMAR LÄN</t>
        </is>
      </c>
      <c r="G138" t="inlineStr">
        <is>
          <t>BORGHOLM</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13383-2023</t>
        </is>
      </c>
      <c r="B139" t="inlineStr">
        <is>
          <t>avverkningsanmälan</t>
        </is>
      </c>
      <c r="C139" t="inlineStr">
        <is>
          <t>Föryngringsavverkning</t>
        </is>
      </c>
      <c r="D139" s="1" t="n">
        <v>45005</v>
      </c>
      <c r="E139" s="1" t="n">
        <v>46313</v>
      </c>
      <c r="F139" t="inlineStr">
        <is>
          <t>KALMAR LÄN</t>
        </is>
      </c>
      <c r="G139" t="inlineStr">
        <is>
          <t>BORGHOLM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61438-2023</t>
        </is>
      </c>
      <c r="B140" t="inlineStr">
        <is>
          <t>avverkningsanmälan</t>
        </is>
      </c>
      <c r="C140" t="inlineStr">
        <is>
          <t>Avverkning för annat ändamål</t>
        </is>
      </c>
      <c r="D140" s="1" t="n">
        <v>45264</v>
      </c>
      <c r="E140" s="1" t="n">
        <v>46313</v>
      </c>
      <c r="F140" t="inlineStr">
        <is>
          <t>KALMAR LÄN</t>
        </is>
      </c>
      <c r="G140" t="inlineStr">
        <is>
          <t>BORGHOLM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13041-2024</t>
        </is>
      </c>
      <c r="B141" t="inlineStr">
        <is>
          <t>avverkningsanmälan</t>
        </is>
      </c>
      <c r="C141" t="inlineStr">
        <is>
          <t>Föryngringsavverkning</t>
        </is>
      </c>
      <c r="D141" s="1" t="n">
        <v>45385</v>
      </c>
      <c r="E141" s="1" t="n">
        <v>46313</v>
      </c>
      <c r="F141" t="inlineStr">
        <is>
          <t>KALMAR LÄN</t>
        </is>
      </c>
      <c r="G141" t="inlineStr">
        <is>
          <t>BORGHOLM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4165-2023</t>
        </is>
      </c>
      <c r="B142" t="inlineStr">
        <is>
          <t>avverkningsanmälan</t>
        </is>
      </c>
      <c r="C142" t="inlineStr">
        <is>
          <t>Föryngringsavverkning</t>
        </is>
      </c>
      <c r="D142" s="1" t="n">
        <v>44953</v>
      </c>
      <c r="E142" s="1" t="n">
        <v>46313</v>
      </c>
      <c r="F142" t="inlineStr">
        <is>
          <t>KALMAR LÄN</t>
        </is>
      </c>
      <c r="G142" t="inlineStr">
        <is>
          <t>BORGHOLM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29413-2026</t>
        </is>
      </c>
      <c r="B143" t="inlineStr">
        <is>
          <t>avverkningsanmälan</t>
        </is>
      </c>
      <c r="C143" t="inlineStr">
        <is>
          <t>Avverkning för att bevara och utveckla /försöksver</t>
        </is>
      </c>
      <c r="D143" s="1" t="n">
        <v>46203</v>
      </c>
      <c r="E143" s="1" t="n">
        <v>46313</v>
      </c>
      <c r="F143" t="inlineStr">
        <is>
          <t>KALMAR LÄN</t>
        </is>
      </c>
      <c r="G143" t="inlineStr">
        <is>
          <t>BORGHOLM</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29414-2026</t>
        </is>
      </c>
      <c r="B144" t="inlineStr">
        <is>
          <t>avverkningsanmälan</t>
        </is>
      </c>
      <c r="C144" t="inlineStr">
        <is>
          <t>Avverkning för att bevara och utveckla /försöksver</t>
        </is>
      </c>
      <c r="D144" s="1" t="n">
        <v>46203</v>
      </c>
      <c r="E144" s="1" t="n">
        <v>46313</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29431-2026</t>
        </is>
      </c>
      <c r="B145" t="inlineStr">
        <is>
          <t>avverkningsanmälan</t>
        </is>
      </c>
      <c r="C145" t="inlineStr">
        <is>
          <t>Avverkning för att bevara och utveckla /försöksver</t>
        </is>
      </c>
      <c r="D145" s="1" t="n">
        <v>46203</v>
      </c>
      <c r="E145" s="1" t="n">
        <v>46313</v>
      </c>
      <c r="F145" t="inlineStr">
        <is>
          <t>KALMAR LÄN</t>
        </is>
      </c>
      <c r="G145" t="inlineStr">
        <is>
          <t>BORGHOLM</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29410-2026</t>
        </is>
      </c>
      <c r="B146" t="inlineStr">
        <is>
          <t>avverkningsanmälan</t>
        </is>
      </c>
      <c r="C146" t="inlineStr">
        <is>
          <t>Avverkning för att bevara och utveckla /försöksver</t>
        </is>
      </c>
      <c r="D146" s="1" t="n">
        <v>46203</v>
      </c>
      <c r="E146" s="1" t="n">
        <v>46313</v>
      </c>
      <c r="F146" t="inlineStr">
        <is>
          <t>KALMAR LÄN</t>
        </is>
      </c>
      <c r="G146" t="inlineStr">
        <is>
          <t>BORGHOLM</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34780-2022</t>
        </is>
      </c>
      <c r="B147" t="inlineStr">
        <is>
          <t>avverkningsanmälan</t>
        </is>
      </c>
      <c r="C147" t="inlineStr">
        <is>
          <t>Föryngringsavverkning</t>
        </is>
      </c>
      <c r="D147" s="1" t="n">
        <v>44795</v>
      </c>
      <c r="E147" s="1" t="n">
        <v>46313</v>
      </c>
      <c r="F147" t="inlineStr">
        <is>
          <t>KALMAR LÄN</t>
        </is>
      </c>
      <c r="G147" t="inlineStr">
        <is>
          <t>BORGHOLM</t>
        </is>
      </c>
      <c r="H147" t="inlineStr">
        <is>
          <t>Sveaskog</t>
        </is>
      </c>
      <c r="I147" t="n">
        <v>6.7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20287-2025</t>
        </is>
      </c>
      <c r="B148" t="inlineStr">
        <is>
          <t>avverkningsanmälan</t>
        </is>
      </c>
      <c r="C148" t="inlineStr">
        <is>
          <t>Avverkning för att bevara och utveckla /försöksver</t>
        </is>
      </c>
      <c r="D148" s="1" t="n">
        <v>45774</v>
      </c>
      <c r="E148" s="1" t="n">
        <v>46313</v>
      </c>
      <c r="F148" t="inlineStr">
        <is>
          <t>KALMAR LÄN</t>
        </is>
      </c>
      <c r="G148" t="inlineStr">
        <is>
          <t>BORGHOLM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26160-2024</t>
        </is>
      </c>
      <c r="B149" t="inlineStr">
        <is>
          <t>avverkningsanmälan</t>
        </is>
      </c>
      <c r="C149" t="inlineStr">
        <is>
          <t>Avverkning för annat ändamål</t>
        </is>
      </c>
      <c r="D149" s="1" t="n">
        <v>45468</v>
      </c>
      <c r="E149" s="1" t="n">
        <v>46313</v>
      </c>
      <c r="F149" t="inlineStr">
        <is>
          <t>KALMAR LÄN</t>
        </is>
      </c>
      <c r="G149" t="inlineStr">
        <is>
          <t>BORGHOLM</t>
        </is>
      </c>
      <c r="I149" t="n">
        <v>0.4</v>
      </c>
      <c r="J149" t="n">
        <v>0</v>
      </c>
      <c r="K149" t="n">
        <v>0</v>
      </c>
      <c r="L149" t="n">
        <v>0</v>
      </c>
      <c r="M149" t="n">
        <v>0</v>
      </c>
      <c r="N149" t="n">
        <v>0</v>
      </c>
      <c r="O149" t="n">
        <v>0</v>
      </c>
      <c r="P149" t="n">
        <v>0</v>
      </c>
      <c r="Q149" t="n">
        <v>0</v>
      </c>
      <c r="R149" t="n">
        <v>0</v>
      </c>
      <c r="S149" t="n">
        <v>0</v>
      </c>
      <c r="T149" t="n">
        <v>0</v>
      </c>
      <c r="U149" t="n">
        <v>0</v>
      </c>
      <c r="V149" s="2" t="inlineStr"/>
      <c r="X149">
        <f>HYPERLINK("https://klasma.github.io/Logging_0885/kartor/A 26160-2024 karta.png", "A 26160-2024")</f>
        <v/>
      </c>
      <c r="Y149">
        <f>HYPERLINK("https://klasma.github.io/Logging_0885/kartor_geotiff/A 26160-2024 georefererad karta.tif", "A 26160-2024")</f>
        <v/>
      </c>
      <c r="AA149">
        <f>HYPERLINK("https://klasma.github.io/Logging_0885/klagomål/A 26160-2024 FSC-klagomål.docx", "A 26160-2024")</f>
        <v/>
      </c>
      <c r="AB149">
        <f>HYPERLINK("https://klasma.github.io/Logging_0885/klagomålsmail/A 26160-2024 FSC-klagomål mail.docx", "A 26160-2024")</f>
        <v/>
      </c>
      <c r="AC149">
        <f>HYPERLINK("https://klasma.github.io/Logging_0885/tillsyn/A 26160-2024 tillsynsbegäran.docx", "A 26160-2024")</f>
        <v/>
      </c>
      <c r="AD149">
        <f>HYPERLINK("https://klasma.github.io/Logging_0885/tillsynsmail/A 26160-2024 tillsynsbegäran mail.docx", "A 26160-2024")</f>
        <v/>
      </c>
    </row>
    <row r="150" ht="15" customHeight="1">
      <c r="A150" t="inlineStr">
        <is>
          <t>A 24338-2026</t>
        </is>
      </c>
      <c r="B150" t="inlineStr">
        <is>
          <t>avverkningsanmälan</t>
        </is>
      </c>
      <c r="C150" t="inlineStr">
        <is>
          <t>Avverkning för att bevara och utveckla /försöksver</t>
        </is>
      </c>
      <c r="D150" s="1" t="n">
        <v>46169</v>
      </c>
      <c r="E150" s="1" t="n">
        <v>46313</v>
      </c>
      <c r="F150" t="inlineStr">
        <is>
          <t>KALMAR LÄN</t>
        </is>
      </c>
      <c r="G150" t="inlineStr">
        <is>
          <t>BORGHOLM</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63075-2023</t>
        </is>
      </c>
      <c r="B151" t="inlineStr">
        <is>
          <t>avverkningsanmälan</t>
        </is>
      </c>
      <c r="C151" t="inlineStr">
        <is>
          <t>Avverkning för annat ändamål</t>
        </is>
      </c>
      <c r="D151" s="1" t="n">
        <v>45273</v>
      </c>
      <c r="E151" s="1" t="n">
        <v>46313</v>
      </c>
      <c r="F151" t="inlineStr">
        <is>
          <t>KALMAR LÄN</t>
        </is>
      </c>
      <c r="G151" t="inlineStr">
        <is>
          <t>BORGHOLM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22785-2025</t>
        </is>
      </c>
      <c r="B152" t="inlineStr">
        <is>
          <t>avverkningsanmälan</t>
        </is>
      </c>
      <c r="C152" t="inlineStr">
        <is>
          <t>Föryngringsavverkning</t>
        </is>
      </c>
      <c r="D152" s="1" t="n">
        <v>45789</v>
      </c>
      <c r="E152" s="1" t="n">
        <v>46313</v>
      </c>
      <c r="F152" t="inlineStr">
        <is>
          <t>KALMAR LÄN</t>
        </is>
      </c>
      <c r="G152" t="inlineStr">
        <is>
          <t>BORGHOLM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40339-2023</t>
        </is>
      </c>
      <c r="B153" t="inlineStr">
        <is>
          <t>avverkningsanmälan</t>
        </is>
      </c>
      <c r="C153" t="inlineStr">
        <is>
          <t>Föryngringsavverkning</t>
        </is>
      </c>
      <c r="D153" s="1" t="n">
        <v>45169</v>
      </c>
      <c r="E153" s="1" t="n">
        <v>46313</v>
      </c>
      <c r="F153" t="inlineStr">
        <is>
          <t>KALMAR LÄN</t>
        </is>
      </c>
      <c r="G153" t="inlineStr">
        <is>
          <t>BORGHOLM</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26190-2025</t>
        </is>
      </c>
      <c r="B154" t="inlineStr">
        <is>
          <t>avverkningsanmälan</t>
        </is>
      </c>
      <c r="C154" t="inlineStr">
        <is>
          <t>Föryngringsavverkning</t>
        </is>
      </c>
      <c r="D154" s="1" t="n">
        <v>45805</v>
      </c>
      <c r="E154" s="1" t="n">
        <v>46313</v>
      </c>
      <c r="F154" t="inlineStr">
        <is>
          <t>KALMAR LÄN</t>
        </is>
      </c>
      <c r="G154" t="inlineStr">
        <is>
          <t>BORGHOLM</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36269-2025</t>
        </is>
      </c>
      <c r="B155" t="inlineStr">
        <is>
          <t>avverkningsanmälan</t>
        </is>
      </c>
      <c r="C155" t="inlineStr">
        <is>
          <t>Föryngringsavverkning</t>
        </is>
      </c>
      <c r="D155" s="1" t="n">
        <v>45867</v>
      </c>
      <c r="E155" s="1" t="n">
        <v>46313</v>
      </c>
      <c r="F155" t="inlineStr">
        <is>
          <t>KALMAR LÄN</t>
        </is>
      </c>
      <c r="G155" t="inlineStr">
        <is>
          <t>BORGHOLM</t>
        </is>
      </c>
      <c r="H155" t="inlineStr">
        <is>
          <t>Sveaskog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46313</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46313</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46313</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46313</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46313</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46313</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46313</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46313</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1806-2026</t>
        </is>
      </c>
      <c r="B164" t="inlineStr">
        <is>
          <t>samrådsanmälan</t>
        </is>
      </c>
      <c r="C164" t="inlineStr">
        <is>
          <t>Annan skogsbruksåtgärd</t>
        </is>
      </c>
      <c r="D164" s="1" t="n">
        <v>46196</v>
      </c>
      <c r="E164" s="1" t="n">
        <v>46313</v>
      </c>
      <c r="F164" t="inlineStr">
        <is>
          <t>KALMAR LÄN</t>
        </is>
      </c>
      <c r="G164" t="inlineStr">
        <is>
          <t>BORGHOLM</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1807-2026</t>
        </is>
      </c>
      <c r="B165" t="inlineStr">
        <is>
          <t>samrådsanmälan</t>
        </is>
      </c>
      <c r="C165" t="inlineStr">
        <is>
          <t>Annan skogsbruksåtgärd</t>
        </is>
      </c>
      <c r="D165" s="1" t="n">
        <v>46196</v>
      </c>
      <c r="E165" s="1" t="n">
        <v>46313</v>
      </c>
      <c r="F165" t="inlineStr">
        <is>
          <t>KALMAR LÄN</t>
        </is>
      </c>
      <c r="G165" t="inlineStr">
        <is>
          <t>BORGHOLM</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1812-2026</t>
        </is>
      </c>
      <c r="B166" t="inlineStr">
        <is>
          <t>samrådsanmälan</t>
        </is>
      </c>
      <c r="C166" t="inlineStr">
        <is>
          <t>Annan skogsbruksåtgärd</t>
        </is>
      </c>
      <c r="D166" s="1" t="n">
        <v>46197</v>
      </c>
      <c r="E166" s="1" t="n">
        <v>46313</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46313</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46313</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46313</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46313</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2026-10-18T08:07:58Z</dcterms:created>
  <dcterms:modified xmlns:dcterms="http://purl.org/dc/terms/" xmlns:xsi="http://www.w3.org/2001/XMLSchema-instance" xsi:type="dcterms:W3CDTF">2026-10-18T08:07:59Z</dcterms:modified>
</cp:coreProperties>
</file>