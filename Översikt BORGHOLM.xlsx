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46129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46129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46129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46129</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46129</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46129</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60140-2025</t>
        </is>
      </c>
      <c r="B22" s="1" t="n">
        <v>45994.36274305556</v>
      </c>
      <c r="C22" s="1" t="n">
        <v>46129</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44008-2022</t>
        </is>
      </c>
      <c r="B23" s="1" t="n">
        <v>44838</v>
      </c>
      <c r="C23" s="1" t="n">
        <v>46129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46129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15285-2026</t>
        </is>
      </c>
      <c r="B25" s="1" t="n">
        <v>46105.6156712963</v>
      </c>
      <c r="C25" s="1" t="n">
        <v>46129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32174-2022</t>
        </is>
      </c>
      <c r="B26" s="1" t="n">
        <v>44781</v>
      </c>
      <c r="C26" s="1" t="n">
        <v>46129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46129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9253-2026</t>
        </is>
      </c>
      <c r="B28" s="1" t="n">
        <v>46070.51003472223</v>
      </c>
      <c r="C28" s="1" t="n">
        <v>46129</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46129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46129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46129</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46129</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46129</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46129</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46129</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46129</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46129</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46129</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46129</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3302-2026</t>
        </is>
      </c>
      <c r="B41" s="1" t="n">
        <v>46041</v>
      </c>
      <c r="C41" s="1" t="n">
        <v>46129</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9745-2023</t>
        </is>
      </c>
      <c r="B42" s="1" t="n">
        <v>44984</v>
      </c>
      <c r="C42" s="1" t="n">
        <v>46129</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46129</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42761-2021</t>
        </is>
      </c>
      <c r="B44" s="1" t="n">
        <v>44428</v>
      </c>
      <c r="C44" s="1" t="n">
        <v>46129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46129</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46129</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46129</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46129</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46129</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46129</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46129</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46129</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46129</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22785-2025</t>
        </is>
      </c>
      <c r="B61" s="1" t="n">
        <v>45789.64186342592</v>
      </c>
      <c r="C61" s="1" t="n">
        <v>46129</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12534-2022</t>
        </is>
      </c>
      <c r="B62" s="1" t="n">
        <v>44638</v>
      </c>
      <c r="C62" s="1" t="n">
        <v>46129</v>
      </c>
      <c r="D62" t="inlineStr">
        <is>
          <t>KALMAR LÄN</t>
        </is>
      </c>
      <c r="E62" t="inlineStr">
        <is>
          <t>BORGHOLM</t>
        </is>
      </c>
      <c r="G62" t="n">
        <v>8.6</v>
      </c>
      <c r="H62" t="n">
        <v>0</v>
      </c>
      <c r="I62" t="n">
        <v>0</v>
      </c>
      <c r="J62" t="n">
        <v>0</v>
      </c>
      <c r="K62" t="n">
        <v>0</v>
      </c>
      <c r="L62" t="n">
        <v>0</v>
      </c>
      <c r="M62" t="n">
        <v>0</v>
      </c>
      <c r="N62" t="n">
        <v>0</v>
      </c>
      <c r="O62" t="n">
        <v>0</v>
      </c>
      <c r="P62" t="n">
        <v>0</v>
      </c>
      <c r="Q62" t="n">
        <v>0</v>
      </c>
      <c r="R62" s="2" t="inlineStr"/>
    </row>
    <row r="63" ht="15" customHeight="1">
      <c r="A63" t="inlineStr">
        <is>
          <t>A 40339-2023</t>
        </is>
      </c>
      <c r="B63" s="1" t="n">
        <v>45169.62733796296</v>
      </c>
      <c r="C63" s="1" t="n">
        <v>46129</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24166-2022</t>
        </is>
      </c>
      <c r="B64" s="1" t="n">
        <v>44725</v>
      </c>
      <c r="C64" s="1" t="n">
        <v>46129</v>
      </c>
      <c r="D64" t="inlineStr">
        <is>
          <t>KALMAR LÄN</t>
        </is>
      </c>
      <c r="E64" t="inlineStr">
        <is>
          <t>BORGHOLM</t>
        </is>
      </c>
      <c r="G64" t="n">
        <v>10.7</v>
      </c>
      <c r="H64" t="n">
        <v>0</v>
      </c>
      <c r="I64" t="n">
        <v>0</v>
      </c>
      <c r="J64" t="n">
        <v>0</v>
      </c>
      <c r="K64" t="n">
        <v>0</v>
      </c>
      <c r="L64" t="n">
        <v>0</v>
      </c>
      <c r="M64" t="n">
        <v>0</v>
      </c>
      <c r="N64" t="n">
        <v>0</v>
      </c>
      <c r="O64" t="n">
        <v>0</v>
      </c>
      <c r="P64" t="n">
        <v>0</v>
      </c>
      <c r="Q64" t="n">
        <v>0</v>
      </c>
      <c r="R64" s="2" t="inlineStr"/>
    </row>
    <row r="65" ht="15" customHeight="1">
      <c r="A65" t="inlineStr">
        <is>
          <t>A 64303-2023</t>
        </is>
      </c>
      <c r="B65" s="1" t="n">
        <v>45280</v>
      </c>
      <c r="C65" s="1" t="n">
        <v>46129</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46129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46129</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46129</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46129</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46129</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46129</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46129</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21908-2022</t>
        </is>
      </c>
      <c r="B73" s="1" t="n">
        <v>44711</v>
      </c>
      <c r="C73" s="1" t="n">
        <v>46129</v>
      </c>
      <c r="D73" t="inlineStr">
        <is>
          <t>KALMAR LÄN</t>
        </is>
      </c>
      <c r="E73" t="inlineStr">
        <is>
          <t>BORGHOLM</t>
        </is>
      </c>
      <c r="G73" t="n">
        <v>4.7</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46129</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55367-2024</t>
        </is>
      </c>
      <c r="B75" s="1" t="n">
        <v>45621.87075231481</v>
      </c>
      <c r="C75" s="1" t="n">
        <v>46129</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46129</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60141-2025</t>
        </is>
      </c>
      <c r="B77" s="1" t="n">
        <v>45994.36873842592</v>
      </c>
      <c r="C77" s="1" t="n">
        <v>46129</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46129</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46129</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46129</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46129</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46129</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46129</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36269-2025</t>
        </is>
      </c>
      <c r="B84" s="1" t="n">
        <v>45867.61736111111</v>
      </c>
      <c r="C84" s="1" t="n">
        <v>46129</v>
      </c>
      <c r="D84" t="inlineStr">
        <is>
          <t>KALMAR LÄN</t>
        </is>
      </c>
      <c r="E84" t="inlineStr">
        <is>
          <t>BORGHOLM</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63276-2023</t>
        </is>
      </c>
      <c r="B85" s="1" t="n">
        <v>45273.82195601852</v>
      </c>
      <c r="C85" s="1" t="n">
        <v>46129</v>
      </c>
      <c r="D85" t="inlineStr">
        <is>
          <t>KALMAR LÄN</t>
        </is>
      </c>
      <c r="E85" t="inlineStr">
        <is>
          <t>BORGHOLM</t>
        </is>
      </c>
      <c r="G85" t="n">
        <v>5</v>
      </c>
      <c r="H85" t="n">
        <v>0</v>
      </c>
      <c r="I85" t="n">
        <v>0</v>
      </c>
      <c r="J85" t="n">
        <v>0</v>
      </c>
      <c r="K85" t="n">
        <v>0</v>
      </c>
      <c r="L85" t="n">
        <v>0</v>
      </c>
      <c r="M85" t="n">
        <v>0</v>
      </c>
      <c r="N85" t="n">
        <v>0</v>
      </c>
      <c r="O85" t="n">
        <v>0</v>
      </c>
      <c r="P85" t="n">
        <v>0</v>
      </c>
      <c r="Q85" t="n">
        <v>0</v>
      </c>
      <c r="R85" s="2" t="inlineStr"/>
    </row>
    <row r="86" ht="15" customHeight="1">
      <c r="A86" t="inlineStr">
        <is>
          <t>A 61723-2025</t>
        </is>
      </c>
      <c r="B86" s="1" t="n">
        <v>46002.58388888889</v>
      </c>
      <c r="C86" s="1" t="n">
        <v>46129</v>
      </c>
      <c r="D86" t="inlineStr">
        <is>
          <t>KALMAR LÄN</t>
        </is>
      </c>
      <c r="E86" t="inlineStr">
        <is>
          <t>BORGHOLM</t>
        </is>
      </c>
      <c r="G86" t="n">
        <v>1.1</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46129</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46129</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46129</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7960-2023</t>
        </is>
      </c>
      <c r="B90" s="1" t="n">
        <v>44973</v>
      </c>
      <c r="C90" s="1" t="n">
        <v>46129</v>
      </c>
      <c r="D90" t="inlineStr">
        <is>
          <t>KALMAR LÄN</t>
        </is>
      </c>
      <c r="E90" t="inlineStr">
        <is>
          <t>BORGHOLM</t>
        </is>
      </c>
      <c r="G90" t="n">
        <v>2.1</v>
      </c>
      <c r="H90" t="n">
        <v>0</v>
      </c>
      <c r="I90" t="n">
        <v>0</v>
      </c>
      <c r="J90" t="n">
        <v>0</v>
      </c>
      <c r="K90" t="n">
        <v>0</v>
      </c>
      <c r="L90" t="n">
        <v>0</v>
      </c>
      <c r="M90" t="n">
        <v>0</v>
      </c>
      <c r="N90" t="n">
        <v>0</v>
      </c>
      <c r="O90" t="n">
        <v>0</v>
      </c>
      <c r="P90" t="n">
        <v>0</v>
      </c>
      <c r="Q90" t="n">
        <v>0</v>
      </c>
      <c r="R90" s="2" t="inlineStr"/>
    </row>
    <row r="91" ht="15" customHeight="1">
      <c r="A91" t="inlineStr">
        <is>
          <t>A 29656-2023</t>
        </is>
      </c>
      <c r="B91" s="1" t="n">
        <v>45107</v>
      </c>
      <c r="C91" s="1" t="n">
        <v>46129</v>
      </c>
      <c r="D91" t="inlineStr">
        <is>
          <t>KALMAR LÄN</t>
        </is>
      </c>
      <c r="E91" t="inlineStr">
        <is>
          <t>BORGHOLM</t>
        </is>
      </c>
      <c r="G91" t="n">
        <v>4.1</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46129</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46129</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46129</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15272-2026</t>
        </is>
      </c>
      <c r="B95" s="1" t="n">
        <v>46105.60017361111</v>
      </c>
      <c r="C95" s="1" t="n">
        <v>46129</v>
      </c>
      <c r="D95" t="inlineStr">
        <is>
          <t>KALMAR LÄN</t>
        </is>
      </c>
      <c r="E95" t="inlineStr">
        <is>
          <t>BORGHOLM</t>
        </is>
      </c>
      <c r="F95" t="inlineStr">
        <is>
          <t>Sveaskog</t>
        </is>
      </c>
      <c r="G95" t="n">
        <v>2.9</v>
      </c>
      <c r="H95" t="n">
        <v>0</v>
      </c>
      <c r="I95" t="n">
        <v>0</v>
      </c>
      <c r="J95" t="n">
        <v>0</v>
      </c>
      <c r="K95" t="n">
        <v>0</v>
      </c>
      <c r="L95" t="n">
        <v>0</v>
      </c>
      <c r="M95" t="n">
        <v>0</v>
      </c>
      <c r="N95" t="n">
        <v>0</v>
      </c>
      <c r="O95" t="n">
        <v>0</v>
      </c>
      <c r="P95" t="n">
        <v>0</v>
      </c>
      <c r="Q95" t="n">
        <v>0</v>
      </c>
      <c r="R95" s="2" t="inlineStr"/>
    </row>
    <row r="96" ht="15" customHeight="1">
      <c r="A96" t="inlineStr">
        <is>
          <t>A 15264-2026</t>
        </is>
      </c>
      <c r="B96" s="1" t="n">
        <v>46105.59372685185</v>
      </c>
      <c r="C96" s="1" t="n">
        <v>46129</v>
      </c>
      <c r="D96" t="inlineStr">
        <is>
          <t>KALMAR LÄN</t>
        </is>
      </c>
      <c r="E96" t="inlineStr">
        <is>
          <t>BORGHOLM</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15279-2026</t>
        </is>
      </c>
      <c r="B97" s="1" t="n">
        <v>46105.61030092592</v>
      </c>
      <c r="C97" s="1" t="n">
        <v>46129</v>
      </c>
      <c r="D97" t="inlineStr">
        <is>
          <t>KALMAR LÄN</t>
        </is>
      </c>
      <c r="E97" t="inlineStr">
        <is>
          <t>BORGHOLM</t>
        </is>
      </c>
      <c r="F97" t="inlineStr">
        <is>
          <t>Sveaskog</t>
        </is>
      </c>
      <c r="G97" t="n">
        <v>4.6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46129</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9104-2026</t>
        </is>
      </c>
      <c r="B99" s="1" t="n">
        <v>46069</v>
      </c>
      <c r="C99" s="1" t="n">
        <v>46129</v>
      </c>
      <c r="D99" t="inlineStr">
        <is>
          <t>KALMAR LÄN</t>
        </is>
      </c>
      <c r="E99" t="inlineStr">
        <is>
          <t>BORGHOLM</t>
        </is>
      </c>
      <c r="G99" t="n">
        <v>1.3</v>
      </c>
      <c r="H99" t="n">
        <v>0</v>
      </c>
      <c r="I99" t="n">
        <v>0</v>
      </c>
      <c r="J99" t="n">
        <v>0</v>
      </c>
      <c r="K99" t="n">
        <v>0</v>
      </c>
      <c r="L99" t="n">
        <v>0</v>
      </c>
      <c r="M99" t="n">
        <v>0</v>
      </c>
      <c r="N99" t="n">
        <v>0</v>
      </c>
      <c r="O99" t="n">
        <v>0</v>
      </c>
      <c r="P99" t="n">
        <v>0</v>
      </c>
      <c r="Q99" t="n">
        <v>0</v>
      </c>
      <c r="R99" s="2" t="inlineStr"/>
    </row>
    <row r="100" ht="15" customHeight="1">
      <c r="A100" t="inlineStr">
        <is>
          <t>A 9259-2026</t>
        </is>
      </c>
      <c r="B100" s="1" t="n">
        <v>46070.51917824074</v>
      </c>
      <c r="C100" s="1" t="n">
        <v>46129</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9905-2026</t>
        </is>
      </c>
      <c r="B101" s="1" t="n">
        <v>46073.4108912037</v>
      </c>
      <c r="C101" s="1" t="n">
        <v>46129</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46129</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46129</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31720-2022</t>
        </is>
      </c>
      <c r="B104" s="1" t="n">
        <v>44776</v>
      </c>
      <c r="C104" s="1" t="n">
        <v>46129</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46129</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46129</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46129</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46129</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46129</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46129</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13041-2024</t>
        </is>
      </c>
      <c r="B111" s="1" t="n">
        <v>45385.60065972222</v>
      </c>
      <c r="C111" s="1" t="n">
        <v>46129</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53050-2021</t>
        </is>
      </c>
      <c r="B112" s="1" t="n">
        <v>44467</v>
      </c>
      <c r="C112" s="1" t="n">
        <v>46129</v>
      </c>
      <c r="D112" t="inlineStr">
        <is>
          <t>KALMAR LÄN</t>
        </is>
      </c>
      <c r="E112" t="inlineStr">
        <is>
          <t>BORGHOLM</t>
        </is>
      </c>
      <c r="G112" t="n">
        <v>3.6</v>
      </c>
      <c r="H112" t="n">
        <v>0</v>
      </c>
      <c r="I112" t="n">
        <v>0</v>
      </c>
      <c r="J112" t="n">
        <v>0</v>
      </c>
      <c r="K112" t="n">
        <v>0</v>
      </c>
      <c r="L112" t="n">
        <v>0</v>
      </c>
      <c r="M112" t="n">
        <v>0</v>
      </c>
      <c r="N112" t="n">
        <v>0</v>
      </c>
      <c r="O112" t="n">
        <v>0</v>
      </c>
      <c r="P112" t="n">
        <v>0</v>
      </c>
      <c r="Q112" t="n">
        <v>0</v>
      </c>
      <c r="R112" s="2" t="inlineStr"/>
    </row>
    <row r="113" ht="15" customHeight="1">
      <c r="A113" t="inlineStr">
        <is>
          <t>A 4165-2023</t>
        </is>
      </c>
      <c r="B113" s="1" t="n">
        <v>44953</v>
      </c>
      <c r="C113" s="1" t="n">
        <v>46129</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50129-2021</t>
        </is>
      </c>
      <c r="B114" s="1" t="n">
        <v>44456</v>
      </c>
      <c r="C114" s="1" t="n">
        <v>46129</v>
      </c>
      <c r="D114" t="inlineStr">
        <is>
          <t>KALMAR LÄN</t>
        </is>
      </c>
      <c r="E114" t="inlineStr">
        <is>
          <t>BORGHOLM</t>
        </is>
      </c>
      <c r="G114" t="n">
        <v>1.6</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46129</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46129</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9044-2025</t>
        </is>
      </c>
      <c r="B117" s="1" t="n">
        <v>45713.6275</v>
      </c>
      <c r="C117" s="1" t="n">
        <v>46129</v>
      </c>
      <c r="D117" t="inlineStr">
        <is>
          <t>KALMAR LÄN</t>
        </is>
      </c>
      <c r="E117" t="inlineStr">
        <is>
          <t>BORGHOLM</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46129</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46129</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20287-2025</t>
        </is>
      </c>
      <c r="B120" s="1" t="n">
        <v>45774.60741898148</v>
      </c>
      <c r="C120" s="1" t="n">
        <v>46129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26160-2024</t>
        </is>
      </c>
      <c r="B121" s="1" t="n">
        <v>45468</v>
      </c>
      <c r="C121" s="1" t="n">
        <v>46129</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c r="T121">
        <f>HYPERLINK("https://klasma.github.io/Logging_0885/kartor/A 26160-2024 karta.png", "A 26160-2024")</f>
        <v/>
      </c>
      <c r="V121">
        <f>HYPERLINK("https://klasma.github.io/Logging_0885/klagomål/A 26160-2024 FSC-klagomål.docx", "A 26160-2024")</f>
        <v/>
      </c>
      <c r="W121">
        <f>HYPERLINK("https://klasma.github.io/Logging_0885/klagomålsmail/A 26160-2024 FSC-klagomål mail.docx", "A 26160-2024")</f>
        <v/>
      </c>
      <c r="X121">
        <f>HYPERLINK("https://klasma.github.io/Logging_0885/tillsyn/A 26160-2024 tillsynsbegäran.docx", "A 26160-2024")</f>
        <v/>
      </c>
      <c r="Y121">
        <f>HYPERLINK("https://klasma.github.io/Logging_0885/tillsynsmail/A 26160-2024 tillsynsbegäran mail.docx", "A 26160-2024")</f>
        <v/>
      </c>
    </row>
    <row r="122">
      <c r="A122" t="inlineStr">
        <is>
          <t>A 63075-2023</t>
        </is>
      </c>
      <c r="B122" s="1" t="n">
        <v>45273</v>
      </c>
      <c r="C122" s="1" t="n">
        <v>46129</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2026-04-17T10:25:31Z</dcterms:created>
  <dcterms:modified xmlns:dcterms="http://purl.org/dc/terms/" xmlns:xsi="http://www.w3.org/2001/XMLSchema-instance" xsi:type="dcterms:W3CDTF">2026-04-17T10:25:31Z</dcterms:modified>
</cp:coreProperties>
</file>