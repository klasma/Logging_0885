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46091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46091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46091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46091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46091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46091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46091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46091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46091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46091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46091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46091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46091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46091</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46091</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46091</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46091</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46091</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46091</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46091</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13556-2025</t>
        </is>
      </c>
      <c r="B22" s="1" t="n">
        <v>45736.54759259259</v>
      </c>
      <c r="C22" s="1" t="n">
        <v>46091</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46091</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9253-2026</t>
        </is>
      </c>
      <c r="B24" s="1" t="n">
        <v>46070.51003472223</v>
      </c>
      <c r="C24" s="1" t="n">
        <v>46091</v>
      </c>
      <c r="D24" t="inlineStr">
        <is>
          <t>KALMAR LÄN</t>
        </is>
      </c>
      <c r="E24" t="inlineStr">
        <is>
          <t>BORGHOLM</t>
        </is>
      </c>
      <c r="G24" t="n">
        <v>1.1</v>
      </c>
      <c r="H24" t="n">
        <v>1</v>
      </c>
      <c r="I24" t="n">
        <v>1</v>
      </c>
      <c r="J24" t="n">
        <v>0</v>
      </c>
      <c r="K24" t="n">
        <v>0</v>
      </c>
      <c r="L24" t="n">
        <v>0</v>
      </c>
      <c r="M24" t="n">
        <v>0</v>
      </c>
      <c r="N24" t="n">
        <v>0</v>
      </c>
      <c r="O24" t="n">
        <v>0</v>
      </c>
      <c r="P24" t="n">
        <v>0</v>
      </c>
      <c r="Q24" t="n">
        <v>2</v>
      </c>
      <c r="R24" s="2" t="inlineStr">
        <is>
          <t>Murgröna
Gullviva</t>
        </is>
      </c>
      <c r="S24">
        <f>HYPERLINK("https://klasma.github.io/Logging_0885/artfynd/A 9253-2026 artfynd.xlsx", "A 9253-2026")</f>
        <v/>
      </c>
      <c r="T24">
        <f>HYPERLINK("https://klasma.github.io/Logging_0885/kartor/A 9253-2026 karta.png", "A 9253-2026")</f>
        <v/>
      </c>
      <c r="V24">
        <f>HYPERLINK("https://klasma.github.io/Logging_0885/klagomål/A 9253-2026 FSC-klagomål.docx", "A 9253-2026")</f>
        <v/>
      </c>
      <c r="W24">
        <f>HYPERLINK("https://klasma.github.io/Logging_0885/klagomålsmail/A 9253-2026 FSC-klagomål mail.docx", "A 9253-2026")</f>
        <v/>
      </c>
      <c r="X24">
        <f>HYPERLINK("https://klasma.github.io/Logging_0885/tillsyn/A 9253-2026 tillsynsbegäran.docx", "A 9253-2026")</f>
        <v/>
      </c>
      <c r="Y24">
        <f>HYPERLINK("https://klasma.github.io/Logging_0885/tillsynsmail/A 9253-2026 tillsynsbegäran mail.docx", "A 9253-2026")</f>
        <v/>
      </c>
    </row>
    <row r="25" ht="15" customHeight="1">
      <c r="A25" t="inlineStr">
        <is>
          <t>A 34944-2022</t>
        </is>
      </c>
      <c r="B25" s="1" t="n">
        <v>44796</v>
      </c>
      <c r="C25" s="1" t="n">
        <v>46091</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46091</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46091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46091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31790-2021</t>
        </is>
      </c>
      <c r="B29" s="1" t="n">
        <v>44370</v>
      </c>
      <c r="C29" s="1" t="n">
        <v>46091</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46091</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14789-2021</t>
        </is>
      </c>
      <c r="B31" s="1" t="n">
        <v>44280</v>
      </c>
      <c r="C31" s="1" t="n">
        <v>46091</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24048-2025</t>
        </is>
      </c>
      <c r="B32" s="1" t="n">
        <v>45796.4959375</v>
      </c>
      <c r="C32" s="1" t="n">
        <v>46091</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46091</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46091</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46091</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46091</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12785-2021</t>
        </is>
      </c>
      <c r="B37" s="1" t="n">
        <v>44270</v>
      </c>
      <c r="C37" s="1" t="n">
        <v>46091</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45693-2025</t>
        </is>
      </c>
      <c r="B38" s="1" t="n">
        <v>45923</v>
      </c>
      <c r="C38" s="1" t="n">
        <v>46091</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13558-2025</t>
        </is>
      </c>
      <c r="B39" s="1" t="n">
        <v>45736.54974537037</v>
      </c>
      <c r="C39" s="1" t="n">
        <v>46091</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34885-2025</t>
        </is>
      </c>
      <c r="B40" s="1" t="n">
        <v>45849.47128472223</v>
      </c>
      <c r="C40" s="1" t="n">
        <v>46091</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24701-2023</t>
        </is>
      </c>
      <c r="B41" s="1" t="n">
        <v>45084</v>
      </c>
      <c r="C41" s="1" t="n">
        <v>46091</v>
      </c>
      <c r="D41" t="inlineStr">
        <is>
          <t>KALMAR LÄN</t>
        </is>
      </c>
      <c r="E41" t="inlineStr">
        <is>
          <t>BORGHOLM</t>
        </is>
      </c>
      <c r="G41" t="n">
        <v>3</v>
      </c>
      <c r="H41" t="n">
        <v>0</v>
      </c>
      <c r="I41" t="n">
        <v>0</v>
      </c>
      <c r="J41" t="n">
        <v>0</v>
      </c>
      <c r="K41" t="n">
        <v>0</v>
      </c>
      <c r="L41" t="n">
        <v>1</v>
      </c>
      <c r="M41" t="n">
        <v>0</v>
      </c>
      <c r="N41" t="n">
        <v>0</v>
      </c>
      <c r="O41" t="n">
        <v>1</v>
      </c>
      <c r="P41" t="n">
        <v>1</v>
      </c>
      <c r="Q41" t="n">
        <v>1</v>
      </c>
      <c r="R41" s="2" t="inlineStr">
        <is>
          <t>Ask</t>
        </is>
      </c>
      <c r="S41">
        <f>HYPERLINK("https://klasma.github.io/Logging_0885/artfynd/A 24701-2023 artfynd.xlsx", "A 24701-2023")</f>
        <v/>
      </c>
      <c r="T41">
        <f>HYPERLINK("https://klasma.github.io/Logging_0885/kartor/A 24701-2023 karta.png", "A 24701-2023")</f>
        <v/>
      </c>
      <c r="V41">
        <f>HYPERLINK("https://klasma.github.io/Logging_0885/klagomål/A 24701-2023 FSC-klagomål.docx", "A 24701-2023")</f>
        <v/>
      </c>
      <c r="W41">
        <f>HYPERLINK("https://klasma.github.io/Logging_0885/klagomålsmail/A 24701-2023 FSC-klagomål mail.docx", "A 24701-2023")</f>
        <v/>
      </c>
      <c r="X41">
        <f>HYPERLINK("https://klasma.github.io/Logging_0885/tillsyn/A 24701-2023 tillsynsbegäran.docx", "A 24701-2023")</f>
        <v/>
      </c>
      <c r="Y41">
        <f>HYPERLINK("https://klasma.github.io/Logging_0885/tillsynsmail/A 24701-2023 tillsynsbegäran mail.docx", "A 24701-2023")</f>
        <v/>
      </c>
    </row>
    <row r="42" ht="15" customHeight="1">
      <c r="A42" t="inlineStr">
        <is>
          <t>A 43603-2024</t>
        </is>
      </c>
      <c r="B42" s="1" t="n">
        <v>45569.44700231482</v>
      </c>
      <c r="C42" s="1" t="n">
        <v>46091</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24704-2023</t>
        </is>
      </c>
      <c r="B43" s="1" t="n">
        <v>45084</v>
      </c>
      <c r="C43" s="1" t="n">
        <v>46091</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3302-2026</t>
        </is>
      </c>
      <c r="B44" s="1" t="n">
        <v>46041</v>
      </c>
      <c r="C44" s="1" t="n">
        <v>46091</v>
      </c>
      <c r="D44" t="inlineStr">
        <is>
          <t>KALMAR LÄN</t>
        </is>
      </c>
      <c r="E44" t="inlineStr">
        <is>
          <t>BORGHOLM</t>
        </is>
      </c>
      <c r="G44" t="n">
        <v>3.9</v>
      </c>
      <c r="H44" t="n">
        <v>1</v>
      </c>
      <c r="I44" t="n">
        <v>0</v>
      </c>
      <c r="J44" t="n">
        <v>0</v>
      </c>
      <c r="K44" t="n">
        <v>0</v>
      </c>
      <c r="L44" t="n">
        <v>0</v>
      </c>
      <c r="M44" t="n">
        <v>0</v>
      </c>
      <c r="N44" t="n">
        <v>0</v>
      </c>
      <c r="O44" t="n">
        <v>0</v>
      </c>
      <c r="P44" t="n">
        <v>0</v>
      </c>
      <c r="Q44" t="n">
        <v>1</v>
      </c>
      <c r="R44" s="2" t="inlineStr">
        <is>
          <t>Blåsippa</t>
        </is>
      </c>
      <c r="S44">
        <f>HYPERLINK("https://klasma.github.io/Logging_0885/artfynd/A 3302-2026 artfynd.xlsx", "A 3302-2026")</f>
        <v/>
      </c>
      <c r="T44">
        <f>HYPERLINK("https://klasma.github.io/Logging_0885/kartor/A 3302-2026 karta.png", "A 3302-2026")</f>
        <v/>
      </c>
      <c r="V44">
        <f>HYPERLINK("https://klasma.github.io/Logging_0885/klagomål/A 3302-2026 FSC-klagomål.docx", "A 3302-2026")</f>
        <v/>
      </c>
      <c r="W44">
        <f>HYPERLINK("https://klasma.github.io/Logging_0885/klagomålsmail/A 3302-2026 FSC-klagomål mail.docx", "A 3302-2026")</f>
        <v/>
      </c>
      <c r="X44">
        <f>HYPERLINK("https://klasma.github.io/Logging_0885/tillsyn/A 3302-2026 tillsynsbegäran.docx", "A 3302-2026")</f>
        <v/>
      </c>
      <c r="Y44">
        <f>HYPERLINK("https://klasma.github.io/Logging_0885/tillsynsmail/A 3302-2026 tillsynsbegäran mail.docx", "A 3302-2026")</f>
        <v/>
      </c>
    </row>
    <row r="45" ht="15" customHeight="1">
      <c r="A45" t="inlineStr">
        <is>
          <t>A 12711-2021</t>
        </is>
      </c>
      <c r="B45" s="1" t="n">
        <v>44270</v>
      </c>
      <c r="C45" s="1" t="n">
        <v>46091</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46091</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46091</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46091</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46091</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46091</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46091</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46091</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46091</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46091</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46091</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46091</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46091</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46091</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46091</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46091</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46091</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17978-2021</t>
        </is>
      </c>
      <c r="B62" s="1" t="n">
        <v>44301</v>
      </c>
      <c r="C62" s="1" t="n">
        <v>46091</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26160-2024</t>
        </is>
      </c>
      <c r="B63" s="1" t="n">
        <v>45468</v>
      </c>
      <c r="C63" s="1" t="n">
        <v>46091</v>
      </c>
      <c r="D63" t="inlineStr">
        <is>
          <t>KALMAR LÄN</t>
        </is>
      </c>
      <c r="E63" t="inlineStr">
        <is>
          <t>BORGHOLM</t>
        </is>
      </c>
      <c r="G63" t="n">
        <v>0.4</v>
      </c>
      <c r="H63" t="n">
        <v>0</v>
      </c>
      <c r="I63" t="n">
        <v>0</v>
      </c>
      <c r="J63" t="n">
        <v>0</v>
      </c>
      <c r="K63" t="n">
        <v>0</v>
      </c>
      <c r="L63" t="n">
        <v>0</v>
      </c>
      <c r="M63" t="n">
        <v>0</v>
      </c>
      <c r="N63" t="n">
        <v>0</v>
      </c>
      <c r="O63" t="n">
        <v>0</v>
      </c>
      <c r="P63" t="n">
        <v>0</v>
      </c>
      <c r="Q63" t="n">
        <v>0</v>
      </c>
      <c r="R63" s="2" t="inlineStr"/>
      <c r="T63">
        <f>HYPERLINK("https://klasma.github.io/Logging_0885/kartor/A 26160-2024 karta.png", "A 26160-2024")</f>
        <v/>
      </c>
      <c r="V63">
        <f>HYPERLINK("https://klasma.github.io/Logging_0885/klagomål/A 26160-2024 FSC-klagomål.docx", "A 26160-2024")</f>
        <v/>
      </c>
      <c r="W63">
        <f>HYPERLINK("https://klasma.github.io/Logging_0885/klagomålsmail/A 26160-2024 FSC-klagomål mail.docx", "A 26160-2024")</f>
        <v/>
      </c>
      <c r="X63">
        <f>HYPERLINK("https://klasma.github.io/Logging_0885/tillsyn/A 26160-2024 tillsynsbegäran.docx", "A 26160-2024")</f>
        <v/>
      </c>
      <c r="Y63">
        <f>HYPERLINK("https://klasma.github.io/Logging_0885/tillsynsmail/A 26160-2024 tillsynsbegäran mail.docx", "A 26160-2024")</f>
        <v/>
      </c>
    </row>
    <row r="64" ht="15" customHeight="1">
      <c r="A64" t="inlineStr">
        <is>
          <t>A 22785-2025</t>
        </is>
      </c>
      <c r="B64" s="1" t="n">
        <v>45789.64186342592</v>
      </c>
      <c r="C64" s="1" t="n">
        <v>46091</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12534-2022</t>
        </is>
      </c>
      <c r="B65" s="1" t="n">
        <v>44638</v>
      </c>
      <c r="C65" s="1" t="n">
        <v>46091</v>
      </c>
      <c r="D65" t="inlineStr">
        <is>
          <t>KALMAR LÄN</t>
        </is>
      </c>
      <c r="E65" t="inlineStr">
        <is>
          <t>BORGHOLM</t>
        </is>
      </c>
      <c r="G65" t="n">
        <v>8.6</v>
      </c>
      <c r="H65" t="n">
        <v>0</v>
      </c>
      <c r="I65" t="n">
        <v>0</v>
      </c>
      <c r="J65" t="n">
        <v>0</v>
      </c>
      <c r="K65" t="n">
        <v>0</v>
      </c>
      <c r="L65" t="n">
        <v>0</v>
      </c>
      <c r="M65" t="n">
        <v>0</v>
      </c>
      <c r="N65" t="n">
        <v>0</v>
      </c>
      <c r="O65" t="n">
        <v>0</v>
      </c>
      <c r="P65" t="n">
        <v>0</v>
      </c>
      <c r="Q65" t="n">
        <v>0</v>
      </c>
      <c r="R65" s="2" t="inlineStr"/>
    </row>
    <row r="66" ht="15" customHeight="1">
      <c r="A66" t="inlineStr">
        <is>
          <t>A 20878-2024</t>
        </is>
      </c>
      <c r="B66" s="1" t="n">
        <v>45439.44748842593</v>
      </c>
      <c r="C66" s="1" t="n">
        <v>46091</v>
      </c>
      <c r="D66" t="inlineStr">
        <is>
          <t>KALMAR LÄN</t>
        </is>
      </c>
      <c r="E66" t="inlineStr">
        <is>
          <t>BORGHOLM</t>
        </is>
      </c>
      <c r="G66" t="n">
        <v>1.9</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46091</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40339-2023</t>
        </is>
      </c>
      <c r="B68" s="1" t="n">
        <v>45169.62733796296</v>
      </c>
      <c r="C68" s="1" t="n">
        <v>46091</v>
      </c>
      <c r="D68" t="inlineStr">
        <is>
          <t>KALMAR LÄN</t>
        </is>
      </c>
      <c r="E68" t="inlineStr">
        <is>
          <t>BORGHOLM</t>
        </is>
      </c>
      <c r="G68" t="n">
        <v>3.8</v>
      </c>
      <c r="H68" t="n">
        <v>0</v>
      </c>
      <c r="I68" t="n">
        <v>0</v>
      </c>
      <c r="J68" t="n">
        <v>0</v>
      </c>
      <c r="K68" t="n">
        <v>0</v>
      </c>
      <c r="L68" t="n">
        <v>0</v>
      </c>
      <c r="M68" t="n">
        <v>0</v>
      </c>
      <c r="N68" t="n">
        <v>0</v>
      </c>
      <c r="O68" t="n">
        <v>0</v>
      </c>
      <c r="P68" t="n">
        <v>0</v>
      </c>
      <c r="Q68" t="n">
        <v>0</v>
      </c>
      <c r="R68" s="2" t="inlineStr"/>
    </row>
    <row r="69" ht="15" customHeight="1">
      <c r="A69" t="inlineStr">
        <is>
          <t>A 42232-2025</t>
        </is>
      </c>
      <c r="B69" s="1" t="n">
        <v>45904.55591435185</v>
      </c>
      <c r="C69" s="1" t="n">
        <v>46091</v>
      </c>
      <c r="D69" t="inlineStr">
        <is>
          <t>KALMAR LÄN</t>
        </is>
      </c>
      <c r="E69" t="inlineStr">
        <is>
          <t>BORGHOLM</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46091</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24166-2022</t>
        </is>
      </c>
      <c r="B71" s="1" t="n">
        <v>44725</v>
      </c>
      <c r="C71" s="1" t="n">
        <v>46091</v>
      </c>
      <c r="D71" t="inlineStr">
        <is>
          <t>KALMAR LÄN</t>
        </is>
      </c>
      <c r="E71" t="inlineStr">
        <is>
          <t>BORGHOLM</t>
        </is>
      </c>
      <c r="G71" t="n">
        <v>10.7</v>
      </c>
      <c r="H71" t="n">
        <v>0</v>
      </c>
      <c r="I71" t="n">
        <v>0</v>
      </c>
      <c r="J71" t="n">
        <v>0</v>
      </c>
      <c r="K71" t="n">
        <v>0</v>
      </c>
      <c r="L71" t="n">
        <v>0</v>
      </c>
      <c r="M71" t="n">
        <v>0</v>
      </c>
      <c r="N71" t="n">
        <v>0</v>
      </c>
      <c r="O71" t="n">
        <v>0</v>
      </c>
      <c r="P71" t="n">
        <v>0</v>
      </c>
      <c r="Q71" t="n">
        <v>0</v>
      </c>
      <c r="R71" s="2" t="inlineStr"/>
    </row>
    <row r="72" ht="15" customHeight="1">
      <c r="A72" t="inlineStr">
        <is>
          <t>A 26160-2025</t>
        </is>
      </c>
      <c r="B72" s="1" t="n">
        <v>45805.4490162037</v>
      </c>
      <c r="C72" s="1" t="n">
        <v>46091</v>
      </c>
      <c r="D72" t="inlineStr">
        <is>
          <t>KALMAR LÄN</t>
        </is>
      </c>
      <c r="E72" t="inlineStr">
        <is>
          <t>BORGHOLM</t>
        </is>
      </c>
      <c r="G72" t="n">
        <v>3.7</v>
      </c>
      <c r="H72" t="n">
        <v>0</v>
      </c>
      <c r="I72" t="n">
        <v>0</v>
      </c>
      <c r="J72" t="n">
        <v>0</v>
      </c>
      <c r="K72" t="n">
        <v>0</v>
      </c>
      <c r="L72" t="n">
        <v>0</v>
      </c>
      <c r="M72" t="n">
        <v>0</v>
      </c>
      <c r="N72" t="n">
        <v>0</v>
      </c>
      <c r="O72" t="n">
        <v>0</v>
      </c>
      <c r="P72" t="n">
        <v>0</v>
      </c>
      <c r="Q72" t="n">
        <v>0</v>
      </c>
      <c r="R72" s="2" t="inlineStr"/>
    </row>
    <row r="73" ht="15" customHeight="1">
      <c r="A73" t="inlineStr">
        <is>
          <t>A 26190-2025</t>
        </is>
      </c>
      <c r="B73" s="1" t="n">
        <v>45805.48349537037</v>
      </c>
      <c r="C73" s="1" t="n">
        <v>46091</v>
      </c>
      <c r="D73" t="inlineStr">
        <is>
          <t>KALMAR LÄN</t>
        </is>
      </c>
      <c r="E73" t="inlineStr">
        <is>
          <t>BORGHOLM</t>
        </is>
      </c>
      <c r="G73" t="n">
        <v>3.2</v>
      </c>
      <c r="H73" t="n">
        <v>0</v>
      </c>
      <c r="I73" t="n">
        <v>0</v>
      </c>
      <c r="J73" t="n">
        <v>0</v>
      </c>
      <c r="K73" t="n">
        <v>0</v>
      </c>
      <c r="L73" t="n">
        <v>0</v>
      </c>
      <c r="M73" t="n">
        <v>0</v>
      </c>
      <c r="N73" t="n">
        <v>0</v>
      </c>
      <c r="O73" t="n">
        <v>0</v>
      </c>
      <c r="P73" t="n">
        <v>0</v>
      </c>
      <c r="Q73" t="n">
        <v>0</v>
      </c>
      <c r="R73" s="2" t="inlineStr"/>
    </row>
    <row r="74" ht="15" customHeight="1">
      <c r="A74" t="inlineStr">
        <is>
          <t>A 4159-2024</t>
        </is>
      </c>
      <c r="B74" s="1" t="n">
        <v>45323</v>
      </c>
      <c r="C74" s="1" t="n">
        <v>46091</v>
      </c>
      <c r="D74" t="inlineStr">
        <is>
          <t>KALMAR LÄN</t>
        </is>
      </c>
      <c r="E74" t="inlineStr">
        <is>
          <t>BORGHOLM</t>
        </is>
      </c>
      <c r="G74" t="n">
        <v>0.5</v>
      </c>
      <c r="H74" t="n">
        <v>0</v>
      </c>
      <c r="I74" t="n">
        <v>0</v>
      </c>
      <c r="J74" t="n">
        <v>0</v>
      </c>
      <c r="K74" t="n">
        <v>0</v>
      </c>
      <c r="L74" t="n">
        <v>0</v>
      </c>
      <c r="M74" t="n">
        <v>0</v>
      </c>
      <c r="N74" t="n">
        <v>0</v>
      </c>
      <c r="O74" t="n">
        <v>0</v>
      </c>
      <c r="P74" t="n">
        <v>0</v>
      </c>
      <c r="Q74" t="n">
        <v>0</v>
      </c>
      <c r="R74" s="2" t="inlineStr"/>
    </row>
    <row r="75" ht="15" customHeight="1">
      <c r="A75" t="inlineStr">
        <is>
          <t>A 43542-2025</t>
        </is>
      </c>
      <c r="B75" s="1" t="n">
        <v>45911.61123842592</v>
      </c>
      <c r="C75" s="1" t="n">
        <v>46091</v>
      </c>
      <c r="D75" t="inlineStr">
        <is>
          <t>KALMAR LÄN</t>
        </is>
      </c>
      <c r="E75" t="inlineStr">
        <is>
          <t>BORGHOLM</t>
        </is>
      </c>
      <c r="G75" t="n">
        <v>2.4</v>
      </c>
      <c r="H75" t="n">
        <v>0</v>
      </c>
      <c r="I75" t="n">
        <v>0</v>
      </c>
      <c r="J75" t="n">
        <v>0</v>
      </c>
      <c r="K75" t="n">
        <v>0</v>
      </c>
      <c r="L75" t="n">
        <v>0</v>
      </c>
      <c r="M75" t="n">
        <v>0</v>
      </c>
      <c r="N75" t="n">
        <v>0</v>
      </c>
      <c r="O75" t="n">
        <v>0</v>
      </c>
      <c r="P75" t="n">
        <v>0</v>
      </c>
      <c r="Q75" t="n">
        <v>0</v>
      </c>
      <c r="R75" s="2" t="inlineStr"/>
    </row>
    <row r="76" ht="15" customHeight="1">
      <c r="A76" t="inlineStr">
        <is>
          <t>A 27357-2025</t>
        </is>
      </c>
      <c r="B76" s="1" t="n">
        <v>45812.63650462963</v>
      </c>
      <c r="C76" s="1" t="n">
        <v>46091</v>
      </c>
      <c r="D76" t="inlineStr">
        <is>
          <t>KALMAR LÄN</t>
        </is>
      </c>
      <c r="E76" t="inlineStr">
        <is>
          <t>BORGHOLM</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27366-2025</t>
        </is>
      </c>
      <c r="B77" s="1" t="n">
        <v>45812.64475694444</v>
      </c>
      <c r="C77" s="1" t="n">
        <v>46091</v>
      </c>
      <c r="D77" t="inlineStr">
        <is>
          <t>KALMAR LÄN</t>
        </is>
      </c>
      <c r="E77" t="inlineStr">
        <is>
          <t>BORGHOLM</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53050-2021</t>
        </is>
      </c>
      <c r="B78" s="1" t="n">
        <v>44467</v>
      </c>
      <c r="C78" s="1" t="n">
        <v>46091</v>
      </c>
      <c r="D78" t="inlineStr">
        <is>
          <t>KALMAR LÄN</t>
        </is>
      </c>
      <c r="E78" t="inlineStr">
        <is>
          <t>BORGHOLM</t>
        </is>
      </c>
      <c r="G78" t="n">
        <v>3.6</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46091</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45869-2025</t>
        </is>
      </c>
      <c r="B80" s="1" t="n">
        <v>45923.65313657407</v>
      </c>
      <c r="C80" s="1" t="n">
        <v>46091</v>
      </c>
      <c r="D80" t="inlineStr">
        <is>
          <t>KALMAR LÄN</t>
        </is>
      </c>
      <c r="E80" t="inlineStr">
        <is>
          <t>BORGHOLM</t>
        </is>
      </c>
      <c r="G80" t="n">
        <v>4.5</v>
      </c>
      <c r="H80" t="n">
        <v>0</v>
      </c>
      <c r="I80" t="n">
        <v>0</v>
      </c>
      <c r="J80" t="n">
        <v>0</v>
      </c>
      <c r="K80" t="n">
        <v>0</v>
      </c>
      <c r="L80" t="n">
        <v>0</v>
      </c>
      <c r="M80" t="n">
        <v>0</v>
      </c>
      <c r="N80" t="n">
        <v>0</v>
      </c>
      <c r="O80" t="n">
        <v>0</v>
      </c>
      <c r="P80" t="n">
        <v>0</v>
      </c>
      <c r="Q80" t="n">
        <v>0</v>
      </c>
      <c r="R80" s="2" t="inlineStr"/>
    </row>
    <row r="81" ht="15" customHeight="1">
      <c r="A81" t="inlineStr">
        <is>
          <t>A 28782-2025</t>
        </is>
      </c>
      <c r="B81" s="1" t="n">
        <v>45820.45572916666</v>
      </c>
      <c r="C81" s="1" t="n">
        <v>46091</v>
      </c>
      <c r="D81" t="inlineStr">
        <is>
          <t>KALMAR LÄN</t>
        </is>
      </c>
      <c r="E81" t="inlineStr">
        <is>
          <t>BORGHOLM</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46091</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31720-2022</t>
        </is>
      </c>
      <c r="B83" s="1" t="n">
        <v>44776</v>
      </c>
      <c r="C83" s="1" t="n">
        <v>46091</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46091</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4165-2023</t>
        </is>
      </c>
      <c r="B85" s="1" t="n">
        <v>44953</v>
      </c>
      <c r="C85" s="1" t="n">
        <v>46091</v>
      </c>
      <c r="D85" t="inlineStr">
        <is>
          <t>KALMAR LÄN</t>
        </is>
      </c>
      <c r="E85" t="inlineStr">
        <is>
          <t>BORGHOLM</t>
        </is>
      </c>
      <c r="G85" t="n">
        <v>0.6</v>
      </c>
      <c r="H85" t="n">
        <v>0</v>
      </c>
      <c r="I85" t="n">
        <v>0</v>
      </c>
      <c r="J85" t="n">
        <v>0</v>
      </c>
      <c r="K85" t="n">
        <v>0</v>
      </c>
      <c r="L85" t="n">
        <v>0</v>
      </c>
      <c r="M85" t="n">
        <v>0</v>
      </c>
      <c r="N85" t="n">
        <v>0</v>
      </c>
      <c r="O85" t="n">
        <v>0</v>
      </c>
      <c r="P85" t="n">
        <v>0</v>
      </c>
      <c r="Q85" t="n">
        <v>0</v>
      </c>
      <c r="R85" s="2" t="inlineStr"/>
    </row>
    <row r="86" ht="15" customHeight="1">
      <c r="A86" t="inlineStr">
        <is>
          <t>A 13548-2025</t>
        </is>
      </c>
      <c r="B86" s="1" t="n">
        <v>45736.53827546296</v>
      </c>
      <c r="C86" s="1" t="n">
        <v>46091</v>
      </c>
      <c r="D86" t="inlineStr">
        <is>
          <t>KALMAR LÄN</t>
        </is>
      </c>
      <c r="E86" t="inlineStr">
        <is>
          <t>BORGHOLM</t>
        </is>
      </c>
      <c r="G86" t="n">
        <v>1</v>
      </c>
      <c r="H86" t="n">
        <v>0</v>
      </c>
      <c r="I86" t="n">
        <v>0</v>
      </c>
      <c r="J86" t="n">
        <v>0</v>
      </c>
      <c r="K86" t="n">
        <v>0</v>
      </c>
      <c r="L86" t="n">
        <v>0</v>
      </c>
      <c r="M86" t="n">
        <v>0</v>
      </c>
      <c r="N86" t="n">
        <v>0</v>
      </c>
      <c r="O86" t="n">
        <v>0</v>
      </c>
      <c r="P86" t="n">
        <v>0</v>
      </c>
      <c r="Q86" t="n">
        <v>0</v>
      </c>
      <c r="R86" s="2" t="inlineStr"/>
    </row>
    <row r="87" ht="15" customHeight="1">
      <c r="A87" t="inlineStr">
        <is>
          <t>A 32921-2023</t>
        </is>
      </c>
      <c r="B87" s="1" t="n">
        <v>45125</v>
      </c>
      <c r="C87" s="1" t="n">
        <v>46091</v>
      </c>
      <c r="D87" t="inlineStr">
        <is>
          <t>KALMAR LÄN</t>
        </is>
      </c>
      <c r="E87" t="inlineStr">
        <is>
          <t>BORGHOLM</t>
        </is>
      </c>
      <c r="G87" t="n">
        <v>2.9</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46091</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36269-2025</t>
        </is>
      </c>
      <c r="B89" s="1" t="n">
        <v>45867.61736111111</v>
      </c>
      <c r="C89" s="1" t="n">
        <v>46091</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44678-2022</t>
        </is>
      </c>
      <c r="B90" s="1" t="n">
        <v>44840.65100694444</v>
      </c>
      <c r="C90" s="1" t="n">
        <v>46091</v>
      </c>
      <c r="D90" t="inlineStr">
        <is>
          <t>KALMAR LÄN</t>
        </is>
      </c>
      <c r="E90" t="inlineStr">
        <is>
          <t>BORGHOLM</t>
        </is>
      </c>
      <c r="G90" t="n">
        <v>2.4</v>
      </c>
      <c r="H90" t="n">
        <v>0</v>
      </c>
      <c r="I90" t="n">
        <v>0</v>
      </c>
      <c r="J90" t="n">
        <v>0</v>
      </c>
      <c r="K90" t="n">
        <v>0</v>
      </c>
      <c r="L90" t="n">
        <v>0</v>
      </c>
      <c r="M90" t="n">
        <v>0</v>
      </c>
      <c r="N90" t="n">
        <v>0</v>
      </c>
      <c r="O90" t="n">
        <v>0</v>
      </c>
      <c r="P90" t="n">
        <v>0</v>
      </c>
      <c r="Q90" t="n">
        <v>0</v>
      </c>
      <c r="R90" s="2" t="inlineStr"/>
    </row>
    <row r="91" ht="15" customHeight="1">
      <c r="A91" t="inlineStr">
        <is>
          <t>A 64303-2023</t>
        </is>
      </c>
      <c r="B91" s="1" t="n">
        <v>45280</v>
      </c>
      <c r="C91" s="1" t="n">
        <v>46091</v>
      </c>
      <c r="D91" t="inlineStr">
        <is>
          <t>KALMAR LÄN</t>
        </is>
      </c>
      <c r="E91" t="inlineStr">
        <is>
          <t>BORGHOLM</t>
        </is>
      </c>
      <c r="G91" t="n">
        <v>1.2</v>
      </c>
      <c r="H91" t="n">
        <v>0</v>
      </c>
      <c r="I91" t="n">
        <v>0</v>
      </c>
      <c r="J91" t="n">
        <v>0</v>
      </c>
      <c r="K91" t="n">
        <v>0</v>
      </c>
      <c r="L91" t="n">
        <v>0</v>
      </c>
      <c r="M91" t="n">
        <v>0</v>
      </c>
      <c r="N91" t="n">
        <v>0</v>
      </c>
      <c r="O91" t="n">
        <v>0</v>
      </c>
      <c r="P91" t="n">
        <v>0</v>
      </c>
      <c r="Q91" t="n">
        <v>0</v>
      </c>
      <c r="R91" s="2" t="inlineStr"/>
    </row>
    <row r="92" ht="15" customHeight="1">
      <c r="A92" t="inlineStr">
        <is>
          <t>A 60141-2025</t>
        </is>
      </c>
      <c r="B92" s="1" t="n">
        <v>45994.36873842592</v>
      </c>
      <c r="C92" s="1" t="n">
        <v>46091</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46091</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63075-2023</t>
        </is>
      </c>
      <c r="B94" s="1" t="n">
        <v>45273</v>
      </c>
      <c r="C94" s="1" t="n">
        <v>46091</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61723-2025</t>
        </is>
      </c>
      <c r="B95" s="1" t="n">
        <v>46002.58388888889</v>
      </c>
      <c r="C95" s="1" t="n">
        <v>46091</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46091</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1757-2025</t>
        </is>
      </c>
      <c r="B97" s="1" t="n">
        <v>45671.42195601852</v>
      </c>
      <c r="C97" s="1" t="n">
        <v>46091</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7481-2026</t>
        </is>
      </c>
      <c r="B98" s="1" t="n">
        <v>46059.51359953704</v>
      </c>
      <c r="C98" s="1" t="n">
        <v>46091</v>
      </c>
      <c r="D98" t="inlineStr">
        <is>
          <t>KALMAR LÄN</t>
        </is>
      </c>
      <c r="E98" t="inlineStr">
        <is>
          <t>BORGHOLM</t>
        </is>
      </c>
      <c r="G98" t="n">
        <v>1.9</v>
      </c>
      <c r="H98" t="n">
        <v>0</v>
      </c>
      <c r="I98" t="n">
        <v>0</v>
      </c>
      <c r="J98" t="n">
        <v>0</v>
      </c>
      <c r="K98" t="n">
        <v>0</v>
      </c>
      <c r="L98" t="n">
        <v>0</v>
      </c>
      <c r="M98" t="n">
        <v>0</v>
      </c>
      <c r="N98" t="n">
        <v>0</v>
      </c>
      <c r="O98" t="n">
        <v>0</v>
      </c>
      <c r="P98" t="n">
        <v>0</v>
      </c>
      <c r="Q98" t="n">
        <v>0</v>
      </c>
      <c r="R98" s="2" t="inlineStr"/>
    </row>
    <row r="99" ht="15" customHeight="1">
      <c r="A99" t="inlineStr">
        <is>
          <t>A 17699-2025</t>
        </is>
      </c>
      <c r="B99" s="1" t="n">
        <v>45758.41846064815</v>
      </c>
      <c r="C99" s="1" t="n">
        <v>46091</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7669-2024</t>
        </is>
      </c>
      <c r="B100" s="1" t="n">
        <v>45348.82498842593</v>
      </c>
      <c r="C100" s="1" t="n">
        <v>46091</v>
      </c>
      <c r="D100" t="inlineStr">
        <is>
          <t>KALMAR LÄN</t>
        </is>
      </c>
      <c r="E100" t="inlineStr">
        <is>
          <t>BORGHOLM</t>
        </is>
      </c>
      <c r="G100" t="n">
        <v>2.3</v>
      </c>
      <c r="H100" t="n">
        <v>0</v>
      </c>
      <c r="I100" t="n">
        <v>0</v>
      </c>
      <c r="J100" t="n">
        <v>0</v>
      </c>
      <c r="K100" t="n">
        <v>0</v>
      </c>
      <c r="L100" t="n">
        <v>0</v>
      </c>
      <c r="M100" t="n">
        <v>0</v>
      </c>
      <c r="N100" t="n">
        <v>0</v>
      </c>
      <c r="O100" t="n">
        <v>0</v>
      </c>
      <c r="P100" t="n">
        <v>0</v>
      </c>
      <c r="Q100" t="n">
        <v>0</v>
      </c>
      <c r="R100" s="2" t="inlineStr"/>
    </row>
    <row r="101" ht="15" customHeight="1">
      <c r="A101" t="inlineStr">
        <is>
          <t>A 34780-2022</t>
        </is>
      </c>
      <c r="B101" s="1" t="n">
        <v>44795</v>
      </c>
      <c r="C101" s="1" t="n">
        <v>46091</v>
      </c>
      <c r="D101" t="inlineStr">
        <is>
          <t>KALMAR LÄN</t>
        </is>
      </c>
      <c r="E101" t="inlineStr">
        <is>
          <t>BORGHOLM</t>
        </is>
      </c>
      <c r="F101" t="inlineStr">
        <is>
          <t>Sveaskog</t>
        </is>
      </c>
      <c r="G101" t="n">
        <v>6.7</v>
      </c>
      <c r="H101" t="n">
        <v>0</v>
      </c>
      <c r="I101" t="n">
        <v>0</v>
      </c>
      <c r="J101" t="n">
        <v>0</v>
      </c>
      <c r="K101" t="n">
        <v>0</v>
      </c>
      <c r="L101" t="n">
        <v>0</v>
      </c>
      <c r="M101" t="n">
        <v>0</v>
      </c>
      <c r="N101" t="n">
        <v>0</v>
      </c>
      <c r="O101" t="n">
        <v>0</v>
      </c>
      <c r="P101" t="n">
        <v>0</v>
      </c>
      <c r="Q101" t="n">
        <v>0</v>
      </c>
      <c r="R101" s="2" t="inlineStr"/>
    </row>
    <row r="102" ht="15" customHeight="1">
      <c r="A102" t="inlineStr">
        <is>
          <t>A 55367-2024</t>
        </is>
      </c>
      <c r="B102" s="1" t="n">
        <v>45621.87075231481</v>
      </c>
      <c r="C102" s="1" t="n">
        <v>46091</v>
      </c>
      <c r="D102" t="inlineStr">
        <is>
          <t>KALMAR LÄN</t>
        </is>
      </c>
      <c r="E102" t="inlineStr">
        <is>
          <t>BORGHOLM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20287-2025</t>
        </is>
      </c>
      <c r="B103" s="1" t="n">
        <v>45774.60741898148</v>
      </c>
      <c r="C103" s="1" t="n">
        <v>46091</v>
      </c>
      <c r="D103" t="inlineStr">
        <is>
          <t>KALMAR LÄN</t>
        </is>
      </c>
      <c r="E103" t="inlineStr">
        <is>
          <t>BORGHOLM</t>
        </is>
      </c>
      <c r="G103" t="n">
        <v>0.6</v>
      </c>
      <c r="H103" t="n">
        <v>0</v>
      </c>
      <c r="I103" t="n">
        <v>0</v>
      </c>
      <c r="J103" t="n">
        <v>0</v>
      </c>
      <c r="K103" t="n">
        <v>0</v>
      </c>
      <c r="L103" t="n">
        <v>0</v>
      </c>
      <c r="M103" t="n">
        <v>0</v>
      </c>
      <c r="N103" t="n">
        <v>0</v>
      </c>
      <c r="O103" t="n">
        <v>0</v>
      </c>
      <c r="P103" t="n">
        <v>0</v>
      </c>
      <c r="Q103" t="n">
        <v>0</v>
      </c>
      <c r="R103" s="2" t="inlineStr"/>
    </row>
    <row r="104" ht="15" customHeight="1">
      <c r="A104" t="inlineStr">
        <is>
          <t>A 9259-2026</t>
        </is>
      </c>
      <c r="B104" s="1" t="n">
        <v>46070.51917824074</v>
      </c>
      <c r="C104" s="1" t="n">
        <v>46091</v>
      </c>
      <c r="D104" t="inlineStr">
        <is>
          <t>KALMAR LÄN</t>
        </is>
      </c>
      <c r="E104" t="inlineStr">
        <is>
          <t>BORGHOLM</t>
        </is>
      </c>
      <c r="G104" t="n">
        <v>1.6</v>
      </c>
      <c r="H104" t="n">
        <v>0</v>
      </c>
      <c r="I104" t="n">
        <v>0</v>
      </c>
      <c r="J104" t="n">
        <v>0</v>
      </c>
      <c r="K104" t="n">
        <v>0</v>
      </c>
      <c r="L104" t="n">
        <v>0</v>
      </c>
      <c r="M104" t="n">
        <v>0</v>
      </c>
      <c r="N104" t="n">
        <v>0</v>
      </c>
      <c r="O104" t="n">
        <v>0</v>
      </c>
      <c r="P104" t="n">
        <v>0</v>
      </c>
      <c r="Q104" t="n">
        <v>0</v>
      </c>
      <c r="R104" s="2" t="inlineStr"/>
    </row>
    <row r="105" ht="15" customHeight="1">
      <c r="A105" t="inlineStr">
        <is>
          <t>A 9104-2026</t>
        </is>
      </c>
      <c r="B105" s="1" t="n">
        <v>46069</v>
      </c>
      <c r="C105" s="1" t="n">
        <v>46091</v>
      </c>
      <c r="D105" t="inlineStr">
        <is>
          <t>KALMAR LÄN</t>
        </is>
      </c>
      <c r="E105" t="inlineStr">
        <is>
          <t>BORGHOLM</t>
        </is>
      </c>
      <c r="G105" t="n">
        <v>1.3</v>
      </c>
      <c r="H105" t="n">
        <v>0</v>
      </c>
      <c r="I105" t="n">
        <v>0</v>
      </c>
      <c r="J105" t="n">
        <v>0</v>
      </c>
      <c r="K105" t="n">
        <v>0</v>
      </c>
      <c r="L105" t="n">
        <v>0</v>
      </c>
      <c r="M105" t="n">
        <v>0</v>
      </c>
      <c r="N105" t="n">
        <v>0</v>
      </c>
      <c r="O105" t="n">
        <v>0</v>
      </c>
      <c r="P105" t="n">
        <v>0</v>
      </c>
      <c r="Q105" t="n">
        <v>0</v>
      </c>
      <c r="R105" s="2" t="inlineStr"/>
    </row>
    <row r="106" ht="15" customHeight="1">
      <c r="A106" t="inlineStr">
        <is>
          <t>A 9076-2025</t>
        </is>
      </c>
      <c r="B106" s="1" t="n">
        <v>45713.6596875</v>
      </c>
      <c r="C106" s="1" t="n">
        <v>46091</v>
      </c>
      <c r="D106" t="inlineStr">
        <is>
          <t>KALMAR LÄN</t>
        </is>
      </c>
      <c r="E106" t="inlineStr">
        <is>
          <t>BORGHOLM</t>
        </is>
      </c>
      <c r="F106" t="inlineStr">
        <is>
          <t>Sveaskog</t>
        </is>
      </c>
      <c r="G106" t="n">
        <v>4.2</v>
      </c>
      <c r="H106" t="n">
        <v>0</v>
      </c>
      <c r="I106" t="n">
        <v>0</v>
      </c>
      <c r="J106" t="n">
        <v>0</v>
      </c>
      <c r="K106" t="n">
        <v>0</v>
      </c>
      <c r="L106" t="n">
        <v>0</v>
      </c>
      <c r="M106" t="n">
        <v>0</v>
      </c>
      <c r="N106" t="n">
        <v>0</v>
      </c>
      <c r="O106" t="n">
        <v>0</v>
      </c>
      <c r="P106" t="n">
        <v>0</v>
      </c>
      <c r="Q106" t="n">
        <v>0</v>
      </c>
      <c r="R106" s="2" t="inlineStr"/>
    </row>
    <row r="107" ht="15" customHeight="1">
      <c r="A107" t="inlineStr">
        <is>
          <t>A 9905-2026</t>
        </is>
      </c>
      <c r="B107" s="1" t="n">
        <v>46073.4108912037</v>
      </c>
      <c r="C107" s="1" t="n">
        <v>46091</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32919-2023</t>
        </is>
      </c>
      <c r="B108" s="1" t="n">
        <v>45125</v>
      </c>
      <c r="C108" s="1" t="n">
        <v>46091</v>
      </c>
      <c r="D108" t="inlineStr">
        <is>
          <t>KALMAR LÄN</t>
        </is>
      </c>
      <c r="E108" t="inlineStr">
        <is>
          <t>BORGHOLM</t>
        </is>
      </c>
      <c r="G108" t="n">
        <v>2.7</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46091</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34951-2022</t>
        </is>
      </c>
      <c r="B110" s="1" t="n">
        <v>44796</v>
      </c>
      <c r="C110" s="1" t="n">
        <v>46091</v>
      </c>
      <c r="D110" t="inlineStr">
        <is>
          <t>KALMAR LÄN</t>
        </is>
      </c>
      <c r="E110" t="inlineStr">
        <is>
          <t>BORGHOLM</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9034-2025</t>
        </is>
      </c>
      <c r="B111" s="1" t="n">
        <v>45713</v>
      </c>
      <c r="C111" s="1" t="n">
        <v>46091</v>
      </c>
      <c r="D111" t="inlineStr">
        <is>
          <t>KALMAR LÄN</t>
        </is>
      </c>
      <c r="E111" t="inlineStr">
        <is>
          <t>BORGHOLM</t>
        </is>
      </c>
      <c r="F111" t="inlineStr">
        <is>
          <t>Sveaskog</t>
        </is>
      </c>
      <c r="G111" t="n">
        <v>6.8</v>
      </c>
      <c r="H111" t="n">
        <v>0</v>
      </c>
      <c r="I111" t="n">
        <v>0</v>
      </c>
      <c r="J111" t="n">
        <v>0</v>
      </c>
      <c r="K111" t="n">
        <v>0</v>
      </c>
      <c r="L111" t="n">
        <v>0</v>
      </c>
      <c r="M111" t="n">
        <v>0</v>
      </c>
      <c r="N111" t="n">
        <v>0</v>
      </c>
      <c r="O111" t="n">
        <v>0</v>
      </c>
      <c r="P111" t="n">
        <v>0</v>
      </c>
      <c r="Q111" t="n">
        <v>0</v>
      </c>
      <c r="R111" s="2" t="inlineStr"/>
    </row>
    <row r="112" ht="15" customHeight="1">
      <c r="A112" t="inlineStr">
        <is>
          <t>A 5175-2024</t>
        </is>
      </c>
      <c r="B112" s="1" t="n">
        <v>45330</v>
      </c>
      <c r="C112" s="1" t="n">
        <v>46091</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3878-2023</t>
        </is>
      </c>
      <c r="B113" s="1" t="n">
        <v>44951</v>
      </c>
      <c r="C113" s="1" t="n">
        <v>46091</v>
      </c>
      <c r="D113" t="inlineStr">
        <is>
          <t>KALMAR LÄN</t>
        </is>
      </c>
      <c r="E113" t="inlineStr">
        <is>
          <t>BORGHOLM</t>
        </is>
      </c>
      <c r="G113" t="n">
        <v>1.7</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46091</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46091</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12937-2022</t>
        </is>
      </c>
      <c r="B116" s="1" t="n">
        <v>44642</v>
      </c>
      <c r="C116" s="1" t="n">
        <v>46091</v>
      </c>
      <c r="D116" t="inlineStr">
        <is>
          <t>KALMAR LÄN</t>
        </is>
      </c>
      <c r="E116" t="inlineStr">
        <is>
          <t>BORGHOLM</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7960-2023</t>
        </is>
      </c>
      <c r="B117" s="1" t="n">
        <v>44973</v>
      </c>
      <c r="C117" s="1" t="n">
        <v>46091</v>
      </c>
      <c r="D117" t="inlineStr">
        <is>
          <t>KALMAR LÄN</t>
        </is>
      </c>
      <c r="E117" t="inlineStr">
        <is>
          <t>BORGHOLM</t>
        </is>
      </c>
      <c r="G117" t="n">
        <v>2.1</v>
      </c>
      <c r="H117" t="n">
        <v>0</v>
      </c>
      <c r="I117" t="n">
        <v>0</v>
      </c>
      <c r="J117" t="n">
        <v>0</v>
      </c>
      <c r="K117" t="n">
        <v>0</v>
      </c>
      <c r="L117" t="n">
        <v>0</v>
      </c>
      <c r="M117" t="n">
        <v>0</v>
      </c>
      <c r="N117" t="n">
        <v>0</v>
      </c>
      <c r="O117" t="n">
        <v>0</v>
      </c>
      <c r="P117" t="n">
        <v>0</v>
      </c>
      <c r="Q117" t="n">
        <v>0</v>
      </c>
      <c r="R117" s="2" t="inlineStr"/>
    </row>
    <row r="118" ht="15" customHeight="1">
      <c r="A118" t="inlineStr">
        <is>
          <t>A 61438-2023</t>
        </is>
      </c>
      <c r="B118" s="1" t="n">
        <v>45264</v>
      </c>
      <c r="C118" s="1" t="n">
        <v>46091</v>
      </c>
      <c r="D118" t="inlineStr">
        <is>
          <t>KALMAR LÄN</t>
        </is>
      </c>
      <c r="E118" t="inlineStr">
        <is>
          <t>BORGHOLM</t>
        </is>
      </c>
      <c r="G118" t="n">
        <v>1.1</v>
      </c>
      <c r="H118" t="n">
        <v>0</v>
      </c>
      <c r="I118" t="n">
        <v>0</v>
      </c>
      <c r="J118" t="n">
        <v>0</v>
      </c>
      <c r="K118" t="n">
        <v>0</v>
      </c>
      <c r="L118" t="n">
        <v>0</v>
      </c>
      <c r="M118" t="n">
        <v>0</v>
      </c>
      <c r="N118" t="n">
        <v>0</v>
      </c>
      <c r="O118" t="n">
        <v>0</v>
      </c>
      <c r="P118" t="n">
        <v>0</v>
      </c>
      <c r="Q118" t="n">
        <v>0</v>
      </c>
      <c r="R118" s="2" t="inlineStr"/>
    </row>
    <row r="119" ht="15" customHeight="1">
      <c r="A119" t="inlineStr">
        <is>
          <t>A 13041-2024</t>
        </is>
      </c>
      <c r="B119" s="1" t="n">
        <v>45385.60065972222</v>
      </c>
      <c r="C119" s="1" t="n">
        <v>46091</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1614-2025</t>
        </is>
      </c>
      <c r="B120" s="1" t="n">
        <v>45670.60094907408</v>
      </c>
      <c r="C120" s="1" t="n">
        <v>46091</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63276-2023</t>
        </is>
      </c>
      <c r="B121" s="1" t="n">
        <v>45273.82195601852</v>
      </c>
      <c r="C121" s="1" t="n">
        <v>46091</v>
      </c>
      <c r="D121" t="inlineStr">
        <is>
          <t>KALMAR LÄN</t>
        </is>
      </c>
      <c r="E121" t="inlineStr">
        <is>
          <t>BORGHOLM</t>
        </is>
      </c>
      <c r="G121" t="n">
        <v>5</v>
      </c>
      <c r="H121" t="n">
        <v>0</v>
      </c>
      <c r="I121" t="n">
        <v>0</v>
      </c>
      <c r="J121" t="n">
        <v>0</v>
      </c>
      <c r="K121" t="n">
        <v>0</v>
      </c>
      <c r="L121" t="n">
        <v>0</v>
      </c>
      <c r="M121" t="n">
        <v>0</v>
      </c>
      <c r="N121" t="n">
        <v>0</v>
      </c>
      <c r="O121" t="n">
        <v>0</v>
      </c>
      <c r="P121" t="n">
        <v>0</v>
      </c>
      <c r="Q121" t="n">
        <v>0</v>
      </c>
      <c r="R121" s="2" t="inlineStr"/>
    </row>
    <row r="122" ht="15" customHeight="1">
      <c r="A122" t="inlineStr">
        <is>
          <t>A 9050-2025</t>
        </is>
      </c>
      <c r="B122" s="1" t="n">
        <v>45713.63512731482</v>
      </c>
      <c r="C122" s="1" t="n">
        <v>46091</v>
      </c>
      <c r="D122" t="inlineStr">
        <is>
          <t>KALMAR LÄN</t>
        </is>
      </c>
      <c r="E122" t="inlineStr">
        <is>
          <t>BORGHOLM</t>
        </is>
      </c>
      <c r="F122" t="inlineStr">
        <is>
          <t>Sveaskog</t>
        </is>
      </c>
      <c r="G122" t="n">
        <v>2.5</v>
      </c>
      <c r="H122" t="n">
        <v>0</v>
      </c>
      <c r="I122" t="n">
        <v>0</v>
      </c>
      <c r="J122" t="n">
        <v>0</v>
      </c>
      <c r="K122" t="n">
        <v>0</v>
      </c>
      <c r="L122" t="n">
        <v>0</v>
      </c>
      <c r="M122" t="n">
        <v>0</v>
      </c>
      <c r="N122" t="n">
        <v>0</v>
      </c>
      <c r="O122" t="n">
        <v>0</v>
      </c>
      <c r="P122" t="n">
        <v>0</v>
      </c>
      <c r="Q122" t="n">
        <v>0</v>
      </c>
      <c r="R122" s="2" t="inlineStr"/>
    </row>
    <row r="123">
      <c r="A123" t="inlineStr">
        <is>
          <t>A 13043-2024</t>
        </is>
      </c>
      <c r="B123" s="1" t="n">
        <v>45385.60111111111</v>
      </c>
      <c r="C123" s="1" t="n">
        <v>46091</v>
      </c>
      <c r="D123" t="inlineStr">
        <is>
          <t>KALMAR LÄN</t>
        </is>
      </c>
      <c r="E123" t="inlineStr">
        <is>
          <t>BORGHOLM</t>
        </is>
      </c>
      <c r="G123" t="n">
        <v>0.4</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2026-03-10T11:13:55Z</dcterms:created>
  <dcterms:modified xmlns:dcterms="http://purl.org/dc/terms/" xmlns:xsi="http://www.w3.org/2001/XMLSchema-instance" xsi:type="dcterms:W3CDTF">2026-03-10T11:13:55Z</dcterms:modified>
</cp:coreProperties>
</file>