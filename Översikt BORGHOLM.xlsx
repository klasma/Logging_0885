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45887</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45887</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45887</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45887</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45887</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45887</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45887</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45887</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45887</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45887</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45887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45887</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45887</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4164-2023</t>
        </is>
      </c>
      <c r="B20" s="1" t="n">
        <v>44953</v>
      </c>
      <c r="C20" s="1" t="n">
        <v>45887</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45887</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45887</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45887</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45887</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3871-2021</t>
        </is>
      </c>
      <c r="B25" s="1" t="n">
        <v>44222</v>
      </c>
      <c r="C25" s="1" t="n">
        <v>45887</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45887</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45887</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43603-2024</t>
        </is>
      </c>
      <c r="B28" s="1" t="n">
        <v>45569.44700231482</v>
      </c>
      <c r="C28" s="1" t="n">
        <v>45887</v>
      </c>
      <c r="D28" t="inlineStr">
        <is>
          <t>KALMAR LÄN</t>
        </is>
      </c>
      <c r="E28" t="inlineStr">
        <is>
          <t>BORGHOLM</t>
        </is>
      </c>
      <c r="G28" t="n">
        <v>3.8</v>
      </c>
      <c r="H28" t="n">
        <v>1</v>
      </c>
      <c r="I28" t="n">
        <v>0</v>
      </c>
      <c r="J28" t="n">
        <v>0</v>
      </c>
      <c r="K28" t="n">
        <v>1</v>
      </c>
      <c r="L28" t="n">
        <v>0</v>
      </c>
      <c r="M28" t="n">
        <v>0</v>
      </c>
      <c r="N28" t="n">
        <v>0</v>
      </c>
      <c r="O28" t="n">
        <v>1</v>
      </c>
      <c r="P28" t="n">
        <v>1</v>
      </c>
      <c r="Q28" t="n">
        <v>1</v>
      </c>
      <c r="R28" s="2" t="inlineStr">
        <is>
          <t>Väddnätfjäril</t>
        </is>
      </c>
      <c r="S28">
        <f>HYPERLINK("https://klasma.github.io/Logging_0885/artfynd/A 43603-2024 artfynd.xlsx", "A 43603-2024")</f>
        <v/>
      </c>
      <c r="T28">
        <f>HYPERLINK("https://klasma.github.io/Logging_0885/kartor/A 43603-2024 karta.png", "A 43603-2024")</f>
        <v/>
      </c>
      <c r="V28">
        <f>HYPERLINK("https://klasma.github.io/Logging_0885/klagomål/A 43603-2024 FSC-klagomål.docx", "A 43603-2024")</f>
        <v/>
      </c>
      <c r="W28">
        <f>HYPERLINK("https://klasma.github.io/Logging_0885/klagomålsmail/A 43603-2024 FSC-klagomål mail.docx", "A 43603-2024")</f>
        <v/>
      </c>
      <c r="X28">
        <f>HYPERLINK("https://klasma.github.io/Logging_0885/tillsyn/A 43603-2024 tillsynsbegäran.docx", "A 43603-2024")</f>
        <v/>
      </c>
      <c r="Y28">
        <f>HYPERLINK("https://klasma.github.io/Logging_0885/tillsynsmail/A 43603-2024 tillsynsbegäran mail.docx", "A 43603-2024")</f>
        <v/>
      </c>
    </row>
    <row r="29" ht="15" customHeight="1">
      <c r="A29" t="inlineStr">
        <is>
          <t>A 14789-2021</t>
        </is>
      </c>
      <c r="B29" s="1" t="n">
        <v>44280</v>
      </c>
      <c r="C29" s="1" t="n">
        <v>45887</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24704-2023</t>
        </is>
      </c>
      <c r="B30" s="1" t="n">
        <v>45084</v>
      </c>
      <c r="C30" s="1" t="n">
        <v>45887</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24048-2025</t>
        </is>
      </c>
      <c r="B31" s="1" t="n">
        <v>45796.4959375</v>
      </c>
      <c r="C31" s="1" t="n">
        <v>45887</v>
      </c>
      <c r="D31" t="inlineStr">
        <is>
          <t>KALMAR LÄN</t>
        </is>
      </c>
      <c r="E31" t="inlineStr">
        <is>
          <t>BORGHOLM</t>
        </is>
      </c>
      <c r="G31" t="n">
        <v>2</v>
      </c>
      <c r="H31" t="n">
        <v>0</v>
      </c>
      <c r="I31" t="n">
        <v>0</v>
      </c>
      <c r="J31" t="n">
        <v>1</v>
      </c>
      <c r="K31" t="n">
        <v>0</v>
      </c>
      <c r="L31" t="n">
        <v>0</v>
      </c>
      <c r="M31" t="n">
        <v>0</v>
      </c>
      <c r="N31" t="n">
        <v>0</v>
      </c>
      <c r="O31" t="n">
        <v>1</v>
      </c>
      <c r="P31" t="n">
        <v>0</v>
      </c>
      <c r="Q31" t="n">
        <v>1</v>
      </c>
      <c r="R31" s="2" t="inlineStr">
        <is>
          <t>Loppstarr</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41640-2023</t>
        </is>
      </c>
      <c r="B32" s="1" t="n">
        <v>45175</v>
      </c>
      <c r="C32" s="1" t="n">
        <v>45887</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34885-2025</t>
        </is>
      </c>
      <c r="B33" s="1" t="n">
        <v>45849.47128472223</v>
      </c>
      <c r="C33" s="1" t="n">
        <v>45887</v>
      </c>
      <c r="D33" t="inlineStr">
        <is>
          <t>KALMAR LÄN</t>
        </is>
      </c>
      <c r="E33" t="inlineStr">
        <is>
          <t>BORGHOLM</t>
        </is>
      </c>
      <c r="G33" t="n">
        <v>4.4</v>
      </c>
      <c r="H33" t="n">
        <v>0</v>
      </c>
      <c r="I33" t="n">
        <v>0</v>
      </c>
      <c r="J33" t="n">
        <v>1</v>
      </c>
      <c r="K33" t="n">
        <v>0</v>
      </c>
      <c r="L33" t="n">
        <v>0</v>
      </c>
      <c r="M33" t="n">
        <v>0</v>
      </c>
      <c r="N33" t="n">
        <v>0</v>
      </c>
      <c r="O33" t="n">
        <v>1</v>
      </c>
      <c r="P33" t="n">
        <v>0</v>
      </c>
      <c r="Q33" t="n">
        <v>1</v>
      </c>
      <c r="R33" s="2" t="inlineStr">
        <is>
          <t>Backfryle</t>
        </is>
      </c>
      <c r="S33">
        <f>HYPERLINK("https://klasma.github.io/Logging_0885/artfynd/A 34885-2025 artfynd.xlsx", "A 34885-2025")</f>
        <v/>
      </c>
      <c r="T33">
        <f>HYPERLINK("https://klasma.github.io/Logging_0885/kartor/A 34885-2025 karta.png", "A 34885-2025")</f>
        <v/>
      </c>
      <c r="V33">
        <f>HYPERLINK("https://klasma.github.io/Logging_0885/klagomål/A 34885-2025 FSC-klagomål.docx", "A 34885-2025")</f>
        <v/>
      </c>
      <c r="W33">
        <f>HYPERLINK("https://klasma.github.io/Logging_0885/klagomålsmail/A 34885-2025 FSC-klagomål mail.docx", "A 34885-2025")</f>
        <v/>
      </c>
      <c r="X33">
        <f>HYPERLINK("https://klasma.github.io/Logging_0885/tillsyn/A 34885-2025 tillsynsbegäran.docx", "A 34885-2025")</f>
        <v/>
      </c>
      <c r="Y33">
        <f>HYPERLINK("https://klasma.github.io/Logging_0885/tillsynsmail/A 34885-2025 tillsynsbegäran mail.docx", "A 34885-2025")</f>
        <v/>
      </c>
    </row>
    <row r="34" ht="15" customHeight="1">
      <c r="A34" t="inlineStr">
        <is>
          <t>A 9745-2023</t>
        </is>
      </c>
      <c r="B34" s="1" t="n">
        <v>44984</v>
      </c>
      <c r="C34" s="1" t="n">
        <v>45887</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45887</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45887</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45887</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45887</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45887</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58113-2020</t>
        </is>
      </c>
      <c r="B40" s="1" t="n">
        <v>44144</v>
      </c>
      <c r="C40" s="1" t="n">
        <v>45887</v>
      </c>
      <c r="D40" t="inlineStr">
        <is>
          <t>KALMAR LÄN</t>
        </is>
      </c>
      <c r="E40" t="inlineStr">
        <is>
          <t>BORGHOLM</t>
        </is>
      </c>
      <c r="F40" t="inlineStr">
        <is>
          <t>Sveaskog</t>
        </is>
      </c>
      <c r="G40" t="n">
        <v>3</v>
      </c>
      <c r="H40" t="n">
        <v>0</v>
      </c>
      <c r="I40" t="n">
        <v>0</v>
      </c>
      <c r="J40" t="n">
        <v>0</v>
      </c>
      <c r="K40" t="n">
        <v>0</v>
      </c>
      <c r="L40" t="n">
        <v>0</v>
      </c>
      <c r="M40" t="n">
        <v>0</v>
      </c>
      <c r="N40" t="n">
        <v>0</v>
      </c>
      <c r="O40" t="n">
        <v>0</v>
      </c>
      <c r="P40" t="n">
        <v>0</v>
      </c>
      <c r="Q40" t="n">
        <v>0</v>
      </c>
      <c r="R40" s="2" t="inlineStr"/>
    </row>
    <row r="41" ht="15" customHeight="1">
      <c r="A41" t="inlineStr">
        <is>
          <t>A 56499-2020</t>
        </is>
      </c>
      <c r="B41" s="1" t="n">
        <v>44137</v>
      </c>
      <c r="C41" s="1" t="n">
        <v>45887</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45887</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45887</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45887</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45887</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45887</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45887</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45887</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45887</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45887</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45887</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45887</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45887</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45887</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45887</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45887</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45887</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45887</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45887</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56479-2020</t>
        </is>
      </c>
      <c r="B61" s="1" t="n">
        <v>44137</v>
      </c>
      <c r="C61" s="1" t="n">
        <v>45887</v>
      </c>
      <c r="D61" t="inlineStr">
        <is>
          <t>KALMAR LÄN</t>
        </is>
      </c>
      <c r="E61" t="inlineStr">
        <is>
          <t>BORGHOLM</t>
        </is>
      </c>
      <c r="F61" t="inlineStr">
        <is>
          <t>Sveaskog</t>
        </is>
      </c>
      <c r="G61" t="n">
        <v>2.6</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45887</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45887</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45887</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45887</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45887</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45887</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62631-2021</t>
        </is>
      </c>
      <c r="B68" s="1" t="n">
        <v>44503</v>
      </c>
      <c r="C68" s="1" t="n">
        <v>45887</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45887</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45887</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31699-2022</t>
        </is>
      </c>
      <c r="B71" s="1" t="n">
        <v>44776</v>
      </c>
      <c r="C71" s="1" t="n">
        <v>45887</v>
      </c>
      <c r="D71" t="inlineStr">
        <is>
          <t>KALMAR LÄN</t>
        </is>
      </c>
      <c r="E71" t="inlineStr">
        <is>
          <t>BORGHOLM</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12481-2025</t>
        </is>
      </c>
      <c r="B72" s="1" t="n">
        <v>45730.57878472222</v>
      </c>
      <c r="C72" s="1" t="n">
        <v>45887</v>
      </c>
      <c r="D72" t="inlineStr">
        <is>
          <t>KALMAR LÄN</t>
        </is>
      </c>
      <c r="E72" t="inlineStr">
        <is>
          <t>BORGHOLM</t>
        </is>
      </c>
      <c r="G72" t="n">
        <v>7.2</v>
      </c>
      <c r="H72" t="n">
        <v>0</v>
      </c>
      <c r="I72" t="n">
        <v>0</v>
      </c>
      <c r="J72" t="n">
        <v>0</v>
      </c>
      <c r="K72" t="n">
        <v>0</v>
      </c>
      <c r="L72" t="n">
        <v>0</v>
      </c>
      <c r="M72" t="n">
        <v>0</v>
      </c>
      <c r="N72" t="n">
        <v>0</v>
      </c>
      <c r="O72" t="n">
        <v>0</v>
      </c>
      <c r="P72" t="n">
        <v>0</v>
      </c>
      <c r="Q72" t="n">
        <v>0</v>
      </c>
      <c r="R72" s="2" t="inlineStr"/>
    </row>
    <row r="73" ht="15" customHeight="1">
      <c r="A73" t="inlineStr">
        <is>
          <t>A 13043-2024</t>
        </is>
      </c>
      <c r="B73" s="1" t="n">
        <v>45385.60111111111</v>
      </c>
      <c r="C73" s="1" t="n">
        <v>45887</v>
      </c>
      <c r="D73" t="inlineStr">
        <is>
          <t>KALMAR LÄN</t>
        </is>
      </c>
      <c r="E73" t="inlineStr">
        <is>
          <t>BORGHOLM</t>
        </is>
      </c>
      <c r="G73" t="n">
        <v>0.4</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45887</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45887</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1757-2025</t>
        </is>
      </c>
      <c r="B76" s="1" t="n">
        <v>45671.42195601852</v>
      </c>
      <c r="C76" s="1" t="n">
        <v>45887</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45887</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45887</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45887</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45887</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45887</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55367-2024</t>
        </is>
      </c>
      <c r="B82" s="1" t="n">
        <v>45621.87075231481</v>
      </c>
      <c r="C82" s="1" t="n">
        <v>45887</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45887</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40339-2023</t>
        </is>
      </c>
      <c r="B84" s="1" t="n">
        <v>45169.62733796296</v>
      </c>
      <c r="C84" s="1" t="n">
        <v>45887</v>
      </c>
      <c r="D84" t="inlineStr">
        <is>
          <t>KALMAR LÄN</t>
        </is>
      </c>
      <c r="E84" t="inlineStr">
        <is>
          <t>BORGHOLM</t>
        </is>
      </c>
      <c r="G84" t="n">
        <v>3.8</v>
      </c>
      <c r="H84" t="n">
        <v>0</v>
      </c>
      <c r="I84" t="n">
        <v>0</v>
      </c>
      <c r="J84" t="n">
        <v>0</v>
      </c>
      <c r="K84" t="n">
        <v>0</v>
      </c>
      <c r="L84" t="n">
        <v>0</v>
      </c>
      <c r="M84" t="n">
        <v>0</v>
      </c>
      <c r="N84" t="n">
        <v>0</v>
      </c>
      <c r="O84" t="n">
        <v>0</v>
      </c>
      <c r="P84" t="n">
        <v>0</v>
      </c>
      <c r="Q84" t="n">
        <v>0</v>
      </c>
      <c r="R84" s="2" t="inlineStr"/>
    </row>
    <row r="85" ht="15" customHeight="1">
      <c r="A85" t="inlineStr">
        <is>
          <t>A 24166-2022</t>
        </is>
      </c>
      <c r="B85" s="1" t="n">
        <v>44725</v>
      </c>
      <c r="C85" s="1" t="n">
        <v>45887</v>
      </c>
      <c r="D85" t="inlineStr">
        <is>
          <t>KALMAR LÄN</t>
        </is>
      </c>
      <c r="E85" t="inlineStr">
        <is>
          <t>BORGHOLM</t>
        </is>
      </c>
      <c r="G85" t="n">
        <v>10.7</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45887</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45887</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26160-2024</t>
        </is>
      </c>
      <c r="B88" s="1" t="n">
        <v>45468</v>
      </c>
      <c r="C88" s="1" t="n">
        <v>45887</v>
      </c>
      <c r="D88" t="inlineStr">
        <is>
          <t>KALMAR LÄN</t>
        </is>
      </c>
      <c r="E88" t="inlineStr">
        <is>
          <t>BORGHOLM</t>
        </is>
      </c>
      <c r="G88" t="n">
        <v>0.4</v>
      </c>
      <c r="H88" t="n">
        <v>0</v>
      </c>
      <c r="I88" t="n">
        <v>0</v>
      </c>
      <c r="J88" t="n">
        <v>0</v>
      </c>
      <c r="K88" t="n">
        <v>0</v>
      </c>
      <c r="L88" t="n">
        <v>0</v>
      </c>
      <c r="M88" t="n">
        <v>0</v>
      </c>
      <c r="N88" t="n">
        <v>0</v>
      </c>
      <c r="O88" t="n">
        <v>0</v>
      </c>
      <c r="P88" t="n">
        <v>0</v>
      </c>
      <c r="Q88" t="n">
        <v>0</v>
      </c>
      <c r="R88" s="2" t="inlineStr"/>
      <c r="T88">
        <f>HYPERLINK("https://klasma.github.io/Logging_0885/kartor/A 26160-2024 karta.png", "A 26160-2024")</f>
        <v/>
      </c>
      <c r="V88">
        <f>HYPERLINK("https://klasma.github.io/Logging_0885/klagomål/A 26160-2024 FSC-klagomål.docx", "A 26160-2024")</f>
        <v/>
      </c>
      <c r="W88">
        <f>HYPERLINK("https://klasma.github.io/Logging_0885/klagomålsmail/A 26160-2024 FSC-klagomål mail.docx", "A 26160-2024")</f>
        <v/>
      </c>
      <c r="X88">
        <f>HYPERLINK("https://klasma.github.io/Logging_0885/tillsyn/A 26160-2024 tillsynsbegäran.docx", "A 26160-2024")</f>
        <v/>
      </c>
      <c r="Y88">
        <f>HYPERLINK("https://klasma.github.io/Logging_0885/tillsynsmail/A 26160-2024 tillsynsbegäran mail.docx", "A 26160-2024")</f>
        <v/>
      </c>
    </row>
    <row r="89" ht="15" customHeight="1">
      <c r="A89" t="inlineStr">
        <is>
          <t>A 26190-2025</t>
        </is>
      </c>
      <c r="B89" s="1" t="n">
        <v>45805.48349537037</v>
      </c>
      <c r="C89" s="1" t="n">
        <v>45887</v>
      </c>
      <c r="D89" t="inlineStr">
        <is>
          <t>KALMAR LÄN</t>
        </is>
      </c>
      <c r="E89" t="inlineStr">
        <is>
          <t>BORGHOLM</t>
        </is>
      </c>
      <c r="G89" t="n">
        <v>3.2</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45887</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45887</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27366-2025</t>
        </is>
      </c>
      <c r="B92" s="1" t="n">
        <v>45812.64475694444</v>
      </c>
      <c r="C92" s="1" t="n">
        <v>45887</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20878-2024</t>
        </is>
      </c>
      <c r="B93" s="1" t="n">
        <v>45439.44748842593</v>
      </c>
      <c r="C93" s="1" t="n">
        <v>45887</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21908-2022</t>
        </is>
      </c>
      <c r="B94" s="1" t="n">
        <v>44711</v>
      </c>
      <c r="C94" s="1" t="n">
        <v>45887</v>
      </c>
      <c r="D94" t="inlineStr">
        <is>
          <t>KALMAR LÄN</t>
        </is>
      </c>
      <c r="E94" t="inlineStr">
        <is>
          <t>BORGHOLM</t>
        </is>
      </c>
      <c r="G94" t="n">
        <v>4.7</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45887</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4878-2021</t>
        </is>
      </c>
      <c r="B96" s="1" t="n">
        <v>44225</v>
      </c>
      <c r="C96" s="1" t="n">
        <v>45887</v>
      </c>
      <c r="D96" t="inlineStr">
        <is>
          <t>KALMAR LÄN</t>
        </is>
      </c>
      <c r="E96" t="inlineStr">
        <is>
          <t>BORGHOLM</t>
        </is>
      </c>
      <c r="G96" t="n">
        <v>3</v>
      </c>
      <c r="H96" t="n">
        <v>0</v>
      </c>
      <c r="I96" t="n">
        <v>0</v>
      </c>
      <c r="J96" t="n">
        <v>0</v>
      </c>
      <c r="K96" t="n">
        <v>0</v>
      </c>
      <c r="L96" t="n">
        <v>0</v>
      </c>
      <c r="M96" t="n">
        <v>0</v>
      </c>
      <c r="N96" t="n">
        <v>0</v>
      </c>
      <c r="O96" t="n">
        <v>0</v>
      </c>
      <c r="P96" t="n">
        <v>0</v>
      </c>
      <c r="Q96" t="n">
        <v>0</v>
      </c>
      <c r="R96" s="2" t="inlineStr"/>
    </row>
    <row r="97" ht="15" customHeight="1">
      <c r="A97" t="inlineStr">
        <is>
          <t>A 36269-2025</t>
        </is>
      </c>
      <c r="B97" s="1" t="n">
        <v>45867.61736111111</v>
      </c>
      <c r="C97" s="1" t="n">
        <v>45887</v>
      </c>
      <c r="D97" t="inlineStr">
        <is>
          <t>KALMAR LÄN</t>
        </is>
      </c>
      <c r="E97" t="inlineStr">
        <is>
          <t>BORGHOLM</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45887</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27326-2025</t>
        </is>
      </c>
      <c r="B99" s="1" t="n">
        <v>45812</v>
      </c>
      <c r="C99" s="1" t="n">
        <v>45887</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45887</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9034-2025</t>
        </is>
      </c>
      <c r="B101" s="1" t="n">
        <v>45713</v>
      </c>
      <c r="C101" s="1" t="n">
        <v>45887</v>
      </c>
      <c r="D101" t="inlineStr">
        <is>
          <t>KALMAR LÄN</t>
        </is>
      </c>
      <c r="E101" t="inlineStr">
        <is>
          <t>BORGHOLM</t>
        </is>
      </c>
      <c r="F101" t="inlineStr">
        <is>
          <t>Sveaskog</t>
        </is>
      </c>
      <c r="G101" t="n">
        <v>6.8</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45887</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65144-2020</t>
        </is>
      </c>
      <c r="B103" s="1" t="n">
        <v>44172</v>
      </c>
      <c r="C103" s="1" t="n">
        <v>45887</v>
      </c>
      <c r="D103" t="inlineStr">
        <is>
          <t>KALMAR LÄN</t>
        </is>
      </c>
      <c r="E103" t="inlineStr">
        <is>
          <t>BORGHOLM</t>
        </is>
      </c>
      <c r="G103" t="n">
        <v>1.7</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45887</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3878-2023</t>
        </is>
      </c>
      <c r="B105" s="1" t="n">
        <v>44951</v>
      </c>
      <c r="C105" s="1" t="n">
        <v>45887</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31720-2022</t>
        </is>
      </c>
      <c r="B106" s="1" t="n">
        <v>44776</v>
      </c>
      <c r="C106" s="1" t="n">
        <v>45887</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29656-2023</t>
        </is>
      </c>
      <c r="B107" s="1" t="n">
        <v>45107</v>
      </c>
      <c r="C107" s="1" t="n">
        <v>45887</v>
      </c>
      <c r="D107" t="inlineStr">
        <is>
          <t>KALMAR LÄN</t>
        </is>
      </c>
      <c r="E107" t="inlineStr">
        <is>
          <t>BORGHOLM</t>
        </is>
      </c>
      <c r="G107" t="n">
        <v>4.1</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45887</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45887</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45887</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45887</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13548-2025</t>
        </is>
      </c>
      <c r="B112" s="1" t="n">
        <v>45736.53827546296</v>
      </c>
      <c r="C112" s="1" t="n">
        <v>45887</v>
      </c>
      <c r="D112" t="inlineStr">
        <is>
          <t>KALMAR LÄN</t>
        </is>
      </c>
      <c r="E112" t="inlineStr">
        <is>
          <t>BORGHOLM</t>
        </is>
      </c>
      <c r="G112" t="n">
        <v>1</v>
      </c>
      <c r="H112" t="n">
        <v>0</v>
      </c>
      <c r="I112" t="n">
        <v>0</v>
      </c>
      <c r="J112" t="n">
        <v>0</v>
      </c>
      <c r="K112" t="n">
        <v>0</v>
      </c>
      <c r="L112" t="n">
        <v>0</v>
      </c>
      <c r="M112" t="n">
        <v>0</v>
      </c>
      <c r="N112" t="n">
        <v>0</v>
      </c>
      <c r="O112" t="n">
        <v>0</v>
      </c>
      <c r="P112" t="n">
        <v>0</v>
      </c>
      <c r="Q112" t="n">
        <v>0</v>
      </c>
      <c r="R112" s="2" t="inlineStr"/>
    </row>
    <row r="113" ht="15" customHeight="1">
      <c r="A113" t="inlineStr">
        <is>
          <t>A 32921-2023</t>
        </is>
      </c>
      <c r="B113" s="1" t="n">
        <v>45125</v>
      </c>
      <c r="C113" s="1" t="n">
        <v>45887</v>
      </c>
      <c r="D113" t="inlineStr">
        <is>
          <t>KALMAR LÄN</t>
        </is>
      </c>
      <c r="E113" t="inlineStr">
        <is>
          <t>BORGHOLM</t>
        </is>
      </c>
      <c r="G113" t="n">
        <v>2.9</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45887</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31840-2021</t>
        </is>
      </c>
      <c r="B115" s="1" t="n">
        <v>44370</v>
      </c>
      <c r="C115" s="1" t="n">
        <v>45887</v>
      </c>
      <c r="D115" t="inlineStr">
        <is>
          <t>KALMAR LÄN</t>
        </is>
      </c>
      <c r="E115" t="inlineStr">
        <is>
          <t>BORGHOLM</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45887</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12480-2025</t>
        </is>
      </c>
      <c r="B117" s="1" t="n">
        <v>45730.57706018518</v>
      </c>
      <c r="C117" s="1" t="n">
        <v>45887</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45887</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44678-2022</t>
        </is>
      </c>
      <c r="B119" s="1" t="n">
        <v>44840.65100694444</v>
      </c>
      <c r="C119" s="1" t="n">
        <v>45887</v>
      </c>
      <c r="D119" t="inlineStr">
        <is>
          <t>KALMAR LÄN</t>
        </is>
      </c>
      <c r="E119" t="inlineStr">
        <is>
          <t>BORGHOLM</t>
        </is>
      </c>
      <c r="G119" t="n">
        <v>2.4</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45887</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45887</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9028-2025</t>
        </is>
      </c>
      <c r="B122" s="1" t="n">
        <v>45713</v>
      </c>
      <c r="C122" s="1" t="n">
        <v>45887</v>
      </c>
      <c r="D122" t="inlineStr">
        <is>
          <t>KALMAR LÄN</t>
        </is>
      </c>
      <c r="E122" t="inlineStr">
        <is>
          <t>BORGHOLM</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64303-2023</t>
        </is>
      </c>
      <c r="B123" s="1" t="n">
        <v>45280</v>
      </c>
      <c r="C123" s="1" t="n">
        <v>45887</v>
      </c>
      <c r="D123" t="inlineStr">
        <is>
          <t>KALMAR LÄN</t>
        </is>
      </c>
      <c r="E123" t="inlineStr">
        <is>
          <t>BORGHOLM</t>
        </is>
      </c>
      <c r="G123" t="n">
        <v>1.2</v>
      </c>
      <c r="H123" t="n">
        <v>0</v>
      </c>
      <c r="I123" t="n">
        <v>0</v>
      </c>
      <c r="J123" t="n">
        <v>0</v>
      </c>
      <c r="K123" t="n">
        <v>0</v>
      </c>
      <c r="L123" t="n">
        <v>0</v>
      </c>
      <c r="M123" t="n">
        <v>0</v>
      </c>
      <c r="N123" t="n">
        <v>0</v>
      </c>
      <c r="O123" t="n">
        <v>0</v>
      </c>
      <c r="P123" t="n">
        <v>0</v>
      </c>
      <c r="Q123" t="n">
        <v>0</v>
      </c>
      <c r="R123" s="2" t="inlineStr"/>
    </row>
    <row r="124" ht="15" customHeight="1">
      <c r="A124" t="inlineStr">
        <is>
          <t>A 9050-2025</t>
        </is>
      </c>
      <c r="B124" s="1" t="n">
        <v>45713.63512731482</v>
      </c>
      <c r="C124" s="1" t="n">
        <v>45887</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c r="A125" t="inlineStr">
        <is>
          <t>A 44547-2021</t>
        </is>
      </c>
      <c r="B125" s="1" t="n">
        <v>44435</v>
      </c>
      <c r="C125" s="1" t="n">
        <v>45887</v>
      </c>
      <c r="D125" t="inlineStr">
        <is>
          <t>KALMAR LÄN</t>
        </is>
      </c>
      <c r="E125" t="inlineStr">
        <is>
          <t>BORGHOLM</t>
        </is>
      </c>
      <c r="G125" t="n">
        <v>1.4</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2025-08-18T08:28:01Z</dcterms:created>
  <dcterms:modified xmlns:dcterms="http://purl.org/dc/terms/" xmlns:xsi="http://www.w3.org/2001/XMLSchema-instance" xsi:type="dcterms:W3CDTF">2025-08-18T08:28:01Z</dcterms:modified>
</cp:coreProperties>
</file>