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46079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46079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46079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44008-2022</t>
        </is>
      </c>
      <c r="B19" s="1" t="n">
        <v>44838</v>
      </c>
      <c r="C19" s="1" t="n">
        <v>46079</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44008-2022 artfynd.xlsx", "A 44008-2022")</f>
        <v/>
      </c>
      <c r="T19">
        <f>HYPERLINK("https://klasma.github.io/Logging_0885/kartor/A 44008-2022 karta.png", "A 44008-2022")</f>
        <v/>
      </c>
      <c r="V19">
        <f>HYPERLINK("https://klasma.github.io/Logging_0885/klagomål/A 44008-2022 FSC-klagomål.docx", "A 44008-2022")</f>
        <v/>
      </c>
      <c r="W19">
        <f>HYPERLINK("https://klasma.github.io/Logging_0885/klagomålsmail/A 44008-2022 FSC-klagomål mail.docx", "A 44008-2022")</f>
        <v/>
      </c>
      <c r="X19">
        <f>HYPERLINK("https://klasma.github.io/Logging_0885/tillsyn/A 44008-2022 tillsynsbegäran.docx", "A 44008-2022")</f>
        <v/>
      </c>
      <c r="Y19">
        <f>HYPERLINK("https://klasma.github.io/Logging_0885/tillsynsmail/A 44008-2022 tillsynsbegäran mail.docx", "A 44008-2022")</f>
        <v/>
      </c>
      <c r="Z19">
        <f>HYPERLINK("https://klasma.github.io/Logging_0885/fåglar/A 44008-2022 prioriterade fågelarter.docx", "A 44008-2022")</f>
        <v/>
      </c>
    </row>
    <row r="20" ht="15" customHeight="1">
      <c r="A20" t="inlineStr">
        <is>
          <t>A 32174-2022</t>
        </is>
      </c>
      <c r="B20" s="1" t="n">
        <v>44781</v>
      </c>
      <c r="C20" s="1" t="n">
        <v>46079</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46079</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38860-2025</t>
        </is>
      </c>
      <c r="B22" s="1" t="n">
        <v>45887.5609375</v>
      </c>
      <c r="C22" s="1" t="n">
        <v>46079</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28779-2025</t>
        </is>
      </c>
      <c r="B23" s="1" t="n">
        <v>45820.44920138889</v>
      </c>
      <c r="C23" s="1" t="n">
        <v>46079</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34944-2022</t>
        </is>
      </c>
      <c r="B24" s="1" t="n">
        <v>44796</v>
      </c>
      <c r="C24" s="1" t="n">
        <v>46079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46079</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46079</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60140-2025</t>
        </is>
      </c>
      <c r="B27" s="1" t="n">
        <v>45994.36274305556</v>
      </c>
      <c r="C27" s="1" t="n">
        <v>46079</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9253-2026</t>
        </is>
      </c>
      <c r="B28" s="1" t="n">
        <v>46070.51003472223</v>
      </c>
      <c r="C28" s="1" t="n">
        <v>46079</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46079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46079</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12785-2021</t>
        </is>
      </c>
      <c r="B32" s="1" t="n">
        <v>44270</v>
      </c>
      <c r="C32" s="1" t="n">
        <v>46079</v>
      </c>
      <c r="D32" t="inlineStr">
        <is>
          <t>KALMAR LÄN</t>
        </is>
      </c>
      <c r="E32" t="inlineStr">
        <is>
          <t>BORGHOLM</t>
        </is>
      </c>
      <c r="G32" t="n">
        <v>1.2</v>
      </c>
      <c r="H32" t="n">
        <v>0</v>
      </c>
      <c r="I32" t="n">
        <v>0</v>
      </c>
      <c r="J32" t="n">
        <v>0</v>
      </c>
      <c r="K32" t="n">
        <v>0</v>
      </c>
      <c r="L32" t="n">
        <v>1</v>
      </c>
      <c r="M32" t="n">
        <v>0</v>
      </c>
      <c r="N32" t="n">
        <v>0</v>
      </c>
      <c r="O32" t="n">
        <v>1</v>
      </c>
      <c r="P32" t="n">
        <v>1</v>
      </c>
      <c r="Q32" t="n">
        <v>1</v>
      </c>
      <c r="R32" s="2" t="inlineStr">
        <is>
          <t>Ask</t>
        </is>
      </c>
      <c r="S32">
        <f>HYPERLINK("https://klasma.github.io/Logging_0885/artfynd/A 12785-2021 artfynd.xlsx", "A 12785-2021")</f>
        <v/>
      </c>
      <c r="T32">
        <f>HYPERLINK("https://klasma.github.io/Logging_0885/kartor/A 12785-2021 karta.png", "A 12785-2021")</f>
        <v/>
      </c>
      <c r="V32">
        <f>HYPERLINK("https://klasma.github.io/Logging_0885/klagomål/A 12785-2021 FSC-klagomål.docx", "A 12785-2021")</f>
        <v/>
      </c>
      <c r="W32">
        <f>HYPERLINK("https://klasma.github.io/Logging_0885/klagomålsmail/A 12785-2021 FSC-klagomål mail.docx", "A 12785-2021")</f>
        <v/>
      </c>
      <c r="X32">
        <f>HYPERLINK("https://klasma.github.io/Logging_0885/tillsyn/A 12785-2021 tillsynsbegäran.docx", "A 12785-2021")</f>
        <v/>
      </c>
      <c r="Y32">
        <f>HYPERLINK("https://klasma.github.io/Logging_0885/tillsynsmail/A 12785-2021 tillsynsbegäran mail.docx", "A 12785-2021")</f>
        <v/>
      </c>
    </row>
    <row r="33" ht="15" customHeight="1">
      <c r="A33" t="inlineStr">
        <is>
          <t>A 24704-2023</t>
        </is>
      </c>
      <c r="B33" s="1" t="n">
        <v>45084</v>
      </c>
      <c r="C33" s="1" t="n">
        <v>46079</v>
      </c>
      <c r="D33" t="inlineStr">
        <is>
          <t>KALMAR LÄN</t>
        </is>
      </c>
      <c r="E33" t="inlineStr">
        <is>
          <t>BORGHOLM</t>
        </is>
      </c>
      <c r="G33" t="n">
        <v>3.5</v>
      </c>
      <c r="H33" t="n">
        <v>0</v>
      </c>
      <c r="I33" t="n">
        <v>0</v>
      </c>
      <c r="J33" t="n">
        <v>0</v>
      </c>
      <c r="K33" t="n">
        <v>0</v>
      </c>
      <c r="L33" t="n">
        <v>1</v>
      </c>
      <c r="M33" t="n">
        <v>0</v>
      </c>
      <c r="N33" t="n">
        <v>0</v>
      </c>
      <c r="O33" t="n">
        <v>1</v>
      </c>
      <c r="P33" t="n">
        <v>1</v>
      </c>
      <c r="Q33" t="n">
        <v>1</v>
      </c>
      <c r="R33" s="2" t="inlineStr">
        <is>
          <t>Ask</t>
        </is>
      </c>
      <c r="S33">
        <f>HYPERLINK("https://klasma.github.io/Logging_0885/artfynd/A 24704-2023 artfynd.xlsx", "A 24704-2023")</f>
        <v/>
      </c>
      <c r="T33">
        <f>HYPERLINK("https://klasma.github.io/Logging_0885/kartor/A 24704-2023 karta.png", "A 24704-2023")</f>
        <v/>
      </c>
      <c r="V33">
        <f>HYPERLINK("https://klasma.github.io/Logging_0885/klagomål/A 24704-2023 FSC-klagomål.docx", "A 24704-2023")</f>
        <v/>
      </c>
      <c r="W33">
        <f>HYPERLINK("https://klasma.github.io/Logging_0885/klagomålsmail/A 24704-2023 FSC-klagomål mail.docx", "A 24704-2023")</f>
        <v/>
      </c>
      <c r="X33">
        <f>HYPERLINK("https://klasma.github.io/Logging_0885/tillsyn/A 24704-2023 tillsynsbegäran.docx", "A 24704-2023")</f>
        <v/>
      </c>
      <c r="Y33">
        <f>HYPERLINK("https://klasma.github.io/Logging_0885/tillsynsmail/A 24704-2023 tillsynsbegäran mail.docx", "A 24704-2023")</f>
        <v/>
      </c>
    </row>
    <row r="34" ht="15" customHeight="1">
      <c r="A34" t="inlineStr">
        <is>
          <t>A 9745-2023</t>
        </is>
      </c>
      <c r="B34" s="1" t="n">
        <v>44984</v>
      </c>
      <c r="C34" s="1" t="n">
        <v>46079</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13558-2025</t>
        </is>
      </c>
      <c r="B35" s="1" t="n">
        <v>45736.54974537037</v>
      </c>
      <c r="C35" s="1" t="n">
        <v>46079</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46079</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46079</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46079</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46079</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46079</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46079</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45693-2025</t>
        </is>
      </c>
      <c r="B42" s="1" t="n">
        <v>45923</v>
      </c>
      <c r="C42" s="1" t="n">
        <v>46079</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34885-2025</t>
        </is>
      </c>
      <c r="B43" s="1" t="n">
        <v>45849.47128472223</v>
      </c>
      <c r="C43" s="1" t="n">
        <v>46079</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3302-2026</t>
        </is>
      </c>
      <c r="B44" s="1" t="n">
        <v>46041</v>
      </c>
      <c r="C44" s="1" t="n">
        <v>46079</v>
      </c>
      <c r="D44" t="inlineStr">
        <is>
          <t>KALMAR LÄN</t>
        </is>
      </c>
      <c r="E44" t="inlineStr">
        <is>
          <t>BORGHOLM</t>
        </is>
      </c>
      <c r="G44" t="n">
        <v>3.9</v>
      </c>
      <c r="H44" t="n">
        <v>1</v>
      </c>
      <c r="I44" t="n">
        <v>0</v>
      </c>
      <c r="J44" t="n">
        <v>0</v>
      </c>
      <c r="K44" t="n">
        <v>0</v>
      </c>
      <c r="L44" t="n">
        <v>0</v>
      </c>
      <c r="M44" t="n">
        <v>0</v>
      </c>
      <c r="N44" t="n">
        <v>0</v>
      </c>
      <c r="O44" t="n">
        <v>0</v>
      </c>
      <c r="P44" t="n">
        <v>0</v>
      </c>
      <c r="Q44" t="n">
        <v>1</v>
      </c>
      <c r="R44" s="2" t="inlineStr">
        <is>
          <t>Blåsippa</t>
        </is>
      </c>
      <c r="S44">
        <f>HYPERLINK("https://klasma.github.io/Logging_0885/artfynd/A 3302-2026 artfynd.xlsx", "A 3302-2026")</f>
        <v/>
      </c>
      <c r="T44">
        <f>HYPERLINK("https://klasma.github.io/Logging_0885/kartor/A 3302-2026 karta.png", "A 3302-2026")</f>
        <v/>
      </c>
      <c r="V44">
        <f>HYPERLINK("https://klasma.github.io/Logging_0885/klagomål/A 3302-2026 FSC-klagomål.docx", "A 3302-2026")</f>
        <v/>
      </c>
      <c r="W44">
        <f>HYPERLINK("https://klasma.github.io/Logging_0885/klagomålsmail/A 3302-2026 FSC-klagomål mail.docx", "A 3302-2026")</f>
        <v/>
      </c>
      <c r="X44">
        <f>HYPERLINK("https://klasma.github.io/Logging_0885/tillsyn/A 3302-2026 tillsynsbegäran.docx", "A 3302-2026")</f>
        <v/>
      </c>
      <c r="Y44">
        <f>HYPERLINK("https://klasma.github.io/Logging_0885/tillsynsmail/A 3302-2026 tillsynsbegäran mail.docx", "A 3302-2026")</f>
        <v/>
      </c>
    </row>
    <row r="45" ht="15" customHeight="1">
      <c r="A45" t="inlineStr">
        <is>
          <t>A 12711-2021</t>
        </is>
      </c>
      <c r="B45" s="1" t="n">
        <v>44270</v>
      </c>
      <c r="C45" s="1" t="n">
        <v>46079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53050-2021</t>
        </is>
      </c>
      <c r="B60" s="1" t="n">
        <v>44467</v>
      </c>
      <c r="C60" s="1" t="n">
        <v>46079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46079</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46079</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46079</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31720-2022</t>
        </is>
      </c>
      <c r="B64" s="1" t="n">
        <v>44776</v>
      </c>
      <c r="C64" s="1" t="n">
        <v>46079</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29656-2023</t>
        </is>
      </c>
      <c r="B65" s="1" t="n">
        <v>45107</v>
      </c>
      <c r="C65" s="1" t="n">
        <v>46079</v>
      </c>
      <c r="D65" t="inlineStr">
        <is>
          <t>KALMAR LÄN</t>
        </is>
      </c>
      <c r="E65" t="inlineStr">
        <is>
          <t>BORGHOLM</t>
        </is>
      </c>
      <c r="G65" t="n">
        <v>4.1</v>
      </c>
      <c r="H65" t="n">
        <v>0</v>
      </c>
      <c r="I65" t="n">
        <v>0</v>
      </c>
      <c r="J65" t="n">
        <v>0</v>
      </c>
      <c r="K65" t="n">
        <v>0</v>
      </c>
      <c r="L65" t="n">
        <v>0</v>
      </c>
      <c r="M65" t="n">
        <v>0</v>
      </c>
      <c r="N65" t="n">
        <v>0</v>
      </c>
      <c r="O65" t="n">
        <v>0</v>
      </c>
      <c r="P65" t="n">
        <v>0</v>
      </c>
      <c r="Q65" t="n">
        <v>0</v>
      </c>
      <c r="R65" s="2" t="inlineStr"/>
    </row>
    <row r="66" ht="15" customHeight="1">
      <c r="A66" t="inlineStr">
        <is>
          <t>A 7960-2023</t>
        </is>
      </c>
      <c r="B66" s="1" t="n">
        <v>44973</v>
      </c>
      <c r="C66" s="1" t="n">
        <v>46079</v>
      </c>
      <c r="D66" t="inlineStr">
        <is>
          <t>KALMAR LÄN</t>
        </is>
      </c>
      <c r="E66" t="inlineStr">
        <is>
          <t>BORGHOLM</t>
        </is>
      </c>
      <c r="G66" t="n">
        <v>2.1</v>
      </c>
      <c r="H66" t="n">
        <v>0</v>
      </c>
      <c r="I66" t="n">
        <v>0</v>
      </c>
      <c r="J66" t="n">
        <v>0</v>
      </c>
      <c r="K66" t="n">
        <v>0</v>
      </c>
      <c r="L66" t="n">
        <v>0</v>
      </c>
      <c r="M66" t="n">
        <v>0</v>
      </c>
      <c r="N66" t="n">
        <v>0</v>
      </c>
      <c r="O66" t="n">
        <v>0</v>
      </c>
      <c r="P66" t="n">
        <v>0</v>
      </c>
      <c r="Q66" t="n">
        <v>0</v>
      </c>
      <c r="R66" s="2" t="inlineStr"/>
    </row>
    <row r="67" ht="15" customHeight="1">
      <c r="A67" t="inlineStr">
        <is>
          <t>A 61438-2023</t>
        </is>
      </c>
      <c r="B67" s="1" t="n">
        <v>45264</v>
      </c>
      <c r="C67" s="1" t="n">
        <v>46079</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26160-2024</t>
        </is>
      </c>
      <c r="B68" s="1" t="n">
        <v>45468</v>
      </c>
      <c r="C68" s="1" t="n">
        <v>46079</v>
      </c>
      <c r="D68" t="inlineStr">
        <is>
          <t>KALMAR LÄN</t>
        </is>
      </c>
      <c r="E68" t="inlineStr">
        <is>
          <t>BORGHOLM</t>
        </is>
      </c>
      <c r="G68" t="n">
        <v>0.4</v>
      </c>
      <c r="H68" t="n">
        <v>0</v>
      </c>
      <c r="I68" t="n">
        <v>0</v>
      </c>
      <c r="J68" t="n">
        <v>0</v>
      </c>
      <c r="K68" t="n">
        <v>0</v>
      </c>
      <c r="L68" t="n">
        <v>0</v>
      </c>
      <c r="M68" t="n">
        <v>0</v>
      </c>
      <c r="N68" t="n">
        <v>0</v>
      </c>
      <c r="O68" t="n">
        <v>0</v>
      </c>
      <c r="P68" t="n">
        <v>0</v>
      </c>
      <c r="Q68" t="n">
        <v>0</v>
      </c>
      <c r="R68" s="2" t="inlineStr"/>
      <c r="T68">
        <f>HYPERLINK("https://klasma.github.io/Logging_0885/kartor/A 26160-2024 karta.png", "A 26160-2024")</f>
        <v/>
      </c>
      <c r="V68">
        <f>HYPERLINK("https://klasma.github.io/Logging_0885/klagomål/A 26160-2024 FSC-klagomål.docx", "A 26160-2024")</f>
        <v/>
      </c>
      <c r="W68">
        <f>HYPERLINK("https://klasma.github.io/Logging_0885/klagomålsmail/A 26160-2024 FSC-klagomål mail.docx", "A 26160-2024")</f>
        <v/>
      </c>
      <c r="X68">
        <f>HYPERLINK("https://klasma.github.io/Logging_0885/tillsyn/A 26160-2024 tillsynsbegäran.docx", "A 26160-2024")</f>
        <v/>
      </c>
      <c r="Y68">
        <f>HYPERLINK("https://klasma.github.io/Logging_0885/tillsynsmail/A 26160-2024 tillsynsbegäran mail.docx", "A 26160-2024")</f>
        <v/>
      </c>
    </row>
    <row r="69" ht="15" customHeight="1">
      <c r="A69" t="inlineStr">
        <is>
          <t>A 4165-2023</t>
        </is>
      </c>
      <c r="B69" s="1" t="n">
        <v>44953</v>
      </c>
      <c r="C69" s="1" t="n">
        <v>46079</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13041-2024</t>
        </is>
      </c>
      <c r="B70" s="1" t="n">
        <v>45385.60065972222</v>
      </c>
      <c r="C70" s="1" t="n">
        <v>46079</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1614-2025</t>
        </is>
      </c>
      <c r="B71" s="1" t="n">
        <v>45670.60094907408</v>
      </c>
      <c r="C71" s="1" t="n">
        <v>46079</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13548-2025</t>
        </is>
      </c>
      <c r="B72" s="1" t="n">
        <v>45736.53827546296</v>
      </c>
      <c r="C72" s="1" t="n">
        <v>46079</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20878-2024</t>
        </is>
      </c>
      <c r="B73" s="1" t="n">
        <v>45439.44748842593</v>
      </c>
      <c r="C73" s="1" t="n">
        <v>46079</v>
      </c>
      <c r="D73" t="inlineStr">
        <is>
          <t>KALMAR LÄN</t>
        </is>
      </c>
      <c r="E73" t="inlineStr">
        <is>
          <t>BORGHOLM</t>
        </is>
      </c>
      <c r="G73" t="n">
        <v>1.9</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46079</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46079</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31840-2021</t>
        </is>
      </c>
      <c r="B76" s="1" t="n">
        <v>44370</v>
      </c>
      <c r="C76" s="1" t="n">
        <v>46079</v>
      </c>
      <c r="D76" t="inlineStr">
        <is>
          <t>KALMAR LÄN</t>
        </is>
      </c>
      <c r="E76" t="inlineStr">
        <is>
          <t>BORGHOLM</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9050-2025</t>
        </is>
      </c>
      <c r="B77" s="1" t="n">
        <v>45713.63512731482</v>
      </c>
      <c r="C77" s="1" t="n">
        <v>46079</v>
      </c>
      <c r="D77" t="inlineStr">
        <is>
          <t>KALMAR LÄN</t>
        </is>
      </c>
      <c r="E77" t="inlineStr">
        <is>
          <t>BORGHOLM</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46079</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44678-2022</t>
        </is>
      </c>
      <c r="B79" s="1" t="n">
        <v>44840.65100694444</v>
      </c>
      <c r="C79" s="1" t="n">
        <v>46079</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1757-2025</t>
        </is>
      </c>
      <c r="B80" s="1" t="n">
        <v>45671.42195601852</v>
      </c>
      <c r="C80" s="1" t="n">
        <v>46079</v>
      </c>
      <c r="D80" t="inlineStr">
        <is>
          <t>KALMAR LÄN</t>
        </is>
      </c>
      <c r="E80" t="inlineStr">
        <is>
          <t>BORGHOLM</t>
        </is>
      </c>
      <c r="G80" t="n">
        <v>1.4</v>
      </c>
      <c r="H80" t="n">
        <v>0</v>
      </c>
      <c r="I80" t="n">
        <v>0</v>
      </c>
      <c r="J80" t="n">
        <v>0</v>
      </c>
      <c r="K80" t="n">
        <v>0</v>
      </c>
      <c r="L80" t="n">
        <v>0</v>
      </c>
      <c r="M80" t="n">
        <v>0</v>
      </c>
      <c r="N80" t="n">
        <v>0</v>
      </c>
      <c r="O80" t="n">
        <v>0</v>
      </c>
      <c r="P80" t="n">
        <v>0</v>
      </c>
      <c r="Q80" t="n">
        <v>0</v>
      </c>
      <c r="R80" s="2" t="inlineStr"/>
    </row>
    <row r="81" ht="15" customHeight="1">
      <c r="A81" t="inlineStr">
        <is>
          <t>A 13043-2024</t>
        </is>
      </c>
      <c r="B81" s="1" t="n">
        <v>45385.60111111111</v>
      </c>
      <c r="C81" s="1" t="n">
        <v>46079</v>
      </c>
      <c r="D81" t="inlineStr">
        <is>
          <t>KALMAR LÄN</t>
        </is>
      </c>
      <c r="E81" t="inlineStr">
        <is>
          <t>BORGHOLM</t>
        </is>
      </c>
      <c r="G81" t="n">
        <v>0.4</v>
      </c>
      <c r="H81" t="n">
        <v>0</v>
      </c>
      <c r="I81" t="n">
        <v>0</v>
      </c>
      <c r="J81" t="n">
        <v>0</v>
      </c>
      <c r="K81" t="n">
        <v>0</v>
      </c>
      <c r="L81" t="n">
        <v>0</v>
      </c>
      <c r="M81" t="n">
        <v>0</v>
      </c>
      <c r="N81" t="n">
        <v>0</v>
      </c>
      <c r="O81" t="n">
        <v>0</v>
      </c>
      <c r="P81" t="n">
        <v>0</v>
      </c>
      <c r="Q81" t="n">
        <v>0</v>
      </c>
      <c r="R81" s="2" t="inlineStr"/>
    </row>
    <row r="82" ht="15" customHeight="1">
      <c r="A82" t="inlineStr">
        <is>
          <t>A 17699-2025</t>
        </is>
      </c>
      <c r="B82" s="1" t="n">
        <v>45758.41846064815</v>
      </c>
      <c r="C82" s="1" t="n">
        <v>46079</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7669-2024</t>
        </is>
      </c>
      <c r="B83" s="1" t="n">
        <v>45348.82498842593</v>
      </c>
      <c r="C83" s="1" t="n">
        <v>46079</v>
      </c>
      <c r="D83" t="inlineStr">
        <is>
          <t>KALMAR LÄN</t>
        </is>
      </c>
      <c r="E83" t="inlineStr">
        <is>
          <t>BORGHOLM</t>
        </is>
      </c>
      <c r="G83" t="n">
        <v>2.3</v>
      </c>
      <c r="H83" t="n">
        <v>0</v>
      </c>
      <c r="I83" t="n">
        <v>0</v>
      </c>
      <c r="J83" t="n">
        <v>0</v>
      </c>
      <c r="K83" t="n">
        <v>0</v>
      </c>
      <c r="L83" t="n">
        <v>0</v>
      </c>
      <c r="M83" t="n">
        <v>0</v>
      </c>
      <c r="N83" t="n">
        <v>0</v>
      </c>
      <c r="O83" t="n">
        <v>0</v>
      </c>
      <c r="P83" t="n">
        <v>0</v>
      </c>
      <c r="Q83" t="n">
        <v>0</v>
      </c>
      <c r="R83" s="2" t="inlineStr"/>
    </row>
    <row r="84" ht="15" customHeight="1">
      <c r="A84" t="inlineStr">
        <is>
          <t>A 34780-2022</t>
        </is>
      </c>
      <c r="B84" s="1" t="n">
        <v>44795</v>
      </c>
      <c r="C84" s="1" t="n">
        <v>46079</v>
      </c>
      <c r="D84" t="inlineStr">
        <is>
          <t>KALMAR LÄN</t>
        </is>
      </c>
      <c r="E84" t="inlineStr">
        <is>
          <t>BORGHOLM</t>
        </is>
      </c>
      <c r="F84" t="inlineStr">
        <is>
          <t>Sveaskog</t>
        </is>
      </c>
      <c r="G84" t="n">
        <v>6.7</v>
      </c>
      <c r="H84" t="n">
        <v>0</v>
      </c>
      <c r="I84" t="n">
        <v>0</v>
      </c>
      <c r="J84" t="n">
        <v>0</v>
      </c>
      <c r="K84" t="n">
        <v>0</v>
      </c>
      <c r="L84" t="n">
        <v>0</v>
      </c>
      <c r="M84" t="n">
        <v>0</v>
      </c>
      <c r="N84" t="n">
        <v>0</v>
      </c>
      <c r="O84" t="n">
        <v>0</v>
      </c>
      <c r="P84" t="n">
        <v>0</v>
      </c>
      <c r="Q84" t="n">
        <v>0</v>
      </c>
      <c r="R84" s="2" t="inlineStr"/>
    </row>
    <row r="85" ht="15" customHeight="1">
      <c r="A85" t="inlineStr">
        <is>
          <t>A 55367-2024</t>
        </is>
      </c>
      <c r="B85" s="1" t="n">
        <v>45621.87075231481</v>
      </c>
      <c r="C85" s="1" t="n">
        <v>46079</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20287-2025</t>
        </is>
      </c>
      <c r="B86" s="1" t="n">
        <v>45774.60741898148</v>
      </c>
      <c r="C86" s="1" t="n">
        <v>46079</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64303-2023</t>
        </is>
      </c>
      <c r="B87" s="1" t="n">
        <v>45280</v>
      </c>
      <c r="C87" s="1" t="n">
        <v>46079</v>
      </c>
      <c r="D87" t="inlineStr">
        <is>
          <t>KALMAR LÄN</t>
        </is>
      </c>
      <c r="E87" t="inlineStr">
        <is>
          <t>BORGHOLM</t>
        </is>
      </c>
      <c r="G87" t="n">
        <v>1.2</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46079</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46079</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46079</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22785-2025</t>
        </is>
      </c>
      <c r="B91" s="1" t="n">
        <v>45789.64186342592</v>
      </c>
      <c r="C91" s="1" t="n">
        <v>46079</v>
      </c>
      <c r="D91" t="inlineStr">
        <is>
          <t>KALMAR LÄN</t>
        </is>
      </c>
      <c r="E91" t="inlineStr">
        <is>
          <t>BORGHOLM</t>
        </is>
      </c>
      <c r="G91" t="n">
        <v>0.6</v>
      </c>
      <c r="H91" t="n">
        <v>0</v>
      </c>
      <c r="I91" t="n">
        <v>0</v>
      </c>
      <c r="J91" t="n">
        <v>0</v>
      </c>
      <c r="K91" t="n">
        <v>0</v>
      </c>
      <c r="L91" t="n">
        <v>0</v>
      </c>
      <c r="M91" t="n">
        <v>0</v>
      </c>
      <c r="N91" t="n">
        <v>0</v>
      </c>
      <c r="O91" t="n">
        <v>0</v>
      </c>
      <c r="P91" t="n">
        <v>0</v>
      </c>
      <c r="Q91" t="n">
        <v>0</v>
      </c>
      <c r="R91" s="2" t="inlineStr"/>
    </row>
    <row r="92" ht="15" customHeight="1">
      <c r="A92" t="inlineStr">
        <is>
          <t>A 63075-2023</t>
        </is>
      </c>
      <c r="B92" s="1" t="n">
        <v>45273</v>
      </c>
      <c r="C92" s="1" t="n">
        <v>46079</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46079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41831-2025</t>
        </is>
      </c>
      <c r="B94" s="1" t="n">
        <v>45902.67887731481</v>
      </c>
      <c r="C94" s="1" t="n">
        <v>46079</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42232-2025</t>
        </is>
      </c>
      <c r="B95" s="1" t="n">
        <v>45904.55591435185</v>
      </c>
      <c r="C95" s="1" t="n">
        <v>46079</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41950-2025</t>
        </is>
      </c>
      <c r="B96" s="1" t="n">
        <v>45903.45767361111</v>
      </c>
      <c r="C96" s="1" t="n">
        <v>46079</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46079</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43542-2025</t>
        </is>
      </c>
      <c r="B98" s="1" t="n">
        <v>45911.61123842592</v>
      </c>
      <c r="C98" s="1" t="n">
        <v>46079</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40339-2023</t>
        </is>
      </c>
      <c r="B99" s="1" t="n">
        <v>45169.62733796296</v>
      </c>
      <c r="C99" s="1" t="n">
        <v>46079</v>
      </c>
      <c r="D99" t="inlineStr">
        <is>
          <t>KALMAR LÄN</t>
        </is>
      </c>
      <c r="E99" t="inlineStr">
        <is>
          <t>BORGHOLM</t>
        </is>
      </c>
      <c r="G99" t="n">
        <v>3.8</v>
      </c>
      <c r="H99" t="n">
        <v>0</v>
      </c>
      <c r="I99" t="n">
        <v>0</v>
      </c>
      <c r="J99" t="n">
        <v>0</v>
      </c>
      <c r="K99" t="n">
        <v>0</v>
      </c>
      <c r="L99" t="n">
        <v>0</v>
      </c>
      <c r="M99" t="n">
        <v>0</v>
      </c>
      <c r="N99" t="n">
        <v>0</v>
      </c>
      <c r="O99" t="n">
        <v>0</v>
      </c>
      <c r="P99" t="n">
        <v>0</v>
      </c>
      <c r="Q99" t="n">
        <v>0</v>
      </c>
      <c r="R99" s="2" t="inlineStr"/>
    </row>
    <row r="100" ht="15" customHeight="1">
      <c r="A100" t="inlineStr">
        <is>
          <t>A 24166-2022</t>
        </is>
      </c>
      <c r="B100" s="1" t="n">
        <v>44725</v>
      </c>
      <c r="C100" s="1" t="n">
        <v>46079</v>
      </c>
      <c r="D100" t="inlineStr">
        <is>
          <t>KALMAR LÄN</t>
        </is>
      </c>
      <c r="E100" t="inlineStr">
        <is>
          <t>BORGHOLM</t>
        </is>
      </c>
      <c r="G100" t="n">
        <v>10.7</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46079</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26160-2025</t>
        </is>
      </c>
      <c r="B102" s="1" t="n">
        <v>45805.4490162037</v>
      </c>
      <c r="C102" s="1" t="n">
        <v>46079</v>
      </c>
      <c r="D102" t="inlineStr">
        <is>
          <t>KALMAR LÄN</t>
        </is>
      </c>
      <c r="E102" t="inlineStr">
        <is>
          <t>BORGHOLM</t>
        </is>
      </c>
      <c r="G102" t="n">
        <v>3.7</v>
      </c>
      <c r="H102" t="n">
        <v>0</v>
      </c>
      <c r="I102" t="n">
        <v>0</v>
      </c>
      <c r="J102" t="n">
        <v>0</v>
      </c>
      <c r="K102" t="n">
        <v>0</v>
      </c>
      <c r="L102" t="n">
        <v>0</v>
      </c>
      <c r="M102" t="n">
        <v>0</v>
      </c>
      <c r="N102" t="n">
        <v>0</v>
      </c>
      <c r="O102" t="n">
        <v>0</v>
      </c>
      <c r="P102" t="n">
        <v>0</v>
      </c>
      <c r="Q102" t="n">
        <v>0</v>
      </c>
      <c r="R102" s="2" t="inlineStr"/>
    </row>
    <row r="103" ht="15" customHeight="1">
      <c r="A103" t="inlineStr">
        <is>
          <t>A 26190-2025</t>
        </is>
      </c>
      <c r="B103" s="1" t="n">
        <v>45805.48349537037</v>
      </c>
      <c r="C103" s="1" t="n">
        <v>46079</v>
      </c>
      <c r="D103" t="inlineStr">
        <is>
          <t>KALMAR LÄN</t>
        </is>
      </c>
      <c r="E103" t="inlineStr">
        <is>
          <t>BORGHOLM</t>
        </is>
      </c>
      <c r="G103" t="n">
        <v>3.2</v>
      </c>
      <c r="H103" t="n">
        <v>0</v>
      </c>
      <c r="I103" t="n">
        <v>0</v>
      </c>
      <c r="J103" t="n">
        <v>0</v>
      </c>
      <c r="K103" t="n">
        <v>0</v>
      </c>
      <c r="L103" t="n">
        <v>0</v>
      </c>
      <c r="M103" t="n">
        <v>0</v>
      </c>
      <c r="N103" t="n">
        <v>0</v>
      </c>
      <c r="O103" t="n">
        <v>0</v>
      </c>
      <c r="P103" t="n">
        <v>0</v>
      </c>
      <c r="Q103" t="n">
        <v>0</v>
      </c>
      <c r="R103" s="2" t="inlineStr"/>
    </row>
    <row r="104" ht="15" customHeight="1">
      <c r="A104" t="inlineStr">
        <is>
          <t>A 45734-2025</t>
        </is>
      </c>
      <c r="B104" s="1" t="n">
        <v>45923.46512731481</v>
      </c>
      <c r="C104" s="1" t="n">
        <v>46079</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45869-2025</t>
        </is>
      </c>
      <c r="B105" s="1" t="n">
        <v>45923.65313657407</v>
      </c>
      <c r="C105" s="1" t="n">
        <v>46079</v>
      </c>
      <c r="D105" t="inlineStr">
        <is>
          <t>KALMAR LÄN</t>
        </is>
      </c>
      <c r="E105" t="inlineStr">
        <is>
          <t>BORGHOLM</t>
        </is>
      </c>
      <c r="G105" t="n">
        <v>4.5</v>
      </c>
      <c r="H105" t="n">
        <v>0</v>
      </c>
      <c r="I105" t="n">
        <v>0</v>
      </c>
      <c r="J105" t="n">
        <v>0</v>
      </c>
      <c r="K105" t="n">
        <v>0</v>
      </c>
      <c r="L105" t="n">
        <v>0</v>
      </c>
      <c r="M105" t="n">
        <v>0</v>
      </c>
      <c r="N105" t="n">
        <v>0</v>
      </c>
      <c r="O105" t="n">
        <v>0</v>
      </c>
      <c r="P105" t="n">
        <v>0</v>
      </c>
      <c r="Q105" t="n">
        <v>0</v>
      </c>
      <c r="R105" s="2" t="inlineStr"/>
    </row>
    <row r="106" ht="15" customHeight="1">
      <c r="A106" t="inlineStr">
        <is>
          <t>A 27357-2025</t>
        </is>
      </c>
      <c r="B106" s="1" t="n">
        <v>45812.63650462963</v>
      </c>
      <c r="C106" s="1" t="n">
        <v>46079</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46079</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46845-2025</t>
        </is>
      </c>
      <c r="B108" s="1" t="n">
        <v>45928</v>
      </c>
      <c r="C108" s="1" t="n">
        <v>46079</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28782-2025</t>
        </is>
      </c>
      <c r="B109" s="1" t="n">
        <v>45820.45572916666</v>
      </c>
      <c r="C109" s="1" t="n">
        <v>46079</v>
      </c>
      <c r="D109" t="inlineStr">
        <is>
          <t>KALMAR LÄN</t>
        </is>
      </c>
      <c r="E109" t="inlineStr">
        <is>
          <t>BORGHOLM</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21908-2022</t>
        </is>
      </c>
      <c r="B110" s="1" t="n">
        <v>44711</v>
      </c>
      <c r="C110" s="1" t="n">
        <v>46079</v>
      </c>
      <c r="D110" t="inlineStr">
        <is>
          <t>KALMAR LÄN</t>
        </is>
      </c>
      <c r="E110" t="inlineStr">
        <is>
          <t>BORGHOLM</t>
        </is>
      </c>
      <c r="G110" t="n">
        <v>4.7</v>
      </c>
      <c r="H110" t="n">
        <v>0</v>
      </c>
      <c r="I110" t="n">
        <v>0</v>
      </c>
      <c r="J110" t="n">
        <v>0</v>
      </c>
      <c r="K110" t="n">
        <v>0</v>
      </c>
      <c r="L110" t="n">
        <v>0</v>
      </c>
      <c r="M110" t="n">
        <v>0</v>
      </c>
      <c r="N110" t="n">
        <v>0</v>
      </c>
      <c r="O110" t="n">
        <v>0</v>
      </c>
      <c r="P110" t="n">
        <v>0</v>
      </c>
      <c r="Q110" t="n">
        <v>0</v>
      </c>
      <c r="R110" s="2" t="inlineStr"/>
    </row>
    <row r="111" ht="15" customHeight="1">
      <c r="A111" t="inlineStr">
        <is>
          <t>A 34951-2022</t>
        </is>
      </c>
      <c r="B111" s="1" t="n">
        <v>44796</v>
      </c>
      <c r="C111" s="1" t="n">
        <v>46079</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9034-2025</t>
        </is>
      </c>
      <c r="B112" s="1" t="n">
        <v>45713</v>
      </c>
      <c r="C112" s="1" t="n">
        <v>46079</v>
      </c>
      <c r="D112" t="inlineStr">
        <is>
          <t>KALMAR LÄN</t>
        </is>
      </c>
      <c r="E112" t="inlineStr">
        <is>
          <t>BORGHOLM</t>
        </is>
      </c>
      <c r="F112" t="inlineStr">
        <is>
          <t>Sveaskog</t>
        </is>
      </c>
      <c r="G112" t="n">
        <v>6.8</v>
      </c>
      <c r="H112" t="n">
        <v>0</v>
      </c>
      <c r="I112" t="n">
        <v>0</v>
      </c>
      <c r="J112" t="n">
        <v>0</v>
      </c>
      <c r="K112" t="n">
        <v>0</v>
      </c>
      <c r="L112" t="n">
        <v>0</v>
      </c>
      <c r="M112" t="n">
        <v>0</v>
      </c>
      <c r="N112" t="n">
        <v>0</v>
      </c>
      <c r="O112" t="n">
        <v>0</v>
      </c>
      <c r="P112" t="n">
        <v>0</v>
      </c>
      <c r="Q112" t="n">
        <v>0</v>
      </c>
      <c r="R112" s="2" t="inlineStr"/>
    </row>
    <row r="113" ht="15" customHeight="1">
      <c r="A113" t="inlineStr">
        <is>
          <t>A 5175-2024</t>
        </is>
      </c>
      <c r="B113" s="1" t="n">
        <v>45330</v>
      </c>
      <c r="C113" s="1" t="n">
        <v>46079</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3878-2023</t>
        </is>
      </c>
      <c r="B114" s="1" t="n">
        <v>44951</v>
      </c>
      <c r="C114" s="1" t="n">
        <v>46079</v>
      </c>
      <c r="D114" t="inlineStr">
        <is>
          <t>KALMAR LÄN</t>
        </is>
      </c>
      <c r="E114" t="inlineStr">
        <is>
          <t>BORGHOLM</t>
        </is>
      </c>
      <c r="G114" t="n">
        <v>1.7</v>
      </c>
      <c r="H114" t="n">
        <v>0</v>
      </c>
      <c r="I114" t="n">
        <v>0</v>
      </c>
      <c r="J114" t="n">
        <v>0</v>
      </c>
      <c r="K114" t="n">
        <v>0</v>
      </c>
      <c r="L114" t="n">
        <v>0</v>
      </c>
      <c r="M114" t="n">
        <v>0</v>
      </c>
      <c r="N114" t="n">
        <v>0</v>
      </c>
      <c r="O114" t="n">
        <v>0</v>
      </c>
      <c r="P114" t="n">
        <v>0</v>
      </c>
      <c r="Q114" t="n">
        <v>0</v>
      </c>
      <c r="R114" s="2" t="inlineStr"/>
    </row>
    <row r="115" ht="15" customHeight="1">
      <c r="A115" t="inlineStr">
        <is>
          <t>A 36269-2025</t>
        </is>
      </c>
      <c r="B115" s="1" t="n">
        <v>45867.61736111111</v>
      </c>
      <c r="C115" s="1" t="n">
        <v>46079</v>
      </c>
      <c r="D115" t="inlineStr">
        <is>
          <t>KALMAR LÄN</t>
        </is>
      </c>
      <c r="E115" t="inlineStr">
        <is>
          <t>BORGHOLM</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60141-2025</t>
        </is>
      </c>
      <c r="B116" s="1" t="n">
        <v>45994.36873842592</v>
      </c>
      <c r="C116" s="1" t="n">
        <v>46079</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19867-2024</t>
        </is>
      </c>
      <c r="B117" s="1" t="n">
        <v>45433</v>
      </c>
      <c r="C117" s="1" t="n">
        <v>46079</v>
      </c>
      <c r="D117" t="inlineStr">
        <is>
          <t>KALMAR LÄN</t>
        </is>
      </c>
      <c r="E117" t="inlineStr">
        <is>
          <t>BORGHOLM</t>
        </is>
      </c>
      <c r="G117" t="n">
        <v>3.9</v>
      </c>
      <c r="H117" t="n">
        <v>0</v>
      </c>
      <c r="I117" t="n">
        <v>0</v>
      </c>
      <c r="J117" t="n">
        <v>0</v>
      </c>
      <c r="K117" t="n">
        <v>0</v>
      </c>
      <c r="L117" t="n">
        <v>0</v>
      </c>
      <c r="M117" t="n">
        <v>0</v>
      </c>
      <c r="N117" t="n">
        <v>0</v>
      </c>
      <c r="O117" t="n">
        <v>0</v>
      </c>
      <c r="P117" t="n">
        <v>0</v>
      </c>
      <c r="Q117" t="n">
        <v>0</v>
      </c>
      <c r="R117" s="2" t="inlineStr"/>
    </row>
    <row r="118" ht="15" customHeight="1">
      <c r="A118" t="inlineStr">
        <is>
          <t>A 13383-2023</t>
        </is>
      </c>
      <c r="B118" s="1" t="n">
        <v>45005</v>
      </c>
      <c r="C118" s="1" t="n">
        <v>46079</v>
      </c>
      <c r="D118" t="inlineStr">
        <is>
          <t>KALMAR LÄN</t>
        </is>
      </c>
      <c r="E118" t="inlineStr">
        <is>
          <t>BORGHOLM</t>
        </is>
      </c>
      <c r="G118" t="n">
        <v>0.8</v>
      </c>
      <c r="H118" t="n">
        <v>0</v>
      </c>
      <c r="I118" t="n">
        <v>0</v>
      </c>
      <c r="J118" t="n">
        <v>0</v>
      </c>
      <c r="K118" t="n">
        <v>0</v>
      </c>
      <c r="L118" t="n">
        <v>0</v>
      </c>
      <c r="M118" t="n">
        <v>0</v>
      </c>
      <c r="N118" t="n">
        <v>0</v>
      </c>
      <c r="O118" t="n">
        <v>0</v>
      </c>
      <c r="P118" t="n">
        <v>0</v>
      </c>
      <c r="Q118" t="n">
        <v>0</v>
      </c>
      <c r="R118" s="2" t="inlineStr"/>
    </row>
    <row r="119" ht="15" customHeight="1">
      <c r="A119" t="inlineStr">
        <is>
          <t>A 61723-2025</t>
        </is>
      </c>
      <c r="B119" s="1" t="n">
        <v>46002.58388888889</v>
      </c>
      <c r="C119" s="1" t="n">
        <v>46079</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7481-2026</t>
        </is>
      </c>
      <c r="B120" s="1" t="n">
        <v>46059.51359953704</v>
      </c>
      <c r="C120" s="1" t="n">
        <v>46079</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9259-2026</t>
        </is>
      </c>
      <c r="B121" s="1" t="n">
        <v>46070.51917824074</v>
      </c>
      <c r="C121" s="1" t="n">
        <v>46079</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ht="15" customHeight="1">
      <c r="A122" t="inlineStr">
        <is>
          <t>A 9104-2026</t>
        </is>
      </c>
      <c r="B122" s="1" t="n">
        <v>46069</v>
      </c>
      <c r="C122" s="1" t="n">
        <v>46079</v>
      </c>
      <c r="D122" t="inlineStr">
        <is>
          <t>KALMAR LÄN</t>
        </is>
      </c>
      <c r="E122" t="inlineStr">
        <is>
          <t>BORGHOLM</t>
        </is>
      </c>
      <c r="G122" t="n">
        <v>1.3</v>
      </c>
      <c r="H122" t="n">
        <v>0</v>
      </c>
      <c r="I122" t="n">
        <v>0</v>
      </c>
      <c r="J122" t="n">
        <v>0</v>
      </c>
      <c r="K122" t="n">
        <v>0</v>
      </c>
      <c r="L122" t="n">
        <v>0</v>
      </c>
      <c r="M122" t="n">
        <v>0</v>
      </c>
      <c r="N122" t="n">
        <v>0</v>
      </c>
      <c r="O122" t="n">
        <v>0</v>
      </c>
      <c r="P122" t="n">
        <v>0</v>
      </c>
      <c r="Q122" t="n">
        <v>0</v>
      </c>
      <c r="R122" s="2" t="inlineStr"/>
    </row>
    <row r="123">
      <c r="A123" t="inlineStr">
        <is>
          <t>A 9905-2026</t>
        </is>
      </c>
      <c r="B123" s="1" t="n">
        <v>46073.4108912037</v>
      </c>
      <c r="C123" s="1" t="n">
        <v>46079</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2026-02-26T11:15:46Z</dcterms:created>
  <dcterms:modified xmlns:dcterms="http://purl.org/dc/terms/" xmlns:xsi="http://www.w3.org/2001/XMLSchema-instance" xsi:type="dcterms:W3CDTF">2026-02-26T11:15:46Z</dcterms:modified>
</cp:coreProperties>
</file>