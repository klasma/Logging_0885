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46102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46102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46102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46102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46102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46102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46102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46102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46102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46102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46102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46102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46102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46102</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46102</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46102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46102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46102</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46102</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60140-2025</t>
        </is>
      </c>
      <c r="B21" s="1" t="n">
        <v>45994.36274305556</v>
      </c>
      <c r="C21" s="1" t="n">
        <v>46102</v>
      </c>
      <c r="D21" t="inlineStr">
        <is>
          <t>KALMAR LÄN</t>
        </is>
      </c>
      <c r="E21" t="inlineStr">
        <is>
          <t>BORGHOLM</t>
        </is>
      </c>
      <c r="G21" t="n">
        <v>0.8</v>
      </c>
      <c r="H21" t="n">
        <v>1</v>
      </c>
      <c r="I21" t="n">
        <v>2</v>
      </c>
      <c r="J21" t="n">
        <v>0</v>
      </c>
      <c r="K21" t="n">
        <v>0</v>
      </c>
      <c r="L21" t="n">
        <v>0</v>
      </c>
      <c r="M21" t="n">
        <v>0</v>
      </c>
      <c r="N21" t="n">
        <v>0</v>
      </c>
      <c r="O21" t="n">
        <v>0</v>
      </c>
      <c r="P21" t="n">
        <v>0</v>
      </c>
      <c r="Q21" t="n">
        <v>2</v>
      </c>
      <c r="R21" s="2" t="inlineStr">
        <is>
          <t>Skogsknipprot
Strävlosta</t>
        </is>
      </c>
      <c r="S21">
        <f>HYPERLINK("https://klasma.github.io/Logging_0885/artfynd/A 60140-2025 artfynd.xlsx", "A 60140-2025")</f>
        <v/>
      </c>
      <c r="T21">
        <f>HYPERLINK("https://klasma.github.io/Logging_0885/kartor/A 60140-2025 karta.png", "A 60140-2025")</f>
        <v/>
      </c>
      <c r="V21">
        <f>HYPERLINK("https://klasma.github.io/Logging_0885/klagomål/A 60140-2025 FSC-klagomål.docx", "A 60140-2025")</f>
        <v/>
      </c>
      <c r="W21">
        <f>HYPERLINK("https://klasma.github.io/Logging_0885/klagomålsmail/A 60140-2025 FSC-klagomål mail.docx", "A 60140-2025")</f>
        <v/>
      </c>
      <c r="X21">
        <f>HYPERLINK("https://klasma.github.io/Logging_0885/tillsyn/A 60140-2025 tillsynsbegäran.docx", "A 60140-2025")</f>
        <v/>
      </c>
      <c r="Y21">
        <f>HYPERLINK("https://klasma.github.io/Logging_0885/tillsynsmail/A 60140-2025 tillsynsbegäran mail.docx", "A 60140-2025")</f>
        <v/>
      </c>
    </row>
    <row r="22" ht="15" customHeight="1">
      <c r="A22" t="inlineStr">
        <is>
          <t>A 9253-2026</t>
        </is>
      </c>
      <c r="B22" s="1" t="n">
        <v>46070.51003472223</v>
      </c>
      <c r="C22" s="1" t="n">
        <v>46102</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44008-2022</t>
        </is>
      </c>
      <c r="B23" s="1" t="n">
        <v>44838</v>
      </c>
      <c r="C23" s="1" t="n">
        <v>46102</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28779-2025</t>
        </is>
      </c>
      <c r="B24" s="1" t="n">
        <v>45820.44920138889</v>
      </c>
      <c r="C24" s="1" t="n">
        <v>46102</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34944-2022</t>
        </is>
      </c>
      <c r="B25" s="1" t="n">
        <v>44796</v>
      </c>
      <c r="C25" s="1" t="n">
        <v>46102</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46102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46102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46102</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46102</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46102</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46102</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46102</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46102</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46102</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45693-2025</t>
        </is>
      </c>
      <c r="B35" s="1" t="n">
        <v>45923</v>
      </c>
      <c r="C35" s="1" t="n">
        <v>46102</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3302-2026</t>
        </is>
      </c>
      <c r="B36" s="1" t="n">
        <v>46041</v>
      </c>
      <c r="C36" s="1" t="n">
        <v>46102</v>
      </c>
      <c r="D36" t="inlineStr">
        <is>
          <t>KALMAR LÄN</t>
        </is>
      </c>
      <c r="E36" t="inlineStr">
        <is>
          <t>BORGHOLM</t>
        </is>
      </c>
      <c r="G36" t="n">
        <v>3.9</v>
      </c>
      <c r="H36" t="n">
        <v>1</v>
      </c>
      <c r="I36" t="n">
        <v>0</v>
      </c>
      <c r="J36" t="n">
        <v>0</v>
      </c>
      <c r="K36" t="n">
        <v>0</v>
      </c>
      <c r="L36" t="n">
        <v>0</v>
      </c>
      <c r="M36" t="n">
        <v>0</v>
      </c>
      <c r="N36" t="n">
        <v>0</v>
      </c>
      <c r="O36" t="n">
        <v>0</v>
      </c>
      <c r="P36" t="n">
        <v>0</v>
      </c>
      <c r="Q36" t="n">
        <v>1</v>
      </c>
      <c r="R36" s="2" t="inlineStr">
        <is>
          <t>Blåsippa</t>
        </is>
      </c>
      <c r="S36">
        <f>HYPERLINK("https://klasma.github.io/Logging_0885/artfynd/A 3302-2026 artfynd.xlsx", "A 3302-2026")</f>
        <v/>
      </c>
      <c r="T36">
        <f>HYPERLINK("https://klasma.github.io/Logging_0885/kartor/A 3302-2026 karta.png", "A 3302-2026")</f>
        <v/>
      </c>
      <c r="V36">
        <f>HYPERLINK("https://klasma.github.io/Logging_0885/klagomål/A 3302-2026 FSC-klagomål.docx", "A 3302-2026")</f>
        <v/>
      </c>
      <c r="W36">
        <f>HYPERLINK("https://klasma.github.io/Logging_0885/klagomålsmail/A 3302-2026 FSC-klagomål mail.docx", "A 3302-2026")</f>
        <v/>
      </c>
      <c r="X36">
        <f>HYPERLINK("https://klasma.github.io/Logging_0885/tillsyn/A 3302-2026 tillsynsbegäran.docx", "A 3302-2026")</f>
        <v/>
      </c>
      <c r="Y36">
        <f>HYPERLINK("https://klasma.github.io/Logging_0885/tillsynsmail/A 3302-2026 tillsynsbegäran mail.docx", "A 3302-2026")</f>
        <v/>
      </c>
    </row>
    <row r="37" ht="15" customHeight="1">
      <c r="A37" t="inlineStr">
        <is>
          <t>A 24704-2023</t>
        </is>
      </c>
      <c r="B37" s="1" t="n">
        <v>45084</v>
      </c>
      <c r="C37" s="1" t="n">
        <v>46102</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9745-2023</t>
        </is>
      </c>
      <c r="B38" s="1" t="n">
        <v>44984</v>
      </c>
      <c r="C38" s="1" t="n">
        <v>46102</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28785-2025</t>
        </is>
      </c>
      <c r="B39" s="1" t="n">
        <v>45820.46159722222</v>
      </c>
      <c r="C39" s="1" t="n">
        <v>46102</v>
      </c>
      <c r="D39" t="inlineStr">
        <is>
          <t>KALMAR LÄN</t>
        </is>
      </c>
      <c r="E39" t="inlineStr">
        <is>
          <t>BORGHOLM</t>
        </is>
      </c>
      <c r="F39" t="inlineStr">
        <is>
          <t>Sveaskog</t>
        </is>
      </c>
      <c r="G39" t="n">
        <v>2.3</v>
      </c>
      <c r="H39" t="n">
        <v>1</v>
      </c>
      <c r="I39" t="n">
        <v>0</v>
      </c>
      <c r="J39" t="n">
        <v>1</v>
      </c>
      <c r="K39" t="n">
        <v>0</v>
      </c>
      <c r="L39" t="n">
        <v>0</v>
      </c>
      <c r="M39" t="n">
        <v>0</v>
      </c>
      <c r="N39" t="n">
        <v>0</v>
      </c>
      <c r="O39" t="n">
        <v>1</v>
      </c>
      <c r="P39" t="n">
        <v>0</v>
      </c>
      <c r="Q39" t="n">
        <v>1</v>
      </c>
      <c r="R39" s="2" t="inlineStr">
        <is>
          <t>Havsörn</t>
        </is>
      </c>
      <c r="S39">
        <f>HYPERLINK("https://klasma.github.io/Logging_0885/artfynd/A 28785-2025 artfynd.xlsx", "A 28785-2025")</f>
        <v/>
      </c>
      <c r="T39">
        <f>HYPERLINK("https://klasma.github.io/Logging_0885/kartor/A 28785-2025 karta.png", "A 28785-2025")</f>
        <v/>
      </c>
      <c r="V39">
        <f>HYPERLINK("https://klasma.github.io/Logging_0885/klagomål/A 28785-2025 FSC-klagomål.docx", "A 28785-2025")</f>
        <v/>
      </c>
      <c r="W39">
        <f>HYPERLINK("https://klasma.github.io/Logging_0885/klagomålsmail/A 28785-2025 FSC-klagomål mail.docx", "A 28785-2025")</f>
        <v/>
      </c>
      <c r="X39">
        <f>HYPERLINK("https://klasma.github.io/Logging_0885/tillsyn/A 28785-2025 tillsynsbegäran.docx", "A 28785-2025")</f>
        <v/>
      </c>
      <c r="Y39">
        <f>HYPERLINK("https://klasma.github.io/Logging_0885/tillsynsmail/A 28785-2025 tillsynsbegäran mail.docx", "A 28785-2025")</f>
        <v/>
      </c>
      <c r="Z39">
        <f>HYPERLINK("https://klasma.github.io/Logging_0885/fåglar/A 28785-2025 prioriterade fågelarter.docx", "A 28785-2025")</f>
        <v/>
      </c>
    </row>
    <row r="40" ht="15" customHeight="1">
      <c r="A40" t="inlineStr">
        <is>
          <t>A 29962-2025</t>
        </is>
      </c>
      <c r="B40" s="1" t="n">
        <v>45826.48184027777</v>
      </c>
      <c r="C40" s="1" t="n">
        <v>46102</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43603-2024</t>
        </is>
      </c>
      <c r="B41" s="1" t="n">
        <v>45569.44700231482</v>
      </c>
      <c r="C41" s="1" t="n">
        <v>46102</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34885-2025</t>
        </is>
      </c>
      <c r="B42" s="1" t="n">
        <v>45849.47128472223</v>
      </c>
      <c r="C42" s="1" t="n">
        <v>46102</v>
      </c>
      <c r="D42" t="inlineStr">
        <is>
          <t>KALMAR LÄN</t>
        </is>
      </c>
      <c r="E42" t="inlineStr">
        <is>
          <t>BORGHOLM</t>
        </is>
      </c>
      <c r="G42" t="n">
        <v>4.4</v>
      </c>
      <c r="H42" t="n">
        <v>0</v>
      </c>
      <c r="I42" t="n">
        <v>0</v>
      </c>
      <c r="J42" t="n">
        <v>1</v>
      </c>
      <c r="K42" t="n">
        <v>0</v>
      </c>
      <c r="L42" t="n">
        <v>0</v>
      </c>
      <c r="M42" t="n">
        <v>0</v>
      </c>
      <c r="N42" t="n">
        <v>0</v>
      </c>
      <c r="O42" t="n">
        <v>1</v>
      </c>
      <c r="P42" t="n">
        <v>0</v>
      </c>
      <c r="Q42" t="n">
        <v>1</v>
      </c>
      <c r="R42" s="2" t="inlineStr">
        <is>
          <t>Backfryle</t>
        </is>
      </c>
      <c r="S42">
        <f>HYPERLINK("https://klasma.github.io/Logging_0885/artfynd/A 34885-2025 artfynd.xlsx", "A 34885-2025")</f>
        <v/>
      </c>
      <c r="T42">
        <f>HYPERLINK("https://klasma.github.io/Logging_0885/kartor/A 34885-2025 karta.png", "A 34885-2025")</f>
        <v/>
      </c>
      <c r="V42">
        <f>HYPERLINK("https://klasma.github.io/Logging_0885/klagomål/A 34885-2025 FSC-klagomål.docx", "A 34885-2025")</f>
        <v/>
      </c>
      <c r="W42">
        <f>HYPERLINK("https://klasma.github.io/Logging_0885/klagomålsmail/A 34885-2025 FSC-klagomål mail.docx", "A 34885-2025")</f>
        <v/>
      </c>
      <c r="X42">
        <f>HYPERLINK("https://klasma.github.io/Logging_0885/tillsyn/A 34885-2025 tillsynsbegäran.docx", "A 34885-2025")</f>
        <v/>
      </c>
      <c r="Y42">
        <f>HYPERLINK("https://klasma.github.io/Logging_0885/tillsynsmail/A 34885-2025 tillsynsbegäran mail.docx", "A 34885-2025")</f>
        <v/>
      </c>
    </row>
    <row r="43" ht="15" customHeight="1">
      <c r="A43" t="inlineStr">
        <is>
          <t>A 14789-2021</t>
        </is>
      </c>
      <c r="B43" s="1" t="n">
        <v>44280</v>
      </c>
      <c r="C43" s="1" t="n">
        <v>46102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42761-2021</t>
        </is>
      </c>
      <c r="B44" s="1" t="n">
        <v>44428</v>
      </c>
      <c r="C44" s="1" t="n">
        <v>46102</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46102</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46102</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46102</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46102</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46102</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46102</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46102</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46102</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46102</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46102</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46102</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46102</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46102</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46102</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46102</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46102</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17978-2021</t>
        </is>
      </c>
      <c r="B61" s="1" t="n">
        <v>44301</v>
      </c>
      <c r="C61" s="1" t="n">
        <v>46102</v>
      </c>
      <c r="D61" t="inlineStr">
        <is>
          <t>KALMAR LÄN</t>
        </is>
      </c>
      <c r="E61" t="inlineStr">
        <is>
          <t>BORGHOLM</t>
        </is>
      </c>
      <c r="G61" t="n">
        <v>6</v>
      </c>
      <c r="H61" t="n">
        <v>0</v>
      </c>
      <c r="I61" t="n">
        <v>0</v>
      </c>
      <c r="J61" t="n">
        <v>0</v>
      </c>
      <c r="K61" t="n">
        <v>0</v>
      </c>
      <c r="L61" t="n">
        <v>0</v>
      </c>
      <c r="M61" t="n">
        <v>0</v>
      </c>
      <c r="N61" t="n">
        <v>0</v>
      </c>
      <c r="O61" t="n">
        <v>0</v>
      </c>
      <c r="P61" t="n">
        <v>0</v>
      </c>
      <c r="Q61" t="n">
        <v>0</v>
      </c>
      <c r="R61" s="2" t="inlineStr"/>
    </row>
    <row r="62" ht="15" customHeight="1">
      <c r="A62" t="inlineStr">
        <is>
          <t>A 22785-2025</t>
        </is>
      </c>
      <c r="B62" s="1" t="n">
        <v>45789.64186342592</v>
      </c>
      <c r="C62" s="1" t="n">
        <v>46102</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64303-2023</t>
        </is>
      </c>
      <c r="B63" s="1" t="n">
        <v>45280</v>
      </c>
      <c r="C63" s="1" t="n">
        <v>46102</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60141-2025</t>
        </is>
      </c>
      <c r="B64" s="1" t="n">
        <v>45994.36873842592</v>
      </c>
      <c r="C64" s="1" t="n">
        <v>46102</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41831-2025</t>
        </is>
      </c>
      <c r="B65" s="1" t="n">
        <v>45902.67887731481</v>
      </c>
      <c r="C65" s="1" t="n">
        <v>46102</v>
      </c>
      <c r="D65" t="inlineStr">
        <is>
          <t>KALMAR LÄN</t>
        </is>
      </c>
      <c r="E65" t="inlineStr">
        <is>
          <t>BORGHOLM</t>
        </is>
      </c>
      <c r="G65" t="n">
        <v>1.5</v>
      </c>
      <c r="H65" t="n">
        <v>0</v>
      </c>
      <c r="I65" t="n">
        <v>0</v>
      </c>
      <c r="J65" t="n">
        <v>0</v>
      </c>
      <c r="K65" t="n">
        <v>0</v>
      </c>
      <c r="L65" t="n">
        <v>0</v>
      </c>
      <c r="M65" t="n">
        <v>0</v>
      </c>
      <c r="N65" t="n">
        <v>0</v>
      </c>
      <c r="O65" t="n">
        <v>0</v>
      </c>
      <c r="P65" t="n">
        <v>0</v>
      </c>
      <c r="Q65" t="n">
        <v>0</v>
      </c>
      <c r="R65" s="2" t="inlineStr"/>
    </row>
    <row r="66" ht="15" customHeight="1">
      <c r="A66" t="inlineStr">
        <is>
          <t>A 41950-2025</t>
        </is>
      </c>
      <c r="B66" s="1" t="n">
        <v>45903.45767361111</v>
      </c>
      <c r="C66" s="1" t="n">
        <v>46102</v>
      </c>
      <c r="D66" t="inlineStr">
        <is>
          <t>KALMAR LÄN</t>
        </is>
      </c>
      <c r="E66" t="inlineStr">
        <is>
          <t>BORGHOLM</t>
        </is>
      </c>
      <c r="G66" t="n">
        <v>1.8</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46102</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12534-2022</t>
        </is>
      </c>
      <c r="B68" s="1" t="n">
        <v>44638</v>
      </c>
      <c r="C68" s="1" t="n">
        <v>46102</v>
      </c>
      <c r="D68" t="inlineStr">
        <is>
          <t>KALMAR LÄN</t>
        </is>
      </c>
      <c r="E68" t="inlineStr">
        <is>
          <t>BORGHOLM</t>
        </is>
      </c>
      <c r="G68" t="n">
        <v>8.6</v>
      </c>
      <c r="H68" t="n">
        <v>0</v>
      </c>
      <c r="I68" t="n">
        <v>0</v>
      </c>
      <c r="J68" t="n">
        <v>0</v>
      </c>
      <c r="K68" t="n">
        <v>0</v>
      </c>
      <c r="L68" t="n">
        <v>0</v>
      </c>
      <c r="M68" t="n">
        <v>0</v>
      </c>
      <c r="N68" t="n">
        <v>0</v>
      </c>
      <c r="O68" t="n">
        <v>0</v>
      </c>
      <c r="P68" t="n">
        <v>0</v>
      </c>
      <c r="Q68" t="n">
        <v>0</v>
      </c>
      <c r="R68" s="2" t="inlineStr"/>
    </row>
    <row r="69" ht="15" customHeight="1">
      <c r="A69" t="inlineStr">
        <is>
          <t>A 21908-2022</t>
        </is>
      </c>
      <c r="B69" s="1" t="n">
        <v>44711</v>
      </c>
      <c r="C69" s="1" t="n">
        <v>46102</v>
      </c>
      <c r="D69" t="inlineStr">
        <is>
          <t>KALMAR LÄN</t>
        </is>
      </c>
      <c r="E69" t="inlineStr">
        <is>
          <t>BORGHOLM</t>
        </is>
      </c>
      <c r="G69" t="n">
        <v>4.7</v>
      </c>
      <c r="H69" t="n">
        <v>0</v>
      </c>
      <c r="I69" t="n">
        <v>0</v>
      </c>
      <c r="J69" t="n">
        <v>0</v>
      </c>
      <c r="K69" t="n">
        <v>0</v>
      </c>
      <c r="L69" t="n">
        <v>0</v>
      </c>
      <c r="M69" t="n">
        <v>0</v>
      </c>
      <c r="N69" t="n">
        <v>0</v>
      </c>
      <c r="O69" t="n">
        <v>0</v>
      </c>
      <c r="P69" t="n">
        <v>0</v>
      </c>
      <c r="Q69" t="n">
        <v>0</v>
      </c>
      <c r="R69" s="2" t="inlineStr"/>
    </row>
    <row r="70" ht="15" customHeight="1">
      <c r="A70" t="inlineStr">
        <is>
          <t>A 55367-2024</t>
        </is>
      </c>
      <c r="B70" s="1" t="n">
        <v>45621.87075231481</v>
      </c>
      <c r="C70" s="1" t="n">
        <v>46102</v>
      </c>
      <c r="D70" t="inlineStr">
        <is>
          <t>KALMAR LÄN</t>
        </is>
      </c>
      <c r="E70" t="inlineStr">
        <is>
          <t>BORGHOLM</t>
        </is>
      </c>
      <c r="G70" t="n">
        <v>0.7</v>
      </c>
      <c r="H70" t="n">
        <v>0</v>
      </c>
      <c r="I70" t="n">
        <v>0</v>
      </c>
      <c r="J70" t="n">
        <v>0</v>
      </c>
      <c r="K70" t="n">
        <v>0</v>
      </c>
      <c r="L70" t="n">
        <v>0</v>
      </c>
      <c r="M70" t="n">
        <v>0</v>
      </c>
      <c r="N70" t="n">
        <v>0</v>
      </c>
      <c r="O70" t="n">
        <v>0</v>
      </c>
      <c r="P70" t="n">
        <v>0</v>
      </c>
      <c r="Q70" t="n">
        <v>0</v>
      </c>
      <c r="R70" s="2" t="inlineStr"/>
    </row>
    <row r="71" ht="15" customHeight="1">
      <c r="A71" t="inlineStr">
        <is>
          <t>A 43542-2025</t>
        </is>
      </c>
      <c r="B71" s="1" t="n">
        <v>45911.61123842592</v>
      </c>
      <c r="C71" s="1" t="n">
        <v>46102</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61723-2025</t>
        </is>
      </c>
      <c r="B72" s="1" t="n">
        <v>46002.58388888889</v>
      </c>
      <c r="C72" s="1" t="n">
        <v>46102</v>
      </c>
      <c r="D72" t="inlineStr">
        <is>
          <t>KALMAR LÄN</t>
        </is>
      </c>
      <c r="E72" t="inlineStr">
        <is>
          <t>BORGHOLM</t>
        </is>
      </c>
      <c r="G72" t="n">
        <v>1.1</v>
      </c>
      <c r="H72" t="n">
        <v>0</v>
      </c>
      <c r="I72" t="n">
        <v>0</v>
      </c>
      <c r="J72" t="n">
        <v>0</v>
      </c>
      <c r="K72" t="n">
        <v>0</v>
      </c>
      <c r="L72" t="n">
        <v>0</v>
      </c>
      <c r="M72" t="n">
        <v>0</v>
      </c>
      <c r="N72" t="n">
        <v>0</v>
      </c>
      <c r="O72" t="n">
        <v>0</v>
      </c>
      <c r="P72" t="n">
        <v>0</v>
      </c>
      <c r="Q72" t="n">
        <v>0</v>
      </c>
      <c r="R72" s="2" t="inlineStr"/>
    </row>
    <row r="73" ht="15" customHeight="1">
      <c r="A73" t="inlineStr">
        <is>
          <t>A 45734-2025</t>
        </is>
      </c>
      <c r="B73" s="1" t="n">
        <v>45923.46512731481</v>
      </c>
      <c r="C73" s="1" t="n">
        <v>46102</v>
      </c>
      <c r="D73" t="inlineStr">
        <is>
          <t>KALMAR LÄN</t>
        </is>
      </c>
      <c r="E73" t="inlineStr">
        <is>
          <t>BORGHOLM</t>
        </is>
      </c>
      <c r="G73" t="n">
        <v>5</v>
      </c>
      <c r="H73" t="n">
        <v>0</v>
      </c>
      <c r="I73" t="n">
        <v>0</v>
      </c>
      <c r="J73" t="n">
        <v>0</v>
      </c>
      <c r="K73" t="n">
        <v>0</v>
      </c>
      <c r="L73" t="n">
        <v>0</v>
      </c>
      <c r="M73" t="n">
        <v>0</v>
      </c>
      <c r="N73" t="n">
        <v>0</v>
      </c>
      <c r="O73" t="n">
        <v>0</v>
      </c>
      <c r="P73" t="n">
        <v>0</v>
      </c>
      <c r="Q73" t="n">
        <v>0</v>
      </c>
      <c r="R73" s="2" t="inlineStr"/>
    </row>
    <row r="74" ht="15" customHeight="1">
      <c r="A74" t="inlineStr">
        <is>
          <t>A 45869-2025</t>
        </is>
      </c>
      <c r="B74" s="1" t="n">
        <v>45923.65313657407</v>
      </c>
      <c r="C74" s="1" t="n">
        <v>46102</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40339-2023</t>
        </is>
      </c>
      <c r="B75" s="1" t="n">
        <v>45169.62733796296</v>
      </c>
      <c r="C75" s="1" t="n">
        <v>46102</v>
      </c>
      <c r="D75" t="inlineStr">
        <is>
          <t>KALMAR LÄN</t>
        </is>
      </c>
      <c r="E75" t="inlineStr">
        <is>
          <t>BORGHOLM</t>
        </is>
      </c>
      <c r="G75" t="n">
        <v>3.8</v>
      </c>
      <c r="H75" t="n">
        <v>0</v>
      </c>
      <c r="I75" t="n">
        <v>0</v>
      </c>
      <c r="J75" t="n">
        <v>0</v>
      </c>
      <c r="K75" t="n">
        <v>0</v>
      </c>
      <c r="L75" t="n">
        <v>0</v>
      </c>
      <c r="M75" t="n">
        <v>0</v>
      </c>
      <c r="N75" t="n">
        <v>0</v>
      </c>
      <c r="O75" t="n">
        <v>0</v>
      </c>
      <c r="P75" t="n">
        <v>0</v>
      </c>
      <c r="Q75" t="n">
        <v>0</v>
      </c>
      <c r="R75" s="2" t="inlineStr"/>
    </row>
    <row r="76" ht="15" customHeight="1">
      <c r="A76" t="inlineStr">
        <is>
          <t>A 46845-2025</t>
        </is>
      </c>
      <c r="B76" s="1" t="n">
        <v>45928</v>
      </c>
      <c r="C76" s="1" t="n">
        <v>46102</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24166-2022</t>
        </is>
      </c>
      <c r="B77" s="1" t="n">
        <v>44725</v>
      </c>
      <c r="C77" s="1" t="n">
        <v>46102</v>
      </c>
      <c r="D77" t="inlineStr">
        <is>
          <t>KALMAR LÄN</t>
        </is>
      </c>
      <c r="E77" t="inlineStr">
        <is>
          <t>BORGHOLM</t>
        </is>
      </c>
      <c r="G77" t="n">
        <v>10.7</v>
      </c>
      <c r="H77" t="n">
        <v>0</v>
      </c>
      <c r="I77" t="n">
        <v>0</v>
      </c>
      <c r="J77" t="n">
        <v>0</v>
      </c>
      <c r="K77" t="n">
        <v>0</v>
      </c>
      <c r="L77" t="n">
        <v>0</v>
      </c>
      <c r="M77" t="n">
        <v>0</v>
      </c>
      <c r="N77" t="n">
        <v>0</v>
      </c>
      <c r="O77" t="n">
        <v>0</v>
      </c>
      <c r="P77" t="n">
        <v>0</v>
      </c>
      <c r="Q77" t="n">
        <v>0</v>
      </c>
      <c r="R77" s="2" t="inlineStr"/>
    </row>
    <row r="78" ht="15" customHeight="1">
      <c r="A78" t="inlineStr">
        <is>
          <t>A 4159-2024</t>
        </is>
      </c>
      <c r="B78" s="1" t="n">
        <v>45323</v>
      </c>
      <c r="C78" s="1" t="n">
        <v>46102</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9104-2026</t>
        </is>
      </c>
      <c r="B79" s="1" t="n">
        <v>46069</v>
      </c>
      <c r="C79" s="1" t="n">
        <v>46102</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9259-2026</t>
        </is>
      </c>
      <c r="B80" s="1" t="n">
        <v>46070.51917824074</v>
      </c>
      <c r="C80" s="1" t="n">
        <v>46102</v>
      </c>
      <c r="D80" t="inlineStr">
        <is>
          <t>KALMAR LÄN</t>
        </is>
      </c>
      <c r="E80" t="inlineStr">
        <is>
          <t>BORGHOLM</t>
        </is>
      </c>
      <c r="G80" t="n">
        <v>1.6</v>
      </c>
      <c r="H80" t="n">
        <v>0</v>
      </c>
      <c r="I80" t="n">
        <v>0</v>
      </c>
      <c r="J80" t="n">
        <v>0</v>
      </c>
      <c r="K80" t="n">
        <v>0</v>
      </c>
      <c r="L80" t="n">
        <v>0</v>
      </c>
      <c r="M80" t="n">
        <v>0</v>
      </c>
      <c r="N80" t="n">
        <v>0</v>
      </c>
      <c r="O80" t="n">
        <v>0</v>
      </c>
      <c r="P80" t="n">
        <v>0</v>
      </c>
      <c r="Q80" t="n">
        <v>0</v>
      </c>
      <c r="R80" s="2" t="inlineStr"/>
    </row>
    <row r="81" ht="15" customHeight="1">
      <c r="A81" t="inlineStr">
        <is>
          <t>A 9905-2026</t>
        </is>
      </c>
      <c r="B81" s="1" t="n">
        <v>46073.4108912037</v>
      </c>
      <c r="C81" s="1" t="n">
        <v>46102</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32921-2023</t>
        </is>
      </c>
      <c r="B82" s="1" t="n">
        <v>45125</v>
      </c>
      <c r="C82" s="1" t="n">
        <v>46102</v>
      </c>
      <c r="D82" t="inlineStr">
        <is>
          <t>KALMAR LÄN</t>
        </is>
      </c>
      <c r="E82" t="inlineStr">
        <is>
          <t>BORGHOLM</t>
        </is>
      </c>
      <c r="G82" t="n">
        <v>2.9</v>
      </c>
      <c r="H82" t="n">
        <v>0</v>
      </c>
      <c r="I82" t="n">
        <v>0</v>
      </c>
      <c r="J82" t="n">
        <v>0</v>
      </c>
      <c r="K82" t="n">
        <v>0</v>
      </c>
      <c r="L82" t="n">
        <v>0</v>
      </c>
      <c r="M82" t="n">
        <v>0</v>
      </c>
      <c r="N82" t="n">
        <v>0</v>
      </c>
      <c r="O82" t="n">
        <v>0</v>
      </c>
      <c r="P82" t="n">
        <v>0</v>
      </c>
      <c r="Q82" t="n">
        <v>0</v>
      </c>
      <c r="R82" s="2" t="inlineStr"/>
    </row>
    <row r="83" ht="15" customHeight="1">
      <c r="A83" t="inlineStr">
        <is>
          <t>A 31699-2022</t>
        </is>
      </c>
      <c r="B83" s="1" t="n">
        <v>44776</v>
      </c>
      <c r="C83" s="1" t="n">
        <v>46102</v>
      </c>
      <c r="D83" t="inlineStr">
        <is>
          <t>KALMAR LÄN</t>
        </is>
      </c>
      <c r="E83" t="inlineStr">
        <is>
          <t>BORGHOLM</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63276-2023</t>
        </is>
      </c>
      <c r="B84" s="1" t="n">
        <v>45273.82195601852</v>
      </c>
      <c r="C84" s="1" t="n">
        <v>46102</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26190-2025</t>
        </is>
      </c>
      <c r="B85" s="1" t="n">
        <v>45805.48349537037</v>
      </c>
      <c r="C85" s="1" t="n">
        <v>46102</v>
      </c>
      <c r="D85" t="inlineStr">
        <is>
          <t>KALMAR LÄN</t>
        </is>
      </c>
      <c r="E85" t="inlineStr">
        <is>
          <t>BORGHOLM</t>
        </is>
      </c>
      <c r="G85" t="n">
        <v>3.2</v>
      </c>
      <c r="H85" t="n">
        <v>0</v>
      </c>
      <c r="I85" t="n">
        <v>0</v>
      </c>
      <c r="J85" t="n">
        <v>0</v>
      </c>
      <c r="K85" t="n">
        <v>0</v>
      </c>
      <c r="L85" t="n">
        <v>0</v>
      </c>
      <c r="M85" t="n">
        <v>0</v>
      </c>
      <c r="N85" t="n">
        <v>0</v>
      </c>
      <c r="O85" t="n">
        <v>0</v>
      </c>
      <c r="P85" t="n">
        <v>0</v>
      </c>
      <c r="Q85" t="n">
        <v>0</v>
      </c>
      <c r="R85" s="2" t="inlineStr"/>
    </row>
    <row r="86" ht="15" customHeight="1">
      <c r="A86" t="inlineStr">
        <is>
          <t>A 1614-2025</t>
        </is>
      </c>
      <c r="B86" s="1" t="n">
        <v>45670.60094907408</v>
      </c>
      <c r="C86" s="1" t="n">
        <v>46102</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46102</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9076-2025</t>
        </is>
      </c>
      <c r="B88" s="1" t="n">
        <v>45713.6596875</v>
      </c>
      <c r="C88" s="1" t="n">
        <v>46102</v>
      </c>
      <c r="D88" t="inlineStr">
        <is>
          <t>KALMAR LÄN</t>
        </is>
      </c>
      <c r="E88" t="inlineStr">
        <is>
          <t>BORGHOLM</t>
        </is>
      </c>
      <c r="F88" t="inlineStr">
        <is>
          <t>Sveaskog</t>
        </is>
      </c>
      <c r="G88" t="n">
        <v>4.2</v>
      </c>
      <c r="H88" t="n">
        <v>0</v>
      </c>
      <c r="I88" t="n">
        <v>0</v>
      </c>
      <c r="J88" t="n">
        <v>0</v>
      </c>
      <c r="K88" t="n">
        <v>0</v>
      </c>
      <c r="L88" t="n">
        <v>0</v>
      </c>
      <c r="M88" t="n">
        <v>0</v>
      </c>
      <c r="N88" t="n">
        <v>0</v>
      </c>
      <c r="O88" t="n">
        <v>0</v>
      </c>
      <c r="P88" t="n">
        <v>0</v>
      </c>
      <c r="Q88" t="n">
        <v>0</v>
      </c>
      <c r="R88" s="2" t="inlineStr"/>
    </row>
    <row r="89" ht="15" customHeight="1">
      <c r="A89" t="inlineStr">
        <is>
          <t>A 1757-2025</t>
        </is>
      </c>
      <c r="B89" s="1" t="n">
        <v>45671.42195601852</v>
      </c>
      <c r="C89" s="1" t="n">
        <v>46102</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7960-2023</t>
        </is>
      </c>
      <c r="B90" s="1" t="n">
        <v>44973</v>
      </c>
      <c r="C90" s="1" t="n">
        <v>46102</v>
      </c>
      <c r="D90" t="inlineStr">
        <is>
          <t>KALMAR LÄN</t>
        </is>
      </c>
      <c r="E90" t="inlineStr">
        <is>
          <t>BORGHOLM</t>
        </is>
      </c>
      <c r="G90" t="n">
        <v>2.1</v>
      </c>
      <c r="H90" t="n">
        <v>0</v>
      </c>
      <c r="I90" t="n">
        <v>0</v>
      </c>
      <c r="J90" t="n">
        <v>0</v>
      </c>
      <c r="K90" t="n">
        <v>0</v>
      </c>
      <c r="L90" t="n">
        <v>0</v>
      </c>
      <c r="M90" t="n">
        <v>0</v>
      </c>
      <c r="N90" t="n">
        <v>0</v>
      </c>
      <c r="O90" t="n">
        <v>0</v>
      </c>
      <c r="P90" t="n">
        <v>0</v>
      </c>
      <c r="Q90" t="n">
        <v>0</v>
      </c>
      <c r="R90" s="2" t="inlineStr"/>
    </row>
    <row r="91" ht="15" customHeight="1">
      <c r="A91" t="inlineStr">
        <is>
          <t>A 27357-2025</t>
        </is>
      </c>
      <c r="B91" s="1" t="n">
        <v>45812.63650462963</v>
      </c>
      <c r="C91" s="1" t="n">
        <v>46102</v>
      </c>
      <c r="D91" t="inlineStr">
        <is>
          <t>KALMAR LÄN</t>
        </is>
      </c>
      <c r="E91" t="inlineStr">
        <is>
          <t>BORGHOLM</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27366-2025</t>
        </is>
      </c>
      <c r="B92" s="1" t="n">
        <v>45812.64475694444</v>
      </c>
      <c r="C92" s="1" t="n">
        <v>46102</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29656-2023</t>
        </is>
      </c>
      <c r="B93" s="1" t="n">
        <v>45107</v>
      </c>
      <c r="C93" s="1" t="n">
        <v>46102</v>
      </c>
      <c r="D93" t="inlineStr">
        <is>
          <t>KALMAR LÄN</t>
        </is>
      </c>
      <c r="E93" t="inlineStr">
        <is>
          <t>BORGHOLM</t>
        </is>
      </c>
      <c r="G93" t="n">
        <v>4.1</v>
      </c>
      <c r="H93" t="n">
        <v>0</v>
      </c>
      <c r="I93" t="n">
        <v>0</v>
      </c>
      <c r="J93" t="n">
        <v>0</v>
      </c>
      <c r="K93" t="n">
        <v>0</v>
      </c>
      <c r="L93" t="n">
        <v>0</v>
      </c>
      <c r="M93" t="n">
        <v>0</v>
      </c>
      <c r="N93" t="n">
        <v>0</v>
      </c>
      <c r="O93" t="n">
        <v>0</v>
      </c>
      <c r="P93" t="n">
        <v>0</v>
      </c>
      <c r="Q93" t="n">
        <v>0</v>
      </c>
      <c r="R93" s="2" t="inlineStr"/>
    </row>
    <row r="94" ht="15" customHeight="1">
      <c r="A94" t="inlineStr">
        <is>
          <t>A 7481-2026</t>
        </is>
      </c>
      <c r="B94" s="1" t="n">
        <v>46059.51359953704</v>
      </c>
      <c r="C94" s="1" t="n">
        <v>46102</v>
      </c>
      <c r="D94" t="inlineStr">
        <is>
          <t>KALMAR LÄN</t>
        </is>
      </c>
      <c r="E94" t="inlineStr">
        <is>
          <t>BORGHOLM</t>
        </is>
      </c>
      <c r="G94" t="n">
        <v>1.9</v>
      </c>
      <c r="H94" t="n">
        <v>0</v>
      </c>
      <c r="I94" t="n">
        <v>0</v>
      </c>
      <c r="J94" t="n">
        <v>0</v>
      </c>
      <c r="K94" t="n">
        <v>0</v>
      </c>
      <c r="L94" t="n">
        <v>0</v>
      </c>
      <c r="M94" t="n">
        <v>0</v>
      </c>
      <c r="N94" t="n">
        <v>0</v>
      </c>
      <c r="O94" t="n">
        <v>0</v>
      </c>
      <c r="P94" t="n">
        <v>0</v>
      </c>
      <c r="Q94" t="n">
        <v>0</v>
      </c>
      <c r="R94" s="2" t="inlineStr"/>
    </row>
    <row r="95" ht="15" customHeight="1">
      <c r="A95" t="inlineStr">
        <is>
          <t>A 28782-2025</t>
        </is>
      </c>
      <c r="B95" s="1" t="n">
        <v>45820.45572916666</v>
      </c>
      <c r="C95" s="1" t="n">
        <v>46102</v>
      </c>
      <c r="D95" t="inlineStr">
        <is>
          <t>KALMAR LÄN</t>
        </is>
      </c>
      <c r="E95" t="inlineStr">
        <is>
          <t>BORGHOLM</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46102</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46102</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36269-2025</t>
        </is>
      </c>
      <c r="B98" s="1" t="n">
        <v>45867.61736111111</v>
      </c>
      <c r="C98" s="1" t="n">
        <v>46102</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46102</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46102</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44678-2022</t>
        </is>
      </c>
      <c r="B101" s="1" t="n">
        <v>44840.65100694444</v>
      </c>
      <c r="C101" s="1" t="n">
        <v>46102</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46102</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46102</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46102</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46102</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19867-2024</t>
        </is>
      </c>
      <c r="B106" s="1" t="n">
        <v>45433</v>
      </c>
      <c r="C106" s="1" t="n">
        <v>46102</v>
      </c>
      <c r="D106" t="inlineStr">
        <is>
          <t>KALMAR LÄN</t>
        </is>
      </c>
      <c r="E106" t="inlineStr">
        <is>
          <t>BORGHOLM</t>
        </is>
      </c>
      <c r="G106" t="n">
        <v>3.9</v>
      </c>
      <c r="H106" t="n">
        <v>0</v>
      </c>
      <c r="I106" t="n">
        <v>0</v>
      </c>
      <c r="J106" t="n">
        <v>0</v>
      </c>
      <c r="K106" t="n">
        <v>0</v>
      </c>
      <c r="L106" t="n">
        <v>0</v>
      </c>
      <c r="M106" t="n">
        <v>0</v>
      </c>
      <c r="N106" t="n">
        <v>0</v>
      </c>
      <c r="O106" t="n">
        <v>0</v>
      </c>
      <c r="P106" t="n">
        <v>0</v>
      </c>
      <c r="Q106" t="n">
        <v>0</v>
      </c>
      <c r="R106" s="2" t="inlineStr"/>
    </row>
    <row r="107" ht="15" customHeight="1">
      <c r="A107" t="inlineStr">
        <is>
          <t>A 13383-2023</t>
        </is>
      </c>
      <c r="B107" s="1" t="n">
        <v>45005</v>
      </c>
      <c r="C107" s="1" t="n">
        <v>46102</v>
      </c>
      <c r="D107" t="inlineStr">
        <is>
          <t>KALMAR LÄN</t>
        </is>
      </c>
      <c r="E107" t="inlineStr">
        <is>
          <t>BORGHOLM</t>
        </is>
      </c>
      <c r="G107" t="n">
        <v>0.8</v>
      </c>
      <c r="H107" t="n">
        <v>0</v>
      </c>
      <c r="I107" t="n">
        <v>0</v>
      </c>
      <c r="J107" t="n">
        <v>0</v>
      </c>
      <c r="K107" t="n">
        <v>0</v>
      </c>
      <c r="L107" t="n">
        <v>0</v>
      </c>
      <c r="M107" t="n">
        <v>0</v>
      </c>
      <c r="N107" t="n">
        <v>0</v>
      </c>
      <c r="O107" t="n">
        <v>0</v>
      </c>
      <c r="P107" t="n">
        <v>0</v>
      </c>
      <c r="Q107" t="n">
        <v>0</v>
      </c>
      <c r="R107" s="2" t="inlineStr"/>
    </row>
    <row r="108" ht="15" customHeight="1">
      <c r="A108" t="inlineStr">
        <is>
          <t>A 61438-2023</t>
        </is>
      </c>
      <c r="B108" s="1" t="n">
        <v>45264</v>
      </c>
      <c r="C108" s="1" t="n">
        <v>46102</v>
      </c>
      <c r="D108" t="inlineStr">
        <is>
          <t>KALMAR LÄN</t>
        </is>
      </c>
      <c r="E108" t="inlineStr">
        <is>
          <t>BORGHOLM</t>
        </is>
      </c>
      <c r="G108" t="n">
        <v>1.1</v>
      </c>
      <c r="H108" t="n">
        <v>0</v>
      </c>
      <c r="I108" t="n">
        <v>0</v>
      </c>
      <c r="J108" t="n">
        <v>0</v>
      </c>
      <c r="K108" t="n">
        <v>0</v>
      </c>
      <c r="L108" t="n">
        <v>0</v>
      </c>
      <c r="M108" t="n">
        <v>0</v>
      </c>
      <c r="N108" t="n">
        <v>0</v>
      </c>
      <c r="O108" t="n">
        <v>0</v>
      </c>
      <c r="P108" t="n">
        <v>0</v>
      </c>
      <c r="Q108" t="n">
        <v>0</v>
      </c>
      <c r="R108" s="2" t="inlineStr"/>
    </row>
    <row r="109" ht="15" customHeight="1">
      <c r="A109" t="inlineStr">
        <is>
          <t>A 13041-2024</t>
        </is>
      </c>
      <c r="B109" s="1" t="n">
        <v>45385.60065972222</v>
      </c>
      <c r="C109" s="1" t="n">
        <v>46102</v>
      </c>
      <c r="D109" t="inlineStr">
        <is>
          <t>KALMAR LÄN</t>
        </is>
      </c>
      <c r="E109" t="inlineStr">
        <is>
          <t>BORGHOLM</t>
        </is>
      </c>
      <c r="G109" t="n">
        <v>0.5</v>
      </c>
      <c r="H109" t="n">
        <v>0</v>
      </c>
      <c r="I109" t="n">
        <v>0</v>
      </c>
      <c r="J109" t="n">
        <v>0</v>
      </c>
      <c r="K109" t="n">
        <v>0</v>
      </c>
      <c r="L109" t="n">
        <v>0</v>
      </c>
      <c r="M109" t="n">
        <v>0</v>
      </c>
      <c r="N109" t="n">
        <v>0</v>
      </c>
      <c r="O109" t="n">
        <v>0</v>
      </c>
      <c r="P109" t="n">
        <v>0</v>
      </c>
      <c r="Q109" t="n">
        <v>0</v>
      </c>
      <c r="R109" s="2" t="inlineStr"/>
    </row>
    <row r="110" ht="15" customHeight="1">
      <c r="A110" t="inlineStr">
        <is>
          <t>A 53050-2021</t>
        </is>
      </c>
      <c r="B110" s="1" t="n">
        <v>44467</v>
      </c>
      <c r="C110" s="1" t="n">
        <v>46102</v>
      </c>
      <c r="D110" t="inlineStr">
        <is>
          <t>KALMAR LÄN</t>
        </is>
      </c>
      <c r="E110" t="inlineStr">
        <is>
          <t>BORGHOLM</t>
        </is>
      </c>
      <c r="G110" t="n">
        <v>3.6</v>
      </c>
      <c r="H110" t="n">
        <v>0</v>
      </c>
      <c r="I110" t="n">
        <v>0</v>
      </c>
      <c r="J110" t="n">
        <v>0</v>
      </c>
      <c r="K110" t="n">
        <v>0</v>
      </c>
      <c r="L110" t="n">
        <v>0</v>
      </c>
      <c r="M110" t="n">
        <v>0</v>
      </c>
      <c r="N110" t="n">
        <v>0</v>
      </c>
      <c r="O110" t="n">
        <v>0</v>
      </c>
      <c r="P110" t="n">
        <v>0</v>
      </c>
      <c r="Q110" t="n">
        <v>0</v>
      </c>
      <c r="R110" s="2" t="inlineStr"/>
    </row>
    <row r="111" ht="15" customHeight="1">
      <c r="A111" t="inlineStr">
        <is>
          <t>A 4165-2023</t>
        </is>
      </c>
      <c r="B111" s="1" t="n">
        <v>44953</v>
      </c>
      <c r="C111" s="1" t="n">
        <v>46102</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50129-2021</t>
        </is>
      </c>
      <c r="B112" s="1" t="n">
        <v>44456</v>
      </c>
      <c r="C112" s="1" t="n">
        <v>46102</v>
      </c>
      <c r="D112" t="inlineStr">
        <is>
          <t>KALMAR LÄN</t>
        </is>
      </c>
      <c r="E112" t="inlineStr">
        <is>
          <t>BORGHOLM</t>
        </is>
      </c>
      <c r="G112" t="n">
        <v>1.6</v>
      </c>
      <c r="H112" t="n">
        <v>0</v>
      </c>
      <c r="I112" t="n">
        <v>0</v>
      </c>
      <c r="J112" t="n">
        <v>0</v>
      </c>
      <c r="K112" t="n">
        <v>0</v>
      </c>
      <c r="L112" t="n">
        <v>0</v>
      </c>
      <c r="M112" t="n">
        <v>0</v>
      </c>
      <c r="N112" t="n">
        <v>0</v>
      </c>
      <c r="O112" t="n">
        <v>0</v>
      </c>
      <c r="P112" t="n">
        <v>0</v>
      </c>
      <c r="Q112" t="n">
        <v>0</v>
      </c>
      <c r="R112" s="2" t="inlineStr"/>
    </row>
    <row r="113" ht="15" customHeight="1">
      <c r="A113" t="inlineStr">
        <is>
          <t>A 13043-2024</t>
        </is>
      </c>
      <c r="B113" s="1" t="n">
        <v>45385.60111111111</v>
      </c>
      <c r="C113" s="1" t="n">
        <v>46102</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46102</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9044-2025</t>
        </is>
      </c>
      <c r="B115" s="1" t="n">
        <v>45713.6275</v>
      </c>
      <c r="C115" s="1" t="n">
        <v>46102</v>
      </c>
      <c r="D115" t="inlineStr">
        <is>
          <t>KALMAR LÄN</t>
        </is>
      </c>
      <c r="E115" t="inlineStr">
        <is>
          <t>BORGHOLM</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20878-2024</t>
        </is>
      </c>
      <c r="B116" s="1" t="n">
        <v>45439.44748842593</v>
      </c>
      <c r="C116" s="1" t="n">
        <v>46102</v>
      </c>
      <c r="D116" t="inlineStr">
        <is>
          <t>KALMAR LÄN</t>
        </is>
      </c>
      <c r="E116" t="inlineStr">
        <is>
          <t>BORGHOLM</t>
        </is>
      </c>
      <c r="G116" t="n">
        <v>1.9</v>
      </c>
      <c r="H116" t="n">
        <v>0</v>
      </c>
      <c r="I116" t="n">
        <v>0</v>
      </c>
      <c r="J116" t="n">
        <v>0</v>
      </c>
      <c r="K116" t="n">
        <v>0</v>
      </c>
      <c r="L116" t="n">
        <v>0</v>
      </c>
      <c r="M116" t="n">
        <v>0</v>
      </c>
      <c r="N116" t="n">
        <v>0</v>
      </c>
      <c r="O116" t="n">
        <v>0</v>
      </c>
      <c r="P116" t="n">
        <v>0</v>
      </c>
      <c r="Q116" t="n">
        <v>0</v>
      </c>
      <c r="R116" s="2" t="inlineStr"/>
    </row>
    <row r="117" ht="15" customHeight="1">
      <c r="A117" t="inlineStr">
        <is>
          <t>A 17699-2025</t>
        </is>
      </c>
      <c r="B117" s="1" t="n">
        <v>45758.41846064815</v>
      </c>
      <c r="C117" s="1" t="n">
        <v>46102</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ht="15" customHeight="1">
      <c r="A118" t="inlineStr">
        <is>
          <t>A 20287-2025</t>
        </is>
      </c>
      <c r="B118" s="1" t="n">
        <v>45774.60741898148</v>
      </c>
      <c r="C118" s="1" t="n">
        <v>46102</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26160-2024</t>
        </is>
      </c>
      <c r="B119" s="1" t="n">
        <v>45468</v>
      </c>
      <c r="C119" s="1" t="n">
        <v>46102</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c r="T119">
        <f>HYPERLINK("https://klasma.github.io/Logging_0885/kartor/A 26160-2024 karta.png", "A 26160-2024")</f>
        <v/>
      </c>
      <c r="V119">
        <f>HYPERLINK("https://klasma.github.io/Logging_0885/klagomål/A 26160-2024 FSC-klagomål.docx", "A 26160-2024")</f>
        <v/>
      </c>
      <c r="W119">
        <f>HYPERLINK("https://klasma.github.io/Logging_0885/klagomålsmail/A 26160-2024 FSC-klagomål mail.docx", "A 26160-2024")</f>
        <v/>
      </c>
      <c r="X119">
        <f>HYPERLINK("https://klasma.github.io/Logging_0885/tillsyn/A 26160-2024 tillsynsbegäran.docx", "A 26160-2024")</f>
        <v/>
      </c>
      <c r="Y119">
        <f>HYPERLINK("https://klasma.github.io/Logging_0885/tillsynsmail/A 26160-2024 tillsynsbegäran mail.docx", "A 26160-2024")</f>
        <v/>
      </c>
    </row>
    <row r="120">
      <c r="A120" t="inlineStr">
        <is>
          <t>A 63075-2023</t>
        </is>
      </c>
      <c r="B120" s="1" t="n">
        <v>45273</v>
      </c>
      <c r="C120" s="1" t="n">
        <v>46102</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2026-03-21T11:31:38Z</dcterms:created>
  <dcterms:modified xmlns:dcterms="http://purl.org/dc/terms/" xmlns:xsi="http://www.w3.org/2001/XMLSchema-instance" xsi:type="dcterms:W3CDTF">2026-03-21T11:31:39Z</dcterms:modified>
</cp:coreProperties>
</file>