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46143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46143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46143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46143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46143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46143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46143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46143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46143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46143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46143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46143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46143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46143</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46143</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46143</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46143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46143</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46143</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46143</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15285-2026</t>
        </is>
      </c>
      <c r="B22" s="1" t="n">
        <v>46105.6156712963</v>
      </c>
      <c r="C22" s="1" t="n">
        <v>46143</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Havsörn
Talltita</t>
        </is>
      </c>
      <c r="S22">
        <f>HYPERLINK("https://klasma.github.io/Logging_0885/artfynd/A 15285-2026 artfynd.xlsx", "A 15285-2026")</f>
        <v/>
      </c>
      <c r="T22">
        <f>HYPERLINK("https://klasma.github.io/Logging_0885/kartor/A 15285-2026 karta.png", "A 15285-2026")</f>
        <v/>
      </c>
      <c r="V22">
        <f>HYPERLINK("https://klasma.github.io/Logging_0885/klagomål/A 15285-2026 FSC-klagomål.docx", "A 15285-2026")</f>
        <v/>
      </c>
      <c r="W22">
        <f>HYPERLINK("https://klasma.github.io/Logging_0885/klagomålsmail/A 15285-2026 FSC-klagomål mail.docx", "A 15285-2026")</f>
        <v/>
      </c>
      <c r="X22">
        <f>HYPERLINK("https://klasma.github.io/Logging_0885/tillsyn/A 15285-2026 tillsynsbegäran.docx", "A 15285-2026")</f>
        <v/>
      </c>
      <c r="Y22">
        <f>HYPERLINK("https://klasma.github.io/Logging_0885/tillsynsmail/A 15285-2026 tillsynsbegäran mail.docx", "A 15285-2026")</f>
        <v/>
      </c>
      <c r="Z22">
        <f>HYPERLINK("https://klasma.github.io/Logging_0885/fåglar/A 15285-2026 prioriterade fågelarter.docx", "A 15285-2026")</f>
        <v/>
      </c>
    </row>
    <row r="23" ht="15" customHeight="1">
      <c r="A23" t="inlineStr">
        <is>
          <t>A 44008-2022</t>
        </is>
      </c>
      <c r="B23" s="1" t="n">
        <v>44838</v>
      </c>
      <c r="C23" s="1" t="n">
        <v>46143</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46143</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60140-2025</t>
        </is>
      </c>
      <c r="B25" s="1" t="n">
        <v>45994.36274305556</v>
      </c>
      <c r="C25" s="1" t="n">
        <v>46143</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9253-2026</t>
        </is>
      </c>
      <c r="B26" s="1" t="n">
        <v>46070.51003472223</v>
      </c>
      <c r="C26" s="1" t="n">
        <v>46143</v>
      </c>
      <c r="D26" t="inlineStr">
        <is>
          <t>KALMAR LÄN</t>
        </is>
      </c>
      <c r="E26" t="inlineStr">
        <is>
          <t>BORGHOLM</t>
        </is>
      </c>
      <c r="G26" t="n">
        <v>1.1</v>
      </c>
      <c r="H26" t="n">
        <v>1</v>
      </c>
      <c r="I26" t="n">
        <v>1</v>
      </c>
      <c r="J26" t="n">
        <v>0</v>
      </c>
      <c r="K26" t="n">
        <v>0</v>
      </c>
      <c r="L26" t="n">
        <v>0</v>
      </c>
      <c r="M26" t="n">
        <v>0</v>
      </c>
      <c r="N26" t="n">
        <v>0</v>
      </c>
      <c r="O26" t="n">
        <v>0</v>
      </c>
      <c r="P26" t="n">
        <v>0</v>
      </c>
      <c r="Q26" t="n">
        <v>2</v>
      </c>
      <c r="R26" s="2" t="inlineStr">
        <is>
          <t>Murgröna
Gullviva</t>
        </is>
      </c>
      <c r="S26">
        <f>HYPERLINK("https://klasma.github.io/Logging_0885/artfynd/A 9253-2026 artfynd.xlsx", "A 9253-2026")</f>
        <v/>
      </c>
      <c r="T26">
        <f>HYPERLINK("https://klasma.github.io/Logging_0885/kartor/A 9253-2026 karta.png", "A 9253-2026")</f>
        <v/>
      </c>
      <c r="V26">
        <f>HYPERLINK("https://klasma.github.io/Logging_0885/klagomål/A 9253-2026 FSC-klagomål.docx", "A 9253-2026")</f>
        <v/>
      </c>
      <c r="W26">
        <f>HYPERLINK("https://klasma.github.io/Logging_0885/klagomålsmail/A 9253-2026 FSC-klagomål mail.docx", "A 9253-2026")</f>
        <v/>
      </c>
      <c r="X26">
        <f>HYPERLINK("https://klasma.github.io/Logging_0885/tillsyn/A 9253-2026 tillsynsbegäran.docx", "A 9253-2026")</f>
        <v/>
      </c>
      <c r="Y26">
        <f>HYPERLINK("https://klasma.github.io/Logging_0885/tillsynsmail/A 9253-2026 tillsynsbegäran mail.docx", "A 9253-2026")</f>
        <v/>
      </c>
    </row>
    <row r="27" ht="15" customHeight="1">
      <c r="A27" t="inlineStr">
        <is>
          <t>A 32174-2022</t>
        </is>
      </c>
      <c r="B27" s="1" t="n">
        <v>44781</v>
      </c>
      <c r="C27" s="1" t="n">
        <v>46143</v>
      </c>
      <c r="D27" t="inlineStr">
        <is>
          <t>KALMAR LÄN</t>
        </is>
      </c>
      <c r="E27" t="inlineStr">
        <is>
          <t>BORGHOLM</t>
        </is>
      </c>
      <c r="F27" t="inlineStr">
        <is>
          <t>Sveaskog</t>
        </is>
      </c>
      <c r="G27" t="n">
        <v>1.6</v>
      </c>
      <c r="H27" t="n">
        <v>1</v>
      </c>
      <c r="I27" t="n">
        <v>1</v>
      </c>
      <c r="J27" t="n">
        <v>1</v>
      </c>
      <c r="K27" t="n">
        <v>0</v>
      </c>
      <c r="L27" t="n">
        <v>0</v>
      </c>
      <c r="M27" t="n">
        <v>0</v>
      </c>
      <c r="N27" t="n">
        <v>0</v>
      </c>
      <c r="O27" t="n">
        <v>1</v>
      </c>
      <c r="P27" t="n">
        <v>0</v>
      </c>
      <c r="Q27" t="n">
        <v>2</v>
      </c>
      <c r="R27" s="2" t="inlineStr">
        <is>
          <t>Backklöver
Tvåblad</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43756-2022</t>
        </is>
      </c>
      <c r="B28" s="1" t="n">
        <v>44837</v>
      </c>
      <c r="C28" s="1" t="n">
        <v>46143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4164-2023</t>
        </is>
      </c>
      <c r="B29" s="1" t="n">
        <v>44953</v>
      </c>
      <c r="C29" s="1" t="n">
        <v>46143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31790-2021</t>
        </is>
      </c>
      <c r="B30" s="1" t="n">
        <v>44370</v>
      </c>
      <c r="C30" s="1" t="n">
        <v>46143</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46143</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46143</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46143</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46143</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46143</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46143</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46143</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3302-2026</t>
        </is>
      </c>
      <c r="B38" s="1" t="n">
        <v>46041</v>
      </c>
      <c r="C38" s="1" t="n">
        <v>46143</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34885-2025</t>
        </is>
      </c>
      <c r="B39" s="1" t="n">
        <v>45849.47128472223</v>
      </c>
      <c r="C39" s="1" t="n">
        <v>46143</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45693-2025</t>
        </is>
      </c>
      <c r="B40" s="1" t="n">
        <v>45923</v>
      </c>
      <c r="C40" s="1" t="n">
        <v>46143</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24704-2023</t>
        </is>
      </c>
      <c r="B41" s="1" t="n">
        <v>45084</v>
      </c>
      <c r="C41" s="1" t="n">
        <v>46143</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9745-2023</t>
        </is>
      </c>
      <c r="B42" s="1" t="n">
        <v>44984</v>
      </c>
      <c r="C42" s="1" t="n">
        <v>46143</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43603-2024</t>
        </is>
      </c>
      <c r="B43" s="1" t="n">
        <v>45569.44700231482</v>
      </c>
      <c r="C43" s="1" t="n">
        <v>46143</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42761-2021</t>
        </is>
      </c>
      <c r="B44" s="1" t="n">
        <v>44428</v>
      </c>
      <c r="C44" s="1" t="n">
        <v>46143</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46143</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46143</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46143</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46143</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46143</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46143</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46143</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46143</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46143</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46143</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46143</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46143</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46143</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46143</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46143</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46143</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12534-2022</t>
        </is>
      </c>
      <c r="B61" s="1" t="n">
        <v>44638</v>
      </c>
      <c r="C61" s="1" t="n">
        <v>46143</v>
      </c>
      <c r="D61" t="inlineStr">
        <is>
          <t>KALMAR LÄN</t>
        </is>
      </c>
      <c r="E61" t="inlineStr">
        <is>
          <t>BORGHOLM</t>
        </is>
      </c>
      <c r="G61" t="n">
        <v>8.6</v>
      </c>
      <c r="H61" t="n">
        <v>0</v>
      </c>
      <c r="I61" t="n">
        <v>0</v>
      </c>
      <c r="J61" t="n">
        <v>0</v>
      </c>
      <c r="K61" t="n">
        <v>0</v>
      </c>
      <c r="L61" t="n">
        <v>0</v>
      </c>
      <c r="M61" t="n">
        <v>0</v>
      </c>
      <c r="N61" t="n">
        <v>0</v>
      </c>
      <c r="O61" t="n">
        <v>0</v>
      </c>
      <c r="P61" t="n">
        <v>0</v>
      </c>
      <c r="Q61" t="n">
        <v>0</v>
      </c>
      <c r="R61" s="2" t="inlineStr"/>
    </row>
    <row r="62" ht="15" customHeight="1">
      <c r="A62" t="inlineStr">
        <is>
          <t>A 40339-2023</t>
        </is>
      </c>
      <c r="B62" s="1" t="n">
        <v>45169.62733796296</v>
      </c>
      <c r="C62" s="1" t="n">
        <v>46143</v>
      </c>
      <c r="D62" t="inlineStr">
        <is>
          <t>KALMAR LÄN</t>
        </is>
      </c>
      <c r="E62" t="inlineStr">
        <is>
          <t>BORGHOLM</t>
        </is>
      </c>
      <c r="G62" t="n">
        <v>3.8</v>
      </c>
      <c r="H62" t="n">
        <v>0</v>
      </c>
      <c r="I62" t="n">
        <v>0</v>
      </c>
      <c r="J62" t="n">
        <v>0</v>
      </c>
      <c r="K62" t="n">
        <v>0</v>
      </c>
      <c r="L62" t="n">
        <v>0</v>
      </c>
      <c r="M62" t="n">
        <v>0</v>
      </c>
      <c r="N62" t="n">
        <v>0</v>
      </c>
      <c r="O62" t="n">
        <v>0</v>
      </c>
      <c r="P62" t="n">
        <v>0</v>
      </c>
      <c r="Q62" t="n">
        <v>0</v>
      </c>
      <c r="R62" s="2" t="inlineStr"/>
    </row>
    <row r="63" ht="15" customHeight="1">
      <c r="A63" t="inlineStr">
        <is>
          <t>A 64303-2023</t>
        </is>
      </c>
      <c r="B63" s="1" t="n">
        <v>45280</v>
      </c>
      <c r="C63" s="1" t="n">
        <v>46143</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24166-2022</t>
        </is>
      </c>
      <c r="B64" s="1" t="n">
        <v>44725</v>
      </c>
      <c r="C64" s="1" t="n">
        <v>46143</v>
      </c>
      <c r="D64" t="inlineStr">
        <is>
          <t>KALMAR LÄN</t>
        </is>
      </c>
      <c r="E64" t="inlineStr">
        <is>
          <t>BORGHOLM</t>
        </is>
      </c>
      <c r="G64" t="n">
        <v>10.7</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46143</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26160-2025</t>
        </is>
      </c>
      <c r="B66" s="1" t="n">
        <v>45805.4490162037</v>
      </c>
      <c r="C66" s="1" t="n">
        <v>46143</v>
      </c>
      <c r="D66" t="inlineStr">
        <is>
          <t>KALMAR LÄN</t>
        </is>
      </c>
      <c r="E66" t="inlineStr">
        <is>
          <t>BORGHOLM</t>
        </is>
      </c>
      <c r="G66" t="n">
        <v>3.7</v>
      </c>
      <c r="H66" t="n">
        <v>0</v>
      </c>
      <c r="I66" t="n">
        <v>0</v>
      </c>
      <c r="J66" t="n">
        <v>0</v>
      </c>
      <c r="K66" t="n">
        <v>0</v>
      </c>
      <c r="L66" t="n">
        <v>0</v>
      </c>
      <c r="M66" t="n">
        <v>0</v>
      </c>
      <c r="N66" t="n">
        <v>0</v>
      </c>
      <c r="O66" t="n">
        <v>0</v>
      </c>
      <c r="P66" t="n">
        <v>0</v>
      </c>
      <c r="Q66" t="n">
        <v>0</v>
      </c>
      <c r="R66" s="2" t="inlineStr"/>
    </row>
    <row r="67" ht="15" customHeight="1">
      <c r="A67" t="inlineStr">
        <is>
          <t>A 21908-2022</t>
        </is>
      </c>
      <c r="B67" s="1" t="n">
        <v>44711</v>
      </c>
      <c r="C67" s="1" t="n">
        <v>46143</v>
      </c>
      <c r="D67" t="inlineStr">
        <is>
          <t>KALMAR LÄN</t>
        </is>
      </c>
      <c r="E67" t="inlineStr">
        <is>
          <t>BORGHOLM</t>
        </is>
      </c>
      <c r="G67" t="n">
        <v>4.7</v>
      </c>
      <c r="H67" t="n">
        <v>0</v>
      </c>
      <c r="I67" t="n">
        <v>0</v>
      </c>
      <c r="J67" t="n">
        <v>0</v>
      </c>
      <c r="K67" t="n">
        <v>0</v>
      </c>
      <c r="L67" t="n">
        <v>0</v>
      </c>
      <c r="M67" t="n">
        <v>0</v>
      </c>
      <c r="N67" t="n">
        <v>0</v>
      </c>
      <c r="O67" t="n">
        <v>0</v>
      </c>
      <c r="P67" t="n">
        <v>0</v>
      </c>
      <c r="Q67" t="n">
        <v>0</v>
      </c>
      <c r="R67" s="2" t="inlineStr"/>
    </row>
    <row r="68" ht="15" customHeight="1">
      <c r="A68" t="inlineStr">
        <is>
          <t>A 27357-2025</t>
        </is>
      </c>
      <c r="B68" s="1" t="n">
        <v>45812.63650462963</v>
      </c>
      <c r="C68" s="1" t="n">
        <v>46143</v>
      </c>
      <c r="D68" t="inlineStr">
        <is>
          <t>KALMAR LÄN</t>
        </is>
      </c>
      <c r="E68" t="inlineStr">
        <is>
          <t>BORGHOLM</t>
        </is>
      </c>
      <c r="F68" t="inlineStr">
        <is>
          <t>Sveaskog</t>
        </is>
      </c>
      <c r="G68" t="n">
        <v>4.5</v>
      </c>
      <c r="H68" t="n">
        <v>0</v>
      </c>
      <c r="I68" t="n">
        <v>0</v>
      </c>
      <c r="J68" t="n">
        <v>0</v>
      </c>
      <c r="K68" t="n">
        <v>0</v>
      </c>
      <c r="L68" t="n">
        <v>0</v>
      </c>
      <c r="M68" t="n">
        <v>0</v>
      </c>
      <c r="N68" t="n">
        <v>0</v>
      </c>
      <c r="O68" t="n">
        <v>0</v>
      </c>
      <c r="P68" t="n">
        <v>0</v>
      </c>
      <c r="Q68" t="n">
        <v>0</v>
      </c>
      <c r="R68" s="2" t="inlineStr"/>
    </row>
    <row r="69" ht="15" customHeight="1">
      <c r="A69" t="inlineStr">
        <is>
          <t>A 55367-2024</t>
        </is>
      </c>
      <c r="B69" s="1" t="n">
        <v>45621.87075231481</v>
      </c>
      <c r="C69" s="1" t="n">
        <v>46143</v>
      </c>
      <c r="D69" t="inlineStr">
        <is>
          <t>KALMAR LÄN</t>
        </is>
      </c>
      <c r="E69" t="inlineStr">
        <is>
          <t>BORGHOLM</t>
        </is>
      </c>
      <c r="G69" t="n">
        <v>0.7</v>
      </c>
      <c r="H69" t="n">
        <v>0</v>
      </c>
      <c r="I69" t="n">
        <v>0</v>
      </c>
      <c r="J69" t="n">
        <v>0</v>
      </c>
      <c r="K69" t="n">
        <v>0</v>
      </c>
      <c r="L69" t="n">
        <v>0</v>
      </c>
      <c r="M69" t="n">
        <v>0</v>
      </c>
      <c r="N69" t="n">
        <v>0</v>
      </c>
      <c r="O69" t="n">
        <v>0</v>
      </c>
      <c r="P69" t="n">
        <v>0</v>
      </c>
      <c r="Q69" t="n">
        <v>0</v>
      </c>
      <c r="R69" s="2" t="inlineStr"/>
    </row>
    <row r="70" ht="15" customHeight="1">
      <c r="A70" t="inlineStr">
        <is>
          <t>A 27366-2025</t>
        </is>
      </c>
      <c r="B70" s="1" t="n">
        <v>45812.64475694444</v>
      </c>
      <c r="C70" s="1" t="n">
        <v>46143</v>
      </c>
      <c r="D70" t="inlineStr">
        <is>
          <t>KALMAR LÄN</t>
        </is>
      </c>
      <c r="E70" t="inlineStr">
        <is>
          <t>BORGHOLM</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46143</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41950-2025</t>
        </is>
      </c>
      <c r="B72" s="1" t="n">
        <v>45903.45767361111</v>
      </c>
      <c r="C72" s="1" t="n">
        <v>46143</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28782-2025</t>
        </is>
      </c>
      <c r="B73" s="1" t="n">
        <v>45820.45572916666</v>
      </c>
      <c r="C73" s="1" t="n">
        <v>46143</v>
      </c>
      <c r="D73" t="inlineStr">
        <is>
          <t>KALMAR LÄN</t>
        </is>
      </c>
      <c r="E73" t="inlineStr">
        <is>
          <t>BORGHOLM</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42232-2025</t>
        </is>
      </c>
      <c r="B74" s="1" t="n">
        <v>45904.55591435185</v>
      </c>
      <c r="C74" s="1" t="n">
        <v>46143</v>
      </c>
      <c r="D74" t="inlineStr">
        <is>
          <t>KALMAR LÄN</t>
        </is>
      </c>
      <c r="E74" t="inlineStr">
        <is>
          <t>BORGHOLM</t>
        </is>
      </c>
      <c r="F74" t="inlineStr">
        <is>
          <t>Sveaskog</t>
        </is>
      </c>
      <c r="G74" t="n">
        <v>1.7</v>
      </c>
      <c r="H74" t="n">
        <v>0</v>
      </c>
      <c r="I74" t="n">
        <v>0</v>
      </c>
      <c r="J74" t="n">
        <v>0</v>
      </c>
      <c r="K74" t="n">
        <v>0</v>
      </c>
      <c r="L74" t="n">
        <v>0</v>
      </c>
      <c r="M74" t="n">
        <v>0</v>
      </c>
      <c r="N74" t="n">
        <v>0</v>
      </c>
      <c r="O74" t="n">
        <v>0</v>
      </c>
      <c r="P74" t="n">
        <v>0</v>
      </c>
      <c r="Q74" t="n">
        <v>0</v>
      </c>
      <c r="R74" s="2" t="inlineStr"/>
    </row>
    <row r="75" ht="15" customHeight="1">
      <c r="A75" t="inlineStr">
        <is>
          <t>A 43542-2025</t>
        </is>
      </c>
      <c r="B75" s="1" t="n">
        <v>45911.61123842592</v>
      </c>
      <c r="C75" s="1" t="n">
        <v>46143</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4159-2024</t>
        </is>
      </c>
      <c r="B76" s="1" t="n">
        <v>45323</v>
      </c>
      <c r="C76" s="1" t="n">
        <v>46143</v>
      </c>
      <c r="D76" t="inlineStr">
        <is>
          <t>KALMAR LÄN</t>
        </is>
      </c>
      <c r="E76" t="inlineStr">
        <is>
          <t>BORGHOLM</t>
        </is>
      </c>
      <c r="G76" t="n">
        <v>0.5</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46143</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46143</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46143</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32921-2023</t>
        </is>
      </c>
      <c r="B80" s="1" t="n">
        <v>45125</v>
      </c>
      <c r="C80" s="1" t="n">
        <v>46143</v>
      </c>
      <c r="D80" t="inlineStr">
        <is>
          <t>KALMAR LÄN</t>
        </is>
      </c>
      <c r="E80" t="inlineStr">
        <is>
          <t>BORGHOLM</t>
        </is>
      </c>
      <c r="G80" t="n">
        <v>2.9</v>
      </c>
      <c r="H80" t="n">
        <v>0</v>
      </c>
      <c r="I80" t="n">
        <v>0</v>
      </c>
      <c r="J80" t="n">
        <v>0</v>
      </c>
      <c r="K80" t="n">
        <v>0</v>
      </c>
      <c r="L80" t="n">
        <v>0</v>
      </c>
      <c r="M80" t="n">
        <v>0</v>
      </c>
      <c r="N80" t="n">
        <v>0</v>
      </c>
      <c r="O80" t="n">
        <v>0</v>
      </c>
      <c r="P80" t="n">
        <v>0</v>
      </c>
      <c r="Q80" t="n">
        <v>0</v>
      </c>
      <c r="R80" s="2" t="inlineStr"/>
    </row>
    <row r="81" ht="15" customHeight="1">
      <c r="A81" t="inlineStr">
        <is>
          <t>A 31699-2022</t>
        </is>
      </c>
      <c r="B81" s="1" t="n">
        <v>44776</v>
      </c>
      <c r="C81" s="1" t="n">
        <v>46143</v>
      </c>
      <c r="D81" t="inlineStr">
        <is>
          <t>KALMAR LÄN</t>
        </is>
      </c>
      <c r="E81" t="inlineStr">
        <is>
          <t>BORGHOLM</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63276-2023</t>
        </is>
      </c>
      <c r="B82" s="1" t="n">
        <v>45273.82195601852</v>
      </c>
      <c r="C82" s="1" t="n">
        <v>46143</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36269-2025</t>
        </is>
      </c>
      <c r="B83" s="1" t="n">
        <v>45867.61736111111</v>
      </c>
      <c r="C83" s="1" t="n">
        <v>46143</v>
      </c>
      <c r="D83" t="inlineStr">
        <is>
          <t>KALMAR LÄN</t>
        </is>
      </c>
      <c r="E83" t="inlineStr">
        <is>
          <t>BORGHOLM</t>
        </is>
      </c>
      <c r="F83" t="inlineStr">
        <is>
          <t>Sveaskog</t>
        </is>
      </c>
      <c r="G83" t="n">
        <v>3.3</v>
      </c>
      <c r="H83" t="n">
        <v>0</v>
      </c>
      <c r="I83" t="n">
        <v>0</v>
      </c>
      <c r="J83" t="n">
        <v>0</v>
      </c>
      <c r="K83" t="n">
        <v>0</v>
      </c>
      <c r="L83" t="n">
        <v>0</v>
      </c>
      <c r="M83" t="n">
        <v>0</v>
      </c>
      <c r="N83" t="n">
        <v>0</v>
      </c>
      <c r="O83" t="n">
        <v>0</v>
      </c>
      <c r="P83" t="n">
        <v>0</v>
      </c>
      <c r="Q83" t="n">
        <v>0</v>
      </c>
      <c r="R83" s="2" t="inlineStr"/>
    </row>
    <row r="84" ht="15" customHeight="1">
      <c r="A84" t="inlineStr">
        <is>
          <t>A 1614-2025</t>
        </is>
      </c>
      <c r="B84" s="1" t="n">
        <v>45670.60094907408</v>
      </c>
      <c r="C84" s="1" t="n">
        <v>46143</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7481-2026</t>
        </is>
      </c>
      <c r="B85" s="1" t="n">
        <v>46059.51359953704</v>
      </c>
      <c r="C85" s="1" t="n">
        <v>46143</v>
      </c>
      <c r="D85" t="inlineStr">
        <is>
          <t>KALMAR LÄN</t>
        </is>
      </c>
      <c r="E85" t="inlineStr">
        <is>
          <t>BORGHOLM</t>
        </is>
      </c>
      <c r="G85" t="n">
        <v>1.9</v>
      </c>
      <c r="H85" t="n">
        <v>0</v>
      </c>
      <c r="I85" t="n">
        <v>0</v>
      </c>
      <c r="J85" t="n">
        <v>0</v>
      </c>
      <c r="K85" t="n">
        <v>0</v>
      </c>
      <c r="L85" t="n">
        <v>0</v>
      </c>
      <c r="M85" t="n">
        <v>0</v>
      </c>
      <c r="N85" t="n">
        <v>0</v>
      </c>
      <c r="O85" t="n">
        <v>0</v>
      </c>
      <c r="P85" t="n">
        <v>0</v>
      </c>
      <c r="Q85" t="n">
        <v>0</v>
      </c>
      <c r="R85" s="2" t="inlineStr"/>
    </row>
    <row r="86" ht="15" customHeight="1">
      <c r="A86" t="inlineStr">
        <is>
          <t>A 15272-2026</t>
        </is>
      </c>
      <c r="B86" s="1" t="n">
        <v>46105.60017361111</v>
      </c>
      <c r="C86" s="1" t="n">
        <v>46143</v>
      </c>
      <c r="D86" t="inlineStr">
        <is>
          <t>KALMAR LÄN</t>
        </is>
      </c>
      <c r="E86" t="inlineStr">
        <is>
          <t>BORGHOLM</t>
        </is>
      </c>
      <c r="F86" t="inlineStr">
        <is>
          <t>Sveaskog</t>
        </is>
      </c>
      <c r="G86" t="n">
        <v>2.9</v>
      </c>
      <c r="H86" t="n">
        <v>0</v>
      </c>
      <c r="I86" t="n">
        <v>0</v>
      </c>
      <c r="J86" t="n">
        <v>0</v>
      </c>
      <c r="K86" t="n">
        <v>0</v>
      </c>
      <c r="L86" t="n">
        <v>0</v>
      </c>
      <c r="M86" t="n">
        <v>0</v>
      </c>
      <c r="N86" t="n">
        <v>0</v>
      </c>
      <c r="O86" t="n">
        <v>0</v>
      </c>
      <c r="P86" t="n">
        <v>0</v>
      </c>
      <c r="Q86" t="n">
        <v>0</v>
      </c>
      <c r="R86" s="2" t="inlineStr"/>
    </row>
    <row r="87" ht="15" customHeight="1">
      <c r="A87" t="inlineStr">
        <is>
          <t>A 15264-2026</t>
        </is>
      </c>
      <c r="B87" s="1" t="n">
        <v>46105.59372685185</v>
      </c>
      <c r="C87" s="1" t="n">
        <v>46143</v>
      </c>
      <c r="D87" t="inlineStr">
        <is>
          <t>KALMAR LÄN</t>
        </is>
      </c>
      <c r="E87" t="inlineStr">
        <is>
          <t>BORGHOLM</t>
        </is>
      </c>
      <c r="F87" t="inlineStr">
        <is>
          <t>Sveaskog</t>
        </is>
      </c>
      <c r="G87" t="n">
        <v>1.7</v>
      </c>
      <c r="H87" t="n">
        <v>0</v>
      </c>
      <c r="I87" t="n">
        <v>0</v>
      </c>
      <c r="J87" t="n">
        <v>0</v>
      </c>
      <c r="K87" t="n">
        <v>0</v>
      </c>
      <c r="L87" t="n">
        <v>0</v>
      </c>
      <c r="M87" t="n">
        <v>0</v>
      </c>
      <c r="N87" t="n">
        <v>0</v>
      </c>
      <c r="O87" t="n">
        <v>0</v>
      </c>
      <c r="P87" t="n">
        <v>0</v>
      </c>
      <c r="Q87" t="n">
        <v>0</v>
      </c>
      <c r="R87" s="2" t="inlineStr"/>
    </row>
    <row r="88" ht="15" customHeight="1">
      <c r="A88" t="inlineStr">
        <is>
          <t>A 9076-2025</t>
        </is>
      </c>
      <c r="B88" s="1" t="n">
        <v>45713.6596875</v>
      </c>
      <c r="C88" s="1" t="n">
        <v>46143</v>
      </c>
      <c r="D88" t="inlineStr">
        <is>
          <t>KALMAR LÄN</t>
        </is>
      </c>
      <c r="E88" t="inlineStr">
        <is>
          <t>BORGHOLM</t>
        </is>
      </c>
      <c r="F88" t="inlineStr">
        <is>
          <t>Sveaskog</t>
        </is>
      </c>
      <c r="G88" t="n">
        <v>4.2</v>
      </c>
      <c r="H88" t="n">
        <v>0</v>
      </c>
      <c r="I88" t="n">
        <v>0</v>
      </c>
      <c r="J88" t="n">
        <v>0</v>
      </c>
      <c r="K88" t="n">
        <v>0</v>
      </c>
      <c r="L88" t="n">
        <v>0</v>
      </c>
      <c r="M88" t="n">
        <v>0</v>
      </c>
      <c r="N88" t="n">
        <v>0</v>
      </c>
      <c r="O88" t="n">
        <v>0</v>
      </c>
      <c r="P88" t="n">
        <v>0</v>
      </c>
      <c r="Q88" t="n">
        <v>0</v>
      </c>
      <c r="R88" s="2" t="inlineStr"/>
    </row>
    <row r="89" ht="15" customHeight="1">
      <c r="A89" t="inlineStr">
        <is>
          <t>A 1757-2025</t>
        </is>
      </c>
      <c r="B89" s="1" t="n">
        <v>45671.42195601852</v>
      </c>
      <c r="C89" s="1" t="n">
        <v>46143</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7960-2023</t>
        </is>
      </c>
      <c r="B90" s="1" t="n">
        <v>44973</v>
      </c>
      <c r="C90" s="1" t="n">
        <v>46143</v>
      </c>
      <c r="D90" t="inlineStr">
        <is>
          <t>KALMAR LÄN</t>
        </is>
      </c>
      <c r="E90" t="inlineStr">
        <is>
          <t>BORGHOLM</t>
        </is>
      </c>
      <c r="G90" t="n">
        <v>2.1</v>
      </c>
      <c r="H90" t="n">
        <v>0</v>
      </c>
      <c r="I90" t="n">
        <v>0</v>
      </c>
      <c r="J90" t="n">
        <v>0</v>
      </c>
      <c r="K90" t="n">
        <v>0</v>
      </c>
      <c r="L90" t="n">
        <v>0</v>
      </c>
      <c r="M90" t="n">
        <v>0</v>
      </c>
      <c r="N90" t="n">
        <v>0</v>
      </c>
      <c r="O90" t="n">
        <v>0</v>
      </c>
      <c r="P90" t="n">
        <v>0</v>
      </c>
      <c r="Q90" t="n">
        <v>0</v>
      </c>
      <c r="R90" s="2" t="inlineStr"/>
    </row>
    <row r="91" ht="15" customHeight="1">
      <c r="A91" t="inlineStr">
        <is>
          <t>A 15279-2026</t>
        </is>
      </c>
      <c r="B91" s="1" t="n">
        <v>46105.61030092592</v>
      </c>
      <c r="C91" s="1" t="n">
        <v>46143</v>
      </c>
      <c r="D91" t="inlineStr">
        <is>
          <t>KALMAR LÄN</t>
        </is>
      </c>
      <c r="E91" t="inlineStr">
        <is>
          <t>BORGHOLM</t>
        </is>
      </c>
      <c r="F91" t="inlineStr">
        <is>
          <t>Sveaskog</t>
        </is>
      </c>
      <c r="G91" t="n">
        <v>4.6</v>
      </c>
      <c r="H91" t="n">
        <v>0</v>
      </c>
      <c r="I91" t="n">
        <v>0</v>
      </c>
      <c r="J91" t="n">
        <v>0</v>
      </c>
      <c r="K91" t="n">
        <v>0</v>
      </c>
      <c r="L91" t="n">
        <v>0</v>
      </c>
      <c r="M91" t="n">
        <v>0</v>
      </c>
      <c r="N91" t="n">
        <v>0</v>
      </c>
      <c r="O91" t="n">
        <v>0</v>
      </c>
      <c r="P91" t="n">
        <v>0</v>
      </c>
      <c r="Q91" t="n">
        <v>0</v>
      </c>
      <c r="R91" s="2" t="inlineStr"/>
    </row>
    <row r="92" ht="15" customHeight="1">
      <c r="A92" t="inlineStr">
        <is>
          <t>A 29656-2023</t>
        </is>
      </c>
      <c r="B92" s="1" t="n">
        <v>45107</v>
      </c>
      <c r="C92" s="1" t="n">
        <v>46143</v>
      </c>
      <c r="D92" t="inlineStr">
        <is>
          <t>KALMAR LÄN</t>
        </is>
      </c>
      <c r="E92" t="inlineStr">
        <is>
          <t>BORGHOLM</t>
        </is>
      </c>
      <c r="G92" t="n">
        <v>4.1</v>
      </c>
      <c r="H92" t="n">
        <v>0</v>
      </c>
      <c r="I92" t="n">
        <v>0</v>
      </c>
      <c r="J92" t="n">
        <v>0</v>
      </c>
      <c r="K92" t="n">
        <v>0</v>
      </c>
      <c r="L92" t="n">
        <v>0</v>
      </c>
      <c r="M92" t="n">
        <v>0</v>
      </c>
      <c r="N92" t="n">
        <v>0</v>
      </c>
      <c r="O92" t="n">
        <v>0</v>
      </c>
      <c r="P92" t="n">
        <v>0</v>
      </c>
      <c r="Q92" t="n">
        <v>0</v>
      </c>
      <c r="R92" s="2" t="inlineStr"/>
    </row>
    <row r="93" ht="15" customHeight="1">
      <c r="A93" t="inlineStr">
        <is>
          <t>A 9104-2026</t>
        </is>
      </c>
      <c r="B93" s="1" t="n">
        <v>46069</v>
      </c>
      <c r="C93" s="1" t="n">
        <v>46143</v>
      </c>
      <c r="D93" t="inlineStr">
        <is>
          <t>KALMAR LÄN</t>
        </is>
      </c>
      <c r="E93" t="inlineStr">
        <is>
          <t>BORGHOLM</t>
        </is>
      </c>
      <c r="G93" t="n">
        <v>1.3</v>
      </c>
      <c r="H93" t="n">
        <v>0</v>
      </c>
      <c r="I93" t="n">
        <v>0</v>
      </c>
      <c r="J93" t="n">
        <v>0</v>
      </c>
      <c r="K93" t="n">
        <v>0</v>
      </c>
      <c r="L93" t="n">
        <v>0</v>
      </c>
      <c r="M93" t="n">
        <v>0</v>
      </c>
      <c r="N93" t="n">
        <v>0</v>
      </c>
      <c r="O93" t="n">
        <v>0</v>
      </c>
      <c r="P93" t="n">
        <v>0</v>
      </c>
      <c r="Q93" t="n">
        <v>0</v>
      </c>
      <c r="R93" s="2" t="inlineStr"/>
    </row>
    <row r="94" ht="15" customHeight="1">
      <c r="A94" t="inlineStr">
        <is>
          <t>A 9050-2025</t>
        </is>
      </c>
      <c r="B94" s="1" t="n">
        <v>45713.63512731482</v>
      </c>
      <c r="C94" s="1" t="n">
        <v>46143</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60141-2025</t>
        </is>
      </c>
      <c r="B95" s="1" t="n">
        <v>45994.36873842592</v>
      </c>
      <c r="C95" s="1" t="n">
        <v>46143</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9259-2026</t>
        </is>
      </c>
      <c r="B96" s="1" t="n">
        <v>46070.51917824074</v>
      </c>
      <c r="C96" s="1" t="n">
        <v>46143</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61723-2025</t>
        </is>
      </c>
      <c r="B97" s="1" t="n">
        <v>46002.58388888889</v>
      </c>
      <c r="C97" s="1" t="n">
        <v>46143</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46143</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9905-2026</t>
        </is>
      </c>
      <c r="B99" s="1" t="n">
        <v>46073.4108912037</v>
      </c>
      <c r="C99" s="1" t="n">
        <v>46143</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46143</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46143</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46143</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46143</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46143</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46143</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46143</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46143</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46143</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46143</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46143</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46143</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46143</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46143</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46143</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46143</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46143</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46143</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46143</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46143</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46143</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ht="15" customHeight="1">
      <c r="A121" t="inlineStr">
        <is>
          <t>A 63075-2023</t>
        </is>
      </c>
      <c r="B121" s="1" t="n">
        <v>45273</v>
      </c>
      <c r="C121" s="1" t="n">
        <v>46143</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row r="122">
      <c r="A122" t="inlineStr">
        <is>
          <t>A 22785-2025</t>
        </is>
      </c>
      <c r="B122" s="1" t="n">
        <v>45789.64186342592</v>
      </c>
      <c r="C122" s="1" t="n">
        <v>46143</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2026-05-01T11:00:54Z</dcterms:created>
  <dcterms:modified xmlns:dcterms="http://purl.org/dc/terms/" xmlns:xsi="http://www.w3.org/2001/XMLSchema-instance" xsi:type="dcterms:W3CDTF">2026-05-01T11:00:55Z</dcterms:modified>
</cp:coreProperties>
</file>