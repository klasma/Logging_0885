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46172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46172</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46172</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46172</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46172</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46172</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46172</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46172</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9028-2025</t>
        </is>
      </c>
      <c r="B10" s="1" t="n">
        <v>45713</v>
      </c>
      <c r="C10" s="1" t="n">
        <v>46172</v>
      </c>
      <c r="D10" t="inlineStr">
        <is>
          <t>KALMAR LÄN</t>
        </is>
      </c>
      <c r="E10" t="inlineStr">
        <is>
          <t>BORGHOLM</t>
        </is>
      </c>
      <c r="F10" t="inlineStr">
        <is>
          <t>Sveaskog</t>
        </is>
      </c>
      <c r="G10" t="n">
        <v>3</v>
      </c>
      <c r="H10" t="n">
        <v>0</v>
      </c>
      <c r="I10" t="n">
        <v>1</v>
      </c>
      <c r="J10" t="n">
        <v>1</v>
      </c>
      <c r="K10" t="n">
        <v>3</v>
      </c>
      <c r="L10" t="n">
        <v>0</v>
      </c>
      <c r="M10" t="n">
        <v>0</v>
      </c>
      <c r="N10" t="n">
        <v>0</v>
      </c>
      <c r="O10" t="n">
        <v>5</v>
      </c>
      <c r="P10" t="n">
        <v>3</v>
      </c>
      <c r="Q10" t="n">
        <v>6</v>
      </c>
      <c r="R10" s="2" t="inlineStr">
        <is>
          <t>Gulsträngad fagerspindling
Kopparspindling
Sydlig gyllenspindling
Persiljespindling
Trollspindling
Brandmusseron</t>
        </is>
      </c>
      <c r="S10">
        <f>HYPERLINK("https://klasma.github.io/Logging_0885/artfynd/A 9028-2025 artfynd.xlsx", "A 9028-2025")</f>
        <v/>
      </c>
      <c r="T10">
        <f>HYPERLINK("https://klasma.github.io/Logging_0885/kartor/A 9028-2025 karta.png", "A 9028-2025")</f>
        <v/>
      </c>
      <c r="V10">
        <f>HYPERLINK("https://klasma.github.io/Logging_0885/klagomål/A 9028-2025 FSC-klagomål.docx", "A 9028-2025")</f>
        <v/>
      </c>
      <c r="W10">
        <f>HYPERLINK("https://klasma.github.io/Logging_0885/klagomålsmail/A 9028-2025 FSC-klagomål mail.docx", "A 9028-2025")</f>
        <v/>
      </c>
      <c r="X10">
        <f>HYPERLINK("https://klasma.github.io/Logging_0885/tillsyn/A 9028-2025 tillsynsbegäran.docx", "A 9028-2025")</f>
        <v/>
      </c>
      <c r="Y10">
        <f>HYPERLINK("https://klasma.github.io/Logging_0885/tillsynsmail/A 9028-2025 tillsynsbegäran mail.docx", "A 9028-2025")</f>
        <v/>
      </c>
    </row>
    <row r="11" ht="15" customHeight="1">
      <c r="A11" t="inlineStr">
        <is>
          <t>A 32178-2022</t>
        </is>
      </c>
      <c r="B11" s="1" t="n">
        <v>44781</v>
      </c>
      <c r="C11" s="1" t="n">
        <v>46172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50720-2021</t>
        </is>
      </c>
      <c r="B12" s="1" t="n">
        <v>44459</v>
      </c>
      <c r="C12" s="1" t="n">
        <v>46172</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46172</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46172</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46172</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46172</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46172</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46172</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32174-2022</t>
        </is>
      </c>
      <c r="B19" s="1" t="n">
        <v>44781</v>
      </c>
      <c r="C19" s="1" t="n">
        <v>46172</v>
      </c>
      <c r="D19" t="inlineStr">
        <is>
          <t>KALMAR LÄN</t>
        </is>
      </c>
      <c r="E19" t="inlineStr">
        <is>
          <t>BORGHOLM</t>
        </is>
      </c>
      <c r="F19" t="inlineStr">
        <is>
          <t>Sveaskog</t>
        </is>
      </c>
      <c r="G19" t="n">
        <v>1.6</v>
      </c>
      <c r="H19" t="n">
        <v>1</v>
      </c>
      <c r="I19" t="n">
        <v>1</v>
      </c>
      <c r="J19" t="n">
        <v>1</v>
      </c>
      <c r="K19" t="n">
        <v>0</v>
      </c>
      <c r="L19" t="n">
        <v>0</v>
      </c>
      <c r="M19" t="n">
        <v>0</v>
      </c>
      <c r="N19" t="n">
        <v>0</v>
      </c>
      <c r="O19" t="n">
        <v>1</v>
      </c>
      <c r="P19" t="n">
        <v>0</v>
      </c>
      <c r="Q19" t="n">
        <v>2</v>
      </c>
      <c r="R19" s="2" t="inlineStr">
        <is>
          <t>Backklöver
Tvåblad</t>
        </is>
      </c>
      <c r="S19">
        <f>HYPERLINK("https://klasma.github.io/Logging_0885/artfynd/A 32174-2022 artfynd.xlsx", "A 32174-2022")</f>
        <v/>
      </c>
      <c r="T19">
        <f>HYPERLINK("https://klasma.github.io/Logging_0885/kartor/A 32174-2022 karta.png", "A 32174-2022")</f>
        <v/>
      </c>
      <c r="V19">
        <f>HYPERLINK("https://klasma.github.io/Logging_0885/klagomål/A 32174-2022 FSC-klagomål.docx", "A 32174-2022")</f>
        <v/>
      </c>
      <c r="W19">
        <f>HYPERLINK("https://klasma.github.io/Logging_0885/klagomålsmail/A 32174-2022 FSC-klagomål mail.docx", "A 32174-2022")</f>
        <v/>
      </c>
      <c r="X19">
        <f>HYPERLINK("https://klasma.github.io/Logging_0885/tillsyn/A 32174-2022 tillsynsbegäran.docx", "A 32174-2022")</f>
        <v/>
      </c>
      <c r="Y19">
        <f>HYPERLINK("https://klasma.github.io/Logging_0885/tillsynsmail/A 32174-2022 tillsynsbegäran mail.docx", "A 32174-2022")</f>
        <v/>
      </c>
    </row>
    <row r="20" ht="15" customHeight="1">
      <c r="A20" t="inlineStr">
        <is>
          <t>A 43756-2022</t>
        </is>
      </c>
      <c r="B20" s="1" t="n">
        <v>44837</v>
      </c>
      <c r="C20" s="1" t="n">
        <v>46172</v>
      </c>
      <c r="D20" t="inlineStr">
        <is>
          <t>KALMAR LÄN</t>
        </is>
      </c>
      <c r="E20" t="inlineStr">
        <is>
          <t>BORGHOLM</t>
        </is>
      </c>
      <c r="G20" t="n">
        <v>2.2</v>
      </c>
      <c r="H20" t="n">
        <v>1</v>
      </c>
      <c r="I20" t="n">
        <v>1</v>
      </c>
      <c r="J20" t="n">
        <v>0</v>
      </c>
      <c r="K20" t="n">
        <v>0</v>
      </c>
      <c r="L20" t="n">
        <v>0</v>
      </c>
      <c r="M20" t="n">
        <v>0</v>
      </c>
      <c r="N20" t="n">
        <v>0</v>
      </c>
      <c r="O20" t="n">
        <v>0</v>
      </c>
      <c r="P20" t="n">
        <v>0</v>
      </c>
      <c r="Q20" t="n">
        <v>2</v>
      </c>
      <c r="R20" s="2" t="inlineStr">
        <is>
          <t>Murgröna
Blåsippa</t>
        </is>
      </c>
      <c r="S20">
        <f>HYPERLINK("https://klasma.github.io/Logging_0885/artfynd/A 43756-2022 artfynd.xlsx", "A 43756-2022")</f>
        <v/>
      </c>
      <c r="T20">
        <f>HYPERLINK("https://klasma.github.io/Logging_0885/kartor/A 43756-2022 karta.png", "A 43756-2022")</f>
        <v/>
      </c>
      <c r="V20">
        <f>HYPERLINK("https://klasma.github.io/Logging_0885/klagomål/A 43756-2022 FSC-klagomål.docx", "A 43756-2022")</f>
        <v/>
      </c>
      <c r="W20">
        <f>HYPERLINK("https://klasma.github.io/Logging_0885/klagomålsmail/A 43756-2022 FSC-klagomål mail.docx", "A 43756-2022")</f>
        <v/>
      </c>
      <c r="X20">
        <f>HYPERLINK("https://klasma.github.io/Logging_0885/tillsyn/A 43756-2022 tillsynsbegäran.docx", "A 43756-2022")</f>
        <v/>
      </c>
      <c r="Y20">
        <f>HYPERLINK("https://klasma.github.io/Logging_0885/tillsynsmail/A 43756-2022 tillsynsbegäran mail.docx", "A 43756-2022")</f>
        <v/>
      </c>
    </row>
    <row r="21" ht="15" customHeight="1">
      <c r="A21" t="inlineStr">
        <is>
          <t>A 38860-2025</t>
        </is>
      </c>
      <c r="B21" s="1" t="n">
        <v>45887.5609375</v>
      </c>
      <c r="C21" s="1" t="n">
        <v>46172</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44008-2022</t>
        </is>
      </c>
      <c r="B22" s="1" t="n">
        <v>44838</v>
      </c>
      <c r="C22" s="1" t="n">
        <v>46172</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46172</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4164-2023</t>
        </is>
      </c>
      <c r="B24" s="1" t="n">
        <v>44953</v>
      </c>
      <c r="C24" s="1" t="n">
        <v>46172</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24322-2026</t>
        </is>
      </c>
      <c r="B25" s="1" t="n">
        <v>46169.48598379629</v>
      </c>
      <c r="C25" s="1" t="n">
        <v>46172</v>
      </c>
      <c r="D25" t="inlineStr">
        <is>
          <t>KALMAR LÄN</t>
        </is>
      </c>
      <c r="E25" t="inlineStr">
        <is>
          <t>BORGHOLM</t>
        </is>
      </c>
      <c r="F25" t="inlineStr">
        <is>
          <t>Sveaskog</t>
        </is>
      </c>
      <c r="G25" t="n">
        <v>5.5</v>
      </c>
      <c r="H25" t="n">
        <v>2</v>
      </c>
      <c r="I25" t="n">
        <v>2</v>
      </c>
      <c r="J25" t="n">
        <v>0</v>
      </c>
      <c r="K25" t="n">
        <v>0</v>
      </c>
      <c r="L25" t="n">
        <v>0</v>
      </c>
      <c r="M25" t="n">
        <v>0</v>
      </c>
      <c r="N25" t="n">
        <v>0</v>
      </c>
      <c r="O25" t="n">
        <v>0</v>
      </c>
      <c r="P25" t="n">
        <v>0</v>
      </c>
      <c r="Q25" t="n">
        <v>2</v>
      </c>
      <c r="R25" s="2" t="inlineStr">
        <is>
          <t>Purpurknipprot
Skogsknipprot</t>
        </is>
      </c>
      <c r="S25">
        <f>HYPERLINK("https://klasma.github.io/Logging_0885/artfynd/A 24322-2026 artfynd.xlsx", "A 24322-2026")</f>
        <v/>
      </c>
      <c r="T25">
        <f>HYPERLINK("https://klasma.github.io/Logging_0885/kartor/A 24322-2026 karta.png", "A 24322-2026")</f>
        <v/>
      </c>
      <c r="V25">
        <f>HYPERLINK("https://klasma.github.io/Logging_0885/klagomål/A 24322-2026 FSC-klagomål.docx", "A 24322-2026")</f>
        <v/>
      </c>
      <c r="W25">
        <f>HYPERLINK("https://klasma.github.io/Logging_0885/klagomålsmail/A 24322-2026 FSC-klagomål mail.docx", "A 24322-2026")</f>
        <v/>
      </c>
      <c r="X25">
        <f>HYPERLINK("https://klasma.github.io/Logging_0885/tillsyn/A 24322-2026 tillsynsbegäran.docx", "A 24322-2026")</f>
        <v/>
      </c>
      <c r="Y25">
        <f>HYPERLINK("https://klasma.github.io/Logging_0885/tillsynsmail/A 24322-2026 tillsynsbegäran mail.docx", "A 24322-2026")</f>
        <v/>
      </c>
    </row>
    <row r="26" ht="15" customHeight="1">
      <c r="A26" t="inlineStr">
        <is>
          <t>A 60140-2025</t>
        </is>
      </c>
      <c r="B26" s="1" t="n">
        <v>45994.36274305556</v>
      </c>
      <c r="C26" s="1" t="n">
        <v>46172</v>
      </c>
      <c r="D26" t="inlineStr">
        <is>
          <t>KALMAR LÄN</t>
        </is>
      </c>
      <c r="E26" t="inlineStr">
        <is>
          <t>BORGHOLM</t>
        </is>
      </c>
      <c r="G26" t="n">
        <v>0.8</v>
      </c>
      <c r="H26" t="n">
        <v>1</v>
      </c>
      <c r="I26" t="n">
        <v>2</v>
      </c>
      <c r="J26" t="n">
        <v>0</v>
      </c>
      <c r="K26" t="n">
        <v>0</v>
      </c>
      <c r="L26" t="n">
        <v>0</v>
      </c>
      <c r="M26" t="n">
        <v>0</v>
      </c>
      <c r="N26" t="n">
        <v>0</v>
      </c>
      <c r="O26" t="n">
        <v>0</v>
      </c>
      <c r="P26" t="n">
        <v>0</v>
      </c>
      <c r="Q26" t="n">
        <v>2</v>
      </c>
      <c r="R26" s="2" t="inlineStr">
        <is>
          <t>Skogsknipprot
Strävlosta</t>
        </is>
      </c>
      <c r="S26">
        <f>HYPERLINK("https://klasma.github.io/Logging_0885/artfynd/A 60140-2025 artfynd.xlsx", "A 60140-2025")</f>
        <v/>
      </c>
      <c r="T26">
        <f>HYPERLINK("https://klasma.github.io/Logging_0885/kartor/A 60140-2025 karta.png", "A 60140-2025")</f>
        <v/>
      </c>
      <c r="V26">
        <f>HYPERLINK("https://klasma.github.io/Logging_0885/klagomål/A 60140-2025 FSC-klagomål.docx", "A 60140-2025")</f>
        <v/>
      </c>
      <c r="W26">
        <f>HYPERLINK("https://klasma.github.io/Logging_0885/klagomålsmail/A 60140-2025 FSC-klagomål mail.docx", "A 60140-2025")</f>
        <v/>
      </c>
      <c r="X26">
        <f>HYPERLINK("https://klasma.github.io/Logging_0885/tillsyn/A 60140-2025 tillsynsbegäran.docx", "A 60140-2025")</f>
        <v/>
      </c>
      <c r="Y26">
        <f>HYPERLINK("https://klasma.github.io/Logging_0885/tillsynsmail/A 60140-2025 tillsynsbegäran mail.docx", "A 60140-2025")</f>
        <v/>
      </c>
    </row>
    <row r="27" ht="15" customHeight="1">
      <c r="A27" t="inlineStr">
        <is>
          <t>A 28779-2025</t>
        </is>
      </c>
      <c r="B27" s="1" t="n">
        <v>45820.44920138889</v>
      </c>
      <c r="C27" s="1" t="n">
        <v>46172</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9253-2026</t>
        </is>
      </c>
      <c r="B28" s="1" t="n">
        <v>46070.51003472223</v>
      </c>
      <c r="C28" s="1" t="n">
        <v>46172</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15285-2026</t>
        </is>
      </c>
      <c r="B29" s="1" t="n">
        <v>46105.6156712963</v>
      </c>
      <c r="C29" s="1" t="n">
        <v>46172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Havsörn
Talltita</t>
        </is>
      </c>
      <c r="S29">
        <f>HYPERLINK("https://klasma.github.io/Logging_0885/artfynd/A 15285-2026 artfynd.xlsx", "A 15285-2026")</f>
        <v/>
      </c>
      <c r="T29">
        <f>HYPERLINK("https://klasma.github.io/Logging_0885/kartor/A 15285-2026 karta.png", "A 15285-2026")</f>
        <v/>
      </c>
      <c r="V29">
        <f>HYPERLINK("https://klasma.github.io/Logging_0885/klagomål/A 15285-2026 FSC-klagomål.docx", "A 15285-2026")</f>
        <v/>
      </c>
      <c r="W29">
        <f>HYPERLINK("https://klasma.github.io/Logging_0885/klagomålsmail/A 15285-2026 FSC-klagomål mail.docx", "A 15285-2026")</f>
        <v/>
      </c>
      <c r="X29">
        <f>HYPERLINK("https://klasma.github.io/Logging_0885/tillsyn/A 15285-2026 tillsynsbegäran.docx", "A 15285-2026")</f>
        <v/>
      </c>
      <c r="Y29">
        <f>HYPERLINK("https://klasma.github.io/Logging_0885/tillsynsmail/A 15285-2026 tillsynsbegäran mail.docx", "A 15285-2026")</f>
        <v/>
      </c>
      <c r="Z29">
        <f>HYPERLINK("https://klasma.github.io/Logging_0885/fåglar/A 15285-2026 prioriterade fågelarter.docx", "A 15285-2026")</f>
        <v/>
      </c>
    </row>
    <row r="30" ht="15" customHeight="1">
      <c r="A30" t="inlineStr">
        <is>
          <t>A 31790-2021</t>
        </is>
      </c>
      <c r="B30" s="1" t="n">
        <v>44370</v>
      </c>
      <c r="C30" s="1" t="n">
        <v>46172</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46172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46172</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46172</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24704-2023</t>
        </is>
      </c>
      <c r="B34" s="1" t="n">
        <v>45084</v>
      </c>
      <c r="C34" s="1" t="n">
        <v>46172</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9745-2023</t>
        </is>
      </c>
      <c r="B35" s="1" t="n">
        <v>44984</v>
      </c>
      <c r="C35" s="1" t="n">
        <v>46172</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45693-2025</t>
        </is>
      </c>
      <c r="B36" s="1" t="n">
        <v>45923</v>
      </c>
      <c r="C36" s="1" t="n">
        <v>46172</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43603-2024</t>
        </is>
      </c>
      <c r="B37" s="1" t="n">
        <v>45569.44700231482</v>
      </c>
      <c r="C37" s="1" t="n">
        <v>46172</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24048-2025</t>
        </is>
      </c>
      <c r="B38" s="1" t="n">
        <v>45796.4959375</v>
      </c>
      <c r="C38" s="1" t="n">
        <v>46172</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46172</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28785-2025</t>
        </is>
      </c>
      <c r="B40" s="1" t="n">
        <v>45820.46159722222</v>
      </c>
      <c r="C40" s="1" t="n">
        <v>46172</v>
      </c>
      <c r="D40" t="inlineStr">
        <is>
          <t>KALMAR LÄN</t>
        </is>
      </c>
      <c r="E40" t="inlineStr">
        <is>
          <t>BORGHOLM</t>
        </is>
      </c>
      <c r="F40" t="inlineStr">
        <is>
          <t>Sveaskog</t>
        </is>
      </c>
      <c r="G40" t="n">
        <v>2.3</v>
      </c>
      <c r="H40" t="n">
        <v>1</v>
      </c>
      <c r="I40" t="n">
        <v>0</v>
      </c>
      <c r="J40" t="n">
        <v>1</v>
      </c>
      <c r="K40" t="n">
        <v>0</v>
      </c>
      <c r="L40" t="n">
        <v>0</v>
      </c>
      <c r="M40" t="n">
        <v>0</v>
      </c>
      <c r="N40" t="n">
        <v>0</v>
      </c>
      <c r="O40" t="n">
        <v>1</v>
      </c>
      <c r="P40" t="n">
        <v>0</v>
      </c>
      <c r="Q40" t="n">
        <v>1</v>
      </c>
      <c r="R40" s="2" t="inlineStr">
        <is>
          <t>Havsörn</t>
        </is>
      </c>
      <c r="S40">
        <f>HYPERLINK("https://klasma.github.io/Logging_0885/artfynd/A 28785-2025 artfynd.xlsx", "A 28785-2025")</f>
        <v/>
      </c>
      <c r="T40">
        <f>HYPERLINK("https://klasma.github.io/Logging_0885/kartor/A 28785-2025 karta.png", "A 28785-2025")</f>
        <v/>
      </c>
      <c r="V40">
        <f>HYPERLINK("https://klasma.github.io/Logging_0885/klagomål/A 28785-2025 FSC-klagomål.docx", "A 28785-2025")</f>
        <v/>
      </c>
      <c r="W40">
        <f>HYPERLINK("https://klasma.github.io/Logging_0885/klagomålsmail/A 28785-2025 FSC-klagomål mail.docx", "A 28785-2025")</f>
        <v/>
      </c>
      <c r="X40">
        <f>HYPERLINK("https://klasma.github.io/Logging_0885/tillsyn/A 28785-2025 tillsynsbegäran.docx", "A 28785-2025")</f>
        <v/>
      </c>
      <c r="Y40">
        <f>HYPERLINK("https://klasma.github.io/Logging_0885/tillsynsmail/A 28785-2025 tillsynsbegäran mail.docx", "A 28785-2025")</f>
        <v/>
      </c>
      <c r="Z40">
        <f>HYPERLINK("https://klasma.github.io/Logging_0885/fåglar/A 28785-2025 prioriterade fågelarter.docx", "A 28785-2025")</f>
        <v/>
      </c>
    </row>
    <row r="41" ht="15" customHeight="1">
      <c r="A41" t="inlineStr">
        <is>
          <t>A 3302-2026</t>
        </is>
      </c>
      <c r="B41" s="1" t="n">
        <v>46041</v>
      </c>
      <c r="C41" s="1" t="n">
        <v>46172</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29962-2025</t>
        </is>
      </c>
      <c r="B42" s="1" t="n">
        <v>45826.48184027777</v>
      </c>
      <c r="C42" s="1" t="n">
        <v>46172</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46172</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42761-2021</t>
        </is>
      </c>
      <c r="B44" s="1" t="n">
        <v>44428</v>
      </c>
      <c r="C44" s="1" t="n">
        <v>46172</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46172</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46172</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46172</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46172</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46172</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46172</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46172</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46172</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46172</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46172</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46172</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46172</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46172</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46172</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31840-2021</t>
        </is>
      </c>
      <c r="B59" s="1" t="n">
        <v>44370</v>
      </c>
      <c r="C59" s="1" t="n">
        <v>46172</v>
      </c>
      <c r="D59" t="inlineStr">
        <is>
          <t>KALMAR LÄN</t>
        </is>
      </c>
      <c r="E59" t="inlineStr">
        <is>
          <t>BORGHOLM</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9034-2025</t>
        </is>
      </c>
      <c r="B60" s="1" t="n">
        <v>45713</v>
      </c>
      <c r="C60" s="1" t="n">
        <v>46172</v>
      </c>
      <c r="D60" t="inlineStr">
        <is>
          <t>KALMAR LÄN</t>
        </is>
      </c>
      <c r="E60" t="inlineStr">
        <is>
          <t>BORGHOLM</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46172</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13548-2025</t>
        </is>
      </c>
      <c r="B62" s="1" t="n">
        <v>45736.53827546296</v>
      </c>
      <c r="C62" s="1" t="n">
        <v>46172</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21908-2022</t>
        </is>
      </c>
      <c r="B63" s="1" t="n">
        <v>44711</v>
      </c>
      <c r="C63" s="1" t="n">
        <v>46172</v>
      </c>
      <c r="D63" t="inlineStr">
        <is>
          <t>KALMAR LÄN</t>
        </is>
      </c>
      <c r="E63" t="inlineStr">
        <is>
          <t>BORGHOLM</t>
        </is>
      </c>
      <c r="G63" t="n">
        <v>4.7</v>
      </c>
      <c r="H63" t="n">
        <v>0</v>
      </c>
      <c r="I63" t="n">
        <v>0</v>
      </c>
      <c r="J63" t="n">
        <v>0</v>
      </c>
      <c r="K63" t="n">
        <v>0</v>
      </c>
      <c r="L63" t="n">
        <v>0</v>
      </c>
      <c r="M63" t="n">
        <v>0</v>
      </c>
      <c r="N63" t="n">
        <v>0</v>
      </c>
      <c r="O63" t="n">
        <v>0</v>
      </c>
      <c r="P63" t="n">
        <v>0</v>
      </c>
      <c r="Q63" t="n">
        <v>0</v>
      </c>
      <c r="R63" s="2" t="inlineStr"/>
    </row>
    <row r="64" ht="15" customHeight="1">
      <c r="A64" t="inlineStr">
        <is>
          <t>A 55367-2024</t>
        </is>
      </c>
      <c r="B64" s="1" t="n">
        <v>45621.87075231481</v>
      </c>
      <c r="C64" s="1" t="n">
        <v>46172</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32919-2023</t>
        </is>
      </c>
      <c r="B65" s="1" t="n">
        <v>45125</v>
      </c>
      <c r="C65" s="1" t="n">
        <v>46172</v>
      </c>
      <c r="D65" t="inlineStr">
        <is>
          <t>KALMAR LÄN</t>
        </is>
      </c>
      <c r="E65" t="inlineStr">
        <is>
          <t>BORGHOLM</t>
        </is>
      </c>
      <c r="G65" t="n">
        <v>2.7</v>
      </c>
      <c r="H65" t="n">
        <v>0</v>
      </c>
      <c r="I65" t="n">
        <v>0</v>
      </c>
      <c r="J65" t="n">
        <v>0</v>
      </c>
      <c r="K65" t="n">
        <v>0</v>
      </c>
      <c r="L65" t="n">
        <v>0</v>
      </c>
      <c r="M65" t="n">
        <v>0</v>
      </c>
      <c r="N65" t="n">
        <v>0</v>
      </c>
      <c r="O65" t="n">
        <v>0</v>
      </c>
      <c r="P65" t="n">
        <v>0</v>
      </c>
      <c r="Q65" t="n">
        <v>0</v>
      </c>
      <c r="R65" s="2" t="inlineStr"/>
    </row>
    <row r="66" ht="15" customHeight="1">
      <c r="A66" t="inlineStr">
        <is>
          <t>A 44678-2022</t>
        </is>
      </c>
      <c r="B66" s="1" t="n">
        <v>44840.65100694444</v>
      </c>
      <c r="C66" s="1" t="n">
        <v>46172</v>
      </c>
      <c r="D66" t="inlineStr">
        <is>
          <t>KALMAR LÄN</t>
        </is>
      </c>
      <c r="E66" t="inlineStr">
        <is>
          <t>BORGHOLM</t>
        </is>
      </c>
      <c r="G66" t="n">
        <v>2.4</v>
      </c>
      <c r="H66" t="n">
        <v>0</v>
      </c>
      <c r="I66" t="n">
        <v>0</v>
      </c>
      <c r="J66" t="n">
        <v>0</v>
      </c>
      <c r="K66" t="n">
        <v>0</v>
      </c>
      <c r="L66" t="n">
        <v>0</v>
      </c>
      <c r="M66" t="n">
        <v>0</v>
      </c>
      <c r="N66" t="n">
        <v>0</v>
      </c>
      <c r="O66" t="n">
        <v>0</v>
      </c>
      <c r="P66" t="n">
        <v>0</v>
      </c>
      <c r="Q66" t="n">
        <v>0</v>
      </c>
      <c r="R66" s="2" t="inlineStr"/>
    </row>
    <row r="67" ht="15" customHeight="1">
      <c r="A67" t="inlineStr">
        <is>
          <t>A 31720-2022</t>
        </is>
      </c>
      <c r="B67" s="1" t="n">
        <v>44776</v>
      </c>
      <c r="C67" s="1" t="n">
        <v>46172</v>
      </c>
      <c r="D67" t="inlineStr">
        <is>
          <t>KALMAR LÄN</t>
        </is>
      </c>
      <c r="E67" t="inlineStr">
        <is>
          <t>BORGHOLM</t>
        </is>
      </c>
      <c r="F67" t="inlineStr">
        <is>
          <t>Sveaskog</t>
        </is>
      </c>
      <c r="G67" t="n">
        <v>4.5</v>
      </c>
      <c r="H67" t="n">
        <v>0</v>
      </c>
      <c r="I67" t="n">
        <v>0</v>
      </c>
      <c r="J67" t="n">
        <v>0</v>
      </c>
      <c r="K67" t="n">
        <v>0</v>
      </c>
      <c r="L67" t="n">
        <v>0</v>
      </c>
      <c r="M67" t="n">
        <v>0</v>
      </c>
      <c r="N67" t="n">
        <v>0</v>
      </c>
      <c r="O67" t="n">
        <v>0</v>
      </c>
      <c r="P67" t="n">
        <v>0</v>
      </c>
      <c r="Q67" t="n">
        <v>0</v>
      </c>
      <c r="R67" s="2" t="inlineStr"/>
    </row>
    <row r="68" ht="15" customHeight="1">
      <c r="A68" t="inlineStr">
        <is>
          <t>A 63075-2023</t>
        </is>
      </c>
      <c r="B68" s="1" t="n">
        <v>45273</v>
      </c>
      <c r="C68" s="1" t="n">
        <v>46172</v>
      </c>
      <c r="D68" t="inlineStr">
        <is>
          <t>KALMAR LÄN</t>
        </is>
      </c>
      <c r="E68" t="inlineStr">
        <is>
          <t>BORGHOLM</t>
        </is>
      </c>
      <c r="G68" t="n">
        <v>1.1</v>
      </c>
      <c r="H68" t="n">
        <v>0</v>
      </c>
      <c r="I68" t="n">
        <v>0</v>
      </c>
      <c r="J68" t="n">
        <v>0</v>
      </c>
      <c r="K68" t="n">
        <v>0</v>
      </c>
      <c r="L68" t="n">
        <v>0</v>
      </c>
      <c r="M68" t="n">
        <v>0</v>
      </c>
      <c r="N68" t="n">
        <v>0</v>
      </c>
      <c r="O68" t="n">
        <v>0</v>
      </c>
      <c r="P68" t="n">
        <v>0</v>
      </c>
      <c r="Q68" t="n">
        <v>0</v>
      </c>
      <c r="R68" s="2" t="inlineStr"/>
    </row>
    <row r="69" ht="15" customHeight="1">
      <c r="A69" t="inlineStr">
        <is>
          <t>A 44547-2021</t>
        </is>
      </c>
      <c r="B69" s="1" t="n">
        <v>44435</v>
      </c>
      <c r="C69" s="1" t="n">
        <v>46172</v>
      </c>
      <c r="D69" t="inlineStr">
        <is>
          <t>KALMAR LÄN</t>
        </is>
      </c>
      <c r="E69" t="inlineStr">
        <is>
          <t>BORGHOLM</t>
        </is>
      </c>
      <c r="G69" t="n">
        <v>1.4</v>
      </c>
      <c r="H69" t="n">
        <v>0</v>
      </c>
      <c r="I69" t="n">
        <v>0</v>
      </c>
      <c r="J69" t="n">
        <v>0</v>
      </c>
      <c r="K69" t="n">
        <v>0</v>
      </c>
      <c r="L69" t="n">
        <v>0</v>
      </c>
      <c r="M69" t="n">
        <v>0</v>
      </c>
      <c r="N69" t="n">
        <v>0</v>
      </c>
      <c r="O69" t="n">
        <v>0</v>
      </c>
      <c r="P69" t="n">
        <v>0</v>
      </c>
      <c r="Q69" t="n">
        <v>0</v>
      </c>
      <c r="R69" s="2" t="inlineStr"/>
    </row>
    <row r="70" ht="15" customHeight="1">
      <c r="A70" t="inlineStr">
        <is>
          <t>A 5175-2024</t>
        </is>
      </c>
      <c r="B70" s="1" t="n">
        <v>45330</v>
      </c>
      <c r="C70" s="1" t="n">
        <v>46172</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4159-2024</t>
        </is>
      </c>
      <c r="B71" s="1" t="n">
        <v>45323</v>
      </c>
      <c r="C71" s="1" t="n">
        <v>46172</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34951-2022</t>
        </is>
      </c>
      <c r="B72" s="1" t="n">
        <v>44796</v>
      </c>
      <c r="C72" s="1" t="n">
        <v>46172</v>
      </c>
      <c r="D72" t="inlineStr">
        <is>
          <t>KALMAR LÄN</t>
        </is>
      </c>
      <c r="E72" t="inlineStr">
        <is>
          <t>BORGHOLM</t>
        </is>
      </c>
      <c r="F72" t="inlineStr">
        <is>
          <t>Sveaskog</t>
        </is>
      </c>
      <c r="G72" t="n">
        <v>4.6</v>
      </c>
      <c r="H72" t="n">
        <v>0</v>
      </c>
      <c r="I72" t="n">
        <v>0</v>
      </c>
      <c r="J72" t="n">
        <v>0</v>
      </c>
      <c r="K72" t="n">
        <v>0</v>
      </c>
      <c r="L72" t="n">
        <v>0</v>
      </c>
      <c r="M72" t="n">
        <v>0</v>
      </c>
      <c r="N72" t="n">
        <v>0</v>
      </c>
      <c r="O72" t="n">
        <v>0</v>
      </c>
      <c r="P72" t="n">
        <v>0</v>
      </c>
      <c r="Q72" t="n">
        <v>0</v>
      </c>
      <c r="R72" s="2" t="inlineStr"/>
    </row>
    <row r="73" ht="15" customHeight="1">
      <c r="A73" t="inlineStr">
        <is>
          <t>A 19867-2024</t>
        </is>
      </c>
      <c r="B73" s="1" t="n">
        <v>45433</v>
      </c>
      <c r="C73" s="1" t="n">
        <v>46172</v>
      </c>
      <c r="D73" t="inlineStr">
        <is>
          <t>KALMAR LÄN</t>
        </is>
      </c>
      <c r="E73" t="inlineStr">
        <is>
          <t>BORGHOLM</t>
        </is>
      </c>
      <c r="G73" t="n">
        <v>3.9</v>
      </c>
      <c r="H73" t="n">
        <v>0</v>
      </c>
      <c r="I73" t="n">
        <v>0</v>
      </c>
      <c r="J73" t="n">
        <v>0</v>
      </c>
      <c r="K73" t="n">
        <v>0</v>
      </c>
      <c r="L73" t="n">
        <v>0</v>
      </c>
      <c r="M73" t="n">
        <v>0</v>
      </c>
      <c r="N73" t="n">
        <v>0</v>
      </c>
      <c r="O73" t="n">
        <v>0</v>
      </c>
      <c r="P73" t="n">
        <v>0</v>
      </c>
      <c r="Q73" t="n">
        <v>0</v>
      </c>
      <c r="R73" s="2" t="inlineStr"/>
    </row>
    <row r="74" ht="15" customHeight="1">
      <c r="A74" t="inlineStr">
        <is>
          <t>A 32921-2023</t>
        </is>
      </c>
      <c r="B74" s="1" t="n">
        <v>45125</v>
      </c>
      <c r="C74" s="1" t="n">
        <v>46172</v>
      </c>
      <c r="D74" t="inlineStr">
        <is>
          <t>KALMAR LÄN</t>
        </is>
      </c>
      <c r="E74" t="inlineStr">
        <is>
          <t>BORGHOLM</t>
        </is>
      </c>
      <c r="G74" t="n">
        <v>2.9</v>
      </c>
      <c r="H74" t="n">
        <v>0</v>
      </c>
      <c r="I74" t="n">
        <v>0</v>
      </c>
      <c r="J74" t="n">
        <v>0</v>
      </c>
      <c r="K74" t="n">
        <v>0</v>
      </c>
      <c r="L74" t="n">
        <v>0</v>
      </c>
      <c r="M74" t="n">
        <v>0</v>
      </c>
      <c r="N74" t="n">
        <v>0</v>
      </c>
      <c r="O74" t="n">
        <v>0</v>
      </c>
      <c r="P74" t="n">
        <v>0</v>
      </c>
      <c r="Q74" t="n">
        <v>0</v>
      </c>
      <c r="R74" s="2" t="inlineStr"/>
    </row>
    <row r="75" ht="15" customHeight="1">
      <c r="A75" t="inlineStr">
        <is>
          <t>A 31699-2022</t>
        </is>
      </c>
      <c r="B75" s="1" t="n">
        <v>44776</v>
      </c>
      <c r="C75" s="1" t="n">
        <v>46172</v>
      </c>
      <c r="D75" t="inlineStr">
        <is>
          <t>KALMAR LÄN</t>
        </is>
      </c>
      <c r="E75" t="inlineStr">
        <is>
          <t>BORGHOLM</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13383-2023</t>
        </is>
      </c>
      <c r="B76" s="1" t="n">
        <v>45005</v>
      </c>
      <c r="C76" s="1" t="n">
        <v>46172</v>
      </c>
      <c r="D76" t="inlineStr">
        <is>
          <t>KALMAR LÄN</t>
        </is>
      </c>
      <c r="E76" t="inlineStr">
        <is>
          <t>BORGHOLM</t>
        </is>
      </c>
      <c r="G76" t="n">
        <v>0.8</v>
      </c>
      <c r="H76" t="n">
        <v>0</v>
      </c>
      <c r="I76" t="n">
        <v>0</v>
      </c>
      <c r="J76" t="n">
        <v>0</v>
      </c>
      <c r="K76" t="n">
        <v>0</v>
      </c>
      <c r="L76" t="n">
        <v>0</v>
      </c>
      <c r="M76" t="n">
        <v>0</v>
      </c>
      <c r="N76" t="n">
        <v>0</v>
      </c>
      <c r="O76" t="n">
        <v>0</v>
      </c>
      <c r="P76" t="n">
        <v>0</v>
      </c>
      <c r="Q76" t="n">
        <v>0</v>
      </c>
      <c r="R76" s="2" t="inlineStr"/>
    </row>
    <row r="77" ht="15" customHeight="1">
      <c r="A77" t="inlineStr">
        <is>
          <t>A 61438-2023</t>
        </is>
      </c>
      <c r="B77" s="1" t="n">
        <v>45264</v>
      </c>
      <c r="C77" s="1" t="n">
        <v>46172</v>
      </c>
      <c r="D77" t="inlineStr">
        <is>
          <t>KALMAR LÄN</t>
        </is>
      </c>
      <c r="E77" t="inlineStr">
        <is>
          <t>BORGHOLM</t>
        </is>
      </c>
      <c r="G77" t="n">
        <v>1.1</v>
      </c>
      <c r="H77" t="n">
        <v>0</v>
      </c>
      <c r="I77" t="n">
        <v>0</v>
      </c>
      <c r="J77" t="n">
        <v>0</v>
      </c>
      <c r="K77" t="n">
        <v>0</v>
      </c>
      <c r="L77" t="n">
        <v>0</v>
      </c>
      <c r="M77" t="n">
        <v>0</v>
      </c>
      <c r="N77" t="n">
        <v>0</v>
      </c>
      <c r="O77" t="n">
        <v>0</v>
      </c>
      <c r="P77" t="n">
        <v>0</v>
      </c>
      <c r="Q77" t="n">
        <v>0</v>
      </c>
      <c r="R77" s="2" t="inlineStr"/>
    </row>
    <row r="78" ht="15" customHeight="1">
      <c r="A78" t="inlineStr">
        <is>
          <t>A 63276-2023</t>
        </is>
      </c>
      <c r="B78" s="1" t="n">
        <v>45273.82195601852</v>
      </c>
      <c r="C78" s="1" t="n">
        <v>46172</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13041-2024</t>
        </is>
      </c>
      <c r="B79" s="1" t="n">
        <v>45385.60065972222</v>
      </c>
      <c r="C79" s="1" t="n">
        <v>46172</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53050-2021</t>
        </is>
      </c>
      <c r="B80" s="1" t="n">
        <v>44467</v>
      </c>
      <c r="C80" s="1" t="n">
        <v>46172</v>
      </c>
      <c r="D80" t="inlineStr">
        <is>
          <t>KALMAR LÄN</t>
        </is>
      </c>
      <c r="E80" t="inlineStr">
        <is>
          <t>BORGHOLM</t>
        </is>
      </c>
      <c r="G80" t="n">
        <v>3.6</v>
      </c>
      <c r="H80" t="n">
        <v>0</v>
      </c>
      <c r="I80" t="n">
        <v>0</v>
      </c>
      <c r="J80" t="n">
        <v>0</v>
      </c>
      <c r="K80" t="n">
        <v>0</v>
      </c>
      <c r="L80" t="n">
        <v>0</v>
      </c>
      <c r="M80" t="n">
        <v>0</v>
      </c>
      <c r="N80" t="n">
        <v>0</v>
      </c>
      <c r="O80" t="n">
        <v>0</v>
      </c>
      <c r="P80" t="n">
        <v>0</v>
      </c>
      <c r="Q80" t="n">
        <v>0</v>
      </c>
      <c r="R80" s="2" t="inlineStr"/>
    </row>
    <row r="81" ht="15" customHeight="1">
      <c r="A81" t="inlineStr">
        <is>
          <t>A 4165-2023</t>
        </is>
      </c>
      <c r="B81" s="1" t="n">
        <v>44953</v>
      </c>
      <c r="C81" s="1" t="n">
        <v>46172</v>
      </c>
      <c r="D81" t="inlineStr">
        <is>
          <t>KALMAR LÄN</t>
        </is>
      </c>
      <c r="E81" t="inlineStr">
        <is>
          <t>BORGHOLM</t>
        </is>
      </c>
      <c r="G81" t="n">
        <v>0.6</v>
      </c>
      <c r="H81" t="n">
        <v>0</v>
      </c>
      <c r="I81" t="n">
        <v>0</v>
      </c>
      <c r="J81" t="n">
        <v>0</v>
      </c>
      <c r="K81" t="n">
        <v>0</v>
      </c>
      <c r="L81" t="n">
        <v>0</v>
      </c>
      <c r="M81" t="n">
        <v>0</v>
      </c>
      <c r="N81" t="n">
        <v>0</v>
      </c>
      <c r="O81" t="n">
        <v>0</v>
      </c>
      <c r="P81" t="n">
        <v>0</v>
      </c>
      <c r="Q81" t="n">
        <v>0</v>
      </c>
      <c r="R81" s="2" t="inlineStr"/>
    </row>
    <row r="82" ht="15" customHeight="1">
      <c r="A82" t="inlineStr">
        <is>
          <t>A 50129-2021</t>
        </is>
      </c>
      <c r="B82" s="1" t="n">
        <v>44456</v>
      </c>
      <c r="C82" s="1" t="n">
        <v>46172</v>
      </c>
      <c r="D82" t="inlineStr">
        <is>
          <t>KALMAR LÄN</t>
        </is>
      </c>
      <c r="E82" t="inlineStr">
        <is>
          <t>BORGHOLM</t>
        </is>
      </c>
      <c r="G82" t="n">
        <v>1.6</v>
      </c>
      <c r="H82" t="n">
        <v>0</v>
      </c>
      <c r="I82" t="n">
        <v>0</v>
      </c>
      <c r="J82" t="n">
        <v>0</v>
      </c>
      <c r="K82" t="n">
        <v>0</v>
      </c>
      <c r="L82" t="n">
        <v>0</v>
      </c>
      <c r="M82" t="n">
        <v>0</v>
      </c>
      <c r="N82" t="n">
        <v>0</v>
      </c>
      <c r="O82" t="n">
        <v>0</v>
      </c>
      <c r="P82" t="n">
        <v>0</v>
      </c>
      <c r="Q82" t="n">
        <v>0</v>
      </c>
      <c r="R82" s="2" t="inlineStr"/>
    </row>
    <row r="83" ht="15" customHeight="1">
      <c r="A83" t="inlineStr">
        <is>
          <t>A 41831-2025</t>
        </is>
      </c>
      <c r="B83" s="1" t="n">
        <v>45902.67887731481</v>
      </c>
      <c r="C83" s="1" t="n">
        <v>46172</v>
      </c>
      <c r="D83" t="inlineStr">
        <is>
          <t>KALMAR LÄN</t>
        </is>
      </c>
      <c r="E83" t="inlineStr">
        <is>
          <t>BORGHOLM</t>
        </is>
      </c>
      <c r="G83" t="n">
        <v>1.5</v>
      </c>
      <c r="H83" t="n">
        <v>0</v>
      </c>
      <c r="I83" t="n">
        <v>0</v>
      </c>
      <c r="J83" t="n">
        <v>0</v>
      </c>
      <c r="K83" t="n">
        <v>0</v>
      </c>
      <c r="L83" t="n">
        <v>0</v>
      </c>
      <c r="M83" t="n">
        <v>0</v>
      </c>
      <c r="N83" t="n">
        <v>0</v>
      </c>
      <c r="O83" t="n">
        <v>0</v>
      </c>
      <c r="P83" t="n">
        <v>0</v>
      </c>
      <c r="Q83" t="n">
        <v>0</v>
      </c>
      <c r="R83" s="2" t="inlineStr"/>
    </row>
    <row r="84" ht="15" customHeight="1">
      <c r="A84" t="inlineStr">
        <is>
          <t>A 41950-2025</t>
        </is>
      </c>
      <c r="B84" s="1" t="n">
        <v>45903.45767361111</v>
      </c>
      <c r="C84" s="1" t="n">
        <v>46172</v>
      </c>
      <c r="D84" t="inlineStr">
        <is>
          <t>KALMAR LÄN</t>
        </is>
      </c>
      <c r="E84" t="inlineStr">
        <is>
          <t>BORGHOLM</t>
        </is>
      </c>
      <c r="G84" t="n">
        <v>1.8</v>
      </c>
      <c r="H84" t="n">
        <v>0</v>
      </c>
      <c r="I84" t="n">
        <v>0</v>
      </c>
      <c r="J84" t="n">
        <v>0</v>
      </c>
      <c r="K84" t="n">
        <v>0</v>
      </c>
      <c r="L84" t="n">
        <v>0</v>
      </c>
      <c r="M84" t="n">
        <v>0</v>
      </c>
      <c r="N84" t="n">
        <v>0</v>
      </c>
      <c r="O84" t="n">
        <v>0</v>
      </c>
      <c r="P84" t="n">
        <v>0</v>
      </c>
      <c r="Q84" t="n">
        <v>0</v>
      </c>
      <c r="R84" s="2" t="inlineStr"/>
    </row>
    <row r="85" ht="15" customHeight="1">
      <c r="A85" t="inlineStr">
        <is>
          <t>A 42232-2025</t>
        </is>
      </c>
      <c r="B85" s="1" t="n">
        <v>45904.55591435185</v>
      </c>
      <c r="C85" s="1" t="n">
        <v>46172</v>
      </c>
      <c r="D85" t="inlineStr">
        <is>
          <t>KALMAR LÄN</t>
        </is>
      </c>
      <c r="E85" t="inlineStr">
        <is>
          <t>BORGHOLM</t>
        </is>
      </c>
      <c r="F85" t="inlineStr">
        <is>
          <t>Sveaskog</t>
        </is>
      </c>
      <c r="G85" t="n">
        <v>1.7</v>
      </c>
      <c r="H85" t="n">
        <v>0</v>
      </c>
      <c r="I85" t="n">
        <v>0</v>
      </c>
      <c r="J85" t="n">
        <v>0</v>
      </c>
      <c r="K85" t="n">
        <v>0</v>
      </c>
      <c r="L85" t="n">
        <v>0</v>
      </c>
      <c r="M85" t="n">
        <v>0</v>
      </c>
      <c r="N85" t="n">
        <v>0</v>
      </c>
      <c r="O85" t="n">
        <v>0</v>
      </c>
      <c r="P85" t="n">
        <v>0</v>
      </c>
      <c r="Q85" t="n">
        <v>0</v>
      </c>
      <c r="R85" s="2" t="inlineStr"/>
    </row>
    <row r="86" ht="15" customHeight="1">
      <c r="A86" t="inlineStr">
        <is>
          <t>A 1614-2025</t>
        </is>
      </c>
      <c r="B86" s="1" t="n">
        <v>45670.60094907408</v>
      </c>
      <c r="C86" s="1" t="n">
        <v>46172</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43542-2025</t>
        </is>
      </c>
      <c r="B87" s="1" t="n">
        <v>45911.61123842592</v>
      </c>
      <c r="C87" s="1" t="n">
        <v>46172</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45734-2025</t>
        </is>
      </c>
      <c r="B88" s="1" t="n">
        <v>45923.46512731481</v>
      </c>
      <c r="C88" s="1" t="n">
        <v>46172</v>
      </c>
      <c r="D88" t="inlineStr">
        <is>
          <t>KALMAR LÄN</t>
        </is>
      </c>
      <c r="E88" t="inlineStr">
        <is>
          <t>BORGHOLM</t>
        </is>
      </c>
      <c r="G88" t="n">
        <v>5</v>
      </c>
      <c r="H88" t="n">
        <v>0</v>
      </c>
      <c r="I88" t="n">
        <v>0</v>
      </c>
      <c r="J88" t="n">
        <v>0</v>
      </c>
      <c r="K88" t="n">
        <v>0</v>
      </c>
      <c r="L88" t="n">
        <v>0</v>
      </c>
      <c r="M88" t="n">
        <v>0</v>
      </c>
      <c r="N88" t="n">
        <v>0</v>
      </c>
      <c r="O88" t="n">
        <v>0</v>
      </c>
      <c r="P88" t="n">
        <v>0</v>
      </c>
      <c r="Q88" t="n">
        <v>0</v>
      </c>
      <c r="R88" s="2" t="inlineStr"/>
    </row>
    <row r="89" ht="15" customHeight="1">
      <c r="A89" t="inlineStr">
        <is>
          <t>A 45869-2025</t>
        </is>
      </c>
      <c r="B89" s="1" t="n">
        <v>45923.65313657407</v>
      </c>
      <c r="C89" s="1" t="n">
        <v>46172</v>
      </c>
      <c r="D89" t="inlineStr">
        <is>
          <t>KALMAR LÄN</t>
        </is>
      </c>
      <c r="E89" t="inlineStr">
        <is>
          <t>BORGHOLM</t>
        </is>
      </c>
      <c r="G89" t="n">
        <v>4.5</v>
      </c>
      <c r="H89" t="n">
        <v>0</v>
      </c>
      <c r="I89" t="n">
        <v>0</v>
      </c>
      <c r="J89" t="n">
        <v>0</v>
      </c>
      <c r="K89" t="n">
        <v>0</v>
      </c>
      <c r="L89" t="n">
        <v>0</v>
      </c>
      <c r="M89" t="n">
        <v>0</v>
      </c>
      <c r="N89" t="n">
        <v>0</v>
      </c>
      <c r="O89" t="n">
        <v>0</v>
      </c>
      <c r="P89" t="n">
        <v>0</v>
      </c>
      <c r="Q89" t="n">
        <v>0</v>
      </c>
      <c r="R89" s="2" t="inlineStr"/>
    </row>
    <row r="90" ht="15" customHeight="1">
      <c r="A90" t="inlineStr">
        <is>
          <t>A 9076-2025</t>
        </is>
      </c>
      <c r="B90" s="1" t="n">
        <v>45713.6596875</v>
      </c>
      <c r="C90" s="1" t="n">
        <v>46172</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46845-2025</t>
        </is>
      </c>
      <c r="B91" s="1" t="n">
        <v>45928</v>
      </c>
      <c r="C91" s="1" t="n">
        <v>46172</v>
      </c>
      <c r="D91" t="inlineStr">
        <is>
          <t>KALMAR LÄN</t>
        </is>
      </c>
      <c r="E91" t="inlineStr">
        <is>
          <t>BORGHOLM</t>
        </is>
      </c>
      <c r="G91" t="n">
        <v>2.7</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46172</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13043-2024</t>
        </is>
      </c>
      <c r="B93" s="1" t="n">
        <v>45385.60111111111</v>
      </c>
      <c r="C93" s="1" t="n">
        <v>46172</v>
      </c>
      <c r="D93" t="inlineStr">
        <is>
          <t>KALMAR LÄN</t>
        </is>
      </c>
      <c r="E93" t="inlineStr">
        <is>
          <t>BORGHOLM</t>
        </is>
      </c>
      <c r="G93" t="n">
        <v>0.4</v>
      </c>
      <c r="H93" t="n">
        <v>0</v>
      </c>
      <c r="I93" t="n">
        <v>0</v>
      </c>
      <c r="J93" t="n">
        <v>0</v>
      </c>
      <c r="K93" t="n">
        <v>0</v>
      </c>
      <c r="L93" t="n">
        <v>0</v>
      </c>
      <c r="M93" t="n">
        <v>0</v>
      </c>
      <c r="N93" t="n">
        <v>0</v>
      </c>
      <c r="O93" t="n">
        <v>0</v>
      </c>
      <c r="P93" t="n">
        <v>0</v>
      </c>
      <c r="Q93" t="n">
        <v>0</v>
      </c>
      <c r="R93" s="2" t="inlineStr"/>
    </row>
    <row r="94" ht="15" customHeight="1">
      <c r="A94" t="inlineStr">
        <is>
          <t>A 34780-2022</t>
        </is>
      </c>
      <c r="B94" s="1" t="n">
        <v>44795</v>
      </c>
      <c r="C94" s="1" t="n">
        <v>46172</v>
      </c>
      <c r="D94" t="inlineStr">
        <is>
          <t>KALMAR LÄN</t>
        </is>
      </c>
      <c r="E94" t="inlineStr">
        <is>
          <t>BORGHOLM</t>
        </is>
      </c>
      <c r="F94" t="inlineStr">
        <is>
          <t>Sveaskog</t>
        </is>
      </c>
      <c r="G94" t="n">
        <v>6.7</v>
      </c>
      <c r="H94" t="n">
        <v>0</v>
      </c>
      <c r="I94" t="n">
        <v>0</v>
      </c>
      <c r="J94" t="n">
        <v>0</v>
      </c>
      <c r="K94" t="n">
        <v>0</v>
      </c>
      <c r="L94" t="n">
        <v>0</v>
      </c>
      <c r="M94" t="n">
        <v>0</v>
      </c>
      <c r="N94" t="n">
        <v>0</v>
      </c>
      <c r="O94" t="n">
        <v>0</v>
      </c>
      <c r="P94" t="n">
        <v>0</v>
      </c>
      <c r="Q94" t="n">
        <v>0</v>
      </c>
      <c r="R94" s="2" t="inlineStr"/>
    </row>
    <row r="95" ht="15" customHeight="1">
      <c r="A95" t="inlineStr">
        <is>
          <t>A 7960-2023</t>
        </is>
      </c>
      <c r="B95" s="1" t="n">
        <v>44973</v>
      </c>
      <c r="C95" s="1" t="n">
        <v>46172</v>
      </c>
      <c r="D95" t="inlineStr">
        <is>
          <t>KALMAR LÄN</t>
        </is>
      </c>
      <c r="E95" t="inlineStr">
        <is>
          <t>BORGHOLM</t>
        </is>
      </c>
      <c r="G95" t="n">
        <v>2.1</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46172</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9050-2025</t>
        </is>
      </c>
      <c r="B97" s="1" t="n">
        <v>45713.63512731482</v>
      </c>
      <c r="C97" s="1" t="n">
        <v>46172</v>
      </c>
      <c r="D97" t="inlineStr">
        <is>
          <t>KALMAR LÄN</t>
        </is>
      </c>
      <c r="E97" t="inlineStr">
        <is>
          <t>BORGHOLM</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9044-2025</t>
        </is>
      </c>
      <c r="B98" s="1" t="n">
        <v>45713.6275</v>
      </c>
      <c r="C98" s="1" t="n">
        <v>46172</v>
      </c>
      <c r="D98" t="inlineStr">
        <is>
          <t>KALMAR LÄN</t>
        </is>
      </c>
      <c r="E98" t="inlineStr">
        <is>
          <t>BORGHOLM</t>
        </is>
      </c>
      <c r="F98" t="inlineStr">
        <is>
          <t>Sveaskog</t>
        </is>
      </c>
      <c r="G98" t="n">
        <v>4</v>
      </c>
      <c r="H98" t="n">
        <v>0</v>
      </c>
      <c r="I98" t="n">
        <v>0</v>
      </c>
      <c r="J98" t="n">
        <v>0</v>
      </c>
      <c r="K98" t="n">
        <v>0</v>
      </c>
      <c r="L98" t="n">
        <v>0</v>
      </c>
      <c r="M98" t="n">
        <v>0</v>
      </c>
      <c r="N98" t="n">
        <v>0</v>
      </c>
      <c r="O98" t="n">
        <v>0</v>
      </c>
      <c r="P98" t="n">
        <v>0</v>
      </c>
      <c r="Q98" t="n">
        <v>0</v>
      </c>
      <c r="R98" s="2" t="inlineStr"/>
    </row>
    <row r="99" ht="15" customHeight="1">
      <c r="A99" t="inlineStr">
        <is>
          <t>A 20878-2024</t>
        </is>
      </c>
      <c r="B99" s="1" t="n">
        <v>45439.44748842593</v>
      </c>
      <c r="C99" s="1" t="n">
        <v>46172</v>
      </c>
      <c r="D99" t="inlineStr">
        <is>
          <t>KALMAR LÄN</t>
        </is>
      </c>
      <c r="E99" t="inlineStr">
        <is>
          <t>BORGHOLM</t>
        </is>
      </c>
      <c r="G99" t="n">
        <v>1.9</v>
      </c>
      <c r="H99" t="n">
        <v>0</v>
      </c>
      <c r="I99" t="n">
        <v>0</v>
      </c>
      <c r="J99" t="n">
        <v>0</v>
      </c>
      <c r="K99" t="n">
        <v>0</v>
      </c>
      <c r="L99" t="n">
        <v>0</v>
      </c>
      <c r="M99" t="n">
        <v>0</v>
      </c>
      <c r="N99" t="n">
        <v>0</v>
      </c>
      <c r="O99" t="n">
        <v>0</v>
      </c>
      <c r="P99" t="n">
        <v>0</v>
      </c>
      <c r="Q99" t="n">
        <v>0</v>
      </c>
      <c r="R99" s="2" t="inlineStr"/>
    </row>
    <row r="100" ht="15" customHeight="1">
      <c r="A100" t="inlineStr">
        <is>
          <t>A 17699-2025</t>
        </is>
      </c>
      <c r="B100" s="1" t="n">
        <v>45758.41846064815</v>
      </c>
      <c r="C100" s="1" t="n">
        <v>46172</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46172</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7669-2024</t>
        </is>
      </c>
      <c r="B102" s="1" t="n">
        <v>45348.82498842593</v>
      </c>
      <c r="C102" s="1" t="n">
        <v>46172</v>
      </c>
      <c r="D102" t="inlineStr">
        <is>
          <t>KALMAR LÄN</t>
        </is>
      </c>
      <c r="E102" t="inlineStr">
        <is>
          <t>BORGHOLM</t>
        </is>
      </c>
      <c r="G102" t="n">
        <v>2.3</v>
      </c>
      <c r="H102" t="n">
        <v>0</v>
      </c>
      <c r="I102" t="n">
        <v>0</v>
      </c>
      <c r="J102" t="n">
        <v>0</v>
      </c>
      <c r="K102" t="n">
        <v>0</v>
      </c>
      <c r="L102" t="n">
        <v>0</v>
      </c>
      <c r="M102" t="n">
        <v>0</v>
      </c>
      <c r="N102" t="n">
        <v>0</v>
      </c>
      <c r="O102" t="n">
        <v>0</v>
      </c>
      <c r="P102" t="n">
        <v>0</v>
      </c>
      <c r="Q102" t="n">
        <v>0</v>
      </c>
      <c r="R102" s="2" t="inlineStr"/>
    </row>
    <row r="103" ht="15" customHeight="1">
      <c r="A103" t="inlineStr">
        <is>
          <t>A 26160-2024</t>
        </is>
      </c>
      <c r="B103" s="1" t="n">
        <v>45468</v>
      </c>
      <c r="C103" s="1" t="n">
        <v>46172</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c r="T103">
        <f>HYPERLINK("https://klasma.github.io/Logging_0885/kartor/A 26160-2024 karta.png", "A 26160-2024")</f>
        <v/>
      </c>
      <c r="V103">
        <f>HYPERLINK("https://klasma.github.io/Logging_0885/klagomål/A 26160-2024 FSC-klagomål.docx", "A 26160-2024")</f>
        <v/>
      </c>
      <c r="W103">
        <f>HYPERLINK("https://klasma.github.io/Logging_0885/klagomålsmail/A 26160-2024 FSC-klagomål mail.docx", "A 26160-2024")</f>
        <v/>
      </c>
      <c r="X103">
        <f>HYPERLINK("https://klasma.github.io/Logging_0885/tillsyn/A 26160-2024 tillsynsbegäran.docx", "A 26160-2024")</f>
        <v/>
      </c>
      <c r="Y103">
        <f>HYPERLINK("https://klasma.github.io/Logging_0885/tillsynsmail/A 26160-2024 tillsynsbegäran mail.docx", "A 26160-2024")</f>
        <v/>
      </c>
    </row>
    <row r="104" ht="15" customHeight="1">
      <c r="A104" t="inlineStr">
        <is>
          <t>A 24338-2026</t>
        </is>
      </c>
      <c r="B104" s="1" t="n">
        <v>46169.54258101852</v>
      </c>
      <c r="C104" s="1" t="n">
        <v>46172</v>
      </c>
      <c r="D104" t="inlineStr">
        <is>
          <t>KALMAR LÄN</t>
        </is>
      </c>
      <c r="E104" t="inlineStr">
        <is>
          <t>BORGHOLM</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24323-2026</t>
        </is>
      </c>
      <c r="B105" s="1" t="n">
        <v>46169.49458333333</v>
      </c>
      <c r="C105" s="1" t="n">
        <v>46172</v>
      </c>
      <c r="D105" t="inlineStr">
        <is>
          <t>KALMAR LÄN</t>
        </is>
      </c>
      <c r="E105" t="inlineStr">
        <is>
          <t>BORGHOLM</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22785-2025</t>
        </is>
      </c>
      <c r="B106" s="1" t="n">
        <v>45789.64186342592</v>
      </c>
      <c r="C106" s="1" t="n">
        <v>46172</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24345-2026</t>
        </is>
      </c>
      <c r="B107" s="1" t="n">
        <v>46169.55112268519</v>
      </c>
      <c r="C107" s="1" t="n">
        <v>46172</v>
      </c>
      <c r="D107" t="inlineStr">
        <is>
          <t>KALMAR LÄN</t>
        </is>
      </c>
      <c r="E107" t="inlineStr">
        <is>
          <t>BORGHOLM</t>
        </is>
      </c>
      <c r="F107" t="inlineStr">
        <is>
          <t>Sveaskog</t>
        </is>
      </c>
      <c r="G107" t="n">
        <v>7.3</v>
      </c>
      <c r="H107" t="n">
        <v>0</v>
      </c>
      <c r="I107" t="n">
        <v>0</v>
      </c>
      <c r="J107" t="n">
        <v>0</v>
      </c>
      <c r="K107" t="n">
        <v>0</v>
      </c>
      <c r="L107" t="n">
        <v>0</v>
      </c>
      <c r="M107" t="n">
        <v>0</v>
      </c>
      <c r="N107" t="n">
        <v>0</v>
      </c>
      <c r="O107" t="n">
        <v>0</v>
      </c>
      <c r="P107" t="n">
        <v>0</v>
      </c>
      <c r="Q107" t="n">
        <v>0</v>
      </c>
      <c r="R107" s="2" t="inlineStr"/>
    </row>
    <row r="108" ht="15" customHeight="1">
      <c r="A108" t="inlineStr">
        <is>
          <t>A 12534-2022</t>
        </is>
      </c>
      <c r="B108" s="1" t="n">
        <v>44638</v>
      </c>
      <c r="C108" s="1" t="n">
        <v>46172</v>
      </c>
      <c r="D108" t="inlineStr">
        <is>
          <t>KALMAR LÄN</t>
        </is>
      </c>
      <c r="E108" t="inlineStr">
        <is>
          <t>BORGHOLM</t>
        </is>
      </c>
      <c r="G108" t="n">
        <v>8.6</v>
      </c>
      <c r="H108" t="n">
        <v>0</v>
      </c>
      <c r="I108" t="n">
        <v>0</v>
      </c>
      <c r="J108" t="n">
        <v>0</v>
      </c>
      <c r="K108" t="n">
        <v>0</v>
      </c>
      <c r="L108" t="n">
        <v>0</v>
      </c>
      <c r="M108" t="n">
        <v>0</v>
      </c>
      <c r="N108" t="n">
        <v>0</v>
      </c>
      <c r="O108" t="n">
        <v>0</v>
      </c>
      <c r="P108" t="n">
        <v>0</v>
      </c>
      <c r="Q108" t="n">
        <v>0</v>
      </c>
      <c r="R108" s="2" t="inlineStr"/>
    </row>
    <row r="109" ht="15" customHeight="1">
      <c r="A109" t="inlineStr">
        <is>
          <t>A 60141-2025</t>
        </is>
      </c>
      <c r="B109" s="1" t="n">
        <v>45994.36873842592</v>
      </c>
      <c r="C109" s="1" t="n">
        <v>46172</v>
      </c>
      <c r="D109" t="inlineStr">
        <is>
          <t>KALMAR LÄN</t>
        </is>
      </c>
      <c r="E109" t="inlineStr">
        <is>
          <t>BORGHOLM</t>
        </is>
      </c>
      <c r="G109" t="n">
        <v>0.7</v>
      </c>
      <c r="H109" t="n">
        <v>0</v>
      </c>
      <c r="I109" t="n">
        <v>0</v>
      </c>
      <c r="J109" t="n">
        <v>0</v>
      </c>
      <c r="K109" t="n">
        <v>0</v>
      </c>
      <c r="L109" t="n">
        <v>0</v>
      </c>
      <c r="M109" t="n">
        <v>0</v>
      </c>
      <c r="N109" t="n">
        <v>0</v>
      </c>
      <c r="O109" t="n">
        <v>0</v>
      </c>
      <c r="P109" t="n">
        <v>0</v>
      </c>
      <c r="Q109" t="n">
        <v>0</v>
      </c>
      <c r="R109" s="2" t="inlineStr"/>
    </row>
    <row r="110" ht="15" customHeight="1">
      <c r="A110" t="inlineStr">
        <is>
          <t>A 40339-2023</t>
        </is>
      </c>
      <c r="B110" s="1" t="n">
        <v>45169.62733796296</v>
      </c>
      <c r="C110" s="1" t="n">
        <v>46172</v>
      </c>
      <c r="D110" t="inlineStr">
        <is>
          <t>KALMAR LÄN</t>
        </is>
      </c>
      <c r="E110" t="inlineStr">
        <is>
          <t>BORGHOLM</t>
        </is>
      </c>
      <c r="G110" t="n">
        <v>3.8</v>
      </c>
      <c r="H110" t="n">
        <v>0</v>
      </c>
      <c r="I110" t="n">
        <v>0</v>
      </c>
      <c r="J110" t="n">
        <v>0</v>
      </c>
      <c r="K110" t="n">
        <v>0</v>
      </c>
      <c r="L110" t="n">
        <v>0</v>
      </c>
      <c r="M110" t="n">
        <v>0</v>
      </c>
      <c r="N110" t="n">
        <v>0</v>
      </c>
      <c r="O110" t="n">
        <v>0</v>
      </c>
      <c r="P110" t="n">
        <v>0</v>
      </c>
      <c r="Q110" t="n">
        <v>0</v>
      </c>
      <c r="R110" s="2" t="inlineStr"/>
    </row>
    <row r="111" ht="15" customHeight="1">
      <c r="A111" t="inlineStr">
        <is>
          <t>A 24166-2022</t>
        </is>
      </c>
      <c r="B111" s="1" t="n">
        <v>44725</v>
      </c>
      <c r="C111" s="1" t="n">
        <v>46172</v>
      </c>
      <c r="D111" t="inlineStr">
        <is>
          <t>KALMAR LÄN</t>
        </is>
      </c>
      <c r="E111" t="inlineStr">
        <is>
          <t>BORGHOLM</t>
        </is>
      </c>
      <c r="G111" t="n">
        <v>10.7</v>
      </c>
      <c r="H111" t="n">
        <v>0</v>
      </c>
      <c r="I111" t="n">
        <v>0</v>
      </c>
      <c r="J111" t="n">
        <v>0</v>
      </c>
      <c r="K111" t="n">
        <v>0</v>
      </c>
      <c r="L111" t="n">
        <v>0</v>
      </c>
      <c r="M111" t="n">
        <v>0</v>
      </c>
      <c r="N111" t="n">
        <v>0</v>
      </c>
      <c r="O111" t="n">
        <v>0</v>
      </c>
      <c r="P111" t="n">
        <v>0</v>
      </c>
      <c r="Q111" t="n">
        <v>0</v>
      </c>
      <c r="R111" s="2" t="inlineStr"/>
    </row>
    <row r="112" ht="15" customHeight="1">
      <c r="A112" t="inlineStr">
        <is>
          <t>A 61723-2025</t>
        </is>
      </c>
      <c r="B112" s="1" t="n">
        <v>46002.58388888889</v>
      </c>
      <c r="C112" s="1" t="n">
        <v>46172</v>
      </c>
      <c r="D112" t="inlineStr">
        <is>
          <t>KALMAR LÄN</t>
        </is>
      </c>
      <c r="E112" t="inlineStr">
        <is>
          <t>BORGHOLM</t>
        </is>
      </c>
      <c r="G112" t="n">
        <v>1.1</v>
      </c>
      <c r="H112" t="n">
        <v>0</v>
      </c>
      <c r="I112" t="n">
        <v>0</v>
      </c>
      <c r="J112" t="n">
        <v>0</v>
      </c>
      <c r="K112" t="n">
        <v>0</v>
      </c>
      <c r="L112" t="n">
        <v>0</v>
      </c>
      <c r="M112" t="n">
        <v>0</v>
      </c>
      <c r="N112" t="n">
        <v>0</v>
      </c>
      <c r="O112" t="n">
        <v>0</v>
      </c>
      <c r="P112" t="n">
        <v>0</v>
      </c>
      <c r="Q112" t="n">
        <v>0</v>
      </c>
      <c r="R112" s="2" t="inlineStr"/>
    </row>
    <row r="113" ht="15" customHeight="1">
      <c r="A113" t="inlineStr">
        <is>
          <t>A 26190-2025</t>
        </is>
      </c>
      <c r="B113" s="1" t="n">
        <v>45805.48349537037</v>
      </c>
      <c r="C113" s="1" t="n">
        <v>46172</v>
      </c>
      <c r="D113" t="inlineStr">
        <is>
          <t>KALMAR LÄN</t>
        </is>
      </c>
      <c r="E113" t="inlineStr">
        <is>
          <t>BORGHOLM</t>
        </is>
      </c>
      <c r="G113" t="n">
        <v>3.2</v>
      </c>
      <c r="H113" t="n">
        <v>0</v>
      </c>
      <c r="I113" t="n">
        <v>0</v>
      </c>
      <c r="J113" t="n">
        <v>0</v>
      </c>
      <c r="K113" t="n">
        <v>0</v>
      </c>
      <c r="L113" t="n">
        <v>0</v>
      </c>
      <c r="M113" t="n">
        <v>0</v>
      </c>
      <c r="N113" t="n">
        <v>0</v>
      </c>
      <c r="O113" t="n">
        <v>0</v>
      </c>
      <c r="P113" t="n">
        <v>0</v>
      </c>
      <c r="Q113" t="n">
        <v>0</v>
      </c>
      <c r="R113" s="2" t="inlineStr"/>
    </row>
    <row r="114" ht="15" customHeight="1">
      <c r="A114" t="inlineStr">
        <is>
          <t>A 26160-2025</t>
        </is>
      </c>
      <c r="B114" s="1" t="n">
        <v>45805.4490162037</v>
      </c>
      <c r="C114" s="1" t="n">
        <v>46172</v>
      </c>
      <c r="D114" t="inlineStr">
        <is>
          <t>KALMAR LÄN</t>
        </is>
      </c>
      <c r="E114" t="inlineStr">
        <is>
          <t>BORGHOLM</t>
        </is>
      </c>
      <c r="G114" t="n">
        <v>3.7</v>
      </c>
      <c r="H114" t="n">
        <v>0</v>
      </c>
      <c r="I114" t="n">
        <v>0</v>
      </c>
      <c r="J114" t="n">
        <v>0</v>
      </c>
      <c r="K114" t="n">
        <v>0</v>
      </c>
      <c r="L114" t="n">
        <v>0</v>
      </c>
      <c r="M114" t="n">
        <v>0</v>
      </c>
      <c r="N114" t="n">
        <v>0</v>
      </c>
      <c r="O114" t="n">
        <v>0</v>
      </c>
      <c r="P114" t="n">
        <v>0</v>
      </c>
      <c r="Q114" t="n">
        <v>0</v>
      </c>
      <c r="R114" s="2" t="inlineStr"/>
    </row>
    <row r="115" ht="15" customHeight="1">
      <c r="A115" t="inlineStr">
        <is>
          <t>A 27357-2025</t>
        </is>
      </c>
      <c r="B115" s="1" t="n">
        <v>45812.63650462963</v>
      </c>
      <c r="C115" s="1" t="n">
        <v>46172</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27366-2025</t>
        </is>
      </c>
      <c r="B116" s="1" t="n">
        <v>45812.64475694444</v>
      </c>
      <c r="C116" s="1" t="n">
        <v>46172</v>
      </c>
      <c r="D116" t="inlineStr">
        <is>
          <t>KALMAR LÄN</t>
        </is>
      </c>
      <c r="E116" t="inlineStr">
        <is>
          <t>BORGHOLM</t>
        </is>
      </c>
      <c r="F116" t="inlineStr">
        <is>
          <t>Sveaskog</t>
        </is>
      </c>
      <c r="G116" t="n">
        <v>2.5</v>
      </c>
      <c r="H116" t="n">
        <v>0</v>
      </c>
      <c r="I116" t="n">
        <v>0</v>
      </c>
      <c r="J116" t="n">
        <v>0</v>
      </c>
      <c r="K116" t="n">
        <v>0</v>
      </c>
      <c r="L116" t="n">
        <v>0</v>
      </c>
      <c r="M116" t="n">
        <v>0</v>
      </c>
      <c r="N116" t="n">
        <v>0</v>
      </c>
      <c r="O116" t="n">
        <v>0</v>
      </c>
      <c r="P116" t="n">
        <v>0</v>
      </c>
      <c r="Q116" t="n">
        <v>0</v>
      </c>
      <c r="R116" s="2" t="inlineStr"/>
    </row>
    <row r="117" ht="15" customHeight="1">
      <c r="A117" t="inlineStr">
        <is>
          <t>A 28782-2025</t>
        </is>
      </c>
      <c r="B117" s="1" t="n">
        <v>45820.45572916666</v>
      </c>
      <c r="C117" s="1" t="n">
        <v>46172</v>
      </c>
      <c r="D117" t="inlineStr">
        <is>
          <t>KALMAR LÄN</t>
        </is>
      </c>
      <c r="E117" t="inlineStr">
        <is>
          <t>BORGHOLM</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7481-2026</t>
        </is>
      </c>
      <c r="B118" s="1" t="n">
        <v>46059.51359953704</v>
      </c>
      <c r="C118" s="1" t="n">
        <v>46172</v>
      </c>
      <c r="D118" t="inlineStr">
        <is>
          <t>KALMAR LÄN</t>
        </is>
      </c>
      <c r="E118" t="inlineStr">
        <is>
          <t>BORGHOLM</t>
        </is>
      </c>
      <c r="G118" t="n">
        <v>1.9</v>
      </c>
      <c r="H118" t="n">
        <v>0</v>
      </c>
      <c r="I118" t="n">
        <v>0</v>
      </c>
      <c r="J118" t="n">
        <v>0</v>
      </c>
      <c r="K118" t="n">
        <v>0</v>
      </c>
      <c r="L118" t="n">
        <v>0</v>
      </c>
      <c r="M118" t="n">
        <v>0</v>
      </c>
      <c r="N118" t="n">
        <v>0</v>
      </c>
      <c r="O118" t="n">
        <v>0</v>
      </c>
      <c r="P118" t="n">
        <v>0</v>
      </c>
      <c r="Q118" t="n">
        <v>0</v>
      </c>
      <c r="R118" s="2" t="inlineStr"/>
    </row>
    <row r="119" ht="15" customHeight="1">
      <c r="A119" t="inlineStr">
        <is>
          <t>A 9104-2026</t>
        </is>
      </c>
      <c r="B119" s="1" t="n">
        <v>46069</v>
      </c>
      <c r="C119" s="1" t="n">
        <v>46172</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9259-2026</t>
        </is>
      </c>
      <c r="B120" s="1" t="n">
        <v>46070.51917824074</v>
      </c>
      <c r="C120" s="1" t="n">
        <v>46172</v>
      </c>
      <c r="D120" t="inlineStr">
        <is>
          <t>KALMAR LÄN</t>
        </is>
      </c>
      <c r="E120" t="inlineStr">
        <is>
          <t>BORGHOLM</t>
        </is>
      </c>
      <c r="G120" t="n">
        <v>1.6</v>
      </c>
      <c r="H120" t="n">
        <v>0</v>
      </c>
      <c r="I120" t="n">
        <v>0</v>
      </c>
      <c r="J120" t="n">
        <v>0</v>
      </c>
      <c r="K120" t="n">
        <v>0</v>
      </c>
      <c r="L120" t="n">
        <v>0</v>
      </c>
      <c r="M120" t="n">
        <v>0</v>
      </c>
      <c r="N120" t="n">
        <v>0</v>
      </c>
      <c r="O120" t="n">
        <v>0</v>
      </c>
      <c r="P120" t="n">
        <v>0</v>
      </c>
      <c r="Q120" t="n">
        <v>0</v>
      </c>
      <c r="R120" s="2" t="inlineStr"/>
    </row>
    <row r="121" ht="15" customHeight="1">
      <c r="A121" t="inlineStr">
        <is>
          <t>A 9905-2026</t>
        </is>
      </c>
      <c r="B121" s="1" t="n">
        <v>46073.4108912037</v>
      </c>
      <c r="C121" s="1" t="n">
        <v>46172</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row r="122" ht="15" customHeight="1">
      <c r="A122" t="inlineStr">
        <is>
          <t>A 36269-2025</t>
        </is>
      </c>
      <c r="B122" s="1" t="n">
        <v>45867.61736111111</v>
      </c>
      <c r="C122" s="1" t="n">
        <v>46172</v>
      </c>
      <c r="D122" t="inlineStr">
        <is>
          <t>KALMAR LÄN</t>
        </is>
      </c>
      <c r="E122" t="inlineStr">
        <is>
          <t>BORGHOLM</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15272-2026</t>
        </is>
      </c>
      <c r="B123" s="1" t="n">
        <v>46105.60017361111</v>
      </c>
      <c r="C123" s="1" t="n">
        <v>46172</v>
      </c>
      <c r="D123" t="inlineStr">
        <is>
          <t>KALMAR LÄN</t>
        </is>
      </c>
      <c r="E123" t="inlineStr">
        <is>
          <t>BORGHOLM</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15279-2026</t>
        </is>
      </c>
      <c r="B124" s="1" t="n">
        <v>46105.61030092592</v>
      </c>
      <c r="C124" s="1" t="n">
        <v>46172</v>
      </c>
      <c r="D124" t="inlineStr">
        <is>
          <t>KALMAR LÄN</t>
        </is>
      </c>
      <c r="E124" t="inlineStr">
        <is>
          <t>BORGHOLM</t>
        </is>
      </c>
      <c r="F124" t="inlineStr">
        <is>
          <t>Sveaskog</t>
        </is>
      </c>
      <c r="G124" t="n">
        <v>4.6</v>
      </c>
      <c r="H124" t="n">
        <v>0</v>
      </c>
      <c r="I124" t="n">
        <v>0</v>
      </c>
      <c r="J124" t="n">
        <v>0</v>
      </c>
      <c r="K124" t="n">
        <v>0</v>
      </c>
      <c r="L124" t="n">
        <v>0</v>
      </c>
      <c r="M124" t="n">
        <v>0</v>
      </c>
      <c r="N124" t="n">
        <v>0</v>
      </c>
      <c r="O124" t="n">
        <v>0</v>
      </c>
      <c r="P124" t="n">
        <v>0</v>
      </c>
      <c r="Q124" t="n">
        <v>0</v>
      </c>
      <c r="R124" s="2" t="inlineStr"/>
    </row>
    <row r="125">
      <c r="A125" t="inlineStr">
        <is>
          <t>A 15264-2026</t>
        </is>
      </c>
      <c r="B125" s="1" t="n">
        <v>46105.59372685185</v>
      </c>
      <c r="C125" s="1" t="n">
        <v>46172</v>
      </c>
      <c r="D125" t="inlineStr">
        <is>
          <t>KALMAR LÄN</t>
        </is>
      </c>
      <c r="E125" t="inlineStr">
        <is>
          <t>BORGHOLM</t>
        </is>
      </c>
      <c r="F125" t="inlineStr">
        <is>
          <t>Sveaskog</t>
        </is>
      </c>
      <c r="G125" t="n">
        <v>1.7</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2026-05-30T10:51:51Z</dcterms:created>
  <dcterms:modified xmlns:dcterms="http://purl.org/dc/terms/" xmlns:xsi="http://www.w3.org/2001/XMLSchema-instance" xsi:type="dcterms:W3CDTF">2026-05-30T10:51:51Z</dcterms:modified>
</cp:coreProperties>
</file>