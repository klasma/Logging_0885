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46139</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46139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46139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4164-2023</t>
        </is>
      </c>
      <c r="B19" s="1" t="n">
        <v>44953</v>
      </c>
      <c r="C19" s="1" t="n">
        <v>46139</v>
      </c>
      <c r="D19" t="inlineStr">
        <is>
          <t>KALMAR LÄN</t>
        </is>
      </c>
      <c r="E19" t="inlineStr">
        <is>
          <t>BORGHOLM</t>
        </is>
      </c>
      <c r="G19" t="n">
        <v>3.3</v>
      </c>
      <c r="H19" t="n">
        <v>1</v>
      </c>
      <c r="I19" t="n">
        <v>1</v>
      </c>
      <c r="J19" t="n">
        <v>0</v>
      </c>
      <c r="K19" t="n">
        <v>0</v>
      </c>
      <c r="L19" t="n">
        <v>0</v>
      </c>
      <c r="M19" t="n">
        <v>0</v>
      </c>
      <c r="N19" t="n">
        <v>0</v>
      </c>
      <c r="O19" t="n">
        <v>0</v>
      </c>
      <c r="P19" t="n">
        <v>0</v>
      </c>
      <c r="Q19" t="n">
        <v>2</v>
      </c>
      <c r="R19" s="2" t="inlineStr">
        <is>
          <t>Murgröna
Blåsippa</t>
        </is>
      </c>
      <c r="S19">
        <f>HYPERLINK("https://klasma.github.io/Logging_0885/artfynd/A 4164-2023 artfynd.xlsx", "A 4164-2023")</f>
        <v/>
      </c>
      <c r="T19">
        <f>HYPERLINK("https://klasma.github.io/Logging_0885/kartor/A 4164-2023 karta.png", "A 4164-2023")</f>
        <v/>
      </c>
      <c r="V19">
        <f>HYPERLINK("https://klasma.github.io/Logging_0885/klagomål/A 4164-2023 FSC-klagomål.docx", "A 4164-2023")</f>
        <v/>
      </c>
      <c r="W19">
        <f>HYPERLINK("https://klasma.github.io/Logging_0885/klagomålsmail/A 4164-2023 FSC-klagomål mail.docx", "A 4164-2023")</f>
        <v/>
      </c>
      <c r="X19">
        <f>HYPERLINK("https://klasma.github.io/Logging_0885/tillsyn/A 4164-2023 tillsynsbegäran.docx", "A 4164-2023")</f>
        <v/>
      </c>
      <c r="Y19">
        <f>HYPERLINK("https://klasma.github.io/Logging_0885/tillsynsmail/A 4164-2023 tillsynsbegäran mail.docx", "A 4164-2023")</f>
        <v/>
      </c>
    </row>
    <row r="20" ht="15" customHeight="1">
      <c r="A20" t="inlineStr">
        <is>
          <t>A 38860-2025</t>
        </is>
      </c>
      <c r="B20" s="1" t="n">
        <v>45887.5609375</v>
      </c>
      <c r="C20" s="1" t="n">
        <v>46139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46139</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46139</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46139</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60140-2025</t>
        </is>
      </c>
      <c r="B24" s="1" t="n">
        <v>45994.36274305556</v>
      </c>
      <c r="C24" s="1" t="n">
        <v>46139</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46139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46139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46139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15285-2026</t>
        </is>
      </c>
      <c r="B28" s="1" t="n">
        <v>46105.6156712963</v>
      </c>
      <c r="C28" s="1" t="n">
        <v>46139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9253-2026</t>
        </is>
      </c>
      <c r="B29" s="1" t="n">
        <v>46070.51003472223</v>
      </c>
      <c r="C29" s="1" t="n">
        <v>46139</v>
      </c>
      <c r="D29" t="inlineStr">
        <is>
          <t>KALMAR LÄN</t>
        </is>
      </c>
      <c r="E29" t="inlineStr">
        <is>
          <t>BORGHOLM</t>
        </is>
      </c>
      <c r="G29" t="n">
        <v>1.1</v>
      </c>
      <c r="H29" t="n">
        <v>1</v>
      </c>
      <c r="I29" t="n">
        <v>1</v>
      </c>
      <c r="J29" t="n">
        <v>0</v>
      </c>
      <c r="K29" t="n">
        <v>0</v>
      </c>
      <c r="L29" t="n">
        <v>0</v>
      </c>
      <c r="M29" t="n">
        <v>0</v>
      </c>
      <c r="N29" t="n">
        <v>0</v>
      </c>
      <c r="O29" t="n">
        <v>0</v>
      </c>
      <c r="P29" t="n">
        <v>0</v>
      </c>
      <c r="Q29" t="n">
        <v>2</v>
      </c>
      <c r="R29" s="2" t="inlineStr">
        <is>
          <t>Murgröna
Gullviva</t>
        </is>
      </c>
      <c r="S29">
        <f>HYPERLINK("https://klasma.github.io/Logging_0885/artfynd/A 9253-2026 artfynd.xlsx", "A 9253-2026")</f>
        <v/>
      </c>
      <c r="T29">
        <f>HYPERLINK("https://klasma.github.io/Logging_0885/kartor/A 9253-2026 karta.png", "A 9253-2026")</f>
        <v/>
      </c>
      <c r="V29">
        <f>HYPERLINK("https://klasma.github.io/Logging_0885/klagomål/A 9253-2026 FSC-klagomål.docx", "A 9253-2026")</f>
        <v/>
      </c>
      <c r="W29">
        <f>HYPERLINK("https://klasma.github.io/Logging_0885/klagomålsmail/A 9253-2026 FSC-klagomål mail.docx", "A 9253-2026")</f>
        <v/>
      </c>
      <c r="X29">
        <f>HYPERLINK("https://klasma.github.io/Logging_0885/tillsyn/A 9253-2026 tillsynsbegäran.docx", "A 9253-2026")</f>
        <v/>
      </c>
      <c r="Y29">
        <f>HYPERLINK("https://klasma.github.io/Logging_0885/tillsynsmail/A 9253-2026 tillsynsbegäran mail.docx", "A 9253-2026")</f>
        <v/>
      </c>
    </row>
    <row r="30" ht="15" customHeight="1">
      <c r="A30" t="inlineStr">
        <is>
          <t>A 31790-2021</t>
        </is>
      </c>
      <c r="B30" s="1" t="n">
        <v>44370</v>
      </c>
      <c r="C30" s="1" t="n">
        <v>46139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46139</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46139</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46139</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46139</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45693-2025</t>
        </is>
      </c>
      <c r="B36" s="1" t="n">
        <v>45923</v>
      </c>
      <c r="C36" s="1" t="n">
        <v>46139</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28785-2025</t>
        </is>
      </c>
      <c r="B37" s="1" t="n">
        <v>45820.46159722222</v>
      </c>
      <c r="C37" s="1" t="n">
        <v>46139</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24704-2023</t>
        </is>
      </c>
      <c r="B38" s="1" t="n">
        <v>45084</v>
      </c>
      <c r="C38" s="1" t="n">
        <v>46139</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29962-2025</t>
        </is>
      </c>
      <c r="B39" s="1" t="n">
        <v>45826.48184027777</v>
      </c>
      <c r="C39" s="1" t="n">
        <v>46139</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34885-2025</t>
        </is>
      </c>
      <c r="B40" s="1" t="n">
        <v>45849.47128472223</v>
      </c>
      <c r="C40" s="1" t="n">
        <v>46139</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9745-2023</t>
        </is>
      </c>
      <c r="B41" s="1" t="n">
        <v>44984</v>
      </c>
      <c r="C41" s="1" t="n">
        <v>46139</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46139</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3302-2026</t>
        </is>
      </c>
      <c r="B43" s="1" t="n">
        <v>46041</v>
      </c>
      <c r="C43" s="1" t="n">
        <v>46139</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46139</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46139</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46139</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46139</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46139</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46139</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46139</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46139</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46139</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46139</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46139</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46139</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9044-2025</t>
        </is>
      </c>
      <c r="B56" s="1" t="n">
        <v>45713.6275</v>
      </c>
      <c r="C56" s="1" t="n">
        <v>46139</v>
      </c>
      <c r="D56" t="inlineStr">
        <is>
          <t>KALMAR LÄN</t>
        </is>
      </c>
      <c r="E56" t="inlineStr">
        <is>
          <t>BORGHOLM</t>
        </is>
      </c>
      <c r="F56" t="inlineStr">
        <is>
          <t>Sveaskog</t>
        </is>
      </c>
      <c r="G56" t="n">
        <v>4</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46139</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20878-2024</t>
        </is>
      </c>
      <c r="B58" s="1" t="n">
        <v>45439.44748842593</v>
      </c>
      <c r="C58" s="1" t="n">
        <v>46139</v>
      </c>
      <c r="D58" t="inlineStr">
        <is>
          <t>KALMAR LÄN</t>
        </is>
      </c>
      <c r="E58" t="inlineStr">
        <is>
          <t>BORGHOLM</t>
        </is>
      </c>
      <c r="G58" t="n">
        <v>1.9</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46139</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17699-2025</t>
        </is>
      </c>
      <c r="B60" s="1" t="n">
        <v>45758.41846064815</v>
      </c>
      <c r="C60" s="1" t="n">
        <v>46139</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20287-2025</t>
        </is>
      </c>
      <c r="B61" s="1" t="n">
        <v>45774.60741898148</v>
      </c>
      <c r="C61" s="1" t="n">
        <v>46139</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46139</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46139</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4159-2024</t>
        </is>
      </c>
      <c r="B64" s="1" t="n">
        <v>45323</v>
      </c>
      <c r="C64" s="1" t="n">
        <v>46139</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9034-2025</t>
        </is>
      </c>
      <c r="B65" s="1" t="n">
        <v>45713</v>
      </c>
      <c r="C65" s="1" t="n">
        <v>46139</v>
      </c>
      <c r="D65" t="inlineStr">
        <is>
          <t>KALMAR LÄN</t>
        </is>
      </c>
      <c r="E65" t="inlineStr">
        <is>
          <t>BORGHOLM</t>
        </is>
      </c>
      <c r="F65" t="inlineStr">
        <is>
          <t>Sveaskog</t>
        </is>
      </c>
      <c r="G65" t="n">
        <v>6.8</v>
      </c>
      <c r="H65" t="n">
        <v>0</v>
      </c>
      <c r="I65" t="n">
        <v>0</v>
      </c>
      <c r="J65" t="n">
        <v>0</v>
      </c>
      <c r="K65" t="n">
        <v>0</v>
      </c>
      <c r="L65" t="n">
        <v>0</v>
      </c>
      <c r="M65" t="n">
        <v>0</v>
      </c>
      <c r="N65" t="n">
        <v>0</v>
      </c>
      <c r="O65" t="n">
        <v>0</v>
      </c>
      <c r="P65" t="n">
        <v>0</v>
      </c>
      <c r="Q65" t="n">
        <v>0</v>
      </c>
      <c r="R65" s="2" t="inlineStr"/>
    </row>
    <row r="66" ht="15" customHeight="1">
      <c r="A66" t="inlineStr">
        <is>
          <t>A 13548-2025</t>
        </is>
      </c>
      <c r="B66" s="1" t="n">
        <v>45736.53827546296</v>
      </c>
      <c r="C66" s="1" t="n">
        <v>46139</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63075-2023</t>
        </is>
      </c>
      <c r="B67" s="1" t="n">
        <v>45273</v>
      </c>
      <c r="C67" s="1" t="n">
        <v>46139</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32921-2023</t>
        </is>
      </c>
      <c r="B68" s="1" t="n">
        <v>45125</v>
      </c>
      <c r="C68" s="1" t="n">
        <v>46139</v>
      </c>
      <c r="D68" t="inlineStr">
        <is>
          <t>KALMAR LÄN</t>
        </is>
      </c>
      <c r="E68" t="inlineStr">
        <is>
          <t>BORGHOLM</t>
        </is>
      </c>
      <c r="G68" t="n">
        <v>2.9</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46139</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46139</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42232-2025</t>
        </is>
      </c>
      <c r="B71" s="1" t="n">
        <v>45904.55591435185</v>
      </c>
      <c r="C71" s="1" t="n">
        <v>46139</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46139</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64303-2023</t>
        </is>
      </c>
      <c r="B73" s="1" t="n">
        <v>45280</v>
      </c>
      <c r="C73" s="1" t="n">
        <v>46139</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46139</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63276-2023</t>
        </is>
      </c>
      <c r="B75" s="1" t="n">
        <v>45273.82195601852</v>
      </c>
      <c r="C75" s="1" t="n">
        <v>46139</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21908-2022</t>
        </is>
      </c>
      <c r="B76" s="1" t="n">
        <v>44711</v>
      </c>
      <c r="C76" s="1" t="n">
        <v>46139</v>
      </c>
      <c r="D76" t="inlineStr">
        <is>
          <t>KALMAR LÄN</t>
        </is>
      </c>
      <c r="E76" t="inlineStr">
        <is>
          <t>BORGHOLM</t>
        </is>
      </c>
      <c r="G76" t="n">
        <v>4.7</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46139</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55367-2024</t>
        </is>
      </c>
      <c r="B78" s="1" t="n">
        <v>45621.87075231481</v>
      </c>
      <c r="C78" s="1" t="n">
        <v>46139</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46139</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46139</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12534-2022</t>
        </is>
      </c>
      <c r="B81" s="1" t="n">
        <v>44638</v>
      </c>
      <c r="C81" s="1" t="n">
        <v>46139</v>
      </c>
      <c r="D81" t="inlineStr">
        <is>
          <t>KALMAR LÄN</t>
        </is>
      </c>
      <c r="E81" t="inlineStr">
        <is>
          <t>BORGHOLM</t>
        </is>
      </c>
      <c r="G81" t="n">
        <v>8.6</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46139</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40339-2023</t>
        </is>
      </c>
      <c r="B83" s="1" t="n">
        <v>45169.62733796296</v>
      </c>
      <c r="C83" s="1" t="n">
        <v>46139</v>
      </c>
      <c r="D83" t="inlineStr">
        <is>
          <t>KALMAR LÄN</t>
        </is>
      </c>
      <c r="E83" t="inlineStr">
        <is>
          <t>BORGHOLM</t>
        </is>
      </c>
      <c r="G83" t="n">
        <v>3.8</v>
      </c>
      <c r="H83" t="n">
        <v>0</v>
      </c>
      <c r="I83" t="n">
        <v>0</v>
      </c>
      <c r="J83" t="n">
        <v>0</v>
      </c>
      <c r="K83" t="n">
        <v>0</v>
      </c>
      <c r="L83" t="n">
        <v>0</v>
      </c>
      <c r="M83" t="n">
        <v>0</v>
      </c>
      <c r="N83" t="n">
        <v>0</v>
      </c>
      <c r="O83" t="n">
        <v>0</v>
      </c>
      <c r="P83" t="n">
        <v>0</v>
      </c>
      <c r="Q83" t="n">
        <v>0</v>
      </c>
      <c r="R83" s="2" t="inlineStr"/>
    </row>
    <row r="84" ht="15" customHeight="1">
      <c r="A84" t="inlineStr">
        <is>
          <t>A 24166-2022</t>
        </is>
      </c>
      <c r="B84" s="1" t="n">
        <v>44725</v>
      </c>
      <c r="C84" s="1" t="n">
        <v>46139</v>
      </c>
      <c r="D84" t="inlineStr">
        <is>
          <t>KALMAR LÄN</t>
        </is>
      </c>
      <c r="E84" t="inlineStr">
        <is>
          <t>BORGHOLM</t>
        </is>
      </c>
      <c r="G84" t="n">
        <v>10.7</v>
      </c>
      <c r="H84" t="n">
        <v>0</v>
      </c>
      <c r="I84" t="n">
        <v>0</v>
      </c>
      <c r="J84" t="n">
        <v>0</v>
      </c>
      <c r="K84" t="n">
        <v>0</v>
      </c>
      <c r="L84" t="n">
        <v>0</v>
      </c>
      <c r="M84" t="n">
        <v>0</v>
      </c>
      <c r="N84" t="n">
        <v>0</v>
      </c>
      <c r="O84" t="n">
        <v>0</v>
      </c>
      <c r="P84" t="n">
        <v>0</v>
      </c>
      <c r="Q84" t="n">
        <v>0</v>
      </c>
      <c r="R84" s="2" t="inlineStr"/>
    </row>
    <row r="85" ht="15" customHeight="1">
      <c r="A85" t="inlineStr">
        <is>
          <t>A 1614-2025</t>
        </is>
      </c>
      <c r="B85" s="1" t="n">
        <v>45670.60094907408</v>
      </c>
      <c r="C85" s="1" t="n">
        <v>46139</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46139</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46139</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46139</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27366-2025</t>
        </is>
      </c>
      <c r="B89" s="1" t="n">
        <v>45812.64475694444</v>
      </c>
      <c r="C89" s="1" t="n">
        <v>46139</v>
      </c>
      <c r="D89" t="inlineStr">
        <is>
          <t>KALMAR LÄN</t>
        </is>
      </c>
      <c r="E89" t="inlineStr">
        <is>
          <t>BORGHOLM</t>
        </is>
      </c>
      <c r="F89" t="inlineStr">
        <is>
          <t>Sveaskog</t>
        </is>
      </c>
      <c r="G89" t="n">
        <v>2.5</v>
      </c>
      <c r="H89" t="n">
        <v>0</v>
      </c>
      <c r="I89" t="n">
        <v>0</v>
      </c>
      <c r="J89" t="n">
        <v>0</v>
      </c>
      <c r="K89" t="n">
        <v>0</v>
      </c>
      <c r="L89" t="n">
        <v>0</v>
      </c>
      <c r="M89" t="n">
        <v>0</v>
      </c>
      <c r="N89" t="n">
        <v>0</v>
      </c>
      <c r="O89" t="n">
        <v>0</v>
      </c>
      <c r="P89" t="n">
        <v>0</v>
      </c>
      <c r="Q89" t="n">
        <v>0</v>
      </c>
      <c r="R89" s="2" t="inlineStr"/>
    </row>
    <row r="90" ht="15" customHeight="1">
      <c r="A90" t="inlineStr">
        <is>
          <t>A 28782-2025</t>
        </is>
      </c>
      <c r="B90" s="1" t="n">
        <v>45820.45572916666</v>
      </c>
      <c r="C90" s="1" t="n">
        <v>46139</v>
      </c>
      <c r="D90" t="inlineStr">
        <is>
          <t>KALMAR LÄN</t>
        </is>
      </c>
      <c r="E90" t="inlineStr">
        <is>
          <t>BORGHOLM</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46139</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46139</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46139</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36269-2025</t>
        </is>
      </c>
      <c r="B94" s="1" t="n">
        <v>45867.61736111111</v>
      </c>
      <c r="C94" s="1" t="n">
        <v>46139</v>
      </c>
      <c r="D94" t="inlineStr">
        <is>
          <t>KALMAR LÄN</t>
        </is>
      </c>
      <c r="E94" t="inlineStr">
        <is>
          <t>BORGHOLM</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46139</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46139</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61723-2025</t>
        </is>
      </c>
      <c r="B97" s="1" t="n">
        <v>46002.58388888889</v>
      </c>
      <c r="C97" s="1" t="n">
        <v>46139</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46139</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46139</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46139</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46139</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46139</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15264-2026</t>
        </is>
      </c>
      <c r="B103" s="1" t="n">
        <v>46105.59372685185</v>
      </c>
      <c r="C103" s="1" t="n">
        <v>46139</v>
      </c>
      <c r="D103" t="inlineStr">
        <is>
          <t>KALMAR LÄN</t>
        </is>
      </c>
      <c r="E103" t="inlineStr">
        <is>
          <t>BORGHOLM</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46139</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9104-2026</t>
        </is>
      </c>
      <c r="B105" s="1" t="n">
        <v>46069</v>
      </c>
      <c r="C105" s="1" t="n">
        <v>46139</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9259-2026</t>
        </is>
      </c>
      <c r="B106" s="1" t="n">
        <v>46070.51917824074</v>
      </c>
      <c r="C106" s="1" t="n">
        <v>46139</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32919-2023</t>
        </is>
      </c>
      <c r="B107" s="1" t="n">
        <v>45125</v>
      </c>
      <c r="C107" s="1" t="n">
        <v>46139</v>
      </c>
      <c r="D107" t="inlineStr">
        <is>
          <t>KALMAR LÄN</t>
        </is>
      </c>
      <c r="E107" t="inlineStr">
        <is>
          <t>BORGHOLM</t>
        </is>
      </c>
      <c r="G107" t="n">
        <v>2.7</v>
      </c>
      <c r="H107" t="n">
        <v>0</v>
      </c>
      <c r="I107" t="n">
        <v>0</v>
      </c>
      <c r="J107" t="n">
        <v>0</v>
      </c>
      <c r="K107" t="n">
        <v>0</v>
      </c>
      <c r="L107" t="n">
        <v>0</v>
      </c>
      <c r="M107" t="n">
        <v>0</v>
      </c>
      <c r="N107" t="n">
        <v>0</v>
      </c>
      <c r="O107" t="n">
        <v>0</v>
      </c>
      <c r="P107" t="n">
        <v>0</v>
      </c>
      <c r="Q107" t="n">
        <v>0</v>
      </c>
      <c r="R107" s="2" t="inlineStr"/>
    </row>
    <row r="108" ht="15" customHeight="1">
      <c r="A108" t="inlineStr">
        <is>
          <t>A 9905-2026</t>
        </is>
      </c>
      <c r="B108" s="1" t="n">
        <v>46073.4108912037</v>
      </c>
      <c r="C108" s="1" t="n">
        <v>46139</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44678-2022</t>
        </is>
      </c>
      <c r="B109" s="1" t="n">
        <v>44840.65100694444</v>
      </c>
      <c r="C109" s="1" t="n">
        <v>46139</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46139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44547-2021</t>
        </is>
      </c>
      <c r="B111" s="1" t="n">
        <v>44435</v>
      </c>
      <c r="C111" s="1" t="n">
        <v>46139</v>
      </c>
      <c r="D111" t="inlineStr">
        <is>
          <t>KALMAR LÄN</t>
        </is>
      </c>
      <c r="E111" t="inlineStr">
        <is>
          <t>BORGHOLM</t>
        </is>
      </c>
      <c r="G111" t="n">
        <v>1.4</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46139</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46139</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46139</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46139</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46139</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46139</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53050-2021</t>
        </is>
      </c>
      <c r="B118" s="1" t="n">
        <v>44467</v>
      </c>
      <c r="C118" s="1" t="n">
        <v>46139</v>
      </c>
      <c r="D118" t="inlineStr">
        <is>
          <t>KALMAR LÄN</t>
        </is>
      </c>
      <c r="E118" t="inlineStr">
        <is>
          <t>BORGHOLM</t>
        </is>
      </c>
      <c r="G118" t="n">
        <v>3.6</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46139</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50129-2021</t>
        </is>
      </c>
      <c r="B120" s="1" t="n">
        <v>44456</v>
      </c>
      <c r="C120" s="1" t="n">
        <v>46139</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ht="15" customHeight="1">
      <c r="A121" t="inlineStr">
        <is>
          <t>A 13043-2024</t>
        </is>
      </c>
      <c r="B121" s="1" t="n">
        <v>45385.60111111111</v>
      </c>
      <c r="C121" s="1" t="n">
        <v>46139</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row r="122">
      <c r="A122" t="inlineStr">
        <is>
          <t>A 34780-2022</t>
        </is>
      </c>
      <c r="B122" s="1" t="n">
        <v>44795</v>
      </c>
      <c r="C122" s="1" t="n">
        <v>46139</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2026-04-27T11:24:16Z</dcterms:created>
  <dcterms:modified xmlns:dcterms="http://purl.org/dc/terms/" xmlns:xsi="http://www.w3.org/2001/XMLSchema-instance" xsi:type="dcterms:W3CDTF">2026-04-27T11:24:16Z</dcterms:modified>
</cp:coreProperties>
</file>