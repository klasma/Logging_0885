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46238</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46238</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46238</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46238</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46238</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46238</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46238</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46238</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46238</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46238</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46238</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46238</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46238</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46238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46238</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46238</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46238</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46238</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46238</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46238</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46238</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46238</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46238</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46238</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46238</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46238</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46238</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46238</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46238</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46238</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46238</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46238</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46238</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46238</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46238</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46238</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46238</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46238</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46238</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46238</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46238</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32174-2022</t>
        </is>
      </c>
      <c r="B52" t="inlineStr">
        <is>
          <t>avverkningsanmälan</t>
        </is>
      </c>
      <c r="C52" t="inlineStr">
        <is>
          <t>Avverkning för att bevara och utveckla /försöksver</t>
        </is>
      </c>
      <c r="D52" s="1" t="n">
        <v>44781</v>
      </c>
      <c r="E52" s="1" t="n">
        <v>46238</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43756-2022</t>
        </is>
      </c>
      <c r="B53" t="inlineStr">
        <is>
          <t>avverkningsanmälan</t>
        </is>
      </c>
      <c r="C53" t="inlineStr">
        <is>
          <t>Föryngringsavverkning</t>
        </is>
      </c>
      <c r="D53" s="1" t="n">
        <v>44837</v>
      </c>
      <c r="E53" s="1" t="n">
        <v>46238</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15285-2026</t>
        </is>
      </c>
      <c r="B54" t="inlineStr">
        <is>
          <t>avverkningsanmälan</t>
        </is>
      </c>
      <c r="C54" t="inlineStr">
        <is>
          <t>Avverkning för att bevara och utveckla /försöksver</t>
        </is>
      </c>
      <c r="D54" s="1" t="n">
        <v>46105</v>
      </c>
      <c r="E54" s="1" t="n">
        <v>46238</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31520-2026</t>
        </is>
      </c>
      <c r="B55" t="inlineStr">
        <is>
          <t>avverkningsanmälan</t>
        </is>
      </c>
      <c r="C55" t="inlineStr">
        <is>
          <t>Avverkning för att bevara och utveckla /försöksver</t>
        </is>
      </c>
      <c r="D55" s="1" t="n">
        <v>46223</v>
      </c>
      <c r="E55" s="1" t="n">
        <v>46238</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27283-2026</t>
        </is>
      </c>
      <c r="B56" t="inlineStr">
        <is>
          <t>avverkningsanmälan</t>
        </is>
      </c>
      <c r="C56" t="inlineStr">
        <is>
          <t>Avverkning för att bevara och utveckla /försöksver</t>
        </is>
      </c>
      <c r="D56" s="1" t="n">
        <v>46188</v>
      </c>
      <c r="E56" s="1" t="n">
        <v>46238</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46238</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24048-2025</t>
        </is>
      </c>
      <c r="B58" t="inlineStr">
        <is>
          <t>avverkningsanmälan</t>
        </is>
      </c>
      <c r="C58" t="inlineStr">
        <is>
          <t>Föryngringsavverkning</t>
        </is>
      </c>
      <c r="D58" s="1" t="n">
        <v>45796</v>
      </c>
      <c r="E58" s="1" t="n">
        <v>46238</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46238</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46238</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46238</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46238</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46238</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46238</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46238</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9253-2026</t>
        </is>
      </c>
      <c r="B66" t="inlineStr">
        <is>
          <t>avverkningsanmälan</t>
        </is>
      </c>
      <c r="C66" t="inlineStr">
        <is>
          <t>Föryngringsavverkning</t>
        </is>
      </c>
      <c r="D66" s="1" t="n">
        <v>46070</v>
      </c>
      <c r="E66" s="1" t="n">
        <v>46238</v>
      </c>
      <c r="F66" t="inlineStr">
        <is>
          <t>KALMAR LÄN</t>
        </is>
      </c>
      <c r="G66" t="inlineStr">
        <is>
          <t>BORGHOLM</t>
        </is>
      </c>
      <c r="I66" t="n">
        <v>1.1</v>
      </c>
      <c r="J66" t="n">
        <v>1</v>
      </c>
      <c r="K66" t="n">
        <v>1</v>
      </c>
      <c r="L66" t="n">
        <v>0</v>
      </c>
      <c r="M66" t="n">
        <v>0</v>
      </c>
      <c r="N66" t="n">
        <v>0</v>
      </c>
      <c r="O66" t="n">
        <v>0</v>
      </c>
      <c r="P66" t="n">
        <v>0</v>
      </c>
      <c r="Q66" t="n">
        <v>0</v>
      </c>
      <c r="R66" t="n">
        <v>0</v>
      </c>
      <c r="S66" t="n">
        <v>2</v>
      </c>
      <c r="T66" t="n">
        <v>2</v>
      </c>
      <c r="U66" t="n">
        <v>0</v>
      </c>
      <c r="V66" s="2" t="inlineStr">
        <is>
          <t>Murgröna
Gullviva</t>
        </is>
      </c>
      <c r="W66">
        <f>HYPERLINK("https://klasma.github.io/Logging_0885/artfynd/A 9253-2026 artfynd.xlsx", "A 9253-2026")</f>
        <v/>
      </c>
      <c r="X66">
        <f>HYPERLINK("https://klasma.github.io/Logging_0885/kartor/A 9253-2026 karta.png", "A 9253-2026")</f>
        <v/>
      </c>
      <c r="Y66">
        <f>HYPERLINK("https://klasma.github.io/Logging_0885/kartor_geotiff/A 9253-2026 georefererad karta.tif", "A 9253-2026")</f>
        <v/>
      </c>
      <c r="AA66">
        <f>HYPERLINK("https://klasma.github.io/Logging_0885/klagomål/A 9253-2026 FSC-klagomål.docx", "A 9253-2026")</f>
        <v/>
      </c>
      <c r="AB66">
        <f>HYPERLINK("https://klasma.github.io/Logging_0885/klagomålsmail/A 9253-2026 FSC-klagomål mail.docx", "A 9253-2026")</f>
        <v/>
      </c>
      <c r="AC66">
        <f>HYPERLINK("https://klasma.github.io/Logging_0885/tillsyn/A 9253-2026 tillsynsbegäran.docx", "A 9253-2026")</f>
        <v/>
      </c>
      <c r="AD66">
        <f>HYPERLINK("https://klasma.github.io/Logging_0885/tillsynsmail/A 9253-2026 tillsynsbegäran mail.docx", "A 9253-2026")</f>
        <v/>
      </c>
    </row>
    <row r="67" ht="15" customHeight="1">
      <c r="A67" t="inlineStr">
        <is>
          <t>A 44678-2022</t>
        </is>
      </c>
      <c r="B67" t="inlineStr">
        <is>
          <t>avverkningsanmälan</t>
        </is>
      </c>
      <c r="C67" t="inlineStr">
        <is>
          <t>Föryngringsavverkning</t>
        </is>
      </c>
      <c r="D67" s="1" t="n">
        <v>44840</v>
      </c>
      <c r="E67" s="1" t="n">
        <v>46238</v>
      </c>
      <c r="F67" t="inlineStr">
        <is>
          <t>KALMAR LÄN</t>
        </is>
      </c>
      <c r="G67" t="inlineStr">
        <is>
          <t>BORGHOLM</t>
        </is>
      </c>
      <c r="I67" t="n">
        <v>2.4</v>
      </c>
      <c r="J67" t="n">
        <v>1</v>
      </c>
      <c r="K67" t="n">
        <v>1</v>
      </c>
      <c r="L67" t="n">
        <v>0</v>
      </c>
      <c r="M67" t="n">
        <v>0</v>
      </c>
      <c r="N67" t="n">
        <v>1</v>
      </c>
      <c r="O67" t="n">
        <v>0</v>
      </c>
      <c r="P67" t="n">
        <v>0</v>
      </c>
      <c r="Q67" t="n">
        <v>1</v>
      </c>
      <c r="R67" t="n">
        <v>1</v>
      </c>
      <c r="S67" t="n">
        <v>2</v>
      </c>
      <c r="T67" t="n">
        <v>2</v>
      </c>
      <c r="U67" t="n">
        <v>1</v>
      </c>
      <c r="V67" s="2" t="inlineStr">
        <is>
          <t>Ask
Skogsknipprot</t>
        </is>
      </c>
      <c r="W67">
        <f>HYPERLINK("https://klasma.github.io/Logging_0885/artfynd/A 44678-2022 artfynd.xlsx", "A 44678-2022")</f>
        <v/>
      </c>
      <c r="X67">
        <f>HYPERLINK("https://klasma.github.io/Logging_0885/kartor/A 44678-2022 karta.png", "A 44678-2022")</f>
        <v/>
      </c>
      <c r="Y67">
        <f>HYPERLINK("https://klasma.github.io/Logging_0885/kartor_geotiff/A 44678-2022 georefererad karta.tif", "A 44678-2022")</f>
        <v/>
      </c>
      <c r="AA67">
        <f>HYPERLINK("https://klasma.github.io/Logging_0885/klagomål/A 44678-2022 FSC-klagomål.docx", "A 44678-2022")</f>
        <v/>
      </c>
      <c r="AB67">
        <f>HYPERLINK("https://klasma.github.io/Logging_0885/klagomålsmail/A 44678-2022 FSC-klagomål mail.docx", "A 44678-2022")</f>
        <v/>
      </c>
      <c r="AC67">
        <f>HYPERLINK("https://klasma.github.io/Logging_0885/tillsyn/A 44678-2022 tillsynsbegäran.docx", "A 44678-2022")</f>
        <v/>
      </c>
      <c r="AD67">
        <f>HYPERLINK("https://klasma.github.io/Logging_0885/tillsynsmail/A 44678-2022 tillsynsbegäran mail.docx", "A 44678-2022")</f>
        <v/>
      </c>
    </row>
    <row r="68" ht="15" customHeight="1">
      <c r="A68" t="inlineStr">
        <is>
          <t>A 29411-2026</t>
        </is>
      </c>
      <c r="B68" t="inlineStr">
        <is>
          <t>avverkningsanmälan</t>
        </is>
      </c>
      <c r="C68" t="inlineStr">
        <is>
          <t>Avverkning för att bevara och utveckla /försöksver</t>
        </is>
      </c>
      <c r="D68" s="1" t="n">
        <v>46203</v>
      </c>
      <c r="E68" s="1" t="n">
        <v>46238</v>
      </c>
      <c r="F68" t="inlineStr">
        <is>
          <t>KALMAR LÄN</t>
        </is>
      </c>
      <c r="G68" t="inlineStr">
        <is>
          <t>BORGHOLM</t>
        </is>
      </c>
      <c r="H68" t="inlineStr">
        <is>
          <t>Sveaskog</t>
        </is>
      </c>
      <c r="I68" t="n">
        <v>0.6</v>
      </c>
      <c r="J68" t="n">
        <v>1</v>
      </c>
      <c r="K68" t="n">
        <v>1</v>
      </c>
      <c r="L68" t="n">
        <v>0</v>
      </c>
      <c r="M68" t="n">
        <v>1</v>
      </c>
      <c r="N68" t="n">
        <v>0</v>
      </c>
      <c r="O68" t="n">
        <v>0</v>
      </c>
      <c r="P68" t="n">
        <v>0</v>
      </c>
      <c r="Q68" t="n">
        <v>1</v>
      </c>
      <c r="R68" t="n">
        <v>1</v>
      </c>
      <c r="S68" t="n">
        <v>2</v>
      </c>
      <c r="T68" t="n">
        <v>2</v>
      </c>
      <c r="U68" t="n">
        <v>1</v>
      </c>
      <c r="V68" s="2" t="inlineStr">
        <is>
          <t>Bredbrämad bastardsvärmare
Ekoxe</t>
        </is>
      </c>
      <c r="W68">
        <f>HYPERLINK("https://klasma.github.io/Logging_0885/artfynd/A 29411-2026 artfynd.xlsx", "A 29411-2026")</f>
        <v/>
      </c>
      <c r="X68">
        <f>HYPERLINK("https://klasma.github.io/Logging_0885/kartor/A 29411-2026 karta.png", "A 29411-2026")</f>
        <v/>
      </c>
      <c r="Y68">
        <f>HYPERLINK("https://klasma.github.io/Logging_0885/kartor_geotiff/A 29411-2026 georefererad karta.tif", "A 29411-2026")</f>
        <v/>
      </c>
      <c r="AA68">
        <f>HYPERLINK("https://klasma.github.io/Logging_0885/klagomål/A 29411-2026 FSC-klagomål.docx", "A 29411-2026")</f>
        <v/>
      </c>
      <c r="AB68">
        <f>HYPERLINK("https://klasma.github.io/Logging_0885/klagomålsmail/A 29411-2026 FSC-klagomål mail.docx", "A 29411-2026")</f>
        <v/>
      </c>
      <c r="AC68">
        <f>HYPERLINK("https://klasma.github.io/Logging_0885/tillsyn/A 29411-2026 tillsynsbegäran.docx", "A 29411-2026")</f>
        <v/>
      </c>
      <c r="AD68">
        <f>HYPERLINK("https://klasma.github.io/Logging_0885/tillsynsmail/A 29411-2026 tillsynsbegäran mail.docx", "A 29411-2026")</f>
        <v/>
      </c>
    </row>
    <row r="69" ht="15" customHeight="1">
      <c r="A69" t="inlineStr">
        <is>
          <t>A 50129-2021</t>
        </is>
      </c>
      <c r="B69" t="inlineStr">
        <is>
          <t>avverkningsanmälan</t>
        </is>
      </c>
      <c r="C69" t="inlineStr">
        <is>
          <t>Avverkning för annat ändamål</t>
        </is>
      </c>
      <c r="D69" s="1" t="n">
        <v>44456</v>
      </c>
      <c r="E69" s="1" t="n">
        <v>46238</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24322-2026</t>
        </is>
      </c>
      <c r="B70" t="inlineStr">
        <is>
          <t>avverkningsanmälan</t>
        </is>
      </c>
      <c r="C70" t="inlineStr">
        <is>
          <t>Föryngringsavverkning</t>
        </is>
      </c>
      <c r="D70" s="1" t="n">
        <v>46169</v>
      </c>
      <c r="E70" s="1" t="n">
        <v>46238</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29434-2026</t>
        </is>
      </c>
      <c r="B71" t="inlineStr">
        <is>
          <t>avverkningsanmälan</t>
        </is>
      </c>
      <c r="C71" t="inlineStr">
        <is>
          <t>Avverkning för att bevara och utveckla /försöksver</t>
        </is>
      </c>
      <c r="D71" s="1" t="n">
        <v>46203</v>
      </c>
      <c r="E71" s="1" t="n">
        <v>46238</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17699-2025</t>
        </is>
      </c>
      <c r="B72" t="inlineStr">
        <is>
          <t>avverkningsanmälan</t>
        </is>
      </c>
      <c r="C72" t="inlineStr">
        <is>
          <t>Föryngringsavverkning</t>
        </is>
      </c>
      <c r="D72" s="1" t="n">
        <v>45758</v>
      </c>
      <c r="E72" s="1" t="n">
        <v>46238</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46238</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46238</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46238</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46238</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46238</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46238</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46238</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46238</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46238</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46238</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41831-2025</t>
        </is>
      </c>
      <c r="B83" t="inlineStr">
        <is>
          <t>avverkningsanmälan</t>
        </is>
      </c>
      <c r="C83" t="inlineStr">
        <is>
          <t>Föryngringsavverkning</t>
        </is>
      </c>
      <c r="D83" s="1" t="n">
        <v>45902</v>
      </c>
      <c r="E83" s="1" t="n">
        <v>46238</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24704-2023</t>
        </is>
      </c>
      <c r="B84" t="inlineStr">
        <is>
          <t>avverkningsanmälan</t>
        </is>
      </c>
      <c r="C84" t="inlineStr">
        <is>
          <t>Föryngringsavverkning</t>
        </is>
      </c>
      <c r="D84" s="1" t="n">
        <v>45084</v>
      </c>
      <c r="E84" s="1" t="n">
        <v>46238</v>
      </c>
      <c r="F84" t="inlineStr">
        <is>
          <t>KALMAR LÄN</t>
        </is>
      </c>
      <c r="G84" t="inlineStr">
        <is>
          <t>BORGHOLM</t>
        </is>
      </c>
      <c r="I84" t="n">
        <v>3.5</v>
      </c>
      <c r="J84" t="n">
        <v>0</v>
      </c>
      <c r="K84" t="n">
        <v>0</v>
      </c>
      <c r="L84" t="n">
        <v>0</v>
      </c>
      <c r="M84" t="n">
        <v>0</v>
      </c>
      <c r="N84" t="n">
        <v>1</v>
      </c>
      <c r="O84" t="n">
        <v>0</v>
      </c>
      <c r="P84" t="n">
        <v>0</v>
      </c>
      <c r="Q84" t="n">
        <v>1</v>
      </c>
      <c r="R84" t="n">
        <v>1</v>
      </c>
      <c r="S84" t="n">
        <v>1</v>
      </c>
      <c r="T84" t="n">
        <v>2</v>
      </c>
      <c r="U84" t="n">
        <v>0</v>
      </c>
      <c r="V84" s="2" t="inlineStr">
        <is>
          <t>Ask</t>
        </is>
      </c>
      <c r="W84">
        <f>HYPERLINK("https://klasma.github.io/Logging_0885/artfynd/A 24704-2023 artfynd.xlsx", "A 24704-2023")</f>
        <v/>
      </c>
      <c r="X84">
        <f>HYPERLINK("https://klasma.github.io/Logging_0885/kartor/A 24704-2023 karta.png", "A 24704-2023")</f>
        <v/>
      </c>
      <c r="Y84">
        <f>HYPERLINK("https://klasma.github.io/Logging_0885/kartor_geotiff/A 24704-2023 georefererad karta.tif", "A 24704-2023")</f>
        <v/>
      </c>
      <c r="AA84">
        <f>HYPERLINK("https://klasma.github.io/Logging_0885/klagomål/A 24704-2023 FSC-klagomål.docx", "A 24704-2023")</f>
        <v/>
      </c>
      <c r="AB84">
        <f>HYPERLINK("https://klasma.github.io/Logging_0885/klagomålsmail/A 24704-2023 FSC-klagomål mail.docx", "A 24704-2023")</f>
        <v/>
      </c>
      <c r="AC84">
        <f>HYPERLINK("https://klasma.github.io/Logging_0885/tillsyn/A 24704-2023 tillsynsbegäran.docx", "A 24704-2023")</f>
        <v/>
      </c>
      <c r="AD84">
        <f>HYPERLINK("https://klasma.github.io/Logging_0885/tillsynsmail/A 24704-2023 tillsynsbegäran mail.docx", "A 24704-2023")</f>
        <v/>
      </c>
    </row>
    <row r="85" ht="15" customHeight="1">
      <c r="A85" t="inlineStr">
        <is>
          <t>A 9745-2023</t>
        </is>
      </c>
      <c r="B85" t="inlineStr">
        <is>
          <t>avverkningsanmälan</t>
        </is>
      </c>
      <c r="C85" t="inlineStr">
        <is>
          <t>Föryngringsavverkning</t>
        </is>
      </c>
      <c r="D85" s="1" t="n">
        <v>44984</v>
      </c>
      <c r="E85" s="1" t="n">
        <v>46238</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3302-2026</t>
        </is>
      </c>
      <c r="B86" t="inlineStr">
        <is>
          <t>avverkningsanmälan</t>
        </is>
      </c>
      <c r="C86" t="inlineStr">
        <is>
          <t>Avverkning för annat ändamål</t>
        </is>
      </c>
      <c r="D86" s="1" t="n">
        <v>46041</v>
      </c>
      <c r="E86" s="1" t="n">
        <v>46238</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7481-2026</t>
        </is>
      </c>
      <c r="B87" t="inlineStr">
        <is>
          <t>avverkningsanmälan</t>
        </is>
      </c>
      <c r="C87" t="inlineStr">
        <is>
          <t>Föryngringsavverkning</t>
        </is>
      </c>
      <c r="D87" s="1" t="n">
        <v>46059</v>
      </c>
      <c r="E87" s="1" t="n">
        <v>46238</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28430-2026</t>
        </is>
      </c>
      <c r="B88" t="inlineStr">
        <is>
          <t>avverkningsanmälan</t>
        </is>
      </c>
      <c r="C88" t="inlineStr">
        <is>
          <t>Avverkning för att bevara och utveckla /försöksver</t>
        </is>
      </c>
      <c r="D88" s="1" t="n">
        <v>46197</v>
      </c>
      <c r="E88" s="1" t="n">
        <v>46238</v>
      </c>
      <c r="F88" t="inlineStr">
        <is>
          <t>KALMAR LÄN</t>
        </is>
      </c>
      <c r="G88" t="inlineStr">
        <is>
          <t>BORGHOLM</t>
        </is>
      </c>
      <c r="H88" t="inlineStr">
        <is>
          <t>Sveaskog</t>
        </is>
      </c>
      <c r="I88" t="n">
        <v>1.8</v>
      </c>
      <c r="J88" t="n">
        <v>0</v>
      </c>
      <c r="K88" t="n">
        <v>0</v>
      </c>
      <c r="L88" t="n">
        <v>1</v>
      </c>
      <c r="M88" t="n">
        <v>0</v>
      </c>
      <c r="N88" t="n">
        <v>0</v>
      </c>
      <c r="O88" t="n">
        <v>0</v>
      </c>
      <c r="P88" t="n">
        <v>0</v>
      </c>
      <c r="Q88" t="n">
        <v>1</v>
      </c>
      <c r="R88" t="n">
        <v>0</v>
      </c>
      <c r="S88" t="n">
        <v>1</v>
      </c>
      <c r="T88" t="n">
        <v>2</v>
      </c>
      <c r="U88" t="n">
        <v>0</v>
      </c>
      <c r="V88" s="2" t="inlineStr">
        <is>
          <t>Oxtungssvamp</t>
        </is>
      </c>
      <c r="W88">
        <f>HYPERLINK("https://klasma.github.io/Logging_0885/artfynd/A 28430-2026 artfynd.xlsx", "A 28430-2026")</f>
        <v/>
      </c>
      <c r="X88">
        <f>HYPERLINK("https://klasma.github.io/Logging_0885/kartor/A 28430-2026 karta.png", "A 28430-2026")</f>
        <v/>
      </c>
      <c r="Y88">
        <f>HYPERLINK("https://klasma.github.io/Logging_0885/kartor_geotiff/A 28430-2026 georefererad karta.tif", "A 28430-2026")</f>
        <v/>
      </c>
      <c r="AA88">
        <f>HYPERLINK("https://klasma.github.io/Logging_0885/klagomål/A 28430-2026 FSC-klagomål.docx", "A 28430-2026")</f>
        <v/>
      </c>
      <c r="AB88">
        <f>HYPERLINK("https://klasma.github.io/Logging_0885/klagomålsmail/A 28430-2026 FSC-klagomål mail.docx", "A 28430-2026")</f>
        <v/>
      </c>
      <c r="AC88">
        <f>HYPERLINK("https://klasma.github.io/Logging_0885/tillsyn/A 28430-2026 tillsynsbegäran.docx", "A 28430-2026")</f>
        <v/>
      </c>
      <c r="AD88">
        <f>HYPERLINK("https://klasma.github.io/Logging_0885/tillsynsmail/A 28430-2026 tillsynsbegäran mail.docx", "A 28430-2026")</f>
        <v/>
      </c>
    </row>
    <row r="89" ht="15" customHeight="1">
      <c r="A89" t="inlineStr">
        <is>
          <t>A 28374-2026</t>
        </is>
      </c>
      <c r="B89" t="inlineStr">
        <is>
          <t>avverkningsanmälan</t>
        </is>
      </c>
      <c r="C89" t="inlineStr">
        <is>
          <t>Avverkning för att bevara och utveckla /försöksver</t>
        </is>
      </c>
      <c r="D89" s="1" t="n">
        <v>46196</v>
      </c>
      <c r="E89" s="1" t="n">
        <v>46238</v>
      </c>
      <c r="F89" t="inlineStr">
        <is>
          <t>KALMAR LÄN</t>
        </is>
      </c>
      <c r="G89" t="inlineStr">
        <is>
          <t>BORGHOLM</t>
        </is>
      </c>
      <c r="H89" t="inlineStr">
        <is>
          <t>Sveaskog</t>
        </is>
      </c>
      <c r="I89" t="n">
        <v>2</v>
      </c>
      <c r="J89" t="n">
        <v>0</v>
      </c>
      <c r="K89" t="n">
        <v>0</v>
      </c>
      <c r="L89" t="n">
        <v>0</v>
      </c>
      <c r="M89" t="n">
        <v>1</v>
      </c>
      <c r="N89" t="n">
        <v>0</v>
      </c>
      <c r="O89" t="n">
        <v>0</v>
      </c>
      <c r="P89" t="n">
        <v>0</v>
      </c>
      <c r="Q89" t="n">
        <v>1</v>
      </c>
      <c r="R89" t="n">
        <v>1</v>
      </c>
      <c r="S89" t="n">
        <v>1</v>
      </c>
      <c r="T89" t="n">
        <v>1</v>
      </c>
      <c r="U89" t="n">
        <v>0</v>
      </c>
      <c r="V89" s="2" t="inlineStr">
        <is>
          <t>Purpurmusseron</t>
        </is>
      </c>
      <c r="W89">
        <f>HYPERLINK("https://klasma.github.io/Logging_0885/artfynd/A 28374-2026 artfynd.xlsx", "A 28374-2026")</f>
        <v/>
      </c>
      <c r="X89">
        <f>HYPERLINK("https://klasma.github.io/Logging_0885/kartor/A 28374-2026 karta.png", "A 28374-2026")</f>
        <v/>
      </c>
      <c r="Y89">
        <f>HYPERLINK("https://klasma.github.io/Logging_0885/kartor_geotiff/A 28374-2026 georefererad karta.tif", "A 28374-2026")</f>
        <v/>
      </c>
      <c r="AA89">
        <f>HYPERLINK("https://klasma.github.io/Logging_0885/klagomål/A 28374-2026 FSC-klagomål.docx", "A 28374-2026")</f>
        <v/>
      </c>
      <c r="AB89">
        <f>HYPERLINK("https://klasma.github.io/Logging_0885/klagomålsmail/A 28374-2026 FSC-klagomål mail.docx", "A 28374-2026")</f>
        <v/>
      </c>
      <c r="AC89">
        <f>HYPERLINK("https://klasma.github.io/Logging_0885/tillsyn/A 28374-2026 tillsynsbegäran.docx", "A 28374-2026")</f>
        <v/>
      </c>
      <c r="AD89">
        <f>HYPERLINK("https://klasma.github.io/Logging_0885/tillsynsmail/A 28374-2026 tillsynsbegäran mail.docx", "A 28374-2026")</f>
        <v/>
      </c>
    </row>
    <row r="90" ht="15" customHeight="1">
      <c r="A90" t="inlineStr">
        <is>
          <t>A 9905-2026</t>
        </is>
      </c>
      <c r="B90" t="inlineStr">
        <is>
          <t>avverkningsanmälan</t>
        </is>
      </c>
      <c r="C90" t="inlineStr">
        <is>
          <t>Föryngringsavverkning</t>
        </is>
      </c>
      <c r="D90" s="1" t="n">
        <v>46073</v>
      </c>
      <c r="E90" s="1" t="n">
        <v>46238</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31720-2022</t>
        </is>
      </c>
      <c r="B91" t="inlineStr">
        <is>
          <t>avverkningsanmälan</t>
        </is>
      </c>
      <c r="C91" t="inlineStr">
        <is>
          <t>Föryngringsavverkning</t>
        </is>
      </c>
      <c r="D91" s="1" t="n">
        <v>44776</v>
      </c>
      <c r="E91" s="1" t="n">
        <v>46238</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46238</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13043-2024</t>
        </is>
      </c>
      <c r="B93" t="inlineStr">
        <is>
          <t>avverkningsanmälan</t>
        </is>
      </c>
      <c r="C93" t="inlineStr">
        <is>
          <t>Föryngringsavverkning</t>
        </is>
      </c>
      <c r="D93" s="1" t="n">
        <v>45385</v>
      </c>
      <c r="E93" s="1" t="n">
        <v>46238</v>
      </c>
      <c r="F93" t="inlineStr">
        <is>
          <t>KALMAR LÄN</t>
        </is>
      </c>
      <c r="G93" t="inlineStr">
        <is>
          <t>BORGHOLM</t>
        </is>
      </c>
      <c r="I93" t="n">
        <v>0.4</v>
      </c>
      <c r="J93" t="n">
        <v>1</v>
      </c>
      <c r="K93" t="n">
        <v>1</v>
      </c>
      <c r="L93" t="n">
        <v>0</v>
      </c>
      <c r="M93" t="n">
        <v>0</v>
      </c>
      <c r="N93" t="n">
        <v>0</v>
      </c>
      <c r="O93" t="n">
        <v>0</v>
      </c>
      <c r="P93" t="n">
        <v>0</v>
      </c>
      <c r="Q93" t="n">
        <v>0</v>
      </c>
      <c r="R93" t="n">
        <v>0</v>
      </c>
      <c r="S93" t="n">
        <v>1</v>
      </c>
      <c r="T93" t="n">
        <v>1</v>
      </c>
      <c r="U93" t="n">
        <v>0</v>
      </c>
      <c r="V93" s="2" t="inlineStr">
        <is>
          <t>Ekoxe</t>
        </is>
      </c>
      <c r="W93">
        <f>HYPERLINK("https://klasma.github.io/Logging_0885/artfynd/A 13043-2024 artfynd.xlsx", "A 13043-2024")</f>
        <v/>
      </c>
      <c r="X93">
        <f>HYPERLINK("https://klasma.github.io/Logging_0885/kartor/A 13043-2024 karta.png", "A 13043-2024")</f>
        <v/>
      </c>
      <c r="Y93">
        <f>HYPERLINK("https://klasma.github.io/Logging_0885/kartor_geotiff/A 13043-2024 georefererad karta.tif", "A 13043-2024")</f>
        <v/>
      </c>
      <c r="AA93">
        <f>HYPERLINK("https://klasma.github.io/Logging_0885/klagomål/A 13043-2024 FSC-klagomål.docx", "A 13043-2024")</f>
        <v/>
      </c>
      <c r="AB93">
        <f>HYPERLINK("https://klasma.github.io/Logging_0885/klagomålsmail/A 13043-2024 FSC-klagomål mail.docx", "A 13043-2024")</f>
        <v/>
      </c>
      <c r="AC93">
        <f>HYPERLINK("https://klasma.github.io/Logging_0885/tillsyn/A 13043-2024 tillsynsbegäran.docx", "A 13043-2024")</f>
        <v/>
      </c>
      <c r="AD93">
        <f>HYPERLINK("https://klasma.github.io/Logging_0885/tillsynsmail/A 13043-2024 tillsynsbegäran mail.docx", "A 13043-2024")</f>
        <v/>
      </c>
    </row>
    <row r="94" ht="15" customHeight="1">
      <c r="A94" t="inlineStr">
        <is>
          <t>A 26840-2026</t>
        </is>
      </c>
      <c r="B94" t="inlineStr">
        <is>
          <t>avverkningsanmälan</t>
        </is>
      </c>
      <c r="C94" t="inlineStr">
        <is>
          <t>Avverkning för att bevara och utveckla /försöksver</t>
        </is>
      </c>
      <c r="D94" s="1" t="n">
        <v>46185</v>
      </c>
      <c r="E94" s="1" t="n">
        <v>46238</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20878-2024</t>
        </is>
      </c>
      <c r="B95" t="inlineStr">
        <is>
          <t>avverkningsanmälan</t>
        </is>
      </c>
      <c r="C95" t="inlineStr">
        <is>
          <t>Föryngringsavverkning</t>
        </is>
      </c>
      <c r="D95" s="1" t="n">
        <v>45439</v>
      </c>
      <c r="E95" s="1" t="n">
        <v>46238</v>
      </c>
      <c r="F95" t="inlineStr">
        <is>
          <t>KALMAR LÄN</t>
        </is>
      </c>
      <c r="G95" t="inlineStr">
        <is>
          <t>BORGHOLM</t>
        </is>
      </c>
      <c r="I95" t="n">
        <v>1.9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HYPERLINK("https://klasma.github.io/Logging_0885/artfynd/A 20878-2024 artfynd.xlsx", "A 20878-2024")</f>
        <v/>
      </c>
      <c r="X95">
        <f>HYPERLINK("https://klasma.github.io/Logging_0885/kartor/A 20878-2024 karta.png", "A 20878-2024")</f>
        <v/>
      </c>
      <c r="Y95">
        <f>HYPERLINK("https://klasma.github.io/Logging_0885/kartor_geotiff/A 20878-2024 georefererad karta.tif", "A 20878-2024")</f>
        <v/>
      </c>
      <c r="AA95">
        <f>HYPERLINK("https://klasma.github.io/Logging_0885/klagomål/A 20878-2024 FSC-klagomål.docx", "A 20878-2024")</f>
        <v/>
      </c>
      <c r="AB95">
        <f>HYPERLINK("https://klasma.github.io/Logging_0885/klagomålsmail/A 20878-2024 FSC-klagomål mail.docx", "A 20878-2024")</f>
        <v/>
      </c>
      <c r="AC95">
        <f>HYPERLINK("https://klasma.github.io/Logging_0885/tillsyn/A 20878-2024 tillsynsbegäran.docx", "A 20878-2024")</f>
        <v/>
      </c>
      <c r="AD95">
        <f>HYPERLINK("https://klasma.github.io/Logging_0885/tillsynsmail/A 20878-2024 tillsynsbegäran mail.docx", "A 20878-2024")</f>
        <v/>
      </c>
    </row>
    <row r="96" ht="15" customHeight="1">
      <c r="A96" t="inlineStr">
        <is>
          <t>A 28785-2025</t>
        </is>
      </c>
      <c r="B96" t="inlineStr">
        <is>
          <t>avverkningsanmälan</t>
        </is>
      </c>
      <c r="C96" t="inlineStr">
        <is>
          <t>Avverkning för att bevara och utveckla /försöksver</t>
        </is>
      </c>
      <c r="D96" s="1" t="n">
        <v>45820</v>
      </c>
      <c r="E96" s="1" t="n">
        <v>46238</v>
      </c>
      <c r="F96" t="inlineStr">
        <is>
          <t>KALMAR LÄN</t>
        </is>
      </c>
      <c r="G96" t="inlineStr">
        <is>
          <t>BORGHOLM</t>
        </is>
      </c>
      <c r="H96" t="inlineStr">
        <is>
          <t>Sveaskog</t>
        </is>
      </c>
      <c r="I96" t="n">
        <v>2.3</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28785-2025 artfynd.xlsx", "A 28785-2025")</f>
        <v/>
      </c>
      <c r="X96">
        <f>HYPERLINK("https://klasma.github.io/Logging_0885/kartor/A 28785-2025 karta.png", "A 28785-2025")</f>
        <v/>
      </c>
      <c r="Y96">
        <f>HYPERLINK("https://klasma.github.io/Logging_0885/kartor_geotiff/A 28785-2025 georefererad karta.tif", "A 28785-2025")</f>
        <v/>
      </c>
      <c r="AA96">
        <f>HYPERLINK("https://klasma.github.io/Logging_0885/klagomål/A 28785-2025 FSC-klagomål.docx", "A 28785-2025")</f>
        <v/>
      </c>
      <c r="AB96">
        <f>HYPERLINK("https://klasma.github.io/Logging_0885/klagomålsmail/A 28785-2025 FSC-klagomål mail.docx", "A 28785-2025")</f>
        <v/>
      </c>
      <c r="AC96">
        <f>HYPERLINK("https://klasma.github.io/Logging_0885/tillsyn/A 28785-2025 tillsynsbegäran.docx", "A 28785-2025")</f>
        <v/>
      </c>
      <c r="AD96">
        <f>HYPERLINK("https://klasma.github.io/Logging_0885/tillsynsmail/A 28785-2025 tillsynsbegäran mail.docx", "A 28785-2025")</f>
        <v/>
      </c>
      <c r="AE96">
        <f>HYPERLINK("https://klasma.github.io/Logging_0885/fåglar/A 28785-2025 prioriterade fågelarter.docx", "A 28785-2025")</f>
        <v/>
      </c>
    </row>
    <row r="97" ht="15" customHeight="1">
      <c r="A97" t="inlineStr">
        <is>
          <t>A 28782-2025</t>
        </is>
      </c>
      <c r="B97" t="inlineStr">
        <is>
          <t>avverkningsanmälan</t>
        </is>
      </c>
      <c r="C97" t="inlineStr">
        <is>
          <t>Avverkning för att bevara och utveckla /försöksver</t>
        </is>
      </c>
      <c r="D97" s="1" t="n">
        <v>45820</v>
      </c>
      <c r="E97" s="1" t="n">
        <v>46238</v>
      </c>
      <c r="F97" t="inlineStr">
        <is>
          <t>KALMAR LÄN</t>
        </is>
      </c>
      <c r="G97" t="inlineStr">
        <is>
          <t>BORGHOLM</t>
        </is>
      </c>
      <c r="H97" t="inlineStr">
        <is>
          <t>Sveaskog</t>
        </is>
      </c>
      <c r="I97" t="n">
        <v>0.8</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28782-2025 artfynd.xlsx", "A 28782-2025")</f>
        <v/>
      </c>
      <c r="X97">
        <f>HYPERLINK("https://klasma.github.io/Logging_0885/kartor/A 28782-2025 karta.png", "A 28782-2025")</f>
        <v/>
      </c>
      <c r="Y97">
        <f>HYPERLINK("https://klasma.github.io/Logging_0885/kartor_geotiff/A 28782-2025 georefererad karta.tif", "A 28782-2025")</f>
        <v/>
      </c>
      <c r="AA97">
        <f>HYPERLINK("https://klasma.github.io/Logging_0885/klagomål/A 28782-2025 FSC-klagomål.docx", "A 28782-2025")</f>
        <v/>
      </c>
      <c r="AB97">
        <f>HYPERLINK("https://klasma.github.io/Logging_0885/klagomålsmail/A 28782-2025 FSC-klagomål mail.docx", "A 28782-2025")</f>
        <v/>
      </c>
      <c r="AC97">
        <f>HYPERLINK("https://klasma.github.io/Logging_0885/tillsyn/A 28782-2025 tillsynsbegäran.docx", "A 28782-2025")</f>
        <v/>
      </c>
      <c r="AD97">
        <f>HYPERLINK("https://klasma.github.io/Logging_0885/tillsynsmail/A 28782-2025 tillsynsbegäran mail.docx", "A 28782-2025")</f>
        <v/>
      </c>
      <c r="AE97">
        <f>HYPERLINK("https://klasma.github.io/Logging_0885/fåglar/A 28782-2025 prioriterade fågelarter.docx", "A 28782-2025")</f>
        <v/>
      </c>
    </row>
    <row r="98" ht="15" customHeight="1">
      <c r="A98" t="inlineStr">
        <is>
          <t>S 2390-2023</t>
        </is>
      </c>
      <c r="B98" t="inlineStr">
        <is>
          <t>samrådsanmälan</t>
        </is>
      </c>
      <c r="C98" t="inlineStr">
        <is>
          <t>Annan skogsbruksåtgärd</t>
        </is>
      </c>
      <c r="D98" s="1" t="n">
        <v>45111</v>
      </c>
      <c r="E98" s="1" t="n">
        <v>46238</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46238</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46238</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46238</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46238</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46238</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46238</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46238</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46238</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46238</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46238</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46238</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46238</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46238</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3878-2023</t>
        </is>
      </c>
      <c r="B112" t="inlineStr">
        <is>
          <t>avverkningsanmälan</t>
        </is>
      </c>
      <c r="C112" t="inlineStr">
        <is>
          <t>Föryngringsavverkning</t>
        </is>
      </c>
      <c r="D112" s="1" t="n">
        <v>44951</v>
      </c>
      <c r="E112" s="1" t="n">
        <v>46238</v>
      </c>
      <c r="F112" t="inlineStr">
        <is>
          <t>KALMAR LÄN</t>
        </is>
      </c>
      <c r="G112" t="inlineStr">
        <is>
          <t>BORGHOLM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12937-2022</t>
        </is>
      </c>
      <c r="B113" t="inlineStr">
        <is>
          <t>avverkningsanmälan</t>
        </is>
      </c>
      <c r="C113" t="inlineStr">
        <is>
          <t>Föryngringsavverkning</t>
        </is>
      </c>
      <c r="D113" s="1" t="n">
        <v>44642</v>
      </c>
      <c r="E113" s="1" t="n">
        <v>46238</v>
      </c>
      <c r="F113" t="inlineStr">
        <is>
          <t>KALMAR LÄN</t>
        </is>
      </c>
      <c r="G113" t="inlineStr">
        <is>
          <t>BORGHOLM</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46238</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46238</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46238</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46238</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36269-2025</t>
        </is>
      </c>
      <c r="B118" t="inlineStr">
        <is>
          <t>avverkningsanmälan</t>
        </is>
      </c>
      <c r="C118" t="inlineStr">
        <is>
          <t>Föryngringsavverkning</t>
        </is>
      </c>
      <c r="D118" s="1" t="n">
        <v>45867</v>
      </c>
      <c r="E118" s="1" t="n">
        <v>46238</v>
      </c>
      <c r="F118" t="inlineStr">
        <is>
          <t>KALMAR LÄN</t>
        </is>
      </c>
      <c r="G118" t="inlineStr">
        <is>
          <t>BORGHOLM</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31699-2022</t>
        </is>
      </c>
      <c r="B119" t="inlineStr">
        <is>
          <t>avverkningsanmälan</t>
        </is>
      </c>
      <c r="C119" t="inlineStr">
        <is>
          <t>Föryngringsavverkning</t>
        </is>
      </c>
      <c r="D119" s="1" t="n">
        <v>44776</v>
      </c>
      <c r="E119" s="1" t="n">
        <v>46238</v>
      </c>
      <c r="F119" t="inlineStr">
        <is>
          <t>KALMAR LÄN</t>
        </is>
      </c>
      <c r="G119" t="inlineStr">
        <is>
          <t>BORGHOLM</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1614-2025</t>
        </is>
      </c>
      <c r="B120" t="inlineStr">
        <is>
          <t>avverkningsanmälan</t>
        </is>
      </c>
      <c r="C120" t="inlineStr">
        <is>
          <t>Föryngringsavverkning</t>
        </is>
      </c>
      <c r="D120" s="1" t="n">
        <v>45670</v>
      </c>
      <c r="E120" s="1" t="n">
        <v>46238</v>
      </c>
      <c r="F120" t="inlineStr">
        <is>
          <t>KALMAR LÄN</t>
        </is>
      </c>
      <c r="G120" t="inlineStr">
        <is>
          <t>BORGHOLM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46238</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46238</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46238</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9076-2025</t>
        </is>
      </c>
      <c r="B124" t="inlineStr">
        <is>
          <t>avverkningsanmälan</t>
        </is>
      </c>
      <c r="C124" t="inlineStr">
        <is>
          <t>Föryngringsavverkning</t>
        </is>
      </c>
      <c r="D124" s="1" t="n">
        <v>45713</v>
      </c>
      <c r="E124" s="1" t="n">
        <v>46238</v>
      </c>
      <c r="F124" t="inlineStr">
        <is>
          <t>KALMAR LÄN</t>
        </is>
      </c>
      <c r="G124" t="inlineStr">
        <is>
          <t>BORGHOLM</t>
        </is>
      </c>
      <c r="H124" t="inlineStr">
        <is>
          <t>Sveaskog</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1757-2025</t>
        </is>
      </c>
      <c r="B125" t="inlineStr">
        <is>
          <t>avverkningsanmälan</t>
        </is>
      </c>
      <c r="C125" t="inlineStr">
        <is>
          <t>Föryngringsavverkning</t>
        </is>
      </c>
      <c r="D125" s="1" t="n">
        <v>45671</v>
      </c>
      <c r="E125" s="1" t="n">
        <v>46238</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9050-2025</t>
        </is>
      </c>
      <c r="B126" t="inlineStr">
        <is>
          <t>avverkningsanmälan</t>
        </is>
      </c>
      <c r="C126" t="inlineStr">
        <is>
          <t>Avverkning för att bevara och utveckla /försöksver</t>
        </is>
      </c>
      <c r="D126" s="1" t="n">
        <v>45713</v>
      </c>
      <c r="E126" s="1" t="n">
        <v>46238</v>
      </c>
      <c r="F126" t="inlineStr">
        <is>
          <t>KALMAR LÄN</t>
        </is>
      </c>
      <c r="G126" t="inlineStr">
        <is>
          <t>BORGHOLM</t>
        </is>
      </c>
      <c r="H126" t="inlineStr">
        <is>
          <t>Sveaskog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43603-2024</t>
        </is>
      </c>
      <c r="B127" t="inlineStr">
        <is>
          <t>avverkningsanmälan</t>
        </is>
      </c>
      <c r="C127" t="inlineStr">
        <is>
          <t>Föryngringsavverkning</t>
        </is>
      </c>
      <c r="D127" s="1" t="n">
        <v>45569</v>
      </c>
      <c r="E127" s="1" t="n">
        <v>46238</v>
      </c>
      <c r="F127" t="inlineStr">
        <is>
          <t>KALMAR LÄN</t>
        </is>
      </c>
      <c r="G127" t="inlineStr">
        <is>
          <t>BORGHOLM</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28411-2026</t>
        </is>
      </c>
      <c r="B128" t="inlineStr">
        <is>
          <t>avverkningsanmälan</t>
        </is>
      </c>
      <c r="C128" t="inlineStr">
        <is>
          <t>Avverkning för att bevara och utveckla /försöksver</t>
        </is>
      </c>
      <c r="D128" s="1" t="n">
        <v>46197</v>
      </c>
      <c r="E128" s="1" t="n">
        <v>46238</v>
      </c>
      <c r="F128" t="inlineStr">
        <is>
          <t>KALMAR LÄN</t>
        </is>
      </c>
      <c r="G128" t="inlineStr">
        <is>
          <t>BORGHOLM</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28381-2026</t>
        </is>
      </c>
      <c r="B129" t="inlineStr">
        <is>
          <t>avverkningsanmälan</t>
        </is>
      </c>
      <c r="C129" t="inlineStr">
        <is>
          <t>Avverkning för att bevara och utveckla /försöksver</t>
        </is>
      </c>
      <c r="D129" s="1" t="n">
        <v>46196</v>
      </c>
      <c r="E129" s="1" t="n">
        <v>46238</v>
      </c>
      <c r="F129" t="inlineStr">
        <is>
          <t>KALMAR LÄN</t>
        </is>
      </c>
      <c r="G129" t="inlineStr">
        <is>
          <t>BORGHOLM</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9104-2026</t>
        </is>
      </c>
      <c r="B130" t="inlineStr">
        <is>
          <t>avverkningsanmälan</t>
        </is>
      </c>
      <c r="C130" t="inlineStr">
        <is>
          <t>Avverkning för annat ändamål</t>
        </is>
      </c>
      <c r="D130" s="1" t="n">
        <v>46069</v>
      </c>
      <c r="E130" s="1" t="n">
        <v>46238</v>
      </c>
      <c r="F130" t="inlineStr">
        <is>
          <t>KALMAR LÄN</t>
        </is>
      </c>
      <c r="G130" t="inlineStr">
        <is>
          <t>BORGHOLM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28380-2026</t>
        </is>
      </c>
      <c r="B131" t="inlineStr">
        <is>
          <t>avverkningsanmälan</t>
        </is>
      </c>
      <c r="C131" t="inlineStr">
        <is>
          <t>Avverkning för att bevara och utveckla /försöksver</t>
        </is>
      </c>
      <c r="D131" s="1" t="n">
        <v>46196</v>
      </c>
      <c r="E131" s="1" t="n">
        <v>46238</v>
      </c>
      <c r="F131" t="inlineStr">
        <is>
          <t>KALMAR LÄN</t>
        </is>
      </c>
      <c r="G131" t="inlineStr">
        <is>
          <t>BORGHOLM</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9259-2026</t>
        </is>
      </c>
      <c r="B132" t="inlineStr">
        <is>
          <t>avverkningsanmälan</t>
        </is>
      </c>
      <c r="C132" t="inlineStr">
        <is>
          <t>Föryngringsavverkning</t>
        </is>
      </c>
      <c r="D132" s="1" t="n">
        <v>46070</v>
      </c>
      <c r="E132" s="1" t="n">
        <v>46238</v>
      </c>
      <c r="F132" t="inlineStr">
        <is>
          <t>KALMAR LÄN</t>
        </is>
      </c>
      <c r="G132" t="inlineStr">
        <is>
          <t>BORGHOLM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46238</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27357-2025</t>
        </is>
      </c>
      <c r="B134" t="inlineStr">
        <is>
          <t>avverkningsanmälan</t>
        </is>
      </c>
      <c r="C134" t="inlineStr">
        <is>
          <t>Avverkning för att bevara och utveckla /försöksver</t>
        </is>
      </c>
      <c r="D134" s="1" t="n">
        <v>45812</v>
      </c>
      <c r="E134" s="1" t="n">
        <v>46238</v>
      </c>
      <c r="F134" t="inlineStr">
        <is>
          <t>KALMAR LÄN</t>
        </is>
      </c>
      <c r="G134" t="inlineStr">
        <is>
          <t>BORGHOLM</t>
        </is>
      </c>
      <c r="H134" t="inlineStr">
        <is>
          <t>Sveaskog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29431-2026</t>
        </is>
      </c>
      <c r="B135" t="inlineStr">
        <is>
          <t>avverkningsanmälan</t>
        </is>
      </c>
      <c r="C135" t="inlineStr">
        <is>
          <t>Avverkning för att bevara och utveckla /försöksver</t>
        </is>
      </c>
      <c r="D135" s="1" t="n">
        <v>46203</v>
      </c>
      <c r="E135" s="1" t="n">
        <v>46238</v>
      </c>
      <c r="F135" t="inlineStr">
        <is>
          <t>KALMAR LÄN</t>
        </is>
      </c>
      <c r="G135" t="inlineStr">
        <is>
          <t>BORGHOLM</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7669-2024</t>
        </is>
      </c>
      <c r="B136" t="inlineStr">
        <is>
          <t>avverkningsanmälan</t>
        </is>
      </c>
      <c r="C136" t="inlineStr">
        <is>
          <t>Föryngringsavverkning</t>
        </is>
      </c>
      <c r="D136" s="1" t="n">
        <v>45348</v>
      </c>
      <c r="E136" s="1" t="n">
        <v>46238</v>
      </c>
      <c r="F136" t="inlineStr">
        <is>
          <t>KALMAR LÄN</t>
        </is>
      </c>
      <c r="G136" t="inlineStr">
        <is>
          <t>BORGHOLM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29410-2026</t>
        </is>
      </c>
      <c r="B137" t="inlineStr">
        <is>
          <t>avverkningsanmälan</t>
        </is>
      </c>
      <c r="C137" t="inlineStr">
        <is>
          <t>Avverkning för att bevara och utveckla /försöksver</t>
        </is>
      </c>
      <c r="D137" s="1" t="n">
        <v>46203</v>
      </c>
      <c r="E137" s="1" t="n">
        <v>46238</v>
      </c>
      <c r="F137" t="inlineStr">
        <is>
          <t>KALMAR LÄN</t>
        </is>
      </c>
      <c r="G137" t="inlineStr">
        <is>
          <t>BORGHOLM</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29413-2026</t>
        </is>
      </c>
      <c r="B138" t="inlineStr">
        <is>
          <t>avverkningsanmälan</t>
        </is>
      </c>
      <c r="C138" t="inlineStr">
        <is>
          <t>Avverkning för att bevara och utveckla /försöksver</t>
        </is>
      </c>
      <c r="D138" s="1" t="n">
        <v>46203</v>
      </c>
      <c r="E138" s="1" t="n">
        <v>46238</v>
      </c>
      <c r="F138" t="inlineStr">
        <is>
          <t>KALMAR LÄN</t>
        </is>
      </c>
      <c r="G138" t="inlineStr">
        <is>
          <t>BORGHOLM</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29414-2026</t>
        </is>
      </c>
      <c r="B139" t="inlineStr">
        <is>
          <t>avverkningsanmälan</t>
        </is>
      </c>
      <c r="C139" t="inlineStr">
        <is>
          <t>Avverkning för att bevara och utveckla /försöksver</t>
        </is>
      </c>
      <c r="D139" s="1" t="n">
        <v>46203</v>
      </c>
      <c r="E139" s="1" t="n">
        <v>46238</v>
      </c>
      <c r="F139" t="inlineStr">
        <is>
          <t>KALMAR LÄN</t>
        </is>
      </c>
      <c r="G139" t="inlineStr">
        <is>
          <t>BORGHOLM</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44547-2021</t>
        </is>
      </c>
      <c r="B140" t="inlineStr">
        <is>
          <t>avverkningsanmälan</t>
        </is>
      </c>
      <c r="C140" t="inlineStr">
        <is>
          <t>Avverkning för annat ändamål</t>
        </is>
      </c>
      <c r="D140" s="1" t="n">
        <v>44435</v>
      </c>
      <c r="E140" s="1" t="n">
        <v>46238</v>
      </c>
      <c r="F140" t="inlineStr">
        <is>
          <t>KALMAR LÄN</t>
        </is>
      </c>
      <c r="G140" t="inlineStr">
        <is>
          <t>BORGHOLM</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5175-2024</t>
        </is>
      </c>
      <c r="B141" t="inlineStr">
        <is>
          <t>avverkningsanmälan</t>
        </is>
      </c>
      <c r="C141" t="inlineStr">
        <is>
          <t>Föryngringsavverkning</t>
        </is>
      </c>
      <c r="D141" s="1" t="n">
        <v>45330</v>
      </c>
      <c r="E141" s="1" t="n">
        <v>46238</v>
      </c>
      <c r="F141" t="inlineStr">
        <is>
          <t>KALMAR LÄN</t>
        </is>
      </c>
      <c r="G141" t="inlineStr">
        <is>
          <t>BORGHOLM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34951-2022</t>
        </is>
      </c>
      <c r="B142" t="inlineStr">
        <is>
          <t>avverkningsanmälan</t>
        </is>
      </c>
      <c r="C142" t="inlineStr">
        <is>
          <t>Avverkning för att bevara och utveckla /försöksver</t>
        </is>
      </c>
      <c r="D142" s="1" t="n">
        <v>44796</v>
      </c>
      <c r="E142" s="1" t="n">
        <v>46238</v>
      </c>
      <c r="F142" t="inlineStr">
        <is>
          <t>KALMAR LÄN</t>
        </is>
      </c>
      <c r="G142" t="inlineStr">
        <is>
          <t>BORGHOLM</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15272-2026</t>
        </is>
      </c>
      <c r="B143" t="inlineStr">
        <is>
          <t>avverkningsanmälan</t>
        </is>
      </c>
      <c r="C143" t="inlineStr">
        <is>
          <t>Avverkning för att bevara och utveckla /försöksver</t>
        </is>
      </c>
      <c r="D143" s="1" t="n">
        <v>46105</v>
      </c>
      <c r="E143" s="1" t="n">
        <v>46238</v>
      </c>
      <c r="F143" t="inlineStr">
        <is>
          <t>KALMAR LÄN</t>
        </is>
      </c>
      <c r="G143" t="inlineStr">
        <is>
          <t>BORGHOLM</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15279-2026</t>
        </is>
      </c>
      <c r="B144" t="inlineStr">
        <is>
          <t>avverkningsanmälan</t>
        </is>
      </c>
      <c r="C144" t="inlineStr">
        <is>
          <t>Avverkning för att bevara och utveckla /försöksver</t>
        </is>
      </c>
      <c r="D144" s="1" t="n">
        <v>46105</v>
      </c>
      <c r="E144" s="1" t="n">
        <v>46238</v>
      </c>
      <c r="F144" t="inlineStr">
        <is>
          <t>KALMAR LÄN</t>
        </is>
      </c>
      <c r="G144" t="inlineStr">
        <is>
          <t>BORGHOLM</t>
        </is>
      </c>
      <c r="H144" t="inlineStr">
        <is>
          <t>Sveaskog</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15264-2026</t>
        </is>
      </c>
      <c r="B145" t="inlineStr">
        <is>
          <t>avverkningsanmälan</t>
        </is>
      </c>
      <c r="C145" t="inlineStr">
        <is>
          <t>Avverkning för att bevara och utveckla /försöksver</t>
        </is>
      </c>
      <c r="D145" s="1" t="n">
        <v>46105</v>
      </c>
      <c r="E145" s="1" t="n">
        <v>46238</v>
      </c>
      <c r="F145" t="inlineStr">
        <is>
          <t>KALMAR LÄN</t>
        </is>
      </c>
      <c r="G145" t="inlineStr">
        <is>
          <t>BORGHOLM</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13383-2023</t>
        </is>
      </c>
      <c r="B146" t="inlineStr">
        <is>
          <t>avverkningsanmälan</t>
        </is>
      </c>
      <c r="C146" t="inlineStr">
        <is>
          <t>Föryngringsavverkning</t>
        </is>
      </c>
      <c r="D146" s="1" t="n">
        <v>45005</v>
      </c>
      <c r="E146" s="1" t="n">
        <v>46238</v>
      </c>
      <c r="F146" t="inlineStr">
        <is>
          <t>KALMAR LÄN</t>
        </is>
      </c>
      <c r="G146" t="inlineStr">
        <is>
          <t>BORGHOLM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46238</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46238</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53050-2021</t>
        </is>
      </c>
      <c r="B149" t="inlineStr">
        <is>
          <t>avverkningsanmälan</t>
        </is>
      </c>
      <c r="C149" t="inlineStr">
        <is>
          <t>Föryngringsavverkning</t>
        </is>
      </c>
      <c r="D149" s="1" t="n">
        <v>44467</v>
      </c>
      <c r="E149" s="1" t="n">
        <v>46238</v>
      </c>
      <c r="F149" t="inlineStr">
        <is>
          <t>KALMAR LÄN</t>
        </is>
      </c>
      <c r="G149" t="inlineStr">
        <is>
          <t>BORGHOLM</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4165-2023</t>
        </is>
      </c>
      <c r="B150" t="inlineStr">
        <is>
          <t>avverkningsanmälan</t>
        </is>
      </c>
      <c r="C150" t="inlineStr">
        <is>
          <t>Föryngringsavverkning</t>
        </is>
      </c>
      <c r="D150" s="1" t="n">
        <v>44953</v>
      </c>
      <c r="E150" s="1" t="n">
        <v>46238</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24323-2026</t>
        </is>
      </c>
      <c r="B151" t="inlineStr">
        <is>
          <t>avverkningsanmälan</t>
        </is>
      </c>
      <c r="C151" t="inlineStr">
        <is>
          <t>Föryngringsavverkning</t>
        </is>
      </c>
      <c r="D151" s="1" t="n">
        <v>46169</v>
      </c>
      <c r="E151" s="1" t="n">
        <v>46238</v>
      </c>
      <c r="F151" t="inlineStr">
        <is>
          <t>KALMAR LÄN</t>
        </is>
      </c>
      <c r="G151" t="inlineStr">
        <is>
          <t>BORGHOLM</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24345-2026</t>
        </is>
      </c>
      <c r="B152" t="inlineStr">
        <is>
          <t>avverkningsanmälan</t>
        </is>
      </c>
      <c r="C152" t="inlineStr">
        <is>
          <t>Avverkning för att bevara och utveckla /försöksver</t>
        </is>
      </c>
      <c r="D152" s="1" t="n">
        <v>46169</v>
      </c>
      <c r="E152" s="1" t="n">
        <v>46238</v>
      </c>
      <c r="F152" t="inlineStr">
        <is>
          <t>KALMAR LÄN</t>
        </is>
      </c>
      <c r="G152" t="inlineStr">
        <is>
          <t>BORGHOLM</t>
        </is>
      </c>
      <c r="H152" t="inlineStr">
        <is>
          <t>Sveaskog</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24338-2026</t>
        </is>
      </c>
      <c r="B153" t="inlineStr">
        <is>
          <t>avverkningsanmälan</t>
        </is>
      </c>
      <c r="C153" t="inlineStr">
        <is>
          <t>Avverkning för att bevara och utveckla /försöksver</t>
        </is>
      </c>
      <c r="D153" s="1" t="n">
        <v>46169</v>
      </c>
      <c r="E153" s="1" t="n">
        <v>46238</v>
      </c>
      <c r="F153" t="inlineStr">
        <is>
          <t>KALMAR LÄN</t>
        </is>
      </c>
      <c r="G153" t="inlineStr">
        <is>
          <t>BORGHOLM</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34780-2022</t>
        </is>
      </c>
      <c r="B154" t="inlineStr">
        <is>
          <t>avverkningsanmälan</t>
        </is>
      </c>
      <c r="C154" t="inlineStr">
        <is>
          <t>Föryngringsavverkning</t>
        </is>
      </c>
      <c r="D154" s="1" t="n">
        <v>44795</v>
      </c>
      <c r="E154" s="1" t="n">
        <v>46238</v>
      </c>
      <c r="F154" t="inlineStr">
        <is>
          <t>KALMAR LÄN</t>
        </is>
      </c>
      <c r="G154" t="inlineStr">
        <is>
          <t>BORGHOLM</t>
        </is>
      </c>
      <c r="H154" t="inlineStr">
        <is>
          <t>Sveaskog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46238</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46238</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46238</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46238</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40339-2023</t>
        </is>
      </c>
      <c r="B159" t="inlineStr">
        <is>
          <t>avverkningsanmälan</t>
        </is>
      </c>
      <c r="C159" t="inlineStr">
        <is>
          <t>Föryngringsavverkning</t>
        </is>
      </c>
      <c r="D159" s="1" t="n">
        <v>45169</v>
      </c>
      <c r="E159" s="1" t="n">
        <v>46238</v>
      </c>
      <c r="F159" t="inlineStr">
        <is>
          <t>KALMAR LÄN</t>
        </is>
      </c>
      <c r="G159" t="inlineStr">
        <is>
          <t>BORGHOLM</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26190-2025</t>
        </is>
      </c>
      <c r="B160" t="inlineStr">
        <is>
          <t>avverkningsanmälan</t>
        </is>
      </c>
      <c r="C160" t="inlineStr">
        <is>
          <t>Föryngringsavverkning</t>
        </is>
      </c>
      <c r="D160" s="1" t="n">
        <v>45805</v>
      </c>
      <c r="E160" s="1" t="n">
        <v>46238</v>
      </c>
      <c r="F160" t="inlineStr">
        <is>
          <t>KALMAR LÄN</t>
        </is>
      </c>
      <c r="G160" t="inlineStr">
        <is>
          <t>BORGHOLM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46238</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46238</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46238</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46238</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46238</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46238</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46238</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46238</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46238</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46238</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46238</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46238</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46238</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46238</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46238</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46238</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2026-08-04T01:53:14Z</dcterms:created>
  <dcterms:modified xmlns:dcterms="http://purl.org/dc/terms/" xmlns:xsi="http://www.w3.org/2001/XMLSchema-instance" xsi:type="dcterms:W3CDTF">2026-08-04T01:53:14Z</dcterms:modified>
</cp:coreProperties>
</file>