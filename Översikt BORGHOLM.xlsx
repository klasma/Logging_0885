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46109</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46109</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46109</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46109</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46109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46109</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46109</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46109</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46109</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46109</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46109</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46109</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60140-2025</t>
        </is>
      </c>
      <c r="B20" s="1" t="n">
        <v>45994.36274305556</v>
      </c>
      <c r="C20" s="1" t="n">
        <v>46109</v>
      </c>
      <c r="D20" t="inlineStr">
        <is>
          <t>KALMAR LÄN</t>
        </is>
      </c>
      <c r="E20" t="inlineStr">
        <is>
          <t>BORGHOLM</t>
        </is>
      </c>
      <c r="G20" t="n">
        <v>0.8</v>
      </c>
      <c r="H20" t="n">
        <v>1</v>
      </c>
      <c r="I20" t="n">
        <v>2</v>
      </c>
      <c r="J20" t="n">
        <v>0</v>
      </c>
      <c r="K20" t="n">
        <v>0</v>
      </c>
      <c r="L20" t="n">
        <v>0</v>
      </c>
      <c r="M20" t="n">
        <v>0</v>
      </c>
      <c r="N20" t="n">
        <v>0</v>
      </c>
      <c r="O20" t="n">
        <v>0</v>
      </c>
      <c r="P20" t="n">
        <v>0</v>
      </c>
      <c r="Q20" t="n">
        <v>2</v>
      </c>
      <c r="R20" s="2" t="inlineStr">
        <is>
          <t>Skogsknipprot
Strävlosta</t>
        </is>
      </c>
      <c r="S20">
        <f>HYPERLINK("https://klasma.github.io/Logging_0885/artfynd/A 60140-2025 artfynd.xlsx", "A 60140-2025")</f>
        <v/>
      </c>
      <c r="T20">
        <f>HYPERLINK("https://klasma.github.io/Logging_0885/kartor/A 60140-2025 karta.png", "A 60140-2025")</f>
        <v/>
      </c>
      <c r="V20">
        <f>HYPERLINK("https://klasma.github.io/Logging_0885/klagomål/A 60140-2025 FSC-klagomål.docx", "A 60140-2025")</f>
        <v/>
      </c>
      <c r="W20">
        <f>HYPERLINK("https://klasma.github.io/Logging_0885/klagomålsmail/A 60140-2025 FSC-klagomål mail.docx", "A 60140-2025")</f>
        <v/>
      </c>
      <c r="X20">
        <f>HYPERLINK("https://klasma.github.io/Logging_0885/tillsyn/A 60140-2025 tillsynsbegäran.docx", "A 60140-2025")</f>
        <v/>
      </c>
      <c r="Y20">
        <f>HYPERLINK("https://klasma.github.io/Logging_0885/tillsynsmail/A 60140-2025 tillsynsbegäran mail.docx", "A 60140-2025")</f>
        <v/>
      </c>
    </row>
    <row r="21" ht="15" customHeight="1">
      <c r="A21" t="inlineStr">
        <is>
          <t>A 9253-2026</t>
        </is>
      </c>
      <c r="B21" s="1" t="n">
        <v>46070.51003472223</v>
      </c>
      <c r="C21" s="1" t="n">
        <v>46109</v>
      </c>
      <c r="D21" t="inlineStr">
        <is>
          <t>KALMAR LÄN</t>
        </is>
      </c>
      <c r="E21" t="inlineStr">
        <is>
          <t>BORGHOLM</t>
        </is>
      </c>
      <c r="G21" t="n">
        <v>1.1</v>
      </c>
      <c r="H21" t="n">
        <v>1</v>
      </c>
      <c r="I21" t="n">
        <v>1</v>
      </c>
      <c r="J21" t="n">
        <v>0</v>
      </c>
      <c r="K21" t="n">
        <v>0</v>
      </c>
      <c r="L21" t="n">
        <v>0</v>
      </c>
      <c r="M21" t="n">
        <v>0</v>
      </c>
      <c r="N21" t="n">
        <v>0</v>
      </c>
      <c r="O21" t="n">
        <v>0</v>
      </c>
      <c r="P21" t="n">
        <v>0</v>
      </c>
      <c r="Q21" t="n">
        <v>2</v>
      </c>
      <c r="R21" s="2" t="inlineStr">
        <is>
          <t>Murgröna
Gullviva</t>
        </is>
      </c>
      <c r="S21">
        <f>HYPERLINK("https://klasma.github.io/Logging_0885/artfynd/A 9253-2026 artfynd.xlsx", "A 9253-2026")</f>
        <v/>
      </c>
      <c r="T21">
        <f>HYPERLINK("https://klasma.github.io/Logging_0885/kartor/A 9253-2026 karta.png", "A 9253-2026")</f>
        <v/>
      </c>
      <c r="V21">
        <f>HYPERLINK("https://klasma.github.io/Logging_0885/klagomål/A 9253-2026 FSC-klagomål.docx", "A 9253-2026")</f>
        <v/>
      </c>
      <c r="W21">
        <f>HYPERLINK("https://klasma.github.io/Logging_0885/klagomålsmail/A 9253-2026 FSC-klagomål mail.docx", "A 9253-2026")</f>
        <v/>
      </c>
      <c r="X21">
        <f>HYPERLINK("https://klasma.github.io/Logging_0885/tillsyn/A 9253-2026 tillsynsbegäran.docx", "A 9253-2026")</f>
        <v/>
      </c>
      <c r="Y21">
        <f>HYPERLINK("https://klasma.github.io/Logging_0885/tillsynsmail/A 9253-2026 tillsynsbegäran mail.docx", "A 9253-2026")</f>
        <v/>
      </c>
    </row>
    <row r="22" ht="15" customHeight="1">
      <c r="A22" t="inlineStr">
        <is>
          <t>A 28779-2025</t>
        </is>
      </c>
      <c r="B22" s="1" t="n">
        <v>45820.44920138889</v>
      </c>
      <c r="C22" s="1" t="n">
        <v>46109</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32174-2022</t>
        </is>
      </c>
      <c r="B23" s="1" t="n">
        <v>44781</v>
      </c>
      <c r="C23" s="1" t="n">
        <v>46109</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46109</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15285-2026</t>
        </is>
      </c>
      <c r="B25" s="1" t="n">
        <v>46105.6156712963</v>
      </c>
      <c r="C25" s="1" t="n">
        <v>46109</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Havsörn
Talltita</t>
        </is>
      </c>
      <c r="S25">
        <f>HYPERLINK("https://klasma.github.io/Logging_0885/artfynd/A 15285-2026 artfynd.xlsx", "A 15285-2026")</f>
        <v/>
      </c>
      <c r="T25">
        <f>HYPERLINK("https://klasma.github.io/Logging_0885/kartor/A 15285-2026 karta.png", "A 15285-2026")</f>
        <v/>
      </c>
      <c r="V25">
        <f>HYPERLINK("https://klasma.github.io/Logging_0885/klagomål/A 15285-2026 FSC-klagomål.docx", "A 15285-2026")</f>
        <v/>
      </c>
      <c r="W25">
        <f>HYPERLINK("https://klasma.github.io/Logging_0885/klagomålsmail/A 15285-2026 FSC-klagomål mail.docx", "A 15285-2026")</f>
        <v/>
      </c>
      <c r="X25">
        <f>HYPERLINK("https://klasma.github.io/Logging_0885/tillsyn/A 15285-2026 tillsynsbegäran.docx", "A 15285-2026")</f>
        <v/>
      </c>
      <c r="Y25">
        <f>HYPERLINK("https://klasma.github.io/Logging_0885/tillsynsmail/A 15285-2026 tillsynsbegäran mail.docx", "A 15285-2026")</f>
        <v/>
      </c>
      <c r="Z25">
        <f>HYPERLINK("https://klasma.github.io/Logging_0885/fåglar/A 15285-2026 prioriterade fågelarter.docx", "A 15285-2026")</f>
        <v/>
      </c>
    </row>
    <row r="26" ht="15" customHeight="1">
      <c r="A26" t="inlineStr">
        <is>
          <t>A 34944-2022</t>
        </is>
      </c>
      <c r="B26" s="1" t="n">
        <v>44796</v>
      </c>
      <c r="C26" s="1" t="n">
        <v>46109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46109</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46109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46109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46109</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46109</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46109</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46109</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46109</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46109</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46109</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46109</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3302-2026</t>
        </is>
      </c>
      <c r="B38" s="1" t="n">
        <v>46041</v>
      </c>
      <c r="C38" s="1" t="n">
        <v>46109</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13558-2025</t>
        </is>
      </c>
      <c r="B39" s="1" t="n">
        <v>45736.54974537037</v>
      </c>
      <c r="C39" s="1" t="n">
        <v>46109</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34885-2025</t>
        </is>
      </c>
      <c r="B40" s="1" t="n">
        <v>45849.47128472223</v>
      </c>
      <c r="C40" s="1" t="n">
        <v>46109</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46109</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46109</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46109</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46109</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46109</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46109</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46109</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46109</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46109</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46109</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46109</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46109</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46109</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46109</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46109</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46109</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46109</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46109</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17978-2021</t>
        </is>
      </c>
      <c r="B59" s="1" t="n">
        <v>44301</v>
      </c>
      <c r="C59" s="1" t="n">
        <v>46109</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26160-2024</t>
        </is>
      </c>
      <c r="B60" s="1" t="n">
        <v>45468</v>
      </c>
      <c r="C60" s="1" t="n">
        <v>46109</v>
      </c>
      <c r="D60" t="inlineStr">
        <is>
          <t>KALMAR LÄN</t>
        </is>
      </c>
      <c r="E60" t="inlineStr">
        <is>
          <t>BORGHOLM</t>
        </is>
      </c>
      <c r="G60" t="n">
        <v>0.4</v>
      </c>
      <c r="H60" t="n">
        <v>0</v>
      </c>
      <c r="I60" t="n">
        <v>0</v>
      </c>
      <c r="J60" t="n">
        <v>0</v>
      </c>
      <c r="K60" t="n">
        <v>0</v>
      </c>
      <c r="L60" t="n">
        <v>0</v>
      </c>
      <c r="M60" t="n">
        <v>0</v>
      </c>
      <c r="N60" t="n">
        <v>0</v>
      </c>
      <c r="O60" t="n">
        <v>0</v>
      </c>
      <c r="P60" t="n">
        <v>0</v>
      </c>
      <c r="Q60" t="n">
        <v>0</v>
      </c>
      <c r="R60" s="2" t="inlineStr"/>
      <c r="T60">
        <f>HYPERLINK("https://klasma.github.io/Logging_0885/kartor/A 26160-2024 karta.png", "A 26160-2024")</f>
        <v/>
      </c>
      <c r="V60">
        <f>HYPERLINK("https://klasma.github.io/Logging_0885/klagomål/A 26160-2024 FSC-klagomål.docx", "A 26160-2024")</f>
        <v/>
      </c>
      <c r="W60">
        <f>HYPERLINK("https://klasma.github.io/Logging_0885/klagomålsmail/A 26160-2024 FSC-klagomål mail.docx", "A 26160-2024")</f>
        <v/>
      </c>
      <c r="X60">
        <f>HYPERLINK("https://klasma.github.io/Logging_0885/tillsyn/A 26160-2024 tillsynsbegäran.docx", "A 26160-2024")</f>
        <v/>
      </c>
      <c r="Y60">
        <f>HYPERLINK("https://klasma.github.io/Logging_0885/tillsynsmail/A 26160-2024 tillsynsbegäran mail.docx", "A 26160-2024")</f>
        <v/>
      </c>
    </row>
    <row r="61" ht="15" customHeight="1">
      <c r="A61" t="inlineStr">
        <is>
          <t>A 22785-2025</t>
        </is>
      </c>
      <c r="B61" s="1" t="n">
        <v>45789.64186342592</v>
      </c>
      <c r="C61" s="1" t="n">
        <v>46109</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60141-2025</t>
        </is>
      </c>
      <c r="B62" s="1" t="n">
        <v>45994.36873842592</v>
      </c>
      <c r="C62" s="1" t="n">
        <v>46109</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12534-2022</t>
        </is>
      </c>
      <c r="B63" s="1" t="n">
        <v>44638</v>
      </c>
      <c r="C63" s="1" t="n">
        <v>46109</v>
      </c>
      <c r="D63" t="inlineStr">
        <is>
          <t>KALMAR LÄN</t>
        </is>
      </c>
      <c r="E63" t="inlineStr">
        <is>
          <t>BORGHOLM</t>
        </is>
      </c>
      <c r="G63" t="n">
        <v>8.6</v>
      </c>
      <c r="H63" t="n">
        <v>0</v>
      </c>
      <c r="I63" t="n">
        <v>0</v>
      </c>
      <c r="J63" t="n">
        <v>0</v>
      </c>
      <c r="K63" t="n">
        <v>0</v>
      </c>
      <c r="L63" t="n">
        <v>0</v>
      </c>
      <c r="M63" t="n">
        <v>0</v>
      </c>
      <c r="N63" t="n">
        <v>0</v>
      </c>
      <c r="O63" t="n">
        <v>0</v>
      </c>
      <c r="P63" t="n">
        <v>0</v>
      </c>
      <c r="Q63" t="n">
        <v>0</v>
      </c>
      <c r="R63" s="2" t="inlineStr"/>
    </row>
    <row r="64" ht="15" customHeight="1">
      <c r="A64" t="inlineStr">
        <is>
          <t>A 40339-2023</t>
        </is>
      </c>
      <c r="B64" s="1" t="n">
        <v>45169.62733796296</v>
      </c>
      <c r="C64" s="1" t="n">
        <v>46109</v>
      </c>
      <c r="D64" t="inlineStr">
        <is>
          <t>KALMAR LÄN</t>
        </is>
      </c>
      <c r="E64" t="inlineStr">
        <is>
          <t>BORGHOLM</t>
        </is>
      </c>
      <c r="G64" t="n">
        <v>3.8</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46109</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24166-2022</t>
        </is>
      </c>
      <c r="B66" s="1" t="n">
        <v>44725</v>
      </c>
      <c r="C66" s="1" t="n">
        <v>46109</v>
      </c>
      <c r="D66" t="inlineStr">
        <is>
          <t>KALMAR LÄN</t>
        </is>
      </c>
      <c r="E66" t="inlineStr">
        <is>
          <t>BORGHOLM</t>
        </is>
      </c>
      <c r="G66" t="n">
        <v>10.7</v>
      </c>
      <c r="H66" t="n">
        <v>0</v>
      </c>
      <c r="I66" t="n">
        <v>0</v>
      </c>
      <c r="J66" t="n">
        <v>0</v>
      </c>
      <c r="K66" t="n">
        <v>0</v>
      </c>
      <c r="L66" t="n">
        <v>0</v>
      </c>
      <c r="M66" t="n">
        <v>0</v>
      </c>
      <c r="N66" t="n">
        <v>0</v>
      </c>
      <c r="O66" t="n">
        <v>0</v>
      </c>
      <c r="P66" t="n">
        <v>0</v>
      </c>
      <c r="Q66" t="n">
        <v>0</v>
      </c>
      <c r="R66" s="2" t="inlineStr"/>
    </row>
    <row r="67" ht="15" customHeight="1">
      <c r="A67" t="inlineStr">
        <is>
          <t>A 41831-2025</t>
        </is>
      </c>
      <c r="B67" s="1" t="n">
        <v>45902.67887731481</v>
      </c>
      <c r="C67" s="1" t="n">
        <v>46109</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42232-2025</t>
        </is>
      </c>
      <c r="B68" s="1" t="n">
        <v>45904.55591435185</v>
      </c>
      <c r="C68" s="1" t="n">
        <v>46109</v>
      </c>
      <c r="D68" t="inlineStr">
        <is>
          <t>KALMAR LÄN</t>
        </is>
      </c>
      <c r="E68" t="inlineStr">
        <is>
          <t>BORGHOLM</t>
        </is>
      </c>
      <c r="F68" t="inlineStr">
        <is>
          <t>Sveaskog</t>
        </is>
      </c>
      <c r="G68" t="n">
        <v>1.7</v>
      </c>
      <c r="H68" t="n">
        <v>0</v>
      </c>
      <c r="I68" t="n">
        <v>0</v>
      </c>
      <c r="J68" t="n">
        <v>0</v>
      </c>
      <c r="K68" t="n">
        <v>0</v>
      </c>
      <c r="L68" t="n">
        <v>0</v>
      </c>
      <c r="M68" t="n">
        <v>0</v>
      </c>
      <c r="N68" t="n">
        <v>0</v>
      </c>
      <c r="O68" t="n">
        <v>0</v>
      </c>
      <c r="P68" t="n">
        <v>0</v>
      </c>
      <c r="Q68" t="n">
        <v>0</v>
      </c>
      <c r="R68" s="2" t="inlineStr"/>
    </row>
    <row r="69" ht="15" customHeight="1">
      <c r="A69" t="inlineStr">
        <is>
          <t>A 61723-2025</t>
        </is>
      </c>
      <c r="B69" s="1" t="n">
        <v>46002.58388888889</v>
      </c>
      <c r="C69" s="1" t="n">
        <v>46109</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46109</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46109</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4159-2024</t>
        </is>
      </c>
      <c r="B72" s="1" t="n">
        <v>45323</v>
      </c>
      <c r="C72" s="1" t="n">
        <v>46109</v>
      </c>
      <c r="D72" t="inlineStr">
        <is>
          <t>KALMAR LÄN</t>
        </is>
      </c>
      <c r="E72" t="inlineStr">
        <is>
          <t>BORGHOLM</t>
        </is>
      </c>
      <c r="G72" t="n">
        <v>0.5</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46109</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26190-2025</t>
        </is>
      </c>
      <c r="B74" s="1" t="n">
        <v>45805.48349537037</v>
      </c>
      <c r="C74" s="1" t="n">
        <v>46109</v>
      </c>
      <c r="D74" t="inlineStr">
        <is>
          <t>KALMAR LÄN</t>
        </is>
      </c>
      <c r="E74" t="inlineStr">
        <is>
          <t>BORGHOLM</t>
        </is>
      </c>
      <c r="G74" t="n">
        <v>3.2</v>
      </c>
      <c r="H74" t="n">
        <v>0</v>
      </c>
      <c r="I74" t="n">
        <v>0</v>
      </c>
      <c r="J74" t="n">
        <v>0</v>
      </c>
      <c r="K74" t="n">
        <v>0</v>
      </c>
      <c r="L74" t="n">
        <v>0</v>
      </c>
      <c r="M74" t="n">
        <v>0</v>
      </c>
      <c r="N74" t="n">
        <v>0</v>
      </c>
      <c r="O74" t="n">
        <v>0</v>
      </c>
      <c r="P74" t="n">
        <v>0</v>
      </c>
      <c r="Q74" t="n">
        <v>0</v>
      </c>
      <c r="R74" s="2" t="inlineStr"/>
    </row>
    <row r="75" ht="15" customHeight="1">
      <c r="A75" t="inlineStr">
        <is>
          <t>A 9259-2026</t>
        </is>
      </c>
      <c r="B75" s="1" t="n">
        <v>46070.51917824074</v>
      </c>
      <c r="C75" s="1" t="n">
        <v>46109</v>
      </c>
      <c r="D75" t="inlineStr">
        <is>
          <t>KALMAR LÄN</t>
        </is>
      </c>
      <c r="E75" t="inlineStr">
        <is>
          <t>BORGHOLM</t>
        </is>
      </c>
      <c r="G75" t="n">
        <v>1.6</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46109</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46109</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46109</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9104-2026</t>
        </is>
      </c>
      <c r="B79" s="1" t="n">
        <v>46069</v>
      </c>
      <c r="C79" s="1" t="n">
        <v>46109</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46109</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9905-2026</t>
        </is>
      </c>
      <c r="B81" s="1" t="n">
        <v>46073.4108912037</v>
      </c>
      <c r="C81" s="1" t="n">
        <v>46109</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31720-2022</t>
        </is>
      </c>
      <c r="B82" s="1" t="n">
        <v>44776</v>
      </c>
      <c r="C82" s="1" t="n">
        <v>46109</v>
      </c>
      <c r="D82" t="inlineStr">
        <is>
          <t>KALMAR LÄN</t>
        </is>
      </c>
      <c r="E82" t="inlineStr">
        <is>
          <t>BORGHOLM</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46109</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46109</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27366-2025</t>
        </is>
      </c>
      <c r="B85" s="1" t="n">
        <v>45812.64475694444</v>
      </c>
      <c r="C85" s="1" t="n">
        <v>46109</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28782-2025</t>
        </is>
      </c>
      <c r="B86" s="1" t="n">
        <v>45820.45572916666</v>
      </c>
      <c r="C86" s="1" t="n">
        <v>46109</v>
      </c>
      <c r="D86" t="inlineStr">
        <is>
          <t>KALMAR LÄN</t>
        </is>
      </c>
      <c r="E86" t="inlineStr">
        <is>
          <t>BORGHOLM</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4165-2023</t>
        </is>
      </c>
      <c r="B87" s="1" t="n">
        <v>44953</v>
      </c>
      <c r="C87" s="1" t="n">
        <v>46109</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46109</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46109</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46109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46109</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7481-2026</t>
        </is>
      </c>
      <c r="B92" s="1" t="n">
        <v>46059.51359953704</v>
      </c>
      <c r="C92" s="1" t="n">
        <v>46109</v>
      </c>
      <c r="D92" t="inlineStr">
        <is>
          <t>KALMAR LÄN</t>
        </is>
      </c>
      <c r="E92" t="inlineStr">
        <is>
          <t>BORGHOLM</t>
        </is>
      </c>
      <c r="G92" t="n">
        <v>1.9</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46109</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15264-2026</t>
        </is>
      </c>
      <c r="B94" s="1" t="n">
        <v>46105.59372685185</v>
      </c>
      <c r="C94" s="1" t="n">
        <v>46109</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15272-2026</t>
        </is>
      </c>
      <c r="B95" s="1" t="n">
        <v>46105.60017361111</v>
      </c>
      <c r="C95" s="1" t="n">
        <v>46109</v>
      </c>
      <c r="D95" t="inlineStr">
        <is>
          <t>KALMAR LÄN</t>
        </is>
      </c>
      <c r="E95" t="inlineStr">
        <is>
          <t>BORGHOLM</t>
        </is>
      </c>
      <c r="F95" t="inlineStr">
        <is>
          <t>Sveaskog</t>
        </is>
      </c>
      <c r="G95" t="n">
        <v>2.9</v>
      </c>
      <c r="H95" t="n">
        <v>0</v>
      </c>
      <c r="I95" t="n">
        <v>0</v>
      </c>
      <c r="J95" t="n">
        <v>0</v>
      </c>
      <c r="K95" t="n">
        <v>0</v>
      </c>
      <c r="L95" t="n">
        <v>0</v>
      </c>
      <c r="M95" t="n">
        <v>0</v>
      </c>
      <c r="N95" t="n">
        <v>0</v>
      </c>
      <c r="O95" t="n">
        <v>0</v>
      </c>
      <c r="P95" t="n">
        <v>0</v>
      </c>
      <c r="Q95" t="n">
        <v>0</v>
      </c>
      <c r="R95" s="2" t="inlineStr"/>
    </row>
    <row r="96" ht="15" customHeight="1">
      <c r="A96" t="inlineStr">
        <is>
          <t>A 15279-2026</t>
        </is>
      </c>
      <c r="B96" s="1" t="n">
        <v>46105.61030092592</v>
      </c>
      <c r="C96" s="1" t="n">
        <v>46109</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64303-2023</t>
        </is>
      </c>
      <c r="B97" s="1" t="n">
        <v>45280</v>
      </c>
      <c r="C97" s="1" t="n">
        <v>46109</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46109</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63075-2023</t>
        </is>
      </c>
      <c r="B99" s="1" t="n">
        <v>45273</v>
      </c>
      <c r="C99" s="1" t="n">
        <v>46109</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46109</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1757-2025</t>
        </is>
      </c>
      <c r="B101" s="1" t="n">
        <v>45671.42195601852</v>
      </c>
      <c r="C101" s="1" t="n">
        <v>46109</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17699-2025</t>
        </is>
      </c>
      <c r="B102" s="1" t="n">
        <v>45758.41846064815</v>
      </c>
      <c r="C102" s="1" t="n">
        <v>46109</v>
      </c>
      <c r="D102" t="inlineStr">
        <is>
          <t>KALMAR LÄN</t>
        </is>
      </c>
      <c r="E102" t="inlineStr">
        <is>
          <t>BORGHOLM</t>
        </is>
      </c>
      <c r="G102" t="n">
        <v>0.7</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45348.82498842593</v>
      </c>
      <c r="C103" s="1" t="n">
        <v>46109</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46109</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55367-2024</t>
        </is>
      </c>
      <c r="B105" s="1" t="n">
        <v>45621.87075231481</v>
      </c>
      <c r="C105" s="1" t="n">
        <v>46109</v>
      </c>
      <c r="D105" t="inlineStr">
        <is>
          <t>KALMAR LÄN</t>
        </is>
      </c>
      <c r="E105" t="inlineStr">
        <is>
          <t>BORGHOLM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20287-2025</t>
        </is>
      </c>
      <c r="B106" s="1" t="n">
        <v>45774.60741898148</v>
      </c>
      <c r="C106" s="1" t="n">
        <v>46109</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9076-2025</t>
        </is>
      </c>
      <c r="B107" s="1" t="n">
        <v>45713.6596875</v>
      </c>
      <c r="C107" s="1" t="n">
        <v>46109</v>
      </c>
      <c r="D107" t="inlineStr">
        <is>
          <t>KALMAR LÄN</t>
        </is>
      </c>
      <c r="E107" t="inlineStr">
        <is>
          <t>BORGHOLM</t>
        </is>
      </c>
      <c r="F107" t="inlineStr">
        <is>
          <t>Sveaskog</t>
        </is>
      </c>
      <c r="G107" t="n">
        <v>4.2</v>
      </c>
      <c r="H107" t="n">
        <v>0</v>
      </c>
      <c r="I107" t="n">
        <v>0</v>
      </c>
      <c r="J107" t="n">
        <v>0</v>
      </c>
      <c r="K107" t="n">
        <v>0</v>
      </c>
      <c r="L107" t="n">
        <v>0</v>
      </c>
      <c r="M107" t="n">
        <v>0</v>
      </c>
      <c r="N107" t="n">
        <v>0</v>
      </c>
      <c r="O107" t="n">
        <v>0</v>
      </c>
      <c r="P107" t="n">
        <v>0</v>
      </c>
      <c r="Q107" t="n">
        <v>0</v>
      </c>
      <c r="R107" s="2" t="inlineStr"/>
    </row>
    <row r="108" ht="15" customHeight="1">
      <c r="A108" t="inlineStr">
        <is>
          <t>A 32919-2023</t>
        </is>
      </c>
      <c r="B108" s="1" t="n">
        <v>45125</v>
      </c>
      <c r="C108" s="1" t="n">
        <v>46109</v>
      </c>
      <c r="D108" t="inlineStr">
        <is>
          <t>KALMAR LÄN</t>
        </is>
      </c>
      <c r="E108" t="inlineStr">
        <is>
          <t>BORGHOLM</t>
        </is>
      </c>
      <c r="G108" t="n">
        <v>2.7</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46109</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46109</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9034-2025</t>
        </is>
      </c>
      <c r="B111" s="1" t="n">
        <v>45713</v>
      </c>
      <c r="C111" s="1" t="n">
        <v>46109</v>
      </c>
      <c r="D111" t="inlineStr">
        <is>
          <t>KALMAR LÄN</t>
        </is>
      </c>
      <c r="E111" t="inlineStr">
        <is>
          <t>BORGHOLM</t>
        </is>
      </c>
      <c r="F111" t="inlineStr">
        <is>
          <t>Sveaskog</t>
        </is>
      </c>
      <c r="G111" t="n">
        <v>6.8</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46109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3878-2023</t>
        </is>
      </c>
      <c r="B113" s="1" t="n">
        <v>44951</v>
      </c>
      <c r="C113" s="1" t="n">
        <v>46109</v>
      </c>
      <c r="D113" t="inlineStr">
        <is>
          <t>KALMAR LÄN</t>
        </is>
      </c>
      <c r="E113" t="inlineStr">
        <is>
          <t>BORGHOLM</t>
        </is>
      </c>
      <c r="G113" t="n">
        <v>1.7</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46109</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46109</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12937-2022</t>
        </is>
      </c>
      <c r="B116" s="1" t="n">
        <v>44642</v>
      </c>
      <c r="C116" s="1" t="n">
        <v>46109</v>
      </c>
      <c r="D116" t="inlineStr">
        <is>
          <t>KALMAR LÄN</t>
        </is>
      </c>
      <c r="E116" t="inlineStr">
        <is>
          <t>BORGHOLM</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7960-2023</t>
        </is>
      </c>
      <c r="B117" s="1" t="n">
        <v>44973</v>
      </c>
      <c r="C117" s="1" t="n">
        <v>46109</v>
      </c>
      <c r="D117" t="inlineStr">
        <is>
          <t>KALMAR LÄN</t>
        </is>
      </c>
      <c r="E117" t="inlineStr">
        <is>
          <t>BORGHOLM</t>
        </is>
      </c>
      <c r="G117" t="n">
        <v>2.1</v>
      </c>
      <c r="H117" t="n">
        <v>0</v>
      </c>
      <c r="I117" t="n">
        <v>0</v>
      </c>
      <c r="J117" t="n">
        <v>0</v>
      </c>
      <c r="K117" t="n">
        <v>0</v>
      </c>
      <c r="L117" t="n">
        <v>0</v>
      </c>
      <c r="M117" t="n">
        <v>0</v>
      </c>
      <c r="N117" t="n">
        <v>0</v>
      </c>
      <c r="O117" t="n">
        <v>0</v>
      </c>
      <c r="P117" t="n">
        <v>0</v>
      </c>
      <c r="Q117" t="n">
        <v>0</v>
      </c>
      <c r="R117" s="2" t="inlineStr"/>
    </row>
    <row r="118" ht="15" customHeight="1">
      <c r="A118" t="inlineStr">
        <is>
          <t>A 61438-2023</t>
        </is>
      </c>
      <c r="B118" s="1" t="n">
        <v>45264</v>
      </c>
      <c r="C118" s="1" t="n">
        <v>46109</v>
      </c>
      <c r="D118" t="inlineStr">
        <is>
          <t>KALMAR LÄN</t>
        </is>
      </c>
      <c r="E118" t="inlineStr">
        <is>
          <t>BORGHOLM</t>
        </is>
      </c>
      <c r="G118" t="n">
        <v>1.1</v>
      </c>
      <c r="H118" t="n">
        <v>0</v>
      </c>
      <c r="I118" t="n">
        <v>0</v>
      </c>
      <c r="J118" t="n">
        <v>0</v>
      </c>
      <c r="K118" t="n">
        <v>0</v>
      </c>
      <c r="L118" t="n">
        <v>0</v>
      </c>
      <c r="M118" t="n">
        <v>0</v>
      </c>
      <c r="N118" t="n">
        <v>0</v>
      </c>
      <c r="O118" t="n">
        <v>0</v>
      </c>
      <c r="P118" t="n">
        <v>0</v>
      </c>
      <c r="Q118" t="n">
        <v>0</v>
      </c>
      <c r="R118" s="2" t="inlineStr"/>
    </row>
    <row r="119" ht="15" customHeight="1">
      <c r="A119" t="inlineStr">
        <is>
          <t>A 13041-2024</t>
        </is>
      </c>
      <c r="B119" s="1" t="n">
        <v>45385.60065972222</v>
      </c>
      <c r="C119" s="1" t="n">
        <v>46109</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1614-2025</t>
        </is>
      </c>
      <c r="B120" s="1" t="n">
        <v>45670.60094907408</v>
      </c>
      <c r="C120" s="1" t="n">
        <v>46109</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63276-2023</t>
        </is>
      </c>
      <c r="B121" s="1" t="n">
        <v>45273.82195601852</v>
      </c>
      <c r="C121" s="1" t="n">
        <v>46109</v>
      </c>
      <c r="D121" t="inlineStr">
        <is>
          <t>KALMAR LÄN</t>
        </is>
      </c>
      <c r="E121" t="inlineStr">
        <is>
          <t>BORGHOLM</t>
        </is>
      </c>
      <c r="G121" t="n">
        <v>5</v>
      </c>
      <c r="H121" t="n">
        <v>0</v>
      </c>
      <c r="I121" t="n">
        <v>0</v>
      </c>
      <c r="J121" t="n">
        <v>0</v>
      </c>
      <c r="K121" t="n">
        <v>0</v>
      </c>
      <c r="L121" t="n">
        <v>0</v>
      </c>
      <c r="M121" t="n">
        <v>0</v>
      </c>
      <c r="N121" t="n">
        <v>0</v>
      </c>
      <c r="O121" t="n">
        <v>0</v>
      </c>
      <c r="P121" t="n">
        <v>0</v>
      </c>
      <c r="Q121" t="n">
        <v>0</v>
      </c>
      <c r="R121" s="2" t="inlineStr"/>
    </row>
    <row r="122" ht="15" customHeight="1">
      <c r="A122" t="inlineStr">
        <is>
          <t>A 9050-2025</t>
        </is>
      </c>
      <c r="B122" s="1" t="n">
        <v>45713.63512731482</v>
      </c>
      <c r="C122" s="1" t="n">
        <v>46109</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13043-2024</t>
        </is>
      </c>
      <c r="B123" s="1" t="n">
        <v>45385.60111111111</v>
      </c>
      <c r="C123" s="1" t="n">
        <v>46109</v>
      </c>
      <c r="D123" t="inlineStr">
        <is>
          <t>KALMAR LÄN</t>
        </is>
      </c>
      <c r="E123" t="inlineStr">
        <is>
          <t>BORGHOLM</t>
        </is>
      </c>
      <c r="G123" t="n">
        <v>0.4</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2026-03-28T11:44:39Z</dcterms:created>
  <dcterms:modified xmlns:dcterms="http://purl.org/dc/terms/" xmlns:xsi="http://www.w3.org/2001/XMLSchema-instance" xsi:type="dcterms:W3CDTF">2026-03-28T11:44:39Z</dcterms:modified>
</cp:coreProperties>
</file>