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46317</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46317</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46317</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46317</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46317</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46317</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46317</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46317</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46317</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46317</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46317</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45006-2025</t>
        </is>
      </c>
      <c r="B13" t="inlineStr">
        <is>
          <t>avverkningsanmälan</t>
        </is>
      </c>
      <c r="C13" t="inlineStr">
        <is>
          <t>Avverkning för annat ändamål</t>
        </is>
      </c>
      <c r="D13" s="1" t="n">
        <v>45918</v>
      </c>
      <c r="E13" s="1" t="n">
        <v>46317</v>
      </c>
      <c r="F13" t="inlineStr">
        <is>
          <t>KALMAR LÄN</t>
        </is>
      </c>
      <c r="G13" t="inlineStr">
        <is>
          <t>BORGHOLM</t>
        </is>
      </c>
      <c r="I13" t="n">
        <v>7.8</v>
      </c>
      <c r="J13" t="n">
        <v>6</v>
      </c>
      <c r="K13" t="n">
        <v>6</v>
      </c>
      <c r="L13" t="n">
        <v>5</v>
      </c>
      <c r="M13" t="n">
        <v>1</v>
      </c>
      <c r="N13" t="n">
        <v>0</v>
      </c>
      <c r="O13" t="n">
        <v>0</v>
      </c>
      <c r="P13" t="n">
        <v>0</v>
      </c>
      <c r="Q13" t="n">
        <v>6</v>
      </c>
      <c r="R13" t="n">
        <v>1</v>
      </c>
      <c r="S13" t="n">
        <v>15</v>
      </c>
      <c r="T13" t="n">
        <v>22</v>
      </c>
      <c r="U13" t="n">
        <v>21</v>
      </c>
      <c r="V13" s="2" t="inlineStr">
        <is>
          <t>Skogskorn
Axveronika
Kattfotslav
Mindre ekbock
Skugglosta
Vårstarr
Gulpudrad spiklav
Murgröna
Myskmadra
Skogsknipprot
Tvåblad
Vit skogslilja
Johannesnycklar
Krutbrännare
Gullviva</t>
        </is>
      </c>
      <c r="W13">
        <f>HYPERLINK("https://klasma.github.io/Logging_0885/artfynd/A 45006-2025 artfynd.xlsx", "A 45006-2025")</f>
        <v/>
      </c>
      <c r="X13">
        <f>HYPERLINK("https://klasma.github.io/Logging_0885/kartor/A 45006-2025 karta.png", "A 45006-2025")</f>
        <v/>
      </c>
      <c r="Y13">
        <f>HYPERLINK("https://klasma.github.io/Logging_0885/kartor_geotiff/A 45006-2025 georefererad karta.tif", "A 45006-2025")</f>
        <v/>
      </c>
      <c r="AA13">
        <f>HYPERLINK("https://klasma.github.io/Logging_0885/klagomål/A 45006-2025 FSC-klagomål.docx", "A 45006-2025")</f>
        <v/>
      </c>
      <c r="AB13">
        <f>HYPERLINK("https://klasma.github.io/Logging_0885/klagomålsmail/A 45006-2025 FSC-klagomål mail.docx", "A 45006-2025")</f>
        <v/>
      </c>
      <c r="AC13">
        <f>HYPERLINK("https://klasma.github.io/Logging_0885/tillsyn/A 45006-2025 tillsynsbegäran.docx", "A 45006-2025")</f>
        <v/>
      </c>
      <c r="AD13">
        <f>HYPERLINK("https://klasma.github.io/Logging_0885/tillsynsmail/A 45006-2025 tillsynsbegäran mail.docx", "A 45006-2025")</f>
        <v/>
      </c>
    </row>
    <row r="14" ht="15" customHeight="1">
      <c r="A14" t="inlineStr">
        <is>
          <t>A 37421-2022</t>
        </is>
      </c>
      <c r="B14" t="inlineStr">
        <is>
          <t>avverkningsanmälan</t>
        </is>
      </c>
      <c r="C14" t="inlineStr">
        <is>
          <t>Avverkning för annat ändamål</t>
        </is>
      </c>
      <c r="D14" s="1" t="n">
        <v>44809</v>
      </c>
      <c r="E14" s="1" t="n">
        <v>46317</v>
      </c>
      <c r="F14" t="inlineStr">
        <is>
          <t>KALMAR LÄN</t>
        </is>
      </c>
      <c r="G14" t="inlineStr">
        <is>
          <t>BORGHOLM</t>
        </is>
      </c>
      <c r="I14" t="n">
        <v>3.4</v>
      </c>
      <c r="J14" t="n">
        <v>10</v>
      </c>
      <c r="K14" t="n">
        <v>5</v>
      </c>
      <c r="L14" t="n">
        <v>4</v>
      </c>
      <c r="M14" t="n">
        <v>0</v>
      </c>
      <c r="N14" t="n">
        <v>0</v>
      </c>
      <c r="O14" t="n">
        <v>0</v>
      </c>
      <c r="P14" t="n">
        <v>0</v>
      </c>
      <c r="Q14" t="n">
        <v>4</v>
      </c>
      <c r="R14" t="n">
        <v>0</v>
      </c>
      <c r="S14" t="n">
        <v>15</v>
      </c>
      <c r="T14" t="n">
        <v>37</v>
      </c>
      <c r="U14" t="n">
        <v>33</v>
      </c>
      <c r="V14" s="2" t="inlineStr">
        <is>
          <t>Höstlåsbräken
Loppstarr
Majviva
Sammetsfrölöpare
Murgröna
Skogsknipprot
Tvåblad
Vit skogslilja
Ögonpyrola
Halsbandsflugsnappare
Vanlig padda
Bredarun
Fläcknycklar
Kärrknipprot
Nattviol</t>
        </is>
      </c>
      <c r="W14">
        <f>HYPERLINK("https://klasma.github.io/Logging_0885/artfynd/A 37421-2022 artfynd.xlsx", "A 37421-2022")</f>
        <v/>
      </c>
      <c r="X14">
        <f>HYPERLINK("https://klasma.github.io/Logging_0885/kartor/A 37421-2022 karta.png", "A 37421-2022")</f>
        <v/>
      </c>
      <c r="Y14">
        <f>HYPERLINK("https://klasma.github.io/Logging_0885/kartor_geotiff/A 37421-2022 georefererad karta.tif", "A 37421-2022")</f>
        <v/>
      </c>
      <c r="AA14">
        <f>HYPERLINK("https://klasma.github.io/Logging_0885/klagomål/A 37421-2022 FSC-klagomål.docx", "A 37421-2022")</f>
        <v/>
      </c>
      <c r="AB14">
        <f>HYPERLINK("https://klasma.github.io/Logging_0885/klagomålsmail/A 37421-2022 FSC-klagomål mail.docx", "A 37421-2022")</f>
        <v/>
      </c>
      <c r="AC14">
        <f>HYPERLINK("https://klasma.github.io/Logging_0885/tillsyn/A 37421-2022 tillsynsbegäran.docx", "A 37421-2022")</f>
        <v/>
      </c>
      <c r="AD14">
        <f>HYPERLINK("https://klasma.github.io/Logging_0885/tillsynsmail/A 37421-2022 tillsynsbegäran mail.docx", "A 37421-2022")</f>
        <v/>
      </c>
      <c r="AE14">
        <f>HYPERLINK("https://klasma.github.io/Logging_0885/fåglar/A 37421-2022 prioriterade fågelarter.docx", "A 37421-2022")</f>
        <v/>
      </c>
    </row>
    <row r="15" ht="15" customHeight="1">
      <c r="A15" t="inlineStr">
        <is>
          <t>S 2659-2026</t>
        </is>
      </c>
      <c r="B15" t="inlineStr">
        <is>
          <t>samrådsanmälan</t>
        </is>
      </c>
      <c r="C15" t="inlineStr">
        <is>
          <t>Annan skogsbruksåtgärd</t>
        </is>
      </c>
      <c r="D15" s="1" t="n">
        <v>46307</v>
      </c>
      <c r="E15" s="1" t="n">
        <v>46317</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46317</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46317</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46317</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46317</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46317</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46317</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46317</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46317</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12534-2022</t>
        </is>
      </c>
      <c r="B24" t="inlineStr">
        <is>
          <t>avverkningsanmälan</t>
        </is>
      </c>
      <c r="C24" t="inlineStr">
        <is>
          <t>Föryngringsavverkning</t>
        </is>
      </c>
      <c r="D24" s="1" t="n">
        <v>44638</v>
      </c>
      <c r="E24" s="1" t="n">
        <v>46317</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13558-2025</t>
        </is>
      </c>
      <c r="B25" t="inlineStr">
        <is>
          <t>avverkningsanmälan</t>
        </is>
      </c>
      <c r="C25" t="inlineStr">
        <is>
          <t>Föryngringsavverkning</t>
        </is>
      </c>
      <c r="D25" s="1" t="n">
        <v>45736</v>
      </c>
      <c r="E25" s="1" t="n">
        <v>46317</v>
      </c>
      <c r="F25" t="inlineStr">
        <is>
          <t>KALMAR LÄN</t>
        </is>
      </c>
      <c r="G25" t="inlineStr">
        <is>
          <t>BORGHOLM</t>
        </is>
      </c>
      <c r="I25" t="n">
        <v>0.7</v>
      </c>
      <c r="J25" t="n">
        <v>4</v>
      </c>
      <c r="K25" t="n">
        <v>1</v>
      </c>
      <c r="L25" t="n">
        <v>4</v>
      </c>
      <c r="M25" t="n">
        <v>1</v>
      </c>
      <c r="N25" t="n">
        <v>0</v>
      </c>
      <c r="O25" t="n">
        <v>0</v>
      </c>
      <c r="P25" t="n">
        <v>0</v>
      </c>
      <c r="Q25" t="n">
        <v>5</v>
      </c>
      <c r="R25" t="n">
        <v>1</v>
      </c>
      <c r="S25" t="n">
        <v>8</v>
      </c>
      <c r="T25" t="n">
        <v>8</v>
      </c>
      <c r="U25" t="n">
        <v>8</v>
      </c>
      <c r="V25" s="2" t="inlineStr">
        <is>
          <t>Honungsblomster
Backruta
Jordtistel
Stallört
Ängsstarr
Tvåblad
Kärrknipprot
Gullviva</t>
        </is>
      </c>
      <c r="W25">
        <f>HYPERLINK("https://klasma.github.io/Logging_0885/artfynd/A 13558-2025 artfynd.xlsx", "A 13558-2025")</f>
        <v/>
      </c>
      <c r="X25">
        <f>HYPERLINK("https://klasma.github.io/Logging_0885/kartor/A 13558-2025 karta.png", "A 13558-2025")</f>
        <v/>
      </c>
      <c r="Y25">
        <f>HYPERLINK("https://klasma.github.io/Logging_0885/kartor_geotiff/A 13558-2025 georefererad karta.tif", "A 13558-2025")</f>
        <v/>
      </c>
      <c r="AA25">
        <f>HYPERLINK("https://klasma.github.io/Logging_0885/klagomål/A 13558-2025 FSC-klagomål.docx", "A 13558-2025")</f>
        <v/>
      </c>
      <c r="AB25">
        <f>HYPERLINK("https://klasma.github.io/Logging_0885/klagomålsmail/A 13558-2025 FSC-klagomål mail.docx", "A 13558-2025")</f>
        <v/>
      </c>
      <c r="AC25">
        <f>HYPERLINK("https://klasma.github.io/Logging_0885/tillsyn/A 13558-2025 tillsynsbegäran.docx", "A 13558-2025")</f>
        <v/>
      </c>
      <c r="AD25">
        <f>HYPERLINK("https://klasma.github.io/Logging_0885/tillsynsmail/A 13558-2025 tillsynsbegäran mail.docx", "A 13558-2025")</f>
        <v/>
      </c>
    </row>
    <row r="26" ht="15" customHeight="1">
      <c r="A26" t="inlineStr">
        <is>
          <t>A 31515-2026</t>
        </is>
      </c>
      <c r="B26" t="inlineStr">
        <is>
          <t>avverkningsanmälan</t>
        </is>
      </c>
      <c r="C26" t="inlineStr">
        <is>
          <t>Avverkning för att bevara och utveckla /försöksver</t>
        </is>
      </c>
      <c r="D26" s="1" t="n">
        <v>46223</v>
      </c>
      <c r="E26" s="1" t="n">
        <v>46317</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46317</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A 31399-2026</t>
        </is>
      </c>
      <c r="B28" t="inlineStr">
        <is>
          <t>avverkningsanmälan</t>
        </is>
      </c>
      <c r="C28" t="inlineStr">
        <is>
          <t>Föryngringsavverkning</t>
        </is>
      </c>
      <c r="D28" s="1" t="n">
        <v>46220</v>
      </c>
      <c r="E28" s="1" t="n">
        <v>46317</v>
      </c>
      <c r="F28" t="inlineStr">
        <is>
          <t>KALMAR LÄN</t>
        </is>
      </c>
      <c r="G28" t="inlineStr">
        <is>
          <t>BORGHOLM</t>
        </is>
      </c>
      <c r="I28" t="n">
        <v>4.5</v>
      </c>
      <c r="J28" t="n">
        <v>5</v>
      </c>
      <c r="K28" t="n">
        <v>2</v>
      </c>
      <c r="L28" t="n">
        <v>3</v>
      </c>
      <c r="M28" t="n">
        <v>0</v>
      </c>
      <c r="N28" t="n">
        <v>0</v>
      </c>
      <c r="O28" t="n">
        <v>0</v>
      </c>
      <c r="P28" t="n">
        <v>0</v>
      </c>
      <c r="Q28" t="n">
        <v>3</v>
      </c>
      <c r="R28" t="n">
        <v>0</v>
      </c>
      <c r="S28" t="n">
        <v>8</v>
      </c>
      <c r="T28" t="n">
        <v>8</v>
      </c>
      <c r="U28" t="n">
        <v>0</v>
      </c>
      <c r="V28" s="2" t="inlineStr">
        <is>
          <t>Backklöver
Jordtistel
Stallört
Flugblomster
Tvåblad
Grönvit nattviol
Krutbrännare
Vanliga ängsnycklar</t>
        </is>
      </c>
      <c r="W28">
        <f>HYPERLINK("https://klasma.github.io/Logging_0885/artfynd/A 31399-2026 artfynd.xlsx", "A 31399-2026")</f>
        <v/>
      </c>
      <c r="X28">
        <f>HYPERLINK("https://klasma.github.io/Logging_0885/kartor/A 31399-2026 karta.png", "A 31399-2026")</f>
        <v/>
      </c>
      <c r="Y28">
        <f>HYPERLINK("https://klasma.github.io/Logging_0885/kartor_geotiff/A 31399-2026 georefererad karta.tif", "A 31399-2026")</f>
        <v/>
      </c>
      <c r="AA28">
        <f>HYPERLINK("https://klasma.github.io/Logging_0885/klagomål/A 31399-2026 FSC-klagomål.docx", "A 31399-2026")</f>
        <v/>
      </c>
      <c r="AB28">
        <f>HYPERLINK("https://klasma.github.io/Logging_0885/klagomålsmail/A 31399-2026 FSC-klagomål mail.docx", "A 31399-2026")</f>
        <v/>
      </c>
      <c r="AC28">
        <f>HYPERLINK("https://klasma.github.io/Logging_0885/tillsyn/A 31399-2026 tillsynsbegäran.docx", "A 31399-2026")</f>
        <v/>
      </c>
      <c r="AD28">
        <f>HYPERLINK("https://klasma.github.io/Logging_0885/tillsynsmail/A 31399-2026 tillsynsbegäran mail.docx", "A 31399-2026")</f>
        <v/>
      </c>
    </row>
    <row r="29" ht="15" customHeight="1">
      <c r="A29" t="inlineStr">
        <is>
          <t>S 2741-2022</t>
        </is>
      </c>
      <c r="B29" t="inlineStr">
        <is>
          <t>samrådsanmälan</t>
        </is>
      </c>
      <c r="C29" t="inlineStr">
        <is>
          <t>Annan skogsbruksåtgärd</t>
        </is>
      </c>
      <c r="D29" s="1" t="n">
        <v>44704</v>
      </c>
      <c r="E29" s="1" t="n">
        <v>46317</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46317</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46317</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46317</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16171-2023</t>
        </is>
      </c>
      <c r="B33" t="inlineStr">
        <is>
          <t>avverkningsanmälan</t>
        </is>
      </c>
      <c r="C33" t="inlineStr">
        <is>
          <t>Föryngringsavverkning</t>
        </is>
      </c>
      <c r="D33" s="1" t="n">
        <v>45027</v>
      </c>
      <c r="E33" s="1" t="n">
        <v>46317</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46794-2025</t>
        </is>
      </c>
      <c r="B34" t="inlineStr">
        <is>
          <t>avverkningsanmälan</t>
        </is>
      </c>
      <c r="C34" t="inlineStr">
        <is>
          <t>Avverkning för annat ändamål</t>
        </is>
      </c>
      <c r="D34" s="1" t="n">
        <v>45926</v>
      </c>
      <c r="E34" s="1" t="n">
        <v>46317</v>
      </c>
      <c r="F34" t="inlineStr">
        <is>
          <t>KALMAR LÄN</t>
        </is>
      </c>
      <c r="G34" t="inlineStr">
        <is>
          <t>BORGHOLM</t>
        </is>
      </c>
      <c r="I34" t="n">
        <v>0.7</v>
      </c>
      <c r="J34" t="n">
        <v>2</v>
      </c>
      <c r="K34" t="n">
        <v>3</v>
      </c>
      <c r="L34" t="n">
        <v>2</v>
      </c>
      <c r="M34" t="n">
        <v>0</v>
      </c>
      <c r="N34" t="n">
        <v>0</v>
      </c>
      <c r="O34" t="n">
        <v>0</v>
      </c>
      <c r="P34" t="n">
        <v>0</v>
      </c>
      <c r="Q34" t="n">
        <v>2</v>
      </c>
      <c r="R34" t="n">
        <v>0</v>
      </c>
      <c r="S34" t="n">
        <v>6</v>
      </c>
      <c r="T34" t="n">
        <v>10</v>
      </c>
      <c r="U34" t="n">
        <v>9</v>
      </c>
      <c r="V34" s="2" t="inlineStr">
        <is>
          <t>Mindre ekbock
Sårläka
Murgröna
Myskmadra
Vit skogslilja
Blåsippa</t>
        </is>
      </c>
      <c r="W34">
        <f>HYPERLINK("https://klasma.github.io/Logging_0885/artfynd/A 46794-2025 artfynd.xlsx", "A 46794-2025")</f>
        <v/>
      </c>
      <c r="X34">
        <f>HYPERLINK("https://klasma.github.io/Logging_0885/kartor/A 46794-2025 karta.png", "A 46794-2025")</f>
        <v/>
      </c>
      <c r="Y34">
        <f>HYPERLINK("https://klasma.github.io/Logging_0885/kartor_geotiff/A 46794-2025 georefererad karta.tif", "A 46794-2025")</f>
        <v/>
      </c>
      <c r="AA34">
        <f>HYPERLINK("https://klasma.github.io/Logging_0885/klagomål/A 46794-2025 FSC-klagomål.docx", "A 46794-2025")</f>
        <v/>
      </c>
      <c r="AB34">
        <f>HYPERLINK("https://klasma.github.io/Logging_0885/klagomålsmail/A 46794-2025 FSC-klagomål mail.docx", "A 46794-2025")</f>
        <v/>
      </c>
      <c r="AC34">
        <f>HYPERLINK("https://klasma.github.io/Logging_0885/tillsyn/A 46794-2025 tillsynsbegäran.docx", "A 46794-2025")</f>
        <v/>
      </c>
      <c r="AD34">
        <f>HYPERLINK("https://klasma.github.io/Logging_0885/tillsynsmail/A 46794-2025 tillsynsbegäran mail.docx", "A 46794-2025")</f>
        <v/>
      </c>
    </row>
    <row r="35" ht="15" customHeight="1">
      <c r="A35" t="inlineStr">
        <is>
          <t>A 27298-2026</t>
        </is>
      </c>
      <c r="B35" t="inlineStr">
        <is>
          <t>avverkningsanmälan</t>
        </is>
      </c>
      <c r="C35" t="inlineStr">
        <is>
          <t>Avverkning för att bevara och utveckla /försöksver</t>
        </is>
      </c>
      <c r="D35" s="1" t="n">
        <v>46188</v>
      </c>
      <c r="E35" s="1" t="n">
        <v>46317</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A 31558-2026</t>
        </is>
      </c>
      <c r="B36" t="inlineStr">
        <is>
          <t>avverkningsanmälan</t>
        </is>
      </c>
      <c r="C36" t="inlineStr">
        <is>
          <t>Avverkning för att bevara och utveckla /försöksver</t>
        </is>
      </c>
      <c r="D36" s="1" t="n">
        <v>46224</v>
      </c>
      <c r="E36" s="1" t="n">
        <v>46317</v>
      </c>
      <c r="F36" t="inlineStr">
        <is>
          <t>KALMAR LÄN</t>
        </is>
      </c>
      <c r="G36" t="inlineStr">
        <is>
          <t>BORGHOLM</t>
        </is>
      </c>
      <c r="H36" t="inlineStr">
        <is>
          <t>Sveaskog</t>
        </is>
      </c>
      <c r="I36" t="n">
        <v>1</v>
      </c>
      <c r="J36" t="n">
        <v>2</v>
      </c>
      <c r="K36" t="n">
        <v>2</v>
      </c>
      <c r="L36" t="n">
        <v>3</v>
      </c>
      <c r="M36" t="n">
        <v>0</v>
      </c>
      <c r="N36" t="n">
        <v>0</v>
      </c>
      <c r="O36" t="n">
        <v>0</v>
      </c>
      <c r="P36" t="n">
        <v>0</v>
      </c>
      <c r="Q36" t="n">
        <v>3</v>
      </c>
      <c r="R36" t="n">
        <v>0</v>
      </c>
      <c r="S36" t="n">
        <v>6</v>
      </c>
      <c r="T36" t="n">
        <v>8</v>
      </c>
      <c r="U36" t="n">
        <v>1</v>
      </c>
      <c r="V36" s="2" t="inlineStr">
        <is>
          <t>Blå slemspindling
Sårläka
Vårärt
Anisspindling
Skogsknipprot
Grönvit nattviol</t>
        </is>
      </c>
      <c r="W36">
        <f>HYPERLINK("https://klasma.github.io/Logging_0885/artfynd/A 31558-2026 artfynd.xlsx", "A 31558-2026")</f>
        <v/>
      </c>
      <c r="X36">
        <f>HYPERLINK("https://klasma.github.io/Logging_0885/kartor/A 31558-2026 karta.png", "A 31558-2026")</f>
        <v/>
      </c>
      <c r="Y36">
        <f>HYPERLINK("https://klasma.github.io/Logging_0885/kartor_geotiff/A 31558-2026 georefererad karta.tif", "A 31558-2026")</f>
        <v/>
      </c>
      <c r="AA36">
        <f>HYPERLINK("https://klasma.github.io/Logging_0885/klagomål/A 31558-2026 FSC-klagomål.docx", "A 31558-2026")</f>
        <v/>
      </c>
      <c r="AB36">
        <f>HYPERLINK("https://klasma.github.io/Logging_0885/klagomålsmail/A 31558-2026 FSC-klagomål mail.docx", "A 31558-2026")</f>
        <v/>
      </c>
      <c r="AC36">
        <f>HYPERLINK("https://klasma.github.io/Logging_0885/tillsyn/A 31558-2026 tillsynsbegäran.docx", "A 31558-2026")</f>
        <v/>
      </c>
      <c r="AD36">
        <f>HYPERLINK("https://klasma.github.io/Logging_0885/tillsynsmail/A 31558-2026 tillsynsbegäran mail.docx", "A 31558-2026")</f>
        <v/>
      </c>
    </row>
    <row r="37" ht="15" customHeight="1">
      <c r="A37" t="inlineStr">
        <is>
          <t>S 2737-2022</t>
        </is>
      </c>
      <c r="B37" t="inlineStr">
        <is>
          <t>samrådsanmälan</t>
        </is>
      </c>
      <c r="C37" t="inlineStr">
        <is>
          <t>Annan skogsbruksåtgärd</t>
        </is>
      </c>
      <c r="D37" s="1" t="n">
        <v>44704</v>
      </c>
      <c r="E37" s="1" t="n">
        <v>46317</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46317</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46317</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46317</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46317</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46317</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46317</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46317</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21797-2024</t>
        </is>
      </c>
      <c r="B45" t="inlineStr">
        <is>
          <t>avverkningsanmälan</t>
        </is>
      </c>
      <c r="C45" t="inlineStr">
        <is>
          <t>Föryngringsavverkning</t>
        </is>
      </c>
      <c r="D45" s="1" t="n">
        <v>45442</v>
      </c>
      <c r="E45" s="1" t="n">
        <v>46317</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27290-2026</t>
        </is>
      </c>
      <c r="B46" t="inlineStr">
        <is>
          <t>avverkningsanmälan</t>
        </is>
      </c>
      <c r="C46" t="inlineStr">
        <is>
          <t>Avverkning för att bevara och utveckla /försöksver</t>
        </is>
      </c>
      <c r="D46" s="1" t="n">
        <v>46188</v>
      </c>
      <c r="E46" s="1" t="n">
        <v>46317</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46317</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7960-2023</t>
        </is>
      </c>
      <c r="B48" t="inlineStr">
        <is>
          <t>avverkningsanmälan</t>
        </is>
      </c>
      <c r="C48" t="inlineStr">
        <is>
          <t>Föryngringsavverkning</t>
        </is>
      </c>
      <c r="D48" s="1" t="n">
        <v>44973</v>
      </c>
      <c r="E48" s="1" t="n">
        <v>46317</v>
      </c>
      <c r="F48" t="inlineStr">
        <is>
          <t>KALMAR LÄN</t>
        </is>
      </c>
      <c r="G48" t="inlineStr">
        <is>
          <t>BORGHOLM</t>
        </is>
      </c>
      <c r="I48" t="n">
        <v>2.1</v>
      </c>
      <c r="J48" t="n">
        <v>0</v>
      </c>
      <c r="K48" t="n">
        <v>1</v>
      </c>
      <c r="L48" t="n">
        <v>2</v>
      </c>
      <c r="M48" t="n">
        <v>0</v>
      </c>
      <c r="N48" t="n">
        <v>0</v>
      </c>
      <c r="O48" t="n">
        <v>1</v>
      </c>
      <c r="P48" t="n">
        <v>0</v>
      </c>
      <c r="Q48" t="n">
        <v>3</v>
      </c>
      <c r="R48" t="n">
        <v>1</v>
      </c>
      <c r="S48" t="n">
        <v>4</v>
      </c>
      <c r="T48" t="n">
        <v>4</v>
      </c>
      <c r="U48" t="n">
        <v>3</v>
      </c>
      <c r="V48" s="2" t="inlineStr">
        <is>
          <t>Vresalm
Pilfotsspindling
Vippärt
Strävlosta</t>
        </is>
      </c>
      <c r="W48">
        <f>HYPERLINK("https://klasma.github.io/Logging_0885/artfynd/A 7960-2023 artfynd.xlsx", "A 7960-2023")</f>
        <v/>
      </c>
      <c r="X48">
        <f>HYPERLINK("https://klasma.github.io/Logging_0885/kartor/A 7960-2023 karta.png", "A 7960-2023")</f>
        <v/>
      </c>
      <c r="Y48">
        <f>HYPERLINK("https://klasma.github.io/Logging_0885/kartor_geotiff/A 7960-2023 georefererad karta.tif", "A 7960-2023")</f>
        <v/>
      </c>
      <c r="AA48">
        <f>HYPERLINK("https://klasma.github.io/Logging_0885/klagomål/A 7960-2023 FSC-klagomål.docx", "A 7960-2023")</f>
        <v/>
      </c>
      <c r="AB48">
        <f>HYPERLINK("https://klasma.github.io/Logging_0885/klagomålsmail/A 7960-2023 FSC-klagomål mail.docx", "A 7960-2023")</f>
        <v/>
      </c>
      <c r="AC48">
        <f>HYPERLINK("https://klasma.github.io/Logging_0885/tillsyn/A 7960-2023 tillsynsbegäran.docx", "A 7960-2023")</f>
        <v/>
      </c>
      <c r="AD48">
        <f>HYPERLINK("https://klasma.github.io/Logging_0885/tillsynsmail/A 7960-2023 tillsynsbegäran mail.docx", "A 7960-2023")</f>
        <v/>
      </c>
    </row>
    <row r="49" ht="15" customHeight="1">
      <c r="A49" t="inlineStr">
        <is>
          <t>S 2740-2022</t>
        </is>
      </c>
      <c r="B49" t="inlineStr">
        <is>
          <t>samrådsanmälan</t>
        </is>
      </c>
      <c r="C49" t="inlineStr">
        <is>
          <t>Annan skogsbruksåtgärd</t>
        </is>
      </c>
      <c r="D49" s="1" t="n">
        <v>44704</v>
      </c>
      <c r="E49" s="1" t="n">
        <v>46317</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46317</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46317</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24048-2025</t>
        </is>
      </c>
      <c r="B52" t="inlineStr">
        <is>
          <t>avverkningsanmälan</t>
        </is>
      </c>
      <c r="C52" t="inlineStr">
        <is>
          <t>Föryngringsavverkning</t>
        </is>
      </c>
      <c r="D52" s="1" t="n">
        <v>45796</v>
      </c>
      <c r="E52" s="1" t="n">
        <v>46317</v>
      </c>
      <c r="F52" t="inlineStr">
        <is>
          <t>KALMAR LÄN</t>
        </is>
      </c>
      <c r="G52" t="inlineStr">
        <is>
          <t>BORGHOLM</t>
        </is>
      </c>
      <c r="I52" t="n">
        <v>2</v>
      </c>
      <c r="J52" t="n">
        <v>1</v>
      </c>
      <c r="K52" t="n">
        <v>0</v>
      </c>
      <c r="L52" t="n">
        <v>2</v>
      </c>
      <c r="M52" t="n">
        <v>0</v>
      </c>
      <c r="N52" t="n">
        <v>0</v>
      </c>
      <c r="O52" t="n">
        <v>0</v>
      </c>
      <c r="P52" t="n">
        <v>0</v>
      </c>
      <c r="Q52" t="n">
        <v>2</v>
      </c>
      <c r="R52" t="n">
        <v>0</v>
      </c>
      <c r="S52" t="n">
        <v>3</v>
      </c>
      <c r="T52" t="n">
        <v>5</v>
      </c>
      <c r="U52" t="n">
        <v>0</v>
      </c>
      <c r="V52" s="2" t="inlineStr">
        <is>
          <t>Loppstarr
Ängsstarr
Kärrknipprot</t>
        </is>
      </c>
      <c r="W52">
        <f>HYPERLINK("https://klasma.github.io/Logging_0885/artfynd/A 24048-2025 artfynd.xlsx", "A 24048-2025")</f>
        <v/>
      </c>
      <c r="X52">
        <f>HYPERLINK("https://klasma.github.io/Logging_0885/kartor/A 24048-2025 karta.png", "A 24048-2025")</f>
        <v/>
      </c>
      <c r="Y52">
        <f>HYPERLINK("https://klasma.github.io/Logging_0885/kartor_geotiff/A 24048-2025 georefererad karta.tif", "A 24048-2025")</f>
        <v/>
      </c>
      <c r="AA52">
        <f>HYPERLINK("https://klasma.github.io/Logging_0885/klagomål/A 24048-2025 FSC-klagomål.docx", "A 24048-2025")</f>
        <v/>
      </c>
      <c r="AB52">
        <f>HYPERLINK("https://klasma.github.io/Logging_0885/klagomålsmail/A 24048-2025 FSC-klagomål mail.docx", "A 24048-2025")</f>
        <v/>
      </c>
      <c r="AC52">
        <f>HYPERLINK("https://klasma.github.io/Logging_0885/tillsyn/A 24048-2025 tillsynsbegäran.docx", "A 24048-2025")</f>
        <v/>
      </c>
      <c r="AD52">
        <f>HYPERLINK("https://klasma.github.io/Logging_0885/tillsynsmail/A 24048-2025 tillsynsbegäran mail.docx", "A 24048-2025")</f>
        <v/>
      </c>
    </row>
    <row r="53" ht="15" customHeight="1">
      <c r="A53" t="inlineStr">
        <is>
          <t>A 38860-2025</t>
        </is>
      </c>
      <c r="B53" t="inlineStr">
        <is>
          <t>avverkningsanmälan</t>
        </is>
      </c>
      <c r="C53" t="inlineStr">
        <is>
          <t>Föryngringsavverkning</t>
        </is>
      </c>
      <c r="D53" s="1" t="n">
        <v>45887</v>
      </c>
      <c r="E53" s="1" t="n">
        <v>46317</v>
      </c>
      <c r="F53" t="inlineStr">
        <is>
          <t>KALMAR LÄN</t>
        </is>
      </c>
      <c r="G53" t="inlineStr">
        <is>
          <t>BORGHOLM</t>
        </is>
      </c>
      <c r="I53" t="n">
        <v>5.6</v>
      </c>
      <c r="J53" t="n">
        <v>2</v>
      </c>
      <c r="K53" t="n">
        <v>1</v>
      </c>
      <c r="L53" t="n">
        <v>0</v>
      </c>
      <c r="M53" t="n">
        <v>0</v>
      </c>
      <c r="N53" t="n">
        <v>1</v>
      </c>
      <c r="O53" t="n">
        <v>0</v>
      </c>
      <c r="P53" t="n">
        <v>0</v>
      </c>
      <c r="Q53" t="n">
        <v>1</v>
      </c>
      <c r="R53" t="n">
        <v>1</v>
      </c>
      <c r="S53" t="n">
        <v>3</v>
      </c>
      <c r="T53" t="n">
        <v>3</v>
      </c>
      <c r="U53" t="n">
        <v>0</v>
      </c>
      <c r="V53" s="2" t="inlineStr">
        <is>
          <t>Ask
Skogsknipprot
Revlummer</t>
        </is>
      </c>
      <c r="W53">
        <f>HYPERLINK("https://klasma.github.io/Logging_0885/artfynd/A 38860-2025 artfynd.xlsx", "A 38860-2025")</f>
        <v/>
      </c>
      <c r="X53">
        <f>HYPERLINK("https://klasma.github.io/Logging_0885/kartor/A 38860-2025 karta.png", "A 38860-2025")</f>
        <v/>
      </c>
      <c r="Y53">
        <f>HYPERLINK("https://klasma.github.io/Logging_0885/kartor_geotiff/A 38860-2025 georefererad karta.tif", "A 38860-2025")</f>
        <v/>
      </c>
      <c r="AA53">
        <f>HYPERLINK("https://klasma.github.io/Logging_0885/klagomål/A 38860-2025 FSC-klagomål.docx", "A 38860-2025")</f>
        <v/>
      </c>
      <c r="AB53">
        <f>HYPERLINK("https://klasma.github.io/Logging_0885/klagomålsmail/A 38860-2025 FSC-klagomål mail.docx", "A 38860-2025")</f>
        <v/>
      </c>
      <c r="AC53">
        <f>HYPERLINK("https://klasma.github.io/Logging_0885/tillsyn/A 38860-2025 tillsynsbegäran.docx", "A 38860-2025")</f>
        <v/>
      </c>
      <c r="AD53">
        <f>HYPERLINK("https://klasma.github.io/Logging_0885/tillsynsmail/A 38860-2025 tillsynsbegäran mail.docx", "A 38860-2025")</f>
        <v/>
      </c>
    </row>
    <row r="54" ht="15" customHeight="1">
      <c r="A54" t="inlineStr">
        <is>
          <t>A 43542-2025</t>
        </is>
      </c>
      <c r="B54" t="inlineStr">
        <is>
          <t>avverkningsanmälan</t>
        </is>
      </c>
      <c r="C54" t="inlineStr">
        <is>
          <t>Föryngringsavverkning</t>
        </is>
      </c>
      <c r="D54" s="1" t="n">
        <v>45911</v>
      </c>
      <c r="E54" s="1" t="n">
        <v>46317</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32174-2022</t>
        </is>
      </c>
      <c r="B55" t="inlineStr">
        <is>
          <t>avverkningsanmälan</t>
        </is>
      </c>
      <c r="C55" t="inlineStr">
        <is>
          <t>Avverkning för att bevara och utveckla /försöksver</t>
        </is>
      </c>
      <c r="D55" s="1" t="n">
        <v>44781</v>
      </c>
      <c r="E55" s="1" t="n">
        <v>46317</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15285-2026</t>
        </is>
      </c>
      <c r="B56" t="inlineStr">
        <is>
          <t>avverkningsanmälan</t>
        </is>
      </c>
      <c r="C56" t="inlineStr">
        <is>
          <t>Avverkning för att bevara och utveckla /försöksver</t>
        </is>
      </c>
      <c r="D56" s="1" t="n">
        <v>46105</v>
      </c>
      <c r="E56" s="1" t="n">
        <v>46317</v>
      </c>
      <c r="F56" t="inlineStr">
        <is>
          <t>KALMAR LÄN</t>
        </is>
      </c>
      <c r="G56" t="inlineStr">
        <is>
          <t>BORGHOLM</t>
        </is>
      </c>
      <c r="H56" t="inlineStr">
        <is>
          <t>Sveaskog</t>
        </is>
      </c>
      <c r="I56" t="n">
        <v>1.7</v>
      </c>
      <c r="J56" t="n">
        <v>3</v>
      </c>
      <c r="K56" t="n">
        <v>0</v>
      </c>
      <c r="L56" t="n">
        <v>1</v>
      </c>
      <c r="M56" t="n">
        <v>0</v>
      </c>
      <c r="N56" t="n">
        <v>0</v>
      </c>
      <c r="O56" t="n">
        <v>0</v>
      </c>
      <c r="P56" t="n">
        <v>0</v>
      </c>
      <c r="Q56" t="n">
        <v>1</v>
      </c>
      <c r="R56" t="n">
        <v>0</v>
      </c>
      <c r="S56" t="n">
        <v>3</v>
      </c>
      <c r="T56" t="n">
        <v>3</v>
      </c>
      <c r="U56" t="n">
        <v>0</v>
      </c>
      <c r="V56" s="2" t="inlineStr">
        <is>
          <t>Talltita
Havsörn
Kungsfågel</t>
        </is>
      </c>
      <c r="W56">
        <f>HYPERLINK("https://klasma.github.io/Logging_0885/artfynd/A 15285-2026 artfynd.xlsx", "A 15285-2026")</f>
        <v/>
      </c>
      <c r="X56">
        <f>HYPERLINK("https://klasma.github.io/Logging_0885/kartor/A 15285-2026 karta.png", "A 15285-2026")</f>
        <v/>
      </c>
      <c r="Y56">
        <f>HYPERLINK("https://klasma.github.io/Logging_0885/kartor_geotiff/A 15285-2026 georefererad karta.tif", "A 15285-2026")</f>
        <v/>
      </c>
      <c r="AA56">
        <f>HYPERLINK("https://klasma.github.io/Logging_0885/klagomål/A 15285-2026 FSC-klagomål.docx", "A 15285-2026")</f>
        <v/>
      </c>
      <c r="AB56">
        <f>HYPERLINK("https://klasma.github.io/Logging_0885/klagomålsmail/A 15285-2026 FSC-klagomål mail.docx", "A 15285-2026")</f>
        <v/>
      </c>
      <c r="AC56">
        <f>HYPERLINK("https://klasma.github.io/Logging_0885/tillsyn/A 15285-2026 tillsynsbegäran.docx", "A 15285-2026")</f>
        <v/>
      </c>
      <c r="AD56">
        <f>HYPERLINK("https://klasma.github.io/Logging_0885/tillsynsmail/A 15285-2026 tillsynsbegäran mail.docx", "A 15285-2026")</f>
        <v/>
      </c>
      <c r="AE56">
        <f>HYPERLINK("https://klasma.github.io/Logging_0885/fåglar/A 15285-2026 prioriterade fågelarter.docx", "A 15285-2026")</f>
        <v/>
      </c>
    </row>
    <row r="57" ht="15" customHeight="1">
      <c r="A57" t="inlineStr">
        <is>
          <t>A 26849-2026</t>
        </is>
      </c>
      <c r="B57" t="inlineStr">
        <is>
          <t>avverkningsanmälan</t>
        </is>
      </c>
      <c r="C57" t="inlineStr">
        <is>
          <t>Föryngringsavverkning</t>
        </is>
      </c>
      <c r="D57" s="1" t="n">
        <v>46185</v>
      </c>
      <c r="E57" s="1" t="n">
        <v>46317</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46317</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A 43756-2022</t>
        </is>
      </c>
      <c r="B59" t="inlineStr">
        <is>
          <t>avverkningsanmälan</t>
        </is>
      </c>
      <c r="C59" t="inlineStr">
        <is>
          <t>Föryngringsavverkning</t>
        </is>
      </c>
      <c r="D59" s="1" t="n">
        <v>44837</v>
      </c>
      <c r="E59" s="1" t="n">
        <v>46317</v>
      </c>
      <c r="F59" t="inlineStr">
        <is>
          <t>KALMAR LÄN</t>
        </is>
      </c>
      <c r="G59" t="inlineStr">
        <is>
          <t>BORGHOLM</t>
        </is>
      </c>
      <c r="I59" t="n">
        <v>2.2</v>
      </c>
      <c r="J59" t="n">
        <v>2</v>
      </c>
      <c r="K59" t="n">
        <v>1</v>
      </c>
      <c r="L59" t="n">
        <v>0</v>
      </c>
      <c r="M59" t="n">
        <v>0</v>
      </c>
      <c r="N59" t="n">
        <v>0</v>
      </c>
      <c r="O59" t="n">
        <v>0</v>
      </c>
      <c r="P59" t="n">
        <v>0</v>
      </c>
      <c r="Q59" t="n">
        <v>0</v>
      </c>
      <c r="R59" t="n">
        <v>0</v>
      </c>
      <c r="S59" t="n">
        <v>3</v>
      </c>
      <c r="T59" t="n">
        <v>5</v>
      </c>
      <c r="U59" t="n">
        <v>5</v>
      </c>
      <c r="V59" s="2" t="inlineStr">
        <is>
          <t>Murgröna
Blåsippa
Gullviva</t>
        </is>
      </c>
      <c r="W59">
        <f>HYPERLINK("https://klasma.github.io/Logging_0885/artfynd/A 43756-2022 artfynd.xlsx", "A 43756-2022")</f>
        <v/>
      </c>
      <c r="X59">
        <f>HYPERLINK("https://klasma.github.io/Logging_0885/kartor/A 43756-2022 karta.png", "A 43756-2022")</f>
        <v/>
      </c>
      <c r="Y59">
        <f>HYPERLINK("https://klasma.github.io/Logging_0885/kartor_geotiff/A 43756-2022 georefererad karta.tif", "A 43756-2022")</f>
        <v/>
      </c>
      <c r="AA59">
        <f>HYPERLINK("https://klasma.github.io/Logging_0885/klagomål/A 43756-2022 FSC-klagomål.docx", "A 43756-2022")</f>
        <v/>
      </c>
      <c r="AB59">
        <f>HYPERLINK("https://klasma.github.io/Logging_0885/klagomålsmail/A 43756-2022 FSC-klagomål mail.docx", "A 43756-2022")</f>
        <v/>
      </c>
      <c r="AC59">
        <f>HYPERLINK("https://klasma.github.io/Logging_0885/tillsyn/A 43756-2022 tillsynsbegäran.docx", "A 43756-2022")</f>
        <v/>
      </c>
      <c r="AD59">
        <f>HYPERLINK("https://klasma.github.io/Logging_0885/tillsynsmail/A 43756-2022 tillsynsbegäran mail.docx", "A 43756-2022")</f>
        <v/>
      </c>
    </row>
    <row r="60" ht="15" customHeight="1">
      <c r="A60" t="inlineStr">
        <is>
          <t>A 31520-2026</t>
        </is>
      </c>
      <c r="B60" t="inlineStr">
        <is>
          <t>avverkningsanmälan</t>
        </is>
      </c>
      <c r="C60" t="inlineStr">
        <is>
          <t>Avverkning för att bevara och utveckla /försöksver</t>
        </is>
      </c>
      <c r="D60" s="1" t="n">
        <v>46223</v>
      </c>
      <c r="E60" s="1" t="n">
        <v>46317</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HYPERLINK("https://klasma.github.io/Logging_0885/artfynd/A 31520-2026 artfynd.xlsx", "A 31520-2026")</f>
        <v/>
      </c>
      <c r="X60">
        <f>HYPERLINK("https://klasma.github.io/Logging_0885/kartor/A 31520-2026 karta.png", "A 31520-2026")</f>
        <v/>
      </c>
      <c r="Y60">
        <f>HYPERLINK("https://klasma.github.io/Logging_0885/kartor_geotiff/A 31520-2026 georefererad karta.tif", "A 31520-2026")</f>
        <v/>
      </c>
      <c r="AA60">
        <f>HYPERLINK("https://klasma.github.io/Logging_0885/klagomål/A 31520-2026 FSC-klagomål.docx", "A 31520-2026")</f>
        <v/>
      </c>
      <c r="AB60">
        <f>HYPERLINK("https://klasma.github.io/Logging_0885/klagomålsmail/A 31520-2026 FSC-klagomål mail.docx", "A 31520-2026")</f>
        <v/>
      </c>
      <c r="AC60">
        <f>HYPERLINK("https://klasma.github.io/Logging_0885/tillsyn/A 31520-2026 tillsynsbegäran.docx", "A 31520-2026")</f>
        <v/>
      </c>
      <c r="AD60">
        <f>HYPERLINK("https://klasma.github.io/Logging_0885/tillsynsmail/A 31520-2026 tillsynsbegäran mail.docx", "A 31520-2026")</f>
        <v/>
      </c>
      <c r="AE60">
        <f>HYPERLINK("https://klasma.github.io/Logging_0885/fåglar/A 31520-2026 prioriterade fågelarter.docx", "A 31520-2026")</f>
        <v/>
      </c>
    </row>
    <row r="61" ht="15" customHeight="1">
      <c r="A61" t="inlineStr">
        <is>
          <t>S 846-2026</t>
        </is>
      </c>
      <c r="B61" t="inlineStr">
        <is>
          <t>samrådsanmälan</t>
        </is>
      </c>
      <c r="C61" t="inlineStr">
        <is>
          <t>Annan skogsbruksåtgärd</t>
        </is>
      </c>
      <c r="D61" s="1" t="n">
        <v>46105</v>
      </c>
      <c r="E61" s="1" t="n">
        <v>46317</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46317</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46317</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46317</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24166-2022</t>
        </is>
      </c>
      <c r="B65" t="inlineStr">
        <is>
          <t>avverkningsanmälan</t>
        </is>
      </c>
      <c r="C65" t="inlineStr">
        <is>
          <t>Avverkning för annat ändamål</t>
        </is>
      </c>
      <c r="D65" s="1" t="n">
        <v>44725</v>
      </c>
      <c r="E65" s="1" t="n">
        <v>46317</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60141-2025</t>
        </is>
      </c>
      <c r="B66" t="inlineStr">
        <is>
          <t>avverkningsanmälan</t>
        </is>
      </c>
      <c r="C66" t="inlineStr">
        <is>
          <t>Föryngringsavverkning</t>
        </is>
      </c>
      <c r="D66" s="1" t="n">
        <v>45994</v>
      </c>
      <c r="E66" s="1" t="n">
        <v>46317</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46317</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9253-2026</t>
        </is>
      </c>
      <c r="B68" t="inlineStr">
        <is>
          <t>avverkningsanmälan</t>
        </is>
      </c>
      <c r="C68" t="inlineStr">
        <is>
          <t>Föryngringsavverkning</t>
        </is>
      </c>
      <c r="D68" s="1" t="n">
        <v>46070</v>
      </c>
      <c r="E68" s="1" t="n">
        <v>46317</v>
      </c>
      <c r="F68" t="inlineStr">
        <is>
          <t>KALMAR LÄN</t>
        </is>
      </c>
      <c r="G68" t="inlineStr">
        <is>
          <t>BORGHOLM</t>
        </is>
      </c>
      <c r="I68" t="n">
        <v>1.1</v>
      </c>
      <c r="J68" t="n">
        <v>1</v>
      </c>
      <c r="K68" t="n">
        <v>1</v>
      </c>
      <c r="L68" t="n">
        <v>0</v>
      </c>
      <c r="M68" t="n">
        <v>0</v>
      </c>
      <c r="N68" t="n">
        <v>0</v>
      </c>
      <c r="O68" t="n">
        <v>0</v>
      </c>
      <c r="P68" t="n">
        <v>0</v>
      </c>
      <c r="Q68" t="n">
        <v>0</v>
      </c>
      <c r="R68" t="n">
        <v>0</v>
      </c>
      <c r="S68" t="n">
        <v>2</v>
      </c>
      <c r="T68" t="n">
        <v>2</v>
      </c>
      <c r="U68" t="n">
        <v>0</v>
      </c>
      <c r="V68" s="2" t="inlineStr">
        <is>
          <t>Murgröna
Gullviva</t>
        </is>
      </c>
      <c r="W68">
        <f>HYPERLINK("https://klasma.github.io/Logging_0885/artfynd/A 9253-2026 artfynd.xlsx", "A 9253-2026")</f>
        <v/>
      </c>
      <c r="X68">
        <f>HYPERLINK("https://klasma.github.io/Logging_0885/kartor/A 9253-2026 karta.png", "A 9253-2026")</f>
        <v/>
      </c>
      <c r="Y68">
        <f>HYPERLINK("https://klasma.github.io/Logging_0885/kartor_geotiff/A 9253-2026 georefererad karta.tif", "A 9253-2026")</f>
        <v/>
      </c>
      <c r="AA68">
        <f>HYPERLINK("https://klasma.github.io/Logging_0885/klagomål/A 9253-2026 FSC-klagomål.docx", "A 9253-2026")</f>
        <v/>
      </c>
      <c r="AB68">
        <f>HYPERLINK("https://klasma.github.io/Logging_0885/klagomålsmail/A 9253-2026 FSC-klagomål mail.docx", "A 9253-2026")</f>
        <v/>
      </c>
      <c r="AC68">
        <f>HYPERLINK("https://klasma.github.io/Logging_0885/tillsyn/A 9253-2026 tillsynsbegäran.docx", "A 9253-2026")</f>
        <v/>
      </c>
      <c r="AD68">
        <f>HYPERLINK("https://klasma.github.io/Logging_0885/tillsynsmail/A 9253-2026 tillsynsbegäran mail.docx", "A 9253-2026")</f>
        <v/>
      </c>
    </row>
    <row r="69" ht="15" customHeight="1">
      <c r="A69" t="inlineStr">
        <is>
          <t>A 44678-2022</t>
        </is>
      </c>
      <c r="B69" t="inlineStr">
        <is>
          <t>avverkningsanmälan</t>
        </is>
      </c>
      <c r="C69" t="inlineStr">
        <is>
          <t>Föryngringsavverkning</t>
        </is>
      </c>
      <c r="D69" s="1" t="n">
        <v>44840</v>
      </c>
      <c r="E69" s="1" t="n">
        <v>46317</v>
      </c>
      <c r="F69" t="inlineStr">
        <is>
          <t>KALMAR LÄN</t>
        </is>
      </c>
      <c r="G69" t="inlineStr">
        <is>
          <t>BORGHOLM</t>
        </is>
      </c>
      <c r="I69" t="n">
        <v>2.4</v>
      </c>
      <c r="J69" t="n">
        <v>1</v>
      </c>
      <c r="K69" t="n">
        <v>1</v>
      </c>
      <c r="L69" t="n">
        <v>0</v>
      </c>
      <c r="M69" t="n">
        <v>0</v>
      </c>
      <c r="N69" t="n">
        <v>1</v>
      </c>
      <c r="O69" t="n">
        <v>0</v>
      </c>
      <c r="P69" t="n">
        <v>0</v>
      </c>
      <c r="Q69" t="n">
        <v>1</v>
      </c>
      <c r="R69" t="n">
        <v>1</v>
      </c>
      <c r="S69" t="n">
        <v>2</v>
      </c>
      <c r="T69" t="n">
        <v>2</v>
      </c>
      <c r="U69" t="n">
        <v>1</v>
      </c>
      <c r="V69" s="2" t="inlineStr">
        <is>
          <t>Ask
Skogsknipprot</t>
        </is>
      </c>
      <c r="W69">
        <f>HYPERLINK("https://klasma.github.io/Logging_0885/artfynd/A 44678-2022 artfynd.xlsx", "A 44678-2022")</f>
        <v/>
      </c>
      <c r="X69">
        <f>HYPERLINK("https://klasma.github.io/Logging_0885/kartor/A 44678-2022 karta.png", "A 44678-2022")</f>
        <v/>
      </c>
      <c r="Y69">
        <f>HYPERLINK("https://klasma.github.io/Logging_0885/kartor_geotiff/A 44678-2022 georefererad karta.tif", "A 44678-2022")</f>
        <v/>
      </c>
      <c r="AA69">
        <f>HYPERLINK("https://klasma.github.io/Logging_0885/klagomål/A 44678-2022 FSC-klagomål.docx", "A 44678-2022")</f>
        <v/>
      </c>
      <c r="AB69">
        <f>HYPERLINK("https://klasma.github.io/Logging_0885/klagomålsmail/A 44678-2022 FSC-klagomål mail.docx", "A 44678-2022")</f>
        <v/>
      </c>
      <c r="AC69">
        <f>HYPERLINK("https://klasma.github.io/Logging_0885/tillsyn/A 44678-2022 tillsynsbegäran.docx", "A 44678-2022")</f>
        <v/>
      </c>
      <c r="AD69">
        <f>HYPERLINK("https://klasma.github.io/Logging_0885/tillsynsmail/A 44678-2022 tillsynsbegäran mail.docx", "A 44678-2022")</f>
        <v/>
      </c>
    </row>
    <row r="70" ht="15" customHeight="1">
      <c r="A70" t="inlineStr">
        <is>
          <t>A 17699-2025</t>
        </is>
      </c>
      <c r="B70" t="inlineStr">
        <is>
          <t>avverkningsanmälan</t>
        </is>
      </c>
      <c r="C70" t="inlineStr">
        <is>
          <t>Föryngringsavverkning</t>
        </is>
      </c>
      <c r="D70" s="1" t="n">
        <v>45758</v>
      </c>
      <c r="E70" s="1" t="n">
        <v>46317</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24322-2026</t>
        </is>
      </c>
      <c r="B71" t="inlineStr">
        <is>
          <t>avverkningsanmälan</t>
        </is>
      </c>
      <c r="C71" t="inlineStr">
        <is>
          <t>Föryngringsavverkning</t>
        </is>
      </c>
      <c r="D71" s="1" t="n">
        <v>46169</v>
      </c>
      <c r="E71" s="1" t="n">
        <v>46317</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21908-2022</t>
        </is>
      </c>
      <c r="B72" t="inlineStr">
        <is>
          <t>avverkningsanmälan</t>
        </is>
      </c>
      <c r="C72" t="inlineStr">
        <is>
          <t>Föryngringsavverkning</t>
        </is>
      </c>
      <c r="D72" s="1" t="n">
        <v>44711</v>
      </c>
      <c r="E72" s="1" t="n">
        <v>46317</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29411-2026</t>
        </is>
      </c>
      <c r="B73" t="inlineStr">
        <is>
          <t>avverkningsanmälan</t>
        </is>
      </c>
      <c r="C73" t="inlineStr">
        <is>
          <t>Avverkning för att bevara och utveckla /försöksver</t>
        </is>
      </c>
      <c r="D73" s="1" t="n">
        <v>46203</v>
      </c>
      <c r="E73" s="1" t="n">
        <v>46317</v>
      </c>
      <c r="F73" t="inlineStr">
        <is>
          <t>KALMAR LÄN</t>
        </is>
      </c>
      <c r="G73" t="inlineStr">
        <is>
          <t>BORGHOLM</t>
        </is>
      </c>
      <c r="H73" t="inlineStr">
        <is>
          <t>Sveaskog</t>
        </is>
      </c>
      <c r="I73" t="n">
        <v>0.6</v>
      </c>
      <c r="J73" t="n">
        <v>1</v>
      </c>
      <c r="K73" t="n">
        <v>1</v>
      </c>
      <c r="L73" t="n">
        <v>0</v>
      </c>
      <c r="M73" t="n">
        <v>1</v>
      </c>
      <c r="N73" t="n">
        <v>0</v>
      </c>
      <c r="O73" t="n">
        <v>0</v>
      </c>
      <c r="P73" t="n">
        <v>0</v>
      </c>
      <c r="Q73" t="n">
        <v>1</v>
      </c>
      <c r="R73" t="n">
        <v>1</v>
      </c>
      <c r="S73" t="n">
        <v>2</v>
      </c>
      <c r="T73" t="n">
        <v>2</v>
      </c>
      <c r="U73" t="n">
        <v>1</v>
      </c>
      <c r="V73" s="2" t="inlineStr">
        <is>
          <t>Bredbrämad bastardsvärmare
Ekoxe</t>
        </is>
      </c>
      <c r="W73">
        <f>HYPERLINK("https://klasma.github.io/Logging_0885/artfynd/A 29411-2026 artfynd.xlsx", "A 29411-2026")</f>
        <v/>
      </c>
      <c r="X73">
        <f>HYPERLINK("https://klasma.github.io/Logging_0885/kartor/A 29411-2026 karta.png", "A 29411-2026")</f>
        <v/>
      </c>
      <c r="Y73">
        <f>HYPERLINK("https://klasma.github.io/Logging_0885/kartor_geotiff/A 29411-2026 georefererad karta.tif", "A 29411-2026")</f>
        <v/>
      </c>
      <c r="AA73">
        <f>HYPERLINK("https://klasma.github.io/Logging_0885/klagomål/A 29411-2026 FSC-klagomål.docx", "A 29411-2026")</f>
        <v/>
      </c>
      <c r="AB73">
        <f>HYPERLINK("https://klasma.github.io/Logging_0885/klagomålsmail/A 29411-2026 FSC-klagomål mail.docx", "A 29411-2026")</f>
        <v/>
      </c>
      <c r="AC73">
        <f>HYPERLINK("https://klasma.github.io/Logging_0885/tillsyn/A 29411-2026 tillsynsbegäran.docx", "A 29411-2026")</f>
        <v/>
      </c>
      <c r="AD73">
        <f>HYPERLINK("https://klasma.github.io/Logging_0885/tillsynsmail/A 29411-2026 tillsynsbegäran mail.docx", "A 29411-2026")</f>
        <v/>
      </c>
    </row>
    <row r="74" ht="15" customHeight="1">
      <c r="A74" t="inlineStr">
        <is>
          <t>A 29434-2026</t>
        </is>
      </c>
      <c r="B74" t="inlineStr">
        <is>
          <t>avverkningsanmälan</t>
        </is>
      </c>
      <c r="C74" t="inlineStr">
        <is>
          <t>Avverkning för att bevara och utveckla /försöksver</t>
        </is>
      </c>
      <c r="D74" s="1" t="n">
        <v>46203</v>
      </c>
      <c r="E74" s="1" t="n">
        <v>46317</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1650-2022</t>
        </is>
      </c>
      <c r="B75" t="inlineStr">
        <is>
          <t>samrådsanmälan</t>
        </is>
      </c>
      <c r="C75" t="inlineStr">
        <is>
          <t>Åtgärd i nyckelbiotop</t>
        </is>
      </c>
      <c r="D75" s="1" t="n">
        <v>44649</v>
      </c>
      <c r="E75" s="1" t="n">
        <v>46317</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46317</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46317</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46317</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46317</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46317</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40339-2023</t>
        </is>
      </c>
      <c r="B81" t="inlineStr">
        <is>
          <t>avverkningsanmälan</t>
        </is>
      </c>
      <c r="C81" t="inlineStr">
        <is>
          <t>Föryngringsavverkning</t>
        </is>
      </c>
      <c r="D81" s="1" t="n">
        <v>45169</v>
      </c>
      <c r="E81" s="1" t="n">
        <v>46317</v>
      </c>
      <c r="F81" t="inlineStr">
        <is>
          <t>KALMAR LÄN</t>
        </is>
      </c>
      <c r="G81" t="inlineStr">
        <is>
          <t>BORGHOLM</t>
        </is>
      </c>
      <c r="I81" t="n">
        <v>3.8</v>
      </c>
      <c r="J81" t="n">
        <v>1</v>
      </c>
      <c r="K81" t="n">
        <v>1</v>
      </c>
      <c r="L81" t="n">
        <v>0</v>
      </c>
      <c r="M81" t="n">
        <v>0</v>
      </c>
      <c r="N81" t="n">
        <v>0</v>
      </c>
      <c r="O81" t="n">
        <v>0</v>
      </c>
      <c r="P81" t="n">
        <v>0</v>
      </c>
      <c r="Q81" t="n">
        <v>0</v>
      </c>
      <c r="R81" t="n">
        <v>0</v>
      </c>
      <c r="S81" t="n">
        <v>1</v>
      </c>
      <c r="T81" t="n">
        <v>1</v>
      </c>
      <c r="U81" t="n">
        <v>1</v>
      </c>
      <c r="V81" s="2" t="inlineStr">
        <is>
          <t>Ekoxe</t>
        </is>
      </c>
      <c r="W81">
        <f>HYPERLINK("https://klasma.github.io/Logging_0885/artfynd/A 40339-2023 artfynd.xlsx", "A 40339-2023")</f>
        <v/>
      </c>
      <c r="X81">
        <f>HYPERLINK("https://klasma.github.io/Logging_0885/kartor/A 40339-2023 karta.png", "A 40339-2023")</f>
        <v/>
      </c>
      <c r="Y81">
        <f>HYPERLINK("https://klasma.github.io/Logging_0885/kartor_geotiff/A 40339-2023 georefererad karta.tif", "A 40339-2023")</f>
        <v/>
      </c>
      <c r="AA81">
        <f>HYPERLINK("https://klasma.github.io/Logging_0885/klagomål/A 40339-2023 FSC-klagomål.docx", "A 40339-2023")</f>
        <v/>
      </c>
      <c r="AB81">
        <f>HYPERLINK("https://klasma.github.io/Logging_0885/klagomålsmail/A 40339-2023 FSC-klagomål mail.docx", "A 40339-2023")</f>
        <v/>
      </c>
      <c r="AC81">
        <f>HYPERLINK("https://klasma.github.io/Logging_0885/tillsyn/A 40339-2023 tillsynsbegäran.docx", "A 40339-2023")</f>
        <v/>
      </c>
      <c r="AD81">
        <f>HYPERLINK("https://klasma.github.io/Logging_0885/tillsynsmail/A 40339-2023 tillsynsbegäran mail.docx", "A 40339-2023")</f>
        <v/>
      </c>
    </row>
    <row r="82" ht="15" customHeight="1">
      <c r="A82" t="inlineStr">
        <is>
          <t>A 41831-2025</t>
        </is>
      </c>
      <c r="B82" t="inlineStr">
        <is>
          <t>avverkningsanmälan</t>
        </is>
      </c>
      <c r="C82" t="inlineStr">
        <is>
          <t>Föryngringsavverkning</t>
        </is>
      </c>
      <c r="D82" s="1" t="n">
        <v>45902</v>
      </c>
      <c r="E82" s="1" t="n">
        <v>46317</v>
      </c>
      <c r="F82" t="inlineStr">
        <is>
          <t>KALMAR LÄN</t>
        </is>
      </c>
      <c r="G82" t="inlineStr">
        <is>
          <t>BORGHOLM</t>
        </is>
      </c>
      <c r="I82" t="n">
        <v>1.5</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HYPERLINK("https://klasma.github.io/Logging_0885/artfynd/A 41831-2025 artfynd.xlsx", "A 41831-2025")</f>
        <v/>
      </c>
      <c r="X82">
        <f>HYPERLINK("https://klasma.github.io/Logging_0885/kartor/A 41831-2025 karta.png", "A 41831-2025")</f>
        <v/>
      </c>
      <c r="Y82">
        <f>HYPERLINK("https://klasma.github.io/Logging_0885/kartor_geotiff/A 41831-2025 georefererad karta.tif", "A 41831-2025")</f>
        <v/>
      </c>
      <c r="AA82">
        <f>HYPERLINK("https://klasma.github.io/Logging_0885/klagomål/A 41831-2025 FSC-klagomål.docx", "A 41831-2025")</f>
        <v/>
      </c>
      <c r="AB82">
        <f>HYPERLINK("https://klasma.github.io/Logging_0885/klagomålsmail/A 41831-2025 FSC-klagomål mail.docx", "A 41831-2025")</f>
        <v/>
      </c>
      <c r="AC82">
        <f>HYPERLINK("https://klasma.github.io/Logging_0885/tillsyn/A 41831-2025 tillsynsbegäran.docx", "A 41831-2025")</f>
        <v/>
      </c>
      <c r="AD82">
        <f>HYPERLINK("https://klasma.github.io/Logging_0885/tillsynsmail/A 41831-2025 tillsynsbegäran mail.docx", "A 41831-2025")</f>
        <v/>
      </c>
    </row>
    <row r="83" ht="15" customHeight="1">
      <c r="A83" t="inlineStr">
        <is>
          <t>A 9745-2023</t>
        </is>
      </c>
      <c r="B83" t="inlineStr">
        <is>
          <t>avverkningsanmälan</t>
        </is>
      </c>
      <c r="C83" t="inlineStr">
        <is>
          <t>Föryngringsavverkning</t>
        </is>
      </c>
      <c r="D83" s="1" t="n">
        <v>44984</v>
      </c>
      <c r="E83" s="1" t="n">
        <v>46317</v>
      </c>
      <c r="F83" t="inlineStr">
        <is>
          <t>KALMAR LÄN</t>
        </is>
      </c>
      <c r="G83" t="inlineStr">
        <is>
          <t>BORGHOLM</t>
        </is>
      </c>
      <c r="I83" t="n">
        <v>1.2</v>
      </c>
      <c r="J83" t="n">
        <v>1</v>
      </c>
      <c r="K83" t="n">
        <v>1</v>
      </c>
      <c r="L83" t="n">
        <v>0</v>
      </c>
      <c r="M83" t="n">
        <v>0</v>
      </c>
      <c r="N83" t="n">
        <v>0</v>
      </c>
      <c r="O83" t="n">
        <v>0</v>
      </c>
      <c r="P83" t="n">
        <v>0</v>
      </c>
      <c r="Q83" t="n">
        <v>0</v>
      </c>
      <c r="R83" t="n">
        <v>0</v>
      </c>
      <c r="S83" t="n">
        <v>1</v>
      </c>
      <c r="T83" t="n">
        <v>2</v>
      </c>
      <c r="U83" t="n">
        <v>1</v>
      </c>
      <c r="V83" s="2" t="inlineStr">
        <is>
          <t>Skogsknipprot</t>
        </is>
      </c>
      <c r="W83">
        <f>HYPERLINK("https://klasma.github.io/Logging_0885/artfynd/A 9745-2023 artfynd.xlsx", "A 9745-2023")</f>
        <v/>
      </c>
      <c r="X83">
        <f>HYPERLINK("https://klasma.github.io/Logging_0885/kartor/A 9745-2023 karta.png", "A 9745-2023")</f>
        <v/>
      </c>
      <c r="Y83">
        <f>HYPERLINK("https://klasma.github.io/Logging_0885/kartor_geotiff/A 9745-2023 georefererad karta.tif", "A 9745-2023")</f>
        <v/>
      </c>
      <c r="AA83">
        <f>HYPERLINK("https://klasma.github.io/Logging_0885/klagomål/A 9745-2023 FSC-klagomål.docx", "A 9745-2023")</f>
        <v/>
      </c>
      <c r="AB83">
        <f>HYPERLINK("https://klasma.github.io/Logging_0885/klagomålsmail/A 9745-2023 FSC-klagomål mail.docx", "A 9745-2023")</f>
        <v/>
      </c>
      <c r="AC83">
        <f>HYPERLINK("https://klasma.github.io/Logging_0885/tillsyn/A 9745-2023 tillsynsbegäran.docx", "A 9745-2023")</f>
        <v/>
      </c>
      <c r="AD83">
        <f>HYPERLINK("https://klasma.github.io/Logging_0885/tillsynsmail/A 9745-2023 tillsynsbegäran mail.docx", "A 9745-2023")</f>
        <v/>
      </c>
    </row>
    <row r="84" ht="15" customHeight="1">
      <c r="A84" t="inlineStr">
        <is>
          <t>A 20878-2024</t>
        </is>
      </c>
      <c r="B84" t="inlineStr">
        <is>
          <t>avverkningsanmälan</t>
        </is>
      </c>
      <c r="C84" t="inlineStr">
        <is>
          <t>Föryngringsavverkning</t>
        </is>
      </c>
      <c r="D84" s="1" t="n">
        <v>45439</v>
      </c>
      <c r="E84" s="1" t="n">
        <v>46317</v>
      </c>
      <c r="F84" t="inlineStr">
        <is>
          <t>KALMAR LÄN</t>
        </is>
      </c>
      <c r="G84" t="inlineStr">
        <is>
          <t>BORGHOLM</t>
        </is>
      </c>
      <c r="I84" t="n">
        <v>1.9</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HYPERLINK("https://klasma.github.io/Logging_0885/artfynd/A 20878-2024 artfynd.xlsx", "A 20878-2024")</f>
        <v/>
      </c>
      <c r="X84">
        <f>HYPERLINK("https://klasma.github.io/Logging_0885/kartor/A 20878-2024 karta.png", "A 20878-2024")</f>
        <v/>
      </c>
      <c r="Y84">
        <f>HYPERLINK("https://klasma.github.io/Logging_0885/kartor_geotiff/A 20878-2024 georefererad karta.tif", "A 20878-2024")</f>
        <v/>
      </c>
      <c r="AA84">
        <f>HYPERLINK("https://klasma.github.io/Logging_0885/klagomål/A 20878-2024 FSC-klagomål.docx", "A 20878-2024")</f>
        <v/>
      </c>
      <c r="AB84">
        <f>HYPERLINK("https://klasma.github.io/Logging_0885/klagomålsmail/A 20878-2024 FSC-klagomål mail.docx", "A 20878-2024")</f>
        <v/>
      </c>
      <c r="AC84">
        <f>HYPERLINK("https://klasma.github.io/Logging_0885/tillsyn/A 20878-2024 tillsynsbegäran.docx", "A 20878-2024")</f>
        <v/>
      </c>
      <c r="AD84">
        <f>HYPERLINK("https://klasma.github.io/Logging_0885/tillsynsmail/A 20878-2024 tillsynsbegäran mail.docx", "A 20878-2024")</f>
        <v/>
      </c>
    </row>
    <row r="85" ht="15" customHeight="1">
      <c r="A85" t="inlineStr">
        <is>
          <t>A 28782-2025</t>
        </is>
      </c>
      <c r="B85" t="inlineStr">
        <is>
          <t>avverkningsanmälan</t>
        </is>
      </c>
      <c r="C85" t="inlineStr">
        <is>
          <t>Avverkning för att bevara och utveckla /försöksver</t>
        </is>
      </c>
      <c r="D85" s="1" t="n">
        <v>45820</v>
      </c>
      <c r="E85" s="1" t="n">
        <v>46317</v>
      </c>
      <c r="F85" t="inlineStr">
        <is>
          <t>KALMAR LÄN</t>
        </is>
      </c>
      <c r="G85" t="inlineStr">
        <is>
          <t>BORGHOLM</t>
        </is>
      </c>
      <c r="H85" t="inlineStr">
        <is>
          <t>Sveaskog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28782-2025 artfynd.xlsx", "A 28782-2025")</f>
        <v/>
      </c>
      <c r="X85">
        <f>HYPERLINK("https://klasma.github.io/Logging_0885/kartor/A 28782-2025 karta.png", "A 28782-2025")</f>
        <v/>
      </c>
      <c r="Y85">
        <f>HYPERLINK("https://klasma.github.io/Logging_0885/kartor_geotiff/A 28782-2025 georefererad karta.tif", "A 28782-2025")</f>
        <v/>
      </c>
      <c r="AA85">
        <f>HYPERLINK("https://klasma.github.io/Logging_0885/klagomål/A 28782-2025 FSC-klagomål.docx", "A 28782-2025")</f>
        <v/>
      </c>
      <c r="AB85">
        <f>HYPERLINK("https://klasma.github.io/Logging_0885/klagomålsmail/A 28782-2025 FSC-klagomål mail.docx", "A 28782-2025")</f>
        <v/>
      </c>
      <c r="AC85">
        <f>HYPERLINK("https://klasma.github.io/Logging_0885/tillsyn/A 28782-2025 tillsynsbegäran.docx", "A 28782-2025")</f>
        <v/>
      </c>
      <c r="AD85">
        <f>HYPERLINK("https://klasma.github.io/Logging_0885/tillsynsmail/A 28782-2025 tillsynsbegäran mail.docx", "A 28782-2025")</f>
        <v/>
      </c>
      <c r="AE85">
        <f>HYPERLINK("https://klasma.github.io/Logging_0885/fåglar/A 28782-2025 prioriterade fågelarter.docx", "A 28782-2025")</f>
        <v/>
      </c>
    </row>
    <row r="86" ht="15" customHeight="1">
      <c r="A86" t="inlineStr">
        <is>
          <t>A 28785-2025</t>
        </is>
      </c>
      <c r="B86" t="inlineStr">
        <is>
          <t>avverkningsanmälan</t>
        </is>
      </c>
      <c r="C86" t="inlineStr">
        <is>
          <t>Avverkning för att bevara och utveckla /försöksver</t>
        </is>
      </c>
      <c r="D86" s="1" t="n">
        <v>45820</v>
      </c>
      <c r="E86" s="1" t="n">
        <v>46317</v>
      </c>
      <c r="F86" t="inlineStr">
        <is>
          <t>KALMAR LÄN</t>
        </is>
      </c>
      <c r="G86" t="inlineStr">
        <is>
          <t>BORGHOLM</t>
        </is>
      </c>
      <c r="H86" t="inlineStr">
        <is>
          <t>Sveaskog</t>
        </is>
      </c>
      <c r="I86" t="n">
        <v>2.3</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HYPERLINK("https://klasma.github.io/Logging_0885/artfynd/A 28785-2025 artfynd.xlsx", "A 28785-2025")</f>
        <v/>
      </c>
      <c r="X86">
        <f>HYPERLINK("https://klasma.github.io/Logging_0885/kartor/A 28785-2025 karta.png", "A 28785-2025")</f>
        <v/>
      </c>
      <c r="Y86">
        <f>HYPERLINK("https://klasma.github.io/Logging_0885/kartor_geotiff/A 28785-2025 georefererad karta.tif", "A 28785-2025")</f>
        <v/>
      </c>
      <c r="AA86">
        <f>HYPERLINK("https://klasma.github.io/Logging_0885/klagomål/A 28785-2025 FSC-klagomål.docx", "A 28785-2025")</f>
        <v/>
      </c>
      <c r="AB86">
        <f>HYPERLINK("https://klasma.github.io/Logging_0885/klagomålsmail/A 28785-2025 FSC-klagomål mail.docx", "A 28785-2025")</f>
        <v/>
      </c>
      <c r="AC86">
        <f>HYPERLINK("https://klasma.github.io/Logging_0885/tillsyn/A 28785-2025 tillsynsbegäran.docx", "A 28785-2025")</f>
        <v/>
      </c>
      <c r="AD86">
        <f>HYPERLINK("https://klasma.github.io/Logging_0885/tillsynsmail/A 28785-2025 tillsynsbegäran mail.docx", "A 28785-2025")</f>
        <v/>
      </c>
      <c r="AE86">
        <f>HYPERLINK("https://klasma.github.io/Logging_0885/fåglar/A 28785-2025 prioriterade fågelarter.docx", "A 28785-2025")</f>
        <v/>
      </c>
    </row>
    <row r="87" ht="15" customHeight="1">
      <c r="A87" t="inlineStr">
        <is>
          <t>A 31720-2022</t>
        </is>
      </c>
      <c r="B87" t="inlineStr">
        <is>
          <t>avverkningsanmälan</t>
        </is>
      </c>
      <c r="C87" t="inlineStr">
        <is>
          <t>Föryngringsavverkning</t>
        </is>
      </c>
      <c r="D87" s="1" t="n">
        <v>44776</v>
      </c>
      <c r="E87" s="1" t="n">
        <v>46317</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3302-2026</t>
        </is>
      </c>
      <c r="B88" t="inlineStr">
        <is>
          <t>avverkningsanmälan</t>
        </is>
      </c>
      <c r="C88" t="inlineStr">
        <is>
          <t>Avverkning för annat ändamål</t>
        </is>
      </c>
      <c r="D88" s="1" t="n">
        <v>46041</v>
      </c>
      <c r="E88" s="1" t="n">
        <v>46317</v>
      </c>
      <c r="F88" t="inlineStr">
        <is>
          <t>KALMAR LÄN</t>
        </is>
      </c>
      <c r="G88" t="inlineStr">
        <is>
          <t>BORGHOLM</t>
        </is>
      </c>
      <c r="I88" t="n">
        <v>3.9</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HYPERLINK("https://klasma.github.io/Logging_0885/artfynd/A 3302-2026 artfynd.xlsx", "A 3302-2026")</f>
        <v/>
      </c>
      <c r="X88">
        <f>HYPERLINK("https://klasma.github.io/Logging_0885/kartor/A 3302-2026 karta.png", "A 3302-2026")</f>
        <v/>
      </c>
      <c r="Y88">
        <f>HYPERLINK("https://klasma.github.io/Logging_0885/kartor_geotiff/A 3302-2026 georefererad karta.tif", "A 3302-2026")</f>
        <v/>
      </c>
      <c r="AA88">
        <f>HYPERLINK("https://klasma.github.io/Logging_0885/klagomål/A 3302-2026 FSC-klagomål.docx", "A 3302-2026")</f>
        <v/>
      </c>
      <c r="AB88">
        <f>HYPERLINK("https://klasma.github.io/Logging_0885/klagomålsmail/A 3302-2026 FSC-klagomål mail.docx", "A 3302-2026")</f>
        <v/>
      </c>
      <c r="AC88">
        <f>HYPERLINK("https://klasma.github.io/Logging_0885/tillsyn/A 3302-2026 tillsynsbegäran.docx", "A 3302-2026")</f>
        <v/>
      </c>
      <c r="AD88">
        <f>HYPERLINK("https://klasma.github.io/Logging_0885/tillsynsmail/A 3302-2026 tillsynsbegäran mail.docx", "A 3302-2026")</f>
        <v/>
      </c>
    </row>
    <row r="89" ht="15" customHeight="1">
      <c r="A89" t="inlineStr">
        <is>
          <t>A 7481-2026</t>
        </is>
      </c>
      <c r="B89" t="inlineStr">
        <is>
          <t>avverkningsanmälan</t>
        </is>
      </c>
      <c r="C89" t="inlineStr">
        <is>
          <t>Föryngringsavverkning</t>
        </is>
      </c>
      <c r="D89" s="1" t="n">
        <v>46059</v>
      </c>
      <c r="E89" s="1" t="n">
        <v>46317</v>
      </c>
      <c r="F89" t="inlineStr">
        <is>
          <t>KALMAR LÄN</t>
        </is>
      </c>
      <c r="G89" t="inlineStr">
        <is>
          <t>BORGHOLM</t>
        </is>
      </c>
      <c r="I89" t="n">
        <v>1.9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HYPERLINK("https://klasma.github.io/Logging_0885/artfynd/A 7481-2026 artfynd.xlsx", "A 7481-2026")</f>
        <v/>
      </c>
      <c r="X89">
        <f>HYPERLINK("https://klasma.github.io/Logging_0885/kartor/A 7481-2026 karta.png", "A 7481-2026")</f>
        <v/>
      </c>
      <c r="Y89">
        <f>HYPERLINK("https://klasma.github.io/Logging_0885/kartor_geotiff/A 7481-2026 georefererad karta.tif", "A 7481-2026")</f>
        <v/>
      </c>
      <c r="AA89">
        <f>HYPERLINK("https://klasma.github.io/Logging_0885/klagomål/A 7481-2026 FSC-klagomål.docx", "A 7481-2026")</f>
        <v/>
      </c>
      <c r="AB89">
        <f>HYPERLINK("https://klasma.github.io/Logging_0885/klagomålsmail/A 7481-2026 FSC-klagomål mail.docx", "A 7481-2026")</f>
        <v/>
      </c>
      <c r="AC89">
        <f>HYPERLINK("https://klasma.github.io/Logging_0885/tillsyn/A 7481-2026 tillsynsbegäran.docx", "A 7481-2026")</f>
        <v/>
      </c>
      <c r="AD89">
        <f>HYPERLINK("https://klasma.github.io/Logging_0885/tillsynsmail/A 7481-2026 tillsynsbegäran mail.docx", "A 7481-2026")</f>
        <v/>
      </c>
    </row>
    <row r="90" ht="15" customHeight="1">
      <c r="A90" t="inlineStr">
        <is>
          <t>A 9104-2026</t>
        </is>
      </c>
      <c r="B90" t="inlineStr">
        <is>
          <t>avverkningsanmälan</t>
        </is>
      </c>
      <c r="C90" t="inlineStr">
        <is>
          <t>Avverkning för annat ändamål</t>
        </is>
      </c>
      <c r="D90" s="1" t="n">
        <v>46069</v>
      </c>
      <c r="E90" s="1" t="n">
        <v>46317</v>
      </c>
      <c r="F90" t="inlineStr">
        <is>
          <t>KALMAR LÄN</t>
        </is>
      </c>
      <c r="G90" t="inlineStr">
        <is>
          <t>BORGHOLM</t>
        </is>
      </c>
      <c r="I90" t="n">
        <v>1.3</v>
      </c>
      <c r="J90" t="n">
        <v>0</v>
      </c>
      <c r="K90" t="n">
        <v>0</v>
      </c>
      <c r="L90" t="n">
        <v>0</v>
      </c>
      <c r="M90" t="n">
        <v>0</v>
      </c>
      <c r="N90" t="n">
        <v>0</v>
      </c>
      <c r="O90" t="n">
        <v>0</v>
      </c>
      <c r="P90" t="n">
        <v>0</v>
      </c>
      <c r="Q90" t="n">
        <v>0</v>
      </c>
      <c r="R90" t="n">
        <v>0</v>
      </c>
      <c r="S90" t="n">
        <v>1</v>
      </c>
      <c r="T90" t="n">
        <v>1</v>
      </c>
      <c r="U90" t="n">
        <v>1</v>
      </c>
      <c r="V90" s="2" t="inlineStr">
        <is>
          <t>Liljekonvalj</t>
        </is>
      </c>
      <c r="W90">
        <f>HYPERLINK("https://klasma.github.io/Logging_0885/artfynd/A 9104-2026 artfynd.xlsx", "A 9104-2026")</f>
        <v/>
      </c>
      <c r="X90">
        <f>HYPERLINK("https://klasma.github.io/Logging_0885/kartor/A 9104-2026 karta.png", "A 9104-2026")</f>
        <v/>
      </c>
      <c r="Y90">
        <f>HYPERLINK("https://klasma.github.io/Logging_0885/kartor_geotiff/A 9104-2026 georefererad karta.tif", "A 9104-2026")</f>
        <v/>
      </c>
      <c r="AA90">
        <f>HYPERLINK("https://klasma.github.io/Logging_0885/klagomål/A 9104-2026 FSC-klagomål.docx", "A 9104-2026")</f>
        <v/>
      </c>
      <c r="AB90">
        <f>HYPERLINK("https://klasma.github.io/Logging_0885/klagomålsmail/A 9104-2026 FSC-klagomål mail.docx", "A 9104-2026")</f>
        <v/>
      </c>
      <c r="AC90">
        <f>HYPERLINK("https://klasma.github.io/Logging_0885/tillsyn/A 9104-2026 tillsynsbegäran.docx", "A 9104-2026")</f>
        <v/>
      </c>
      <c r="AD90">
        <f>HYPERLINK("https://klasma.github.io/Logging_0885/tillsynsmail/A 9104-2026 tillsynsbegäran mail.docx", "A 9104-2026")</f>
        <v/>
      </c>
    </row>
    <row r="91" ht="15" customHeight="1">
      <c r="A91" t="inlineStr">
        <is>
          <t>A 9905-2026</t>
        </is>
      </c>
      <c r="B91" t="inlineStr">
        <is>
          <t>avverkningsanmälan</t>
        </is>
      </c>
      <c r="C91" t="inlineStr">
        <is>
          <t>Föryngringsavverkning</t>
        </is>
      </c>
      <c r="D91" s="1" t="n">
        <v>46073</v>
      </c>
      <c r="E91" s="1" t="n">
        <v>46317</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24701-2023</t>
        </is>
      </c>
      <c r="B92" t="inlineStr">
        <is>
          <t>avverkningsanmälan</t>
        </is>
      </c>
      <c r="C92" t="inlineStr">
        <is>
          <t>Föryngringsavverkning</t>
        </is>
      </c>
      <c r="D92" s="1" t="n">
        <v>45084</v>
      </c>
      <c r="E92" s="1" t="n">
        <v>46317</v>
      </c>
      <c r="F92" t="inlineStr">
        <is>
          <t>KALMAR LÄN</t>
        </is>
      </c>
      <c r="G92" t="inlineStr">
        <is>
          <t>BORGHOLM</t>
        </is>
      </c>
      <c r="I92" t="n">
        <v>3</v>
      </c>
      <c r="J92" t="n">
        <v>0</v>
      </c>
      <c r="K92" t="n">
        <v>0</v>
      </c>
      <c r="L92" t="n">
        <v>0</v>
      </c>
      <c r="M92" t="n">
        <v>0</v>
      </c>
      <c r="N92" t="n">
        <v>1</v>
      </c>
      <c r="O92" t="n">
        <v>0</v>
      </c>
      <c r="P92" t="n">
        <v>0</v>
      </c>
      <c r="Q92" t="n">
        <v>1</v>
      </c>
      <c r="R92" t="n">
        <v>1</v>
      </c>
      <c r="S92" t="n">
        <v>1</v>
      </c>
      <c r="T92" t="n">
        <v>3</v>
      </c>
      <c r="U92" t="n">
        <v>0</v>
      </c>
      <c r="V92" s="2" t="inlineStr">
        <is>
          <t>Ask</t>
        </is>
      </c>
      <c r="W92">
        <f>HYPERLINK("https://klasma.github.io/Logging_0885/artfynd/A 24701-2023 artfynd.xlsx", "A 24701-2023")</f>
        <v/>
      </c>
      <c r="X92">
        <f>HYPERLINK("https://klasma.github.io/Logging_0885/kartor/A 24701-2023 karta.png", "A 24701-2023")</f>
        <v/>
      </c>
      <c r="Y92">
        <f>HYPERLINK("https://klasma.github.io/Logging_0885/kartor_geotiff/A 24701-2023 georefererad karta.tif", "A 24701-2023")</f>
        <v/>
      </c>
      <c r="AA92">
        <f>HYPERLINK("https://klasma.github.io/Logging_0885/klagomål/A 24701-2023 FSC-klagomål.docx", "A 24701-2023")</f>
        <v/>
      </c>
      <c r="AB92">
        <f>HYPERLINK("https://klasma.github.io/Logging_0885/klagomålsmail/A 24701-2023 FSC-klagomål mail.docx", "A 24701-2023")</f>
        <v/>
      </c>
      <c r="AC92">
        <f>HYPERLINK("https://klasma.github.io/Logging_0885/tillsyn/A 24701-2023 tillsynsbegäran.docx", "A 24701-2023")</f>
        <v/>
      </c>
      <c r="AD92">
        <f>HYPERLINK("https://klasma.github.io/Logging_0885/tillsynsmail/A 24701-2023 tillsynsbegäran mail.docx", "A 24701-2023")</f>
        <v/>
      </c>
    </row>
    <row r="93" ht="15" customHeight="1">
      <c r="A93" t="inlineStr">
        <is>
          <t>A 24704-2023</t>
        </is>
      </c>
      <c r="B93" t="inlineStr">
        <is>
          <t>avverkningsanmälan</t>
        </is>
      </c>
      <c r="C93" t="inlineStr">
        <is>
          <t>Föryngringsavverkning</t>
        </is>
      </c>
      <c r="D93" s="1" t="n">
        <v>45084</v>
      </c>
      <c r="E93" s="1" t="n">
        <v>46317</v>
      </c>
      <c r="F93" t="inlineStr">
        <is>
          <t>KALMAR LÄN</t>
        </is>
      </c>
      <c r="G93" t="inlineStr">
        <is>
          <t>BORGHOLM</t>
        </is>
      </c>
      <c r="I93" t="n">
        <v>3.5</v>
      </c>
      <c r="J93" t="n">
        <v>0</v>
      </c>
      <c r="K93" t="n">
        <v>0</v>
      </c>
      <c r="L93" t="n">
        <v>0</v>
      </c>
      <c r="M93" t="n">
        <v>0</v>
      </c>
      <c r="N93" t="n">
        <v>1</v>
      </c>
      <c r="O93" t="n">
        <v>0</v>
      </c>
      <c r="P93" t="n">
        <v>0</v>
      </c>
      <c r="Q93" t="n">
        <v>1</v>
      </c>
      <c r="R93" t="n">
        <v>1</v>
      </c>
      <c r="S93" t="n">
        <v>1</v>
      </c>
      <c r="T93" t="n">
        <v>2</v>
      </c>
      <c r="U93" t="n">
        <v>0</v>
      </c>
      <c r="V93" s="2" t="inlineStr">
        <is>
          <t>Ask</t>
        </is>
      </c>
      <c r="W93">
        <f>HYPERLINK("https://klasma.github.io/Logging_0885/artfynd/A 24704-2023 artfynd.xlsx", "A 24704-2023")</f>
        <v/>
      </c>
      <c r="X93">
        <f>HYPERLINK("https://klasma.github.io/Logging_0885/kartor/A 24704-2023 karta.png", "A 24704-2023")</f>
        <v/>
      </c>
      <c r="Y93">
        <f>HYPERLINK("https://klasma.github.io/Logging_0885/kartor_geotiff/A 24704-2023 georefererad karta.tif", "A 24704-2023")</f>
        <v/>
      </c>
      <c r="AA93">
        <f>HYPERLINK("https://klasma.github.io/Logging_0885/klagomål/A 24704-2023 FSC-klagomål.docx", "A 24704-2023")</f>
        <v/>
      </c>
      <c r="AB93">
        <f>HYPERLINK("https://klasma.github.io/Logging_0885/klagomålsmail/A 24704-2023 FSC-klagomål mail.docx", "A 24704-2023")</f>
        <v/>
      </c>
      <c r="AC93">
        <f>HYPERLINK("https://klasma.github.io/Logging_0885/tillsyn/A 24704-2023 tillsynsbegäran.docx", "A 24704-2023")</f>
        <v/>
      </c>
      <c r="AD93">
        <f>HYPERLINK("https://klasma.github.io/Logging_0885/tillsynsmail/A 24704-2023 tillsynsbegäran mail.docx", "A 24704-2023")</f>
        <v/>
      </c>
    </row>
    <row r="94" ht="15" customHeight="1">
      <c r="A94" t="inlineStr">
        <is>
          <t>A 26840-2026</t>
        </is>
      </c>
      <c r="B94" t="inlineStr">
        <is>
          <t>avverkningsanmälan</t>
        </is>
      </c>
      <c r="C94" t="inlineStr">
        <is>
          <t>Avverkning för att bevara och utveckla /försöksver</t>
        </is>
      </c>
      <c r="D94" s="1" t="n">
        <v>46185</v>
      </c>
      <c r="E94" s="1" t="n">
        <v>46317</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28430-2026</t>
        </is>
      </c>
      <c r="B95" t="inlineStr">
        <is>
          <t>avverkningsanmälan</t>
        </is>
      </c>
      <c r="C95" t="inlineStr">
        <is>
          <t>Avverkning för att bevara och utveckla /försöksver</t>
        </is>
      </c>
      <c r="D95" s="1" t="n">
        <v>46197</v>
      </c>
      <c r="E95" s="1" t="n">
        <v>46317</v>
      </c>
      <c r="F95" t="inlineStr">
        <is>
          <t>KALMAR LÄN</t>
        </is>
      </c>
      <c r="G95" t="inlineStr">
        <is>
          <t>BORGHOLM</t>
        </is>
      </c>
      <c r="H95" t="inlineStr">
        <is>
          <t>Sveaskog</t>
        </is>
      </c>
      <c r="I95" t="n">
        <v>1.8</v>
      </c>
      <c r="J95" t="n">
        <v>0</v>
      </c>
      <c r="K95" t="n">
        <v>0</v>
      </c>
      <c r="L95" t="n">
        <v>1</v>
      </c>
      <c r="M95" t="n">
        <v>0</v>
      </c>
      <c r="N95" t="n">
        <v>0</v>
      </c>
      <c r="O95" t="n">
        <v>0</v>
      </c>
      <c r="P95" t="n">
        <v>0</v>
      </c>
      <c r="Q95" t="n">
        <v>1</v>
      </c>
      <c r="R95" t="n">
        <v>0</v>
      </c>
      <c r="S95" t="n">
        <v>1</v>
      </c>
      <c r="T95" t="n">
        <v>2</v>
      </c>
      <c r="U95" t="n">
        <v>0</v>
      </c>
      <c r="V95" s="2" t="inlineStr">
        <is>
          <t>Oxtungssvamp</t>
        </is>
      </c>
      <c r="W95">
        <f>HYPERLINK("https://klasma.github.io/Logging_0885/artfynd/A 28430-2026 artfynd.xlsx", "A 28430-2026")</f>
        <v/>
      </c>
      <c r="X95">
        <f>HYPERLINK("https://klasma.github.io/Logging_0885/kartor/A 28430-2026 karta.png", "A 28430-2026")</f>
        <v/>
      </c>
      <c r="Y95">
        <f>HYPERLINK("https://klasma.github.io/Logging_0885/kartor_geotiff/A 28430-2026 georefererad karta.tif", "A 28430-2026")</f>
        <v/>
      </c>
      <c r="AA95">
        <f>HYPERLINK("https://klasma.github.io/Logging_0885/klagomål/A 28430-2026 FSC-klagomål.docx", "A 28430-2026")</f>
        <v/>
      </c>
      <c r="AB95">
        <f>HYPERLINK("https://klasma.github.io/Logging_0885/klagomålsmail/A 28430-2026 FSC-klagomål mail.docx", "A 28430-2026")</f>
        <v/>
      </c>
      <c r="AC95">
        <f>HYPERLINK("https://klasma.github.io/Logging_0885/tillsyn/A 28430-2026 tillsynsbegäran.docx", "A 28430-2026")</f>
        <v/>
      </c>
      <c r="AD95">
        <f>HYPERLINK("https://klasma.github.io/Logging_0885/tillsynsmail/A 28430-2026 tillsynsbegäran mail.docx", "A 28430-2026")</f>
        <v/>
      </c>
    </row>
    <row r="96" ht="15" customHeight="1">
      <c r="A96" t="inlineStr">
        <is>
          <t>A 28374-2026</t>
        </is>
      </c>
      <c r="B96" t="inlineStr">
        <is>
          <t>avverkningsanmälan</t>
        </is>
      </c>
      <c r="C96" t="inlineStr">
        <is>
          <t>Avverkning för att bevara och utveckla /försöksver</t>
        </is>
      </c>
      <c r="D96" s="1" t="n">
        <v>46196</v>
      </c>
      <c r="E96" s="1" t="n">
        <v>46317</v>
      </c>
      <c r="F96" t="inlineStr">
        <is>
          <t>KALMAR LÄN</t>
        </is>
      </c>
      <c r="G96" t="inlineStr">
        <is>
          <t>BORGHOLM</t>
        </is>
      </c>
      <c r="H96" t="inlineStr">
        <is>
          <t>Sveaskog</t>
        </is>
      </c>
      <c r="I96" t="n">
        <v>2</v>
      </c>
      <c r="J96" t="n">
        <v>0</v>
      </c>
      <c r="K96" t="n">
        <v>0</v>
      </c>
      <c r="L96" t="n">
        <v>0</v>
      </c>
      <c r="M96" t="n">
        <v>1</v>
      </c>
      <c r="N96" t="n">
        <v>0</v>
      </c>
      <c r="O96" t="n">
        <v>0</v>
      </c>
      <c r="P96" t="n">
        <v>0</v>
      </c>
      <c r="Q96" t="n">
        <v>1</v>
      </c>
      <c r="R96" t="n">
        <v>1</v>
      </c>
      <c r="S96" t="n">
        <v>1</v>
      </c>
      <c r="T96" t="n">
        <v>1</v>
      </c>
      <c r="U96" t="n">
        <v>0</v>
      </c>
      <c r="V96" s="2" t="inlineStr">
        <is>
          <t>Purpurmusseron</t>
        </is>
      </c>
      <c r="W96">
        <f>HYPERLINK("https://klasma.github.io/Logging_0885/artfynd/A 28374-2026 artfynd.xlsx", "A 28374-2026")</f>
        <v/>
      </c>
      <c r="X96">
        <f>HYPERLINK("https://klasma.github.io/Logging_0885/kartor/A 28374-2026 karta.png", "A 28374-2026")</f>
        <v/>
      </c>
      <c r="Y96">
        <f>HYPERLINK("https://klasma.github.io/Logging_0885/kartor_geotiff/A 28374-2026 georefererad karta.tif", "A 28374-2026")</f>
        <v/>
      </c>
      <c r="AA96">
        <f>HYPERLINK("https://klasma.github.io/Logging_0885/klagomål/A 28374-2026 FSC-klagomål.docx", "A 28374-2026")</f>
        <v/>
      </c>
      <c r="AB96">
        <f>HYPERLINK("https://klasma.github.io/Logging_0885/klagomålsmail/A 28374-2026 FSC-klagomål mail.docx", "A 28374-2026")</f>
        <v/>
      </c>
      <c r="AC96">
        <f>HYPERLINK("https://klasma.github.io/Logging_0885/tillsyn/A 28374-2026 tillsynsbegäran.docx", "A 28374-2026")</f>
        <v/>
      </c>
      <c r="AD96">
        <f>HYPERLINK("https://klasma.github.io/Logging_0885/tillsynsmail/A 28374-2026 tillsynsbegäran mail.docx", "A 28374-2026")</f>
        <v/>
      </c>
    </row>
    <row r="97" ht="15" customHeight="1">
      <c r="A97" t="inlineStr">
        <is>
          <t>A 19867-2024</t>
        </is>
      </c>
      <c r="B97" t="inlineStr">
        <is>
          <t>avverkningsanmälan</t>
        </is>
      </c>
      <c r="C97" t="inlineStr">
        <is>
          <t>Föryngringsavverkning</t>
        </is>
      </c>
      <c r="D97" s="1" t="n">
        <v>45433</v>
      </c>
      <c r="E97" s="1" t="n">
        <v>46317</v>
      </c>
      <c r="F97" t="inlineStr">
        <is>
          <t>KALMAR LÄN</t>
        </is>
      </c>
      <c r="G97" t="inlineStr">
        <is>
          <t>BORGHOLM</t>
        </is>
      </c>
      <c r="I97" t="n">
        <v>3.9</v>
      </c>
      <c r="J97" t="n">
        <v>0</v>
      </c>
      <c r="K97" t="n">
        <v>0</v>
      </c>
      <c r="L97" t="n">
        <v>1</v>
      </c>
      <c r="M97" t="n">
        <v>0</v>
      </c>
      <c r="N97" t="n">
        <v>0</v>
      </c>
      <c r="O97" t="n">
        <v>0</v>
      </c>
      <c r="P97" t="n">
        <v>0</v>
      </c>
      <c r="Q97" t="n">
        <v>1</v>
      </c>
      <c r="R97" t="n">
        <v>0</v>
      </c>
      <c r="S97" t="n">
        <v>1</v>
      </c>
      <c r="T97" t="n">
        <v>1</v>
      </c>
      <c r="U97" t="n">
        <v>1</v>
      </c>
      <c r="V97" s="2" t="inlineStr">
        <is>
          <t>Åkerkulla</t>
        </is>
      </c>
      <c r="W97">
        <f>HYPERLINK("https://klasma.github.io/Logging_0885/artfynd/A 19867-2024 artfynd.xlsx", "A 19867-2024")</f>
        <v/>
      </c>
      <c r="X97">
        <f>HYPERLINK("https://klasma.github.io/Logging_0885/kartor/A 19867-2024 karta.png", "A 19867-2024")</f>
        <v/>
      </c>
      <c r="Y97">
        <f>HYPERLINK("https://klasma.github.io/Logging_0885/kartor_geotiff/A 19867-2024 georefererad karta.tif", "A 19867-2024")</f>
        <v/>
      </c>
      <c r="AA97">
        <f>HYPERLINK("https://klasma.github.io/Logging_0885/klagomål/A 19867-2024 FSC-klagomål.docx", "A 19867-2024")</f>
        <v/>
      </c>
      <c r="AB97">
        <f>HYPERLINK("https://klasma.github.io/Logging_0885/klagomålsmail/A 19867-2024 FSC-klagomål mail.docx", "A 19867-2024")</f>
        <v/>
      </c>
      <c r="AC97">
        <f>HYPERLINK("https://klasma.github.io/Logging_0885/tillsyn/A 19867-2024 tillsynsbegäran.docx", "A 19867-2024")</f>
        <v/>
      </c>
      <c r="AD97">
        <f>HYPERLINK("https://klasma.github.io/Logging_0885/tillsynsmail/A 19867-2024 tillsynsbegäran mail.docx", "A 19867-2024")</f>
        <v/>
      </c>
    </row>
    <row r="98" ht="15" customHeight="1">
      <c r="A98" t="inlineStr">
        <is>
          <t>A 63276-2023</t>
        </is>
      </c>
      <c r="B98" t="inlineStr">
        <is>
          <t>avverkningsanmälan</t>
        </is>
      </c>
      <c r="C98" t="inlineStr">
        <is>
          <t>Föryngringsavverkning</t>
        </is>
      </c>
      <c r="D98" s="1" t="n">
        <v>45273</v>
      </c>
      <c r="E98" s="1" t="n">
        <v>46317</v>
      </c>
      <c r="F98" t="inlineStr">
        <is>
          <t>KALMAR LÄN</t>
        </is>
      </c>
      <c r="G98" t="inlineStr">
        <is>
          <t>BORGHOLM</t>
        </is>
      </c>
      <c r="I98" t="n">
        <v>5</v>
      </c>
      <c r="J98" t="n">
        <v>0</v>
      </c>
      <c r="K98" t="n">
        <v>0</v>
      </c>
      <c r="L98" t="n">
        <v>0</v>
      </c>
      <c r="M98" t="n">
        <v>1</v>
      </c>
      <c r="N98" t="n">
        <v>0</v>
      </c>
      <c r="O98" t="n">
        <v>0</v>
      </c>
      <c r="P98" t="n">
        <v>0</v>
      </c>
      <c r="Q98" t="n">
        <v>1</v>
      </c>
      <c r="R98" t="n">
        <v>1</v>
      </c>
      <c r="S98" t="n">
        <v>1</v>
      </c>
      <c r="T98" t="n">
        <v>1</v>
      </c>
      <c r="U98" t="n">
        <v>0</v>
      </c>
      <c r="V98" s="2" t="inlineStr">
        <is>
          <t>Elaphomyces barrioi</t>
        </is>
      </c>
      <c r="W98">
        <f>HYPERLINK("https://klasma.github.io/Logging_0885/artfynd/A 63276-2023 artfynd.xlsx", "A 63276-2023")</f>
        <v/>
      </c>
      <c r="X98">
        <f>HYPERLINK("https://klasma.github.io/Logging_0885/kartor/A 63276-2023 karta.png", "A 63276-2023")</f>
        <v/>
      </c>
      <c r="Y98">
        <f>HYPERLINK("https://klasma.github.io/Logging_0885/kartor_geotiff/A 63276-2023 georefererad karta.tif", "A 63276-2023")</f>
        <v/>
      </c>
      <c r="AA98">
        <f>HYPERLINK("https://klasma.github.io/Logging_0885/klagomål/A 63276-2023 FSC-klagomål.docx", "A 63276-2023")</f>
        <v/>
      </c>
      <c r="AB98">
        <f>HYPERLINK("https://klasma.github.io/Logging_0885/klagomålsmail/A 63276-2023 FSC-klagomål mail.docx", "A 63276-2023")</f>
        <v/>
      </c>
      <c r="AC98">
        <f>HYPERLINK("https://klasma.github.io/Logging_0885/tillsyn/A 63276-2023 tillsynsbegäran.docx", "A 63276-2023")</f>
        <v/>
      </c>
      <c r="AD98">
        <f>HYPERLINK("https://klasma.github.io/Logging_0885/tillsynsmail/A 63276-2023 tillsynsbegäran mail.docx", "A 63276-2023")</f>
        <v/>
      </c>
    </row>
    <row r="99" ht="15" customHeight="1">
      <c r="A99" t="inlineStr">
        <is>
          <t>A 33293-2026</t>
        </is>
      </c>
      <c r="B99" t="inlineStr">
        <is>
          <t>avverkningsanmälan</t>
        </is>
      </c>
      <c r="C99" t="inlineStr">
        <is>
          <t>Avverkning för att bevara och utveckla /försöksver</t>
        </is>
      </c>
      <c r="D99" s="1" t="n">
        <v>46246</v>
      </c>
      <c r="E99" s="1" t="n">
        <v>46317</v>
      </c>
      <c r="F99" t="inlineStr">
        <is>
          <t>KALMAR LÄN</t>
        </is>
      </c>
      <c r="G99" t="inlineStr">
        <is>
          <t>BORGHOLM</t>
        </is>
      </c>
      <c r="H99" t="inlineStr">
        <is>
          <t>Sveaskog</t>
        </is>
      </c>
      <c r="I99" t="n">
        <v>3.8</v>
      </c>
      <c r="J99" t="n">
        <v>1</v>
      </c>
      <c r="K99" t="n">
        <v>1</v>
      </c>
      <c r="L99" t="n">
        <v>0</v>
      </c>
      <c r="M99" t="n">
        <v>0</v>
      </c>
      <c r="N99" t="n">
        <v>0</v>
      </c>
      <c r="O99" t="n">
        <v>0</v>
      </c>
      <c r="P99" t="n">
        <v>0</v>
      </c>
      <c r="Q99" t="n">
        <v>0</v>
      </c>
      <c r="R99" t="n">
        <v>0</v>
      </c>
      <c r="S99" t="n">
        <v>1</v>
      </c>
      <c r="T99" t="n">
        <v>2</v>
      </c>
      <c r="U99" t="n">
        <v>0</v>
      </c>
      <c r="V99" s="2" t="inlineStr">
        <is>
          <t>Skogsknipprot</t>
        </is>
      </c>
      <c r="W99">
        <f>HYPERLINK("https://klasma.github.io/Logging_0885/artfynd/A 33293-2026 artfynd.xlsx", "A 33293-2026")</f>
        <v/>
      </c>
      <c r="X99">
        <f>HYPERLINK("https://klasma.github.io/Logging_0885/kartor/A 33293-2026 karta.png", "A 33293-2026")</f>
        <v/>
      </c>
      <c r="Y99">
        <f>HYPERLINK("https://klasma.github.io/Logging_0885/kartor_geotiff/A 33293-2026 georefererad karta.tif", "A 33293-2026")</f>
        <v/>
      </c>
      <c r="AA99">
        <f>HYPERLINK("https://klasma.github.io/Logging_0885/klagomål/A 33293-2026 FSC-klagomål.docx", "A 33293-2026")</f>
        <v/>
      </c>
      <c r="AB99">
        <f>HYPERLINK("https://klasma.github.io/Logging_0885/klagomålsmail/A 33293-2026 FSC-klagomål mail.docx", "A 33293-2026")</f>
        <v/>
      </c>
      <c r="AC99">
        <f>HYPERLINK("https://klasma.github.io/Logging_0885/tillsyn/A 33293-2026 tillsynsbegäran.docx", "A 33293-2026")</f>
        <v/>
      </c>
      <c r="AD99">
        <f>HYPERLINK("https://klasma.github.io/Logging_0885/tillsynsmail/A 33293-2026 tillsynsbegäran mail.docx", "A 33293-2026")</f>
        <v/>
      </c>
    </row>
    <row r="100" ht="15" customHeight="1">
      <c r="A100" t="inlineStr">
        <is>
          <t>A 13043-2024</t>
        </is>
      </c>
      <c r="B100" t="inlineStr">
        <is>
          <t>avverkningsanmälan</t>
        </is>
      </c>
      <c r="C100" t="inlineStr">
        <is>
          <t>Föryngringsavverkning</t>
        </is>
      </c>
      <c r="D100" s="1" t="n">
        <v>45385</v>
      </c>
      <c r="E100" s="1" t="n">
        <v>46317</v>
      </c>
      <c r="F100" t="inlineStr">
        <is>
          <t>KALMAR LÄN</t>
        </is>
      </c>
      <c r="G100" t="inlineStr">
        <is>
          <t>BORGHOLM</t>
        </is>
      </c>
      <c r="I100" t="n">
        <v>0.4</v>
      </c>
      <c r="J100" t="n">
        <v>1</v>
      </c>
      <c r="K100" t="n">
        <v>1</v>
      </c>
      <c r="L100" t="n">
        <v>0</v>
      </c>
      <c r="M100" t="n">
        <v>0</v>
      </c>
      <c r="N100" t="n">
        <v>0</v>
      </c>
      <c r="O100" t="n">
        <v>0</v>
      </c>
      <c r="P100" t="n">
        <v>0</v>
      </c>
      <c r="Q100" t="n">
        <v>0</v>
      </c>
      <c r="R100" t="n">
        <v>0</v>
      </c>
      <c r="S100" t="n">
        <v>1</v>
      </c>
      <c r="T100" t="n">
        <v>1</v>
      </c>
      <c r="U100" t="n">
        <v>0</v>
      </c>
      <c r="V100" s="2" t="inlineStr">
        <is>
          <t>Ekoxe</t>
        </is>
      </c>
      <c r="W100">
        <f>HYPERLINK("https://klasma.github.io/Logging_0885/artfynd/A 13043-2024 artfynd.xlsx", "A 13043-2024")</f>
        <v/>
      </c>
      <c r="X100">
        <f>HYPERLINK("https://klasma.github.io/Logging_0885/kartor/A 13043-2024 karta.png", "A 13043-2024")</f>
        <v/>
      </c>
      <c r="Y100">
        <f>HYPERLINK("https://klasma.github.io/Logging_0885/kartor_geotiff/A 13043-2024 georefererad karta.tif", "A 13043-2024")</f>
        <v/>
      </c>
      <c r="AA100">
        <f>HYPERLINK("https://klasma.github.io/Logging_0885/klagomål/A 13043-2024 FSC-klagomål.docx", "A 13043-2024")</f>
        <v/>
      </c>
      <c r="AB100">
        <f>HYPERLINK("https://klasma.github.io/Logging_0885/klagomålsmail/A 13043-2024 FSC-klagomål mail.docx", "A 13043-2024")</f>
        <v/>
      </c>
      <c r="AC100">
        <f>HYPERLINK("https://klasma.github.io/Logging_0885/tillsyn/A 13043-2024 tillsynsbegäran.docx", "A 13043-2024")</f>
        <v/>
      </c>
      <c r="AD100">
        <f>HYPERLINK("https://klasma.github.io/Logging_0885/tillsynsmail/A 13043-2024 tillsynsbegäran mail.docx", "A 13043-2024")</f>
        <v/>
      </c>
    </row>
    <row r="101" ht="15" customHeight="1">
      <c r="A101" t="inlineStr">
        <is>
          <t>S 2390-2023</t>
        </is>
      </c>
      <c r="B101" t="inlineStr">
        <is>
          <t>samrådsanmälan</t>
        </is>
      </c>
      <c r="C101" t="inlineStr">
        <is>
          <t>Annan skogsbruksåtgärd</t>
        </is>
      </c>
      <c r="D101" s="1" t="n">
        <v>45111</v>
      </c>
      <c r="E101" s="1" t="n">
        <v>46317</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46317</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46317</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1813-2026</t>
        </is>
      </c>
      <c r="B104" t="inlineStr">
        <is>
          <t>samrådsanmälan</t>
        </is>
      </c>
      <c r="C104" t="inlineStr">
        <is>
          <t>Annan skogsbruksåtgärd</t>
        </is>
      </c>
      <c r="D104" s="1" t="n">
        <v>46197</v>
      </c>
      <c r="E104" s="1" t="n">
        <v>46317</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1803-2026</t>
        </is>
      </c>
      <c r="B105" t="inlineStr">
        <is>
          <t>samrådsanmälan</t>
        </is>
      </c>
      <c r="C105" t="inlineStr">
        <is>
          <t>Annan skogsbruksåtgärd</t>
        </is>
      </c>
      <c r="D105" s="1" t="n">
        <v>46196</v>
      </c>
      <c r="E105" s="1" t="n">
        <v>46317</v>
      </c>
      <c r="F105" t="inlineStr">
        <is>
          <t>KALMAR LÄN</t>
        </is>
      </c>
      <c r="G105" t="inlineStr">
        <is>
          <t>BORGHOLM</t>
        </is>
      </c>
      <c r="H105" t="inlineStr">
        <is>
          <t>Sveaskog</t>
        </is>
      </c>
      <c r="I105" t="n">
        <v>2</v>
      </c>
      <c r="J105" t="n">
        <v>0</v>
      </c>
      <c r="K105" t="n">
        <v>0</v>
      </c>
      <c r="L105" t="n">
        <v>0</v>
      </c>
      <c r="M105" t="n">
        <v>1</v>
      </c>
      <c r="N105" t="n">
        <v>0</v>
      </c>
      <c r="O105" t="n">
        <v>0</v>
      </c>
      <c r="P105" t="n">
        <v>0</v>
      </c>
      <c r="Q105" t="n">
        <v>1</v>
      </c>
      <c r="R105" t="n">
        <v>1</v>
      </c>
      <c r="S105" t="n">
        <v>1</v>
      </c>
      <c r="T105" t="n">
        <v>1</v>
      </c>
      <c r="U105" t="n">
        <v>0</v>
      </c>
      <c r="V105" s="2" t="inlineStr">
        <is>
          <t>Purpurmusseron</t>
        </is>
      </c>
      <c r="W105">
        <f>HYPERLINK("https://klasma.github.io/Logging_0885/artfynd/S 1803-2026 artfynd.xlsx", "S 1803-2026")</f>
        <v/>
      </c>
      <c r="X105">
        <f>HYPERLINK("https://klasma.github.io/Logging_0885/kartor/S 1803-2026 karta.png", "S 1803-2026")</f>
        <v/>
      </c>
      <c r="Y105">
        <f>HYPERLINK("https://klasma.github.io/Logging_0885/kartor_geotiff/S 1803-2026 georefererad karta.tif", "S 1803-2026")</f>
        <v/>
      </c>
      <c r="AA105">
        <f>HYPERLINK("https://klasma.github.io/Logging_0885/klagomål/S 1803-2026 FSC-klagomål.docx", "S 1803-2026")</f>
        <v/>
      </c>
      <c r="AB105">
        <f>HYPERLINK("https://klasma.github.io/Logging_0885/klagomålsmail/S 1803-2026 FSC-klagomål mail.docx", "S 1803-2026")</f>
        <v/>
      </c>
      <c r="AC105">
        <f>HYPERLINK("https://klasma.github.io/Logging_0885/tillsyn/S 1803-2026 tillsynsbegäran.docx", "S 1803-2026")</f>
        <v/>
      </c>
      <c r="AD105">
        <f>HYPERLINK("https://klasma.github.io/Logging_0885/tillsynsmail/S 1803-2026 tillsynsbegäran mail.docx", "S 1803-2026")</f>
        <v/>
      </c>
    </row>
    <row r="106" ht="15" customHeight="1">
      <c r="A106" t="inlineStr">
        <is>
          <t>S 2140-2026</t>
        </is>
      </c>
      <c r="B106" t="inlineStr">
        <is>
          <t>samrådsanmälan</t>
        </is>
      </c>
      <c r="C106" t="inlineStr">
        <is>
          <t>Annan skogsbruksåtgärd</t>
        </is>
      </c>
      <c r="D106" s="1" t="n">
        <v>46246</v>
      </c>
      <c r="E106" s="1" t="n">
        <v>46317</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46317</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46317</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46317</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46317</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46317</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46317</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46317</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31699-2022</t>
        </is>
      </c>
      <c r="B114" t="inlineStr">
        <is>
          <t>avverkningsanmälan</t>
        </is>
      </c>
      <c r="C114" t="inlineStr">
        <is>
          <t>Föryngringsavverkning</t>
        </is>
      </c>
      <c r="D114" s="1" t="n">
        <v>44776</v>
      </c>
      <c r="E114" s="1" t="n">
        <v>46317</v>
      </c>
      <c r="F114" t="inlineStr">
        <is>
          <t>KALMAR LÄN</t>
        </is>
      </c>
      <c r="G114" t="inlineStr">
        <is>
          <t>BORGHOLM</t>
        </is>
      </c>
      <c r="H114" t="inlineStr">
        <is>
          <t>Sveaskog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22785-2025</t>
        </is>
      </c>
      <c r="B115" t="inlineStr">
        <is>
          <t>avverkningsanmälan</t>
        </is>
      </c>
      <c r="C115" t="inlineStr">
        <is>
          <t>Föryngringsavverkning</t>
        </is>
      </c>
      <c r="D115" s="1" t="n">
        <v>45789</v>
      </c>
      <c r="E115" s="1" t="n">
        <v>46317</v>
      </c>
      <c r="F115" t="inlineStr">
        <is>
          <t>KALMAR LÄN</t>
        </is>
      </c>
      <c r="G115" t="inlineStr">
        <is>
          <t>BORGHOLM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26160-2024</t>
        </is>
      </c>
      <c r="B116" t="inlineStr">
        <is>
          <t>avverkningsanmälan</t>
        </is>
      </c>
      <c r="C116" t="inlineStr">
        <is>
          <t>Avverkning för annat ändamål</t>
        </is>
      </c>
      <c r="D116" s="1" t="n">
        <v>45468</v>
      </c>
      <c r="E116" s="1" t="n">
        <v>46317</v>
      </c>
      <c r="F116" t="inlineStr">
        <is>
          <t>KALMAR LÄN</t>
        </is>
      </c>
      <c r="G116" t="inlineStr">
        <is>
          <t>BORGHOLM</t>
        </is>
      </c>
      <c r="I116" t="n">
        <v>0.4</v>
      </c>
      <c r="J116" t="n">
        <v>0</v>
      </c>
      <c r="K116" t="n">
        <v>0</v>
      </c>
      <c r="L116" t="n">
        <v>0</v>
      </c>
      <c r="M116" t="n">
        <v>0</v>
      </c>
      <c r="N116" t="n">
        <v>0</v>
      </c>
      <c r="O116" t="n">
        <v>0</v>
      </c>
      <c r="P116" t="n">
        <v>0</v>
      </c>
      <c r="Q116" t="n">
        <v>0</v>
      </c>
      <c r="R116" t="n">
        <v>0</v>
      </c>
      <c r="S116" t="n">
        <v>0</v>
      </c>
      <c r="T116" t="n">
        <v>0</v>
      </c>
      <c r="U116" t="n">
        <v>0</v>
      </c>
      <c r="V116" s="2" t="inlineStr"/>
      <c r="X116">
        <f>HYPERLINK("https://klasma.github.io/Logging_0885/kartor/A 26160-2024 karta.png", "A 26160-2024")</f>
        <v/>
      </c>
      <c r="Y116">
        <f>HYPERLINK("https://klasma.github.io/Logging_0885/kartor_geotiff/A 26160-2024 georefererad karta.tif", "A 26160-2024")</f>
        <v/>
      </c>
      <c r="AA116">
        <f>HYPERLINK("https://klasma.github.io/Logging_0885/klagomål/A 26160-2024 FSC-klagomål.docx", "A 26160-2024")</f>
        <v/>
      </c>
      <c r="AB116">
        <f>HYPERLINK("https://klasma.github.io/Logging_0885/klagomålsmail/A 26160-2024 FSC-klagomål mail.docx", "A 26160-2024")</f>
        <v/>
      </c>
      <c r="AC116">
        <f>HYPERLINK("https://klasma.github.io/Logging_0885/tillsyn/A 26160-2024 tillsynsbegäran.docx", "A 26160-2024")</f>
        <v/>
      </c>
      <c r="AD116">
        <f>HYPERLINK("https://klasma.github.io/Logging_0885/tillsynsmail/A 26160-2024 tillsynsbegäran mail.docx", "A 26160-2024")</f>
        <v/>
      </c>
    </row>
    <row r="117" ht="15" customHeight="1">
      <c r="A117" t="inlineStr">
        <is>
          <t>A 26190-2025</t>
        </is>
      </c>
      <c r="B117" t="inlineStr">
        <is>
          <t>avverkningsanmälan</t>
        </is>
      </c>
      <c r="C117" t="inlineStr">
        <is>
          <t>Föryngringsavverkning</t>
        </is>
      </c>
      <c r="D117" s="1" t="n">
        <v>45805</v>
      </c>
      <c r="E117" s="1" t="n">
        <v>46317</v>
      </c>
      <c r="F117" t="inlineStr">
        <is>
          <t>KALMAR LÄN</t>
        </is>
      </c>
      <c r="G117" t="inlineStr">
        <is>
          <t>BORGHOLM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46317</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46317</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46317</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4159-2024</t>
        </is>
      </c>
      <c r="B121" t="inlineStr">
        <is>
          <t>avverkningsanmälan</t>
        </is>
      </c>
      <c r="C121" t="inlineStr">
        <is>
          <t>Föryngringsavverkning</t>
        </is>
      </c>
      <c r="D121" s="1" t="n">
        <v>45323</v>
      </c>
      <c r="E121" s="1" t="n">
        <v>46317</v>
      </c>
      <c r="F121" t="inlineStr">
        <is>
          <t>KALMAR LÄN</t>
        </is>
      </c>
      <c r="G121" t="inlineStr">
        <is>
          <t>BORGHOLM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36269-2025</t>
        </is>
      </c>
      <c r="B122" t="inlineStr">
        <is>
          <t>avverkningsanmälan</t>
        </is>
      </c>
      <c r="C122" t="inlineStr">
        <is>
          <t>Föryngringsavverkning</t>
        </is>
      </c>
      <c r="D122" s="1" t="n">
        <v>45867</v>
      </c>
      <c r="E122" s="1" t="n">
        <v>46317</v>
      </c>
      <c r="F122" t="inlineStr">
        <is>
          <t>KALMAR LÄN</t>
        </is>
      </c>
      <c r="G122" t="inlineStr">
        <is>
          <t>BORGHOLM</t>
        </is>
      </c>
      <c r="H122" t="inlineStr">
        <is>
          <t>Sveaskog</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4165-2023</t>
        </is>
      </c>
      <c r="B123" t="inlineStr">
        <is>
          <t>avverkningsanmälan</t>
        </is>
      </c>
      <c r="C123" t="inlineStr">
        <is>
          <t>Föryngringsavverkning</t>
        </is>
      </c>
      <c r="D123" s="1" t="n">
        <v>44953</v>
      </c>
      <c r="E123" s="1" t="n">
        <v>46317</v>
      </c>
      <c r="F123" t="inlineStr">
        <is>
          <t>KALMAR LÄN</t>
        </is>
      </c>
      <c r="G123" t="inlineStr">
        <is>
          <t>BORGHOLM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32921-2023</t>
        </is>
      </c>
      <c r="B124" t="inlineStr">
        <is>
          <t>avverkningsanmälan</t>
        </is>
      </c>
      <c r="C124" t="inlineStr">
        <is>
          <t>Föryngringsavverkning</t>
        </is>
      </c>
      <c r="D124" s="1" t="n">
        <v>45125</v>
      </c>
      <c r="E124" s="1" t="n">
        <v>46317</v>
      </c>
      <c r="F124" t="inlineStr">
        <is>
          <t>KALMAR LÄN</t>
        </is>
      </c>
      <c r="G124" t="inlineStr">
        <is>
          <t>BORGHOLM</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9259-2026</t>
        </is>
      </c>
      <c r="B125" t="inlineStr">
        <is>
          <t>avverkningsanmälan</t>
        </is>
      </c>
      <c r="C125" t="inlineStr">
        <is>
          <t>Föryngringsavverkning</t>
        </is>
      </c>
      <c r="D125" s="1" t="n">
        <v>46070</v>
      </c>
      <c r="E125" s="1" t="n">
        <v>46317</v>
      </c>
      <c r="F125" t="inlineStr">
        <is>
          <t>KALMAR LÄN</t>
        </is>
      </c>
      <c r="G125" t="inlineStr">
        <is>
          <t>BORGHOLM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15272-2026</t>
        </is>
      </c>
      <c r="B126" t="inlineStr">
        <is>
          <t>avverkningsanmälan</t>
        </is>
      </c>
      <c r="C126" t="inlineStr">
        <is>
          <t>Avverkning för att bevara och utveckla /försöksver</t>
        </is>
      </c>
      <c r="D126" s="1" t="n">
        <v>46105</v>
      </c>
      <c r="E126" s="1" t="n">
        <v>46317</v>
      </c>
      <c r="F126" t="inlineStr">
        <is>
          <t>KALMAR LÄN</t>
        </is>
      </c>
      <c r="G126" t="inlineStr">
        <is>
          <t>BORGHOLM</t>
        </is>
      </c>
      <c r="H126" t="inlineStr">
        <is>
          <t>Sveaskog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15264-2026</t>
        </is>
      </c>
      <c r="B127" t="inlineStr">
        <is>
          <t>avverkningsanmälan</t>
        </is>
      </c>
      <c r="C127" t="inlineStr">
        <is>
          <t>Avverkning för att bevara och utveckla /försöksver</t>
        </is>
      </c>
      <c r="D127" s="1" t="n">
        <v>46105</v>
      </c>
      <c r="E127" s="1" t="n">
        <v>46317</v>
      </c>
      <c r="F127" t="inlineStr">
        <is>
          <t>KALMAR LÄN</t>
        </is>
      </c>
      <c r="G127" t="inlineStr">
        <is>
          <t>BORGHOLM</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43603-2024</t>
        </is>
      </c>
      <c r="B128" t="inlineStr">
        <is>
          <t>avverkningsanmälan</t>
        </is>
      </c>
      <c r="C128" t="inlineStr">
        <is>
          <t>Föryngringsavverkning</t>
        </is>
      </c>
      <c r="D128" s="1" t="n">
        <v>45569</v>
      </c>
      <c r="E128" s="1" t="n">
        <v>46317</v>
      </c>
      <c r="F128" t="inlineStr">
        <is>
          <t>KALMAR LÄN</t>
        </is>
      </c>
      <c r="G128" t="inlineStr">
        <is>
          <t>BORGHOLM</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63075-2023</t>
        </is>
      </c>
      <c r="B129" t="inlineStr">
        <is>
          <t>avverkningsanmälan</t>
        </is>
      </c>
      <c r="C129" t="inlineStr">
        <is>
          <t>Avverkning för annat ändamål</t>
        </is>
      </c>
      <c r="D129" s="1" t="n">
        <v>45273</v>
      </c>
      <c r="E129" s="1" t="n">
        <v>46317</v>
      </c>
      <c r="F129" t="inlineStr">
        <is>
          <t>KALMAR LÄN</t>
        </is>
      </c>
      <c r="G129" t="inlineStr">
        <is>
          <t>BORGHOLM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1757-2025</t>
        </is>
      </c>
      <c r="B130" t="inlineStr">
        <is>
          <t>avverkningsanmälan</t>
        </is>
      </c>
      <c r="C130" t="inlineStr">
        <is>
          <t>Föryngringsavverkning</t>
        </is>
      </c>
      <c r="D130" s="1" t="n">
        <v>45671</v>
      </c>
      <c r="E130" s="1" t="n">
        <v>46317</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34780-2022</t>
        </is>
      </c>
      <c r="B131" t="inlineStr">
        <is>
          <t>avverkningsanmälan</t>
        </is>
      </c>
      <c r="C131" t="inlineStr">
        <is>
          <t>Föryngringsavverkning</t>
        </is>
      </c>
      <c r="D131" s="1" t="n">
        <v>44795</v>
      </c>
      <c r="E131" s="1" t="n">
        <v>46317</v>
      </c>
      <c r="F131" t="inlineStr">
        <is>
          <t>KALMAR LÄN</t>
        </is>
      </c>
      <c r="G131" t="inlineStr">
        <is>
          <t>BORGHOLM</t>
        </is>
      </c>
      <c r="H131" t="inlineStr">
        <is>
          <t>Sveaskog</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55367-2024</t>
        </is>
      </c>
      <c r="B132" t="inlineStr">
        <is>
          <t>avverkningsanmälan</t>
        </is>
      </c>
      <c r="C132" t="inlineStr">
        <is>
          <t>Föryngringsavverkning</t>
        </is>
      </c>
      <c r="D132" s="1" t="n">
        <v>45621</v>
      </c>
      <c r="E132" s="1" t="n">
        <v>46317</v>
      </c>
      <c r="F132" t="inlineStr">
        <is>
          <t>KALMAR LÄN</t>
        </is>
      </c>
      <c r="G132" t="inlineStr">
        <is>
          <t>BORGHOLM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20287-2025</t>
        </is>
      </c>
      <c r="B133" t="inlineStr">
        <is>
          <t>avverkningsanmälan</t>
        </is>
      </c>
      <c r="C133" t="inlineStr">
        <is>
          <t>Avverkning för att bevara och utveckla /försöksver</t>
        </is>
      </c>
      <c r="D133" s="1" t="n">
        <v>45774</v>
      </c>
      <c r="E133" s="1" t="n">
        <v>46317</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9076-2025</t>
        </is>
      </c>
      <c r="B134" t="inlineStr">
        <is>
          <t>avverkningsanmälan</t>
        </is>
      </c>
      <c r="C134" t="inlineStr">
        <is>
          <t>Föryngringsavverkning</t>
        </is>
      </c>
      <c r="D134" s="1" t="n">
        <v>45713</v>
      </c>
      <c r="E134" s="1" t="n">
        <v>46317</v>
      </c>
      <c r="F134" t="inlineStr">
        <is>
          <t>KALMAR LÄN</t>
        </is>
      </c>
      <c r="G134" t="inlineStr">
        <is>
          <t>BORGHOLM</t>
        </is>
      </c>
      <c r="H134" t="inlineStr">
        <is>
          <t>Sveaskog</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27357-2025</t>
        </is>
      </c>
      <c r="B135" t="inlineStr">
        <is>
          <t>avverkningsanmälan</t>
        </is>
      </c>
      <c r="C135" t="inlineStr">
        <is>
          <t>Avverkning för att bevara och utveckla /försöksver</t>
        </is>
      </c>
      <c r="D135" s="1" t="n">
        <v>45812</v>
      </c>
      <c r="E135" s="1" t="n">
        <v>46317</v>
      </c>
      <c r="F135" t="inlineStr">
        <is>
          <t>KALMAR LÄN</t>
        </is>
      </c>
      <c r="G135" t="inlineStr">
        <is>
          <t>BORGHOLM</t>
        </is>
      </c>
      <c r="H135" t="inlineStr">
        <is>
          <t>Sveaskog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7669-2024</t>
        </is>
      </c>
      <c r="B136" t="inlineStr">
        <is>
          <t>avverkningsanmälan</t>
        </is>
      </c>
      <c r="C136" t="inlineStr">
        <is>
          <t>Föryngringsavverkning</t>
        </is>
      </c>
      <c r="D136" s="1" t="n">
        <v>45348</v>
      </c>
      <c r="E136" s="1" t="n">
        <v>46317</v>
      </c>
      <c r="F136" t="inlineStr">
        <is>
          <t>KALMAR LÄN</t>
        </is>
      </c>
      <c r="G136" t="inlineStr">
        <is>
          <t>BORGHOLM</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32919-2023</t>
        </is>
      </c>
      <c r="B137" t="inlineStr">
        <is>
          <t>avverkningsanmälan</t>
        </is>
      </c>
      <c r="C137" t="inlineStr">
        <is>
          <t>Föryngringsavverkning</t>
        </is>
      </c>
      <c r="D137" s="1" t="n">
        <v>45125</v>
      </c>
      <c r="E137" s="1" t="n">
        <v>46317</v>
      </c>
      <c r="F137" t="inlineStr">
        <is>
          <t>KALMAR LÄN</t>
        </is>
      </c>
      <c r="G137" t="inlineStr">
        <is>
          <t>BORGHOLM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24323-2026</t>
        </is>
      </c>
      <c r="B138" t="inlineStr">
        <is>
          <t>avverkningsanmälan</t>
        </is>
      </c>
      <c r="C138" t="inlineStr">
        <is>
          <t>Föryngringsavverkning</t>
        </is>
      </c>
      <c r="D138" s="1" t="n">
        <v>46169</v>
      </c>
      <c r="E138" s="1" t="n">
        <v>46317</v>
      </c>
      <c r="F138" t="inlineStr">
        <is>
          <t>KALMAR LÄN</t>
        </is>
      </c>
      <c r="G138" t="inlineStr">
        <is>
          <t>BORGHOLM</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34951-2022</t>
        </is>
      </c>
      <c r="B139" t="inlineStr">
        <is>
          <t>avverkningsanmälan</t>
        </is>
      </c>
      <c r="C139" t="inlineStr">
        <is>
          <t>Avverkning för att bevara och utveckla /försöksver</t>
        </is>
      </c>
      <c r="D139" s="1" t="n">
        <v>44796</v>
      </c>
      <c r="E139" s="1" t="n">
        <v>46317</v>
      </c>
      <c r="F139" t="inlineStr">
        <is>
          <t>KALMAR LÄN</t>
        </is>
      </c>
      <c r="G139" t="inlineStr">
        <is>
          <t>BORGHOLM</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5175-2024</t>
        </is>
      </c>
      <c r="B140" t="inlineStr">
        <is>
          <t>avverkningsanmälan</t>
        </is>
      </c>
      <c r="C140" t="inlineStr">
        <is>
          <t>Föryngringsavverkning</t>
        </is>
      </c>
      <c r="D140" s="1" t="n">
        <v>45330</v>
      </c>
      <c r="E140" s="1" t="n">
        <v>46317</v>
      </c>
      <c r="F140" t="inlineStr">
        <is>
          <t>KALMAR LÄN</t>
        </is>
      </c>
      <c r="G140" t="inlineStr">
        <is>
          <t>BORGHOLM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28380-2026</t>
        </is>
      </c>
      <c r="B141" t="inlineStr">
        <is>
          <t>avverkningsanmälan</t>
        </is>
      </c>
      <c r="C141" t="inlineStr">
        <is>
          <t>Avverkning för att bevara och utveckla /försöksver</t>
        </is>
      </c>
      <c r="D141" s="1" t="n">
        <v>46196</v>
      </c>
      <c r="E141" s="1" t="n">
        <v>46317</v>
      </c>
      <c r="F141" t="inlineStr">
        <is>
          <t>KALMAR LÄN</t>
        </is>
      </c>
      <c r="G141" t="inlineStr">
        <is>
          <t>BORGHOLM</t>
        </is>
      </c>
      <c r="H141" t="inlineStr">
        <is>
          <t>Sveaskog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3878-2023</t>
        </is>
      </c>
      <c r="B142" t="inlineStr">
        <is>
          <t>avverkningsanmälan</t>
        </is>
      </c>
      <c r="C142" t="inlineStr">
        <is>
          <t>Föryngringsavverkning</t>
        </is>
      </c>
      <c r="D142" s="1" t="n">
        <v>44951</v>
      </c>
      <c r="E142" s="1" t="n">
        <v>46317</v>
      </c>
      <c r="F142" t="inlineStr">
        <is>
          <t>KALMAR LÄN</t>
        </is>
      </c>
      <c r="G142" t="inlineStr">
        <is>
          <t>BORGHOLM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28381-2026</t>
        </is>
      </c>
      <c r="B143" t="inlineStr">
        <is>
          <t>avverkningsanmälan</t>
        </is>
      </c>
      <c r="C143" t="inlineStr">
        <is>
          <t>Avverkning för att bevara och utveckla /försöksver</t>
        </is>
      </c>
      <c r="D143" s="1" t="n">
        <v>46196</v>
      </c>
      <c r="E143" s="1" t="n">
        <v>46317</v>
      </c>
      <c r="F143" t="inlineStr">
        <is>
          <t>KALMAR LÄN</t>
        </is>
      </c>
      <c r="G143" t="inlineStr">
        <is>
          <t>BORGHOLM</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28411-2026</t>
        </is>
      </c>
      <c r="B144" t="inlineStr">
        <is>
          <t>avverkningsanmälan</t>
        </is>
      </c>
      <c r="C144" t="inlineStr">
        <is>
          <t>Avverkning för att bevara och utveckla /försöksver</t>
        </is>
      </c>
      <c r="D144" s="1" t="n">
        <v>46197</v>
      </c>
      <c r="E144" s="1" t="n">
        <v>46317</v>
      </c>
      <c r="F144" t="inlineStr">
        <is>
          <t>KALMAR LÄN</t>
        </is>
      </c>
      <c r="G144" t="inlineStr">
        <is>
          <t>BORGHOLM</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29413-2026</t>
        </is>
      </c>
      <c r="B145" t="inlineStr">
        <is>
          <t>avverkningsanmälan</t>
        </is>
      </c>
      <c r="C145" t="inlineStr">
        <is>
          <t>Avverkning för att bevara och utveckla /försöksver</t>
        </is>
      </c>
      <c r="D145" s="1" t="n">
        <v>46203</v>
      </c>
      <c r="E145" s="1" t="n">
        <v>46317</v>
      </c>
      <c r="F145" t="inlineStr">
        <is>
          <t>KALMAR LÄN</t>
        </is>
      </c>
      <c r="G145" t="inlineStr">
        <is>
          <t>BORGHOLM</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29414-2026</t>
        </is>
      </c>
      <c r="B146" t="inlineStr">
        <is>
          <t>avverkningsanmälan</t>
        </is>
      </c>
      <c r="C146" t="inlineStr">
        <is>
          <t>Avverkning för att bevara och utveckla /försöksver</t>
        </is>
      </c>
      <c r="D146" s="1" t="n">
        <v>46203</v>
      </c>
      <c r="E146" s="1" t="n">
        <v>46317</v>
      </c>
      <c r="F146" t="inlineStr">
        <is>
          <t>KALMAR LÄN</t>
        </is>
      </c>
      <c r="G146" t="inlineStr">
        <is>
          <t>BORGHOLM</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29431-2026</t>
        </is>
      </c>
      <c r="B147" t="inlineStr">
        <is>
          <t>avverkningsanmälan</t>
        </is>
      </c>
      <c r="C147" t="inlineStr">
        <is>
          <t>Avverkning för att bevara och utveckla /försöksver</t>
        </is>
      </c>
      <c r="D147" s="1" t="n">
        <v>46203</v>
      </c>
      <c r="E147" s="1" t="n">
        <v>46317</v>
      </c>
      <c r="F147" t="inlineStr">
        <is>
          <t>KALMAR LÄN</t>
        </is>
      </c>
      <c r="G147" t="inlineStr">
        <is>
          <t>BORGHOLM</t>
        </is>
      </c>
      <c r="H147" t="inlineStr">
        <is>
          <t>Sveaskog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29410-2026</t>
        </is>
      </c>
      <c r="B148" t="inlineStr">
        <is>
          <t>avverkningsanmälan</t>
        </is>
      </c>
      <c r="C148" t="inlineStr">
        <is>
          <t>Avverkning för att bevara och utveckla /försöksver</t>
        </is>
      </c>
      <c r="D148" s="1" t="n">
        <v>46203</v>
      </c>
      <c r="E148" s="1" t="n">
        <v>46317</v>
      </c>
      <c r="F148" t="inlineStr">
        <is>
          <t>KALMAR LÄN</t>
        </is>
      </c>
      <c r="G148" t="inlineStr">
        <is>
          <t>BORGHOLM</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13383-2023</t>
        </is>
      </c>
      <c r="B149" t="inlineStr">
        <is>
          <t>avverkningsanmälan</t>
        </is>
      </c>
      <c r="C149" t="inlineStr">
        <is>
          <t>Föryngringsavverkning</t>
        </is>
      </c>
      <c r="D149" s="1" t="n">
        <v>45005</v>
      </c>
      <c r="E149" s="1" t="n">
        <v>46317</v>
      </c>
      <c r="F149" t="inlineStr">
        <is>
          <t>KALMAR LÄN</t>
        </is>
      </c>
      <c r="G149" t="inlineStr">
        <is>
          <t>BORGHOLM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12937-2022</t>
        </is>
      </c>
      <c r="B150" t="inlineStr">
        <is>
          <t>avverkningsanmälan</t>
        </is>
      </c>
      <c r="C150" t="inlineStr">
        <is>
          <t>Föryngringsavverkning</t>
        </is>
      </c>
      <c r="D150" s="1" t="n">
        <v>44642</v>
      </c>
      <c r="E150" s="1" t="n">
        <v>46317</v>
      </c>
      <c r="F150" t="inlineStr">
        <is>
          <t>KALMAR LÄN</t>
        </is>
      </c>
      <c r="G150" t="inlineStr">
        <is>
          <t>BORGHOLM</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61438-2023</t>
        </is>
      </c>
      <c r="B151" t="inlineStr">
        <is>
          <t>avverkningsanmälan</t>
        </is>
      </c>
      <c r="C151" t="inlineStr">
        <is>
          <t>Avverkning för annat ändamål</t>
        </is>
      </c>
      <c r="D151" s="1" t="n">
        <v>45264</v>
      </c>
      <c r="E151" s="1" t="n">
        <v>46317</v>
      </c>
      <c r="F151" t="inlineStr">
        <is>
          <t>KALMAR LÄN</t>
        </is>
      </c>
      <c r="G151" t="inlineStr">
        <is>
          <t>BORGHOLM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13041-2024</t>
        </is>
      </c>
      <c r="B152" t="inlineStr">
        <is>
          <t>avverkningsanmälan</t>
        </is>
      </c>
      <c r="C152" t="inlineStr">
        <is>
          <t>Föryngringsavverkning</t>
        </is>
      </c>
      <c r="D152" s="1" t="n">
        <v>45385</v>
      </c>
      <c r="E152" s="1" t="n">
        <v>46317</v>
      </c>
      <c r="F152" t="inlineStr">
        <is>
          <t>KALMAR LÄN</t>
        </is>
      </c>
      <c r="G152" t="inlineStr">
        <is>
          <t>BORGHOLM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1614-2025</t>
        </is>
      </c>
      <c r="B153" t="inlineStr">
        <is>
          <t>avverkningsanmälan</t>
        </is>
      </c>
      <c r="C153" t="inlineStr">
        <is>
          <t>Föryngringsavverkning</t>
        </is>
      </c>
      <c r="D153" s="1" t="n">
        <v>45670</v>
      </c>
      <c r="E153" s="1" t="n">
        <v>46317</v>
      </c>
      <c r="F153" t="inlineStr">
        <is>
          <t>KALMAR LÄN</t>
        </is>
      </c>
      <c r="G153" t="inlineStr">
        <is>
          <t>BORGHOLM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24338-2026</t>
        </is>
      </c>
      <c r="B154" t="inlineStr">
        <is>
          <t>avverkningsanmälan</t>
        </is>
      </c>
      <c r="C154" t="inlineStr">
        <is>
          <t>Avverkning för att bevara och utveckla /försöksver</t>
        </is>
      </c>
      <c r="D154" s="1" t="n">
        <v>46169</v>
      </c>
      <c r="E154" s="1" t="n">
        <v>46317</v>
      </c>
      <c r="F154" t="inlineStr">
        <is>
          <t>KALMAR LÄN</t>
        </is>
      </c>
      <c r="G154" t="inlineStr">
        <is>
          <t>BORGHOLM</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9050-2025</t>
        </is>
      </c>
      <c r="B155" t="inlineStr">
        <is>
          <t>avverkningsanmälan</t>
        </is>
      </c>
      <c r="C155" t="inlineStr">
        <is>
          <t>Avverkning för att bevara och utveckla /försöksver</t>
        </is>
      </c>
      <c r="D155" s="1" t="n">
        <v>45713</v>
      </c>
      <c r="E155" s="1" t="n">
        <v>46317</v>
      </c>
      <c r="F155" t="inlineStr">
        <is>
          <t>KALMAR LÄN</t>
        </is>
      </c>
      <c r="G155" t="inlineStr">
        <is>
          <t>BORGHOLM</t>
        </is>
      </c>
      <c r="H155" t="inlineStr">
        <is>
          <t>Sveaskog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46317</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46317</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46317</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46317</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46317</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46317</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46317</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46317</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1812-2026</t>
        </is>
      </c>
      <c r="B164" t="inlineStr">
        <is>
          <t>samrådsanmälan</t>
        </is>
      </c>
      <c r="C164" t="inlineStr">
        <is>
          <t>Annan skogsbruksåtgärd</t>
        </is>
      </c>
      <c r="D164" s="1" t="n">
        <v>46197</v>
      </c>
      <c r="E164" s="1" t="n">
        <v>46317</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46317</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46317</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46317</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46317</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46317</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46317</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2026-10-22T01:56:13Z</dcterms:created>
  <dcterms:modified xmlns:dcterms="http://purl.org/dc/terms/" xmlns:xsi="http://www.w3.org/2001/XMLSchema-instance" xsi:type="dcterms:W3CDTF">2026-10-22T01:56:13Z</dcterms:modified>
</cp:coreProperties>
</file>