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45926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45926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45926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45926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45926</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45926</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45926</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45926</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45926</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57656-2020</t>
        </is>
      </c>
      <c r="B11" s="1" t="n">
        <v>44140</v>
      </c>
      <c r="C11" s="1" t="n">
        <v>45926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50720-2021</t>
        </is>
      </c>
      <c r="B12" s="1" t="n">
        <v>44459</v>
      </c>
      <c r="C12" s="1" t="n">
        <v>45926</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Geastrum</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34948-2022</t>
        </is>
      </c>
      <c r="B13" s="1" t="n">
        <v>44796</v>
      </c>
      <c r="C13" s="1" t="n">
        <v>45926</v>
      </c>
      <c r="D13" t="inlineStr">
        <is>
          <t>KALMAR LÄN</t>
        </is>
      </c>
      <c r="E13" t="inlineStr">
        <is>
          <t>BORGHOLM</t>
        </is>
      </c>
      <c r="F13" t="inlineStr">
        <is>
          <t>Sveaskog</t>
        </is>
      </c>
      <c r="G13" t="n">
        <v>2.8</v>
      </c>
      <c r="H13" t="n">
        <v>1</v>
      </c>
      <c r="I13" t="n">
        <v>1</v>
      </c>
      <c r="J13" t="n">
        <v>2</v>
      </c>
      <c r="K13" t="n">
        <v>0</v>
      </c>
      <c r="L13" t="n">
        <v>1</v>
      </c>
      <c r="M13" t="n">
        <v>0</v>
      </c>
      <c r="N13" t="n">
        <v>0</v>
      </c>
      <c r="O13" t="n">
        <v>3</v>
      </c>
      <c r="P13" t="n">
        <v>1</v>
      </c>
      <c r="Q13" t="n">
        <v>5</v>
      </c>
      <c r="R13" s="2" t="inlineStr">
        <is>
          <t>Brödmusseron
Juvelspindling
Persiljespindling
Fransig jordstjärna
Blåsippa</t>
        </is>
      </c>
      <c r="S13">
        <f>HYPERLINK("https://klasma.github.io/Logging_0885/artfynd/A 34948-2022 artfynd.xlsx", "A 34948-2022")</f>
        <v/>
      </c>
      <c r="T13">
        <f>HYPERLINK("https://klasma.github.io/Logging_0885/kartor/A 34948-2022 karta.png", "A 34948-2022")</f>
        <v/>
      </c>
      <c r="V13">
        <f>HYPERLINK("https://klasma.github.io/Logging_0885/klagomål/A 34948-2022 FSC-klagomål.docx", "A 34948-2022")</f>
        <v/>
      </c>
      <c r="W13">
        <f>HYPERLINK("https://klasma.github.io/Logging_0885/klagomålsmail/A 34948-2022 FSC-klagomål mail.docx", "A 34948-2022")</f>
        <v/>
      </c>
      <c r="X13">
        <f>HYPERLINK("https://klasma.github.io/Logging_0885/tillsyn/A 34948-2022 tillsynsbegäran.docx", "A 34948-2022")</f>
        <v/>
      </c>
      <c r="Y13">
        <f>HYPERLINK("https://klasma.github.io/Logging_0885/tillsynsmail/A 34948-2022 tillsynsbegäran mail.docx", "A 34948-2022")</f>
        <v/>
      </c>
    </row>
    <row r="14" ht="15" customHeight="1">
      <c r="A14" t="inlineStr">
        <is>
          <t>A 4881-2021</t>
        </is>
      </c>
      <c r="B14" s="1" t="n">
        <v>44225</v>
      </c>
      <c r="C14" s="1" t="n">
        <v>45926</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55210-2020</t>
        </is>
      </c>
      <c r="B15" s="1" t="n">
        <v>44130</v>
      </c>
      <c r="C15" s="1" t="n">
        <v>45926</v>
      </c>
      <c r="D15" t="inlineStr">
        <is>
          <t>KALMAR LÄN</t>
        </is>
      </c>
      <c r="E15" t="inlineStr">
        <is>
          <t>BORGHOLM</t>
        </is>
      </c>
      <c r="G15" t="n">
        <v>2.2</v>
      </c>
      <c r="H15" t="n">
        <v>1</v>
      </c>
      <c r="I15" t="n">
        <v>3</v>
      </c>
      <c r="J15" t="n">
        <v>1</v>
      </c>
      <c r="K15" t="n">
        <v>0</v>
      </c>
      <c r="L15" t="n">
        <v>0</v>
      </c>
      <c r="M15" t="n">
        <v>0</v>
      </c>
      <c r="N15" t="n">
        <v>0</v>
      </c>
      <c r="O15" t="n">
        <v>1</v>
      </c>
      <c r="P15" t="n">
        <v>0</v>
      </c>
      <c r="Q15" t="n">
        <v>4</v>
      </c>
      <c r="R15" s="2" t="inlineStr">
        <is>
          <t>Loppstarr
Murgröna
Nästrot
Sårläka</t>
        </is>
      </c>
      <c r="S15">
        <f>HYPERLINK("https://klasma.github.io/Logging_0885/artfynd/A 55210-2020 artfynd.xlsx", "A 55210-2020")</f>
        <v/>
      </c>
      <c r="T15">
        <f>HYPERLINK("https://klasma.github.io/Logging_0885/kartor/A 55210-2020 karta.png", "A 55210-2020")</f>
        <v/>
      </c>
      <c r="V15">
        <f>HYPERLINK("https://klasma.github.io/Logging_0885/klagomål/A 55210-2020 FSC-klagomål.docx", "A 55210-2020")</f>
        <v/>
      </c>
      <c r="W15">
        <f>HYPERLINK("https://klasma.github.io/Logging_0885/klagomålsmail/A 55210-2020 FSC-klagomål mail.docx", "A 55210-2020")</f>
        <v/>
      </c>
      <c r="X15">
        <f>HYPERLINK("https://klasma.github.io/Logging_0885/tillsyn/A 55210-2020 tillsynsbegäran.docx", "A 55210-2020")</f>
        <v/>
      </c>
      <c r="Y15">
        <f>HYPERLINK("https://klasma.github.io/Logging_0885/tillsynsmail/A 55210-2020 tillsynsbegäran mail.docx", "A 55210-2020")</f>
        <v/>
      </c>
    </row>
    <row r="16" ht="15" customHeight="1">
      <c r="A16" t="inlineStr">
        <is>
          <t>A 32640-2022</t>
        </is>
      </c>
      <c r="B16" s="1" t="n">
        <v>44783</v>
      </c>
      <c r="C16" s="1" t="n">
        <v>45926</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58231-2020</t>
        </is>
      </c>
      <c r="B17" s="1" t="n">
        <v>44144</v>
      </c>
      <c r="C17" s="1" t="n">
        <v>45926</v>
      </c>
      <c r="D17" t="inlineStr">
        <is>
          <t>KALMAR LÄN</t>
        </is>
      </c>
      <c r="E17" t="inlineStr">
        <is>
          <t>BORGHOLM</t>
        </is>
      </c>
      <c r="F17" t="inlineStr">
        <is>
          <t>Sveaskog</t>
        </is>
      </c>
      <c r="G17" t="n">
        <v>8.5</v>
      </c>
      <c r="H17" t="n">
        <v>1</v>
      </c>
      <c r="I17" t="n">
        <v>2</v>
      </c>
      <c r="J17" t="n">
        <v>1</v>
      </c>
      <c r="K17" t="n">
        <v>0</v>
      </c>
      <c r="L17" t="n">
        <v>0</v>
      </c>
      <c r="M17" t="n">
        <v>0</v>
      </c>
      <c r="N17" t="n">
        <v>0</v>
      </c>
      <c r="O17" t="n">
        <v>1</v>
      </c>
      <c r="P17" t="n">
        <v>0</v>
      </c>
      <c r="Q17" t="n">
        <v>3</v>
      </c>
      <c r="R17" s="2" t="inlineStr">
        <is>
          <t>Skugglosta
Skogsknipprot
Strävlosta</t>
        </is>
      </c>
      <c r="S17">
        <f>HYPERLINK("https://klasma.github.io/Logging_0885/artfynd/A 58231-2020 artfynd.xlsx", "A 58231-2020")</f>
        <v/>
      </c>
      <c r="T17">
        <f>HYPERLINK("https://klasma.github.io/Logging_0885/kartor/A 58231-2020 karta.png", "A 58231-2020")</f>
        <v/>
      </c>
      <c r="V17">
        <f>HYPERLINK("https://klasma.github.io/Logging_0885/klagomål/A 58231-2020 FSC-klagomål.docx", "A 58231-2020")</f>
        <v/>
      </c>
      <c r="W17">
        <f>HYPERLINK("https://klasma.github.io/Logging_0885/klagomålsmail/A 58231-2020 FSC-klagomål mail.docx", "A 58231-2020")</f>
        <v/>
      </c>
      <c r="X17">
        <f>HYPERLINK("https://klasma.github.io/Logging_0885/tillsyn/A 58231-2020 tillsynsbegäran.docx", "A 58231-2020")</f>
        <v/>
      </c>
      <c r="Y17">
        <f>HYPERLINK("https://klasma.github.io/Logging_0885/tillsynsmail/A 58231-2020 tillsynsbegäran mail.docx", "A 58231-2020")</f>
        <v/>
      </c>
    </row>
    <row r="18" ht="15" customHeight="1">
      <c r="A18" t="inlineStr">
        <is>
          <t>A 16171-2023</t>
        </is>
      </c>
      <c r="B18" s="1" t="n">
        <v>45027</v>
      </c>
      <c r="C18" s="1" t="n">
        <v>45926</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45926</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32174-2022</t>
        </is>
      </c>
      <c r="B20" s="1" t="n">
        <v>44781</v>
      </c>
      <c r="C20" s="1" t="n">
        <v>45926</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43756-2022</t>
        </is>
      </c>
      <c r="B21" s="1" t="n">
        <v>44837</v>
      </c>
      <c r="C21" s="1" t="n">
        <v>45926</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13556-2025</t>
        </is>
      </c>
      <c r="B22" s="1" t="n">
        <v>45736.54759259259</v>
      </c>
      <c r="C22" s="1" t="n">
        <v>45926</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28779-2025</t>
        </is>
      </c>
      <c r="B23" s="1" t="n">
        <v>45820.44920138889</v>
      </c>
      <c r="C23" s="1" t="n">
        <v>45926</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38860-2025</t>
        </is>
      </c>
      <c r="B24" s="1" t="n">
        <v>45887.5609375</v>
      </c>
      <c r="C24" s="1" t="n">
        <v>45926</v>
      </c>
      <c r="D24" t="inlineStr">
        <is>
          <t>KALMAR LÄN</t>
        </is>
      </c>
      <c r="E24" t="inlineStr">
        <is>
          <t>BORGHOLM</t>
        </is>
      </c>
      <c r="G24" t="n">
        <v>5.6</v>
      </c>
      <c r="H24" t="n">
        <v>2</v>
      </c>
      <c r="I24" t="n">
        <v>1</v>
      </c>
      <c r="J24" t="n">
        <v>0</v>
      </c>
      <c r="K24" t="n">
        <v>0</v>
      </c>
      <c r="L24" t="n">
        <v>0</v>
      </c>
      <c r="M24" t="n">
        <v>0</v>
      </c>
      <c r="N24" t="n">
        <v>0</v>
      </c>
      <c r="O24" t="n">
        <v>0</v>
      </c>
      <c r="P24" t="n">
        <v>0</v>
      </c>
      <c r="Q24" t="n">
        <v>2</v>
      </c>
      <c r="R24" s="2" t="inlineStr">
        <is>
          <t>Skogsknipprot
Revlummer</t>
        </is>
      </c>
      <c r="S24">
        <f>HYPERLINK("https://klasma.github.io/Logging_0885/artfynd/A 38860-2025 artfynd.xlsx", "A 38860-2025")</f>
        <v/>
      </c>
      <c r="T24">
        <f>HYPERLINK("https://klasma.github.io/Logging_0885/kartor/A 38860-2025 karta.png", "A 38860-2025")</f>
        <v/>
      </c>
      <c r="V24">
        <f>HYPERLINK("https://klasma.github.io/Logging_0885/klagomål/A 38860-2025 FSC-klagomål.docx", "A 38860-2025")</f>
        <v/>
      </c>
      <c r="W24">
        <f>HYPERLINK("https://klasma.github.io/Logging_0885/klagomålsmail/A 38860-2025 FSC-klagomål mail.docx", "A 38860-2025")</f>
        <v/>
      </c>
      <c r="X24">
        <f>HYPERLINK("https://klasma.github.io/Logging_0885/tillsyn/A 38860-2025 tillsynsbegäran.docx", "A 38860-2025")</f>
        <v/>
      </c>
      <c r="Y24">
        <f>HYPERLINK("https://klasma.github.io/Logging_0885/tillsynsmail/A 38860-2025 tillsynsbegäran mail.docx", "A 38860-2025")</f>
        <v/>
      </c>
    </row>
    <row r="25" ht="15" customHeight="1">
      <c r="A25" t="inlineStr">
        <is>
          <t>A 44008-2022</t>
        </is>
      </c>
      <c r="B25" s="1" t="n">
        <v>44838</v>
      </c>
      <c r="C25" s="1" t="n">
        <v>45926</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4164-2023</t>
        </is>
      </c>
      <c r="B26" s="1" t="n">
        <v>44953</v>
      </c>
      <c r="C26" s="1" t="n">
        <v>45926</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34944-2022</t>
        </is>
      </c>
      <c r="B27" s="1" t="n">
        <v>44796</v>
      </c>
      <c r="C27" s="1" t="n">
        <v>45926</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3871-2021</t>
        </is>
      </c>
      <c r="B28" s="1" t="n">
        <v>44222</v>
      </c>
      <c r="C28" s="1" t="n">
        <v>45926</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31295-2022</t>
        </is>
      </c>
      <c r="B29" s="1" t="n">
        <v>44772</v>
      </c>
      <c r="C29" s="1" t="n">
        <v>45926</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66329-2020</t>
        </is>
      </c>
      <c r="B30" s="1" t="n">
        <v>44176</v>
      </c>
      <c r="C30" s="1" t="n">
        <v>45926</v>
      </c>
      <c r="D30" t="inlineStr">
        <is>
          <t>KALMAR LÄN</t>
        </is>
      </c>
      <c r="E30" t="inlineStr">
        <is>
          <t>BORGHOLM</t>
        </is>
      </c>
      <c r="G30" t="n">
        <v>7.4</v>
      </c>
      <c r="H30" t="n">
        <v>0</v>
      </c>
      <c r="I30" t="n">
        <v>0</v>
      </c>
      <c r="J30" t="n">
        <v>1</v>
      </c>
      <c r="K30" t="n">
        <v>0</v>
      </c>
      <c r="L30" t="n">
        <v>0</v>
      </c>
      <c r="M30" t="n">
        <v>0</v>
      </c>
      <c r="N30" t="n">
        <v>0</v>
      </c>
      <c r="O30" t="n">
        <v>1</v>
      </c>
      <c r="P30" t="n">
        <v>0</v>
      </c>
      <c r="Q30" t="n">
        <v>1</v>
      </c>
      <c r="R30" s="2" t="inlineStr">
        <is>
          <t>Säfferot</t>
        </is>
      </c>
      <c r="S30">
        <f>HYPERLINK("https://klasma.github.io/Logging_0885/artfynd/A 66329-2020 artfynd.xlsx", "A 66329-2020")</f>
        <v/>
      </c>
      <c r="T30">
        <f>HYPERLINK("https://klasma.github.io/Logging_0885/kartor/A 66329-2020 karta.png", "A 66329-2020")</f>
        <v/>
      </c>
      <c r="V30">
        <f>HYPERLINK("https://klasma.github.io/Logging_0885/klagomål/A 66329-2020 FSC-klagomål.docx", "A 66329-2020")</f>
        <v/>
      </c>
      <c r="W30">
        <f>HYPERLINK("https://klasma.github.io/Logging_0885/klagomålsmail/A 66329-2020 FSC-klagomål mail.docx", "A 66329-2020")</f>
        <v/>
      </c>
      <c r="X30">
        <f>HYPERLINK("https://klasma.github.io/Logging_0885/tillsyn/A 66329-2020 tillsynsbegäran.docx", "A 66329-2020")</f>
        <v/>
      </c>
      <c r="Y30">
        <f>HYPERLINK("https://klasma.github.io/Logging_0885/tillsynsmail/A 66329-2020 tillsynsbegäran mail.docx", "A 66329-2020")</f>
        <v/>
      </c>
    </row>
    <row r="31" ht="15" customHeight="1">
      <c r="A31" t="inlineStr">
        <is>
          <t>A 24701-2023</t>
        </is>
      </c>
      <c r="B31" s="1" t="n">
        <v>45084</v>
      </c>
      <c r="C31" s="1" t="n">
        <v>45926</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14789-2021</t>
        </is>
      </c>
      <c r="B32" s="1" t="n">
        <v>44280</v>
      </c>
      <c r="C32" s="1" t="n">
        <v>45926</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13558-2025</t>
        </is>
      </c>
      <c r="B33" s="1" t="n">
        <v>45736.54974537037</v>
      </c>
      <c r="C33" s="1" t="n">
        <v>45926</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45926</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45926</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45926</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45926</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24704-2023</t>
        </is>
      </c>
      <c r="B38" s="1" t="n">
        <v>45084</v>
      </c>
      <c r="C38" s="1" t="n">
        <v>45926</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12785-2021</t>
        </is>
      </c>
      <c r="B39" s="1" t="n">
        <v>44270</v>
      </c>
      <c r="C39" s="1" t="n">
        <v>45926</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34885-2025</t>
        </is>
      </c>
      <c r="B40" s="1" t="n">
        <v>45849.47128472223</v>
      </c>
      <c r="C40" s="1" t="n">
        <v>45926</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9745-2023</t>
        </is>
      </c>
      <c r="B41" s="1" t="n">
        <v>44984</v>
      </c>
      <c r="C41" s="1" t="n">
        <v>45926</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45926</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45693-2025</t>
        </is>
      </c>
      <c r="B43" s="1" t="n">
        <v>45923</v>
      </c>
      <c r="C43" s="1" t="n">
        <v>45926</v>
      </c>
      <c r="D43" t="inlineStr">
        <is>
          <t>KALMAR LÄN</t>
        </is>
      </c>
      <c r="E43" t="inlineStr">
        <is>
          <t>BORGHOLM</t>
        </is>
      </c>
      <c r="G43" t="n">
        <v>4.8</v>
      </c>
      <c r="H43" t="n">
        <v>0</v>
      </c>
      <c r="I43" t="n">
        <v>0</v>
      </c>
      <c r="J43" t="n">
        <v>1</v>
      </c>
      <c r="K43" t="n">
        <v>0</v>
      </c>
      <c r="L43" t="n">
        <v>0</v>
      </c>
      <c r="M43" t="n">
        <v>0</v>
      </c>
      <c r="N43" t="n">
        <v>0</v>
      </c>
      <c r="O43" t="n">
        <v>1</v>
      </c>
      <c r="P43" t="n">
        <v>0</v>
      </c>
      <c r="Q43" t="n">
        <v>1</v>
      </c>
      <c r="R43" s="2" t="inlineStr">
        <is>
          <t>Stjälkröksvamp</t>
        </is>
      </c>
      <c r="S43">
        <f>HYPERLINK("https://klasma.github.io/Logging_0885/artfynd/A 45693-2025 artfynd.xlsx", "A 45693-2025")</f>
        <v/>
      </c>
      <c r="T43">
        <f>HYPERLINK("https://klasma.github.io/Logging_0885/kartor/A 45693-2025 karta.png", "A 45693-2025")</f>
        <v/>
      </c>
      <c r="V43">
        <f>HYPERLINK("https://klasma.github.io/Logging_0885/klagomål/A 45693-2025 FSC-klagomål.docx", "A 45693-2025")</f>
        <v/>
      </c>
      <c r="W43">
        <f>HYPERLINK("https://klasma.github.io/Logging_0885/klagomålsmail/A 45693-2025 FSC-klagomål mail.docx", "A 45693-2025")</f>
        <v/>
      </c>
      <c r="X43">
        <f>HYPERLINK("https://klasma.github.io/Logging_0885/tillsyn/A 45693-2025 tillsynsbegäran.docx", "A 45693-2025")</f>
        <v/>
      </c>
      <c r="Y43">
        <f>HYPERLINK("https://klasma.github.io/Logging_0885/tillsynsmail/A 45693-2025 tillsynsbegäran mail.docx", "A 45693-2025")</f>
        <v/>
      </c>
    </row>
    <row r="44" ht="15" customHeight="1">
      <c r="A44" t="inlineStr">
        <is>
          <t>A 56499-2020</t>
        </is>
      </c>
      <c r="B44" s="1" t="n">
        <v>44137</v>
      </c>
      <c r="C44" s="1" t="n">
        <v>45926</v>
      </c>
      <c r="D44" t="inlineStr">
        <is>
          <t>KALMAR LÄN</t>
        </is>
      </c>
      <c r="E44" t="inlineStr">
        <is>
          <t>BORGHOLM</t>
        </is>
      </c>
      <c r="F44" t="inlineStr">
        <is>
          <t>Sveaskog</t>
        </is>
      </c>
      <c r="G44" t="n">
        <v>0.5</v>
      </c>
      <c r="H44" t="n">
        <v>0</v>
      </c>
      <c r="I44" t="n">
        <v>0</v>
      </c>
      <c r="J44" t="n">
        <v>0</v>
      </c>
      <c r="K44" t="n">
        <v>0</v>
      </c>
      <c r="L44" t="n">
        <v>0</v>
      </c>
      <c r="M44" t="n">
        <v>0</v>
      </c>
      <c r="N44" t="n">
        <v>0</v>
      </c>
      <c r="O44" t="n">
        <v>0</v>
      </c>
      <c r="P44" t="n">
        <v>0</v>
      </c>
      <c r="Q44" t="n">
        <v>0</v>
      </c>
      <c r="R44" s="2" t="inlineStr"/>
    </row>
    <row r="45" ht="15" customHeight="1">
      <c r="A45" t="inlineStr">
        <is>
          <t>A 58113-2020</t>
        </is>
      </c>
      <c r="B45" s="1" t="n">
        <v>44144</v>
      </c>
      <c r="C45" s="1" t="n">
        <v>45926</v>
      </c>
      <c r="D45" t="inlineStr">
        <is>
          <t>KALMAR LÄN</t>
        </is>
      </c>
      <c r="E45" t="inlineStr">
        <is>
          <t>BORGHOLM</t>
        </is>
      </c>
      <c r="F45" t="inlineStr">
        <is>
          <t>Sveaskog</t>
        </is>
      </c>
      <c r="G45" t="n">
        <v>3</v>
      </c>
      <c r="H45" t="n">
        <v>0</v>
      </c>
      <c r="I45" t="n">
        <v>0</v>
      </c>
      <c r="J45" t="n">
        <v>0</v>
      </c>
      <c r="K45" t="n">
        <v>0</v>
      </c>
      <c r="L45" t="n">
        <v>0</v>
      </c>
      <c r="M45" t="n">
        <v>0</v>
      </c>
      <c r="N45" t="n">
        <v>0</v>
      </c>
      <c r="O45" t="n">
        <v>0</v>
      </c>
      <c r="P45" t="n">
        <v>0</v>
      </c>
      <c r="Q45" t="n">
        <v>0</v>
      </c>
      <c r="R45" s="2" t="inlineStr"/>
    </row>
    <row r="46" ht="15" customHeight="1">
      <c r="A46" t="inlineStr">
        <is>
          <t>A 56434-2020</t>
        </is>
      </c>
      <c r="B46" s="1" t="n">
        <v>44137</v>
      </c>
      <c r="C46" s="1" t="n">
        <v>45926</v>
      </c>
      <c r="D46" t="inlineStr">
        <is>
          <t>KALMAR LÄN</t>
        </is>
      </c>
      <c r="E46" t="inlineStr">
        <is>
          <t>BORGHOLM</t>
        </is>
      </c>
      <c r="F46" t="inlineStr">
        <is>
          <t>Sveaskog</t>
        </is>
      </c>
      <c r="G46" t="n">
        <v>1.2</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45926</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56475-2020</t>
        </is>
      </c>
      <c r="B48" s="1" t="n">
        <v>44137</v>
      </c>
      <c r="C48" s="1" t="n">
        <v>45926</v>
      </c>
      <c r="D48" t="inlineStr">
        <is>
          <t>KALMAR LÄN</t>
        </is>
      </c>
      <c r="E48" t="inlineStr">
        <is>
          <t>BORGHOLM</t>
        </is>
      </c>
      <c r="F48" t="inlineStr">
        <is>
          <t>Sveaskog</t>
        </is>
      </c>
      <c r="G48" t="n">
        <v>0.9</v>
      </c>
      <c r="H48" t="n">
        <v>0</v>
      </c>
      <c r="I48" t="n">
        <v>0</v>
      </c>
      <c r="J48" t="n">
        <v>0</v>
      </c>
      <c r="K48" t="n">
        <v>0</v>
      </c>
      <c r="L48" t="n">
        <v>0</v>
      </c>
      <c r="M48" t="n">
        <v>0</v>
      </c>
      <c r="N48" t="n">
        <v>0</v>
      </c>
      <c r="O48" t="n">
        <v>0</v>
      </c>
      <c r="P48" t="n">
        <v>0</v>
      </c>
      <c r="Q48" t="n">
        <v>0</v>
      </c>
      <c r="R48" s="2" t="inlineStr"/>
    </row>
    <row r="49" ht="15" customHeight="1">
      <c r="A49" t="inlineStr">
        <is>
          <t>A 56488-2020</t>
        </is>
      </c>
      <c r="B49" s="1" t="n">
        <v>44137</v>
      </c>
      <c r="C49" s="1" t="n">
        <v>45926</v>
      </c>
      <c r="D49" t="inlineStr">
        <is>
          <t>KALMAR LÄN</t>
        </is>
      </c>
      <c r="E49" t="inlineStr">
        <is>
          <t>BORGHOLM</t>
        </is>
      </c>
      <c r="F49" t="inlineStr">
        <is>
          <t>Sveaskog</t>
        </is>
      </c>
      <c r="G49" t="n">
        <v>1.4</v>
      </c>
      <c r="H49" t="n">
        <v>0</v>
      </c>
      <c r="I49" t="n">
        <v>0</v>
      </c>
      <c r="J49" t="n">
        <v>0</v>
      </c>
      <c r="K49" t="n">
        <v>0</v>
      </c>
      <c r="L49" t="n">
        <v>0</v>
      </c>
      <c r="M49" t="n">
        <v>0</v>
      </c>
      <c r="N49" t="n">
        <v>0</v>
      </c>
      <c r="O49" t="n">
        <v>0</v>
      </c>
      <c r="P49" t="n">
        <v>0</v>
      </c>
      <c r="Q49" t="n">
        <v>0</v>
      </c>
      <c r="R49" s="2" t="inlineStr"/>
    </row>
    <row r="50" ht="15" customHeight="1">
      <c r="A50" t="inlineStr">
        <is>
          <t>A 56506-2020</t>
        </is>
      </c>
      <c r="B50" s="1" t="n">
        <v>44137</v>
      </c>
      <c r="C50" s="1" t="n">
        <v>45926</v>
      </c>
      <c r="D50" t="inlineStr">
        <is>
          <t>KALMAR LÄN</t>
        </is>
      </c>
      <c r="E50" t="inlineStr">
        <is>
          <t>BORGHOLM</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42761-2021</t>
        </is>
      </c>
      <c r="B51" s="1" t="n">
        <v>44428</v>
      </c>
      <c r="C51" s="1" t="n">
        <v>45926</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13325-2021</t>
        </is>
      </c>
      <c r="B52" s="1" t="n">
        <v>44273</v>
      </c>
      <c r="C52" s="1" t="n">
        <v>45926</v>
      </c>
      <c r="D52" t="inlineStr">
        <is>
          <t>KALMAR LÄN</t>
        </is>
      </c>
      <c r="E52" t="inlineStr">
        <is>
          <t>BORGHOLM</t>
        </is>
      </c>
      <c r="G52" t="n">
        <v>0.7</v>
      </c>
      <c r="H52" t="n">
        <v>0</v>
      </c>
      <c r="I52" t="n">
        <v>0</v>
      </c>
      <c r="J52" t="n">
        <v>0</v>
      </c>
      <c r="K52" t="n">
        <v>0</v>
      </c>
      <c r="L52" t="n">
        <v>0</v>
      </c>
      <c r="M52" t="n">
        <v>0</v>
      </c>
      <c r="N52" t="n">
        <v>0</v>
      </c>
      <c r="O52" t="n">
        <v>0</v>
      </c>
      <c r="P52" t="n">
        <v>0</v>
      </c>
      <c r="Q52" t="n">
        <v>0</v>
      </c>
      <c r="R52" s="2" t="inlineStr"/>
    </row>
    <row r="53" ht="15" customHeight="1">
      <c r="A53" t="inlineStr">
        <is>
          <t>A 56421-2020</t>
        </is>
      </c>
      <c r="B53" s="1" t="n">
        <v>44137</v>
      </c>
      <c r="C53" s="1" t="n">
        <v>45926</v>
      </c>
      <c r="D53" t="inlineStr">
        <is>
          <t>KALMAR LÄN</t>
        </is>
      </c>
      <c r="E53" t="inlineStr">
        <is>
          <t>BORGHOLM</t>
        </is>
      </c>
      <c r="F53" t="inlineStr">
        <is>
          <t>Sveaskog</t>
        </is>
      </c>
      <c r="G53" t="n">
        <v>3.9</v>
      </c>
      <c r="H53" t="n">
        <v>0</v>
      </c>
      <c r="I53" t="n">
        <v>0</v>
      </c>
      <c r="J53" t="n">
        <v>0</v>
      </c>
      <c r="K53" t="n">
        <v>0</v>
      </c>
      <c r="L53" t="n">
        <v>0</v>
      </c>
      <c r="M53" t="n">
        <v>0</v>
      </c>
      <c r="N53" t="n">
        <v>0</v>
      </c>
      <c r="O53" t="n">
        <v>0</v>
      </c>
      <c r="P53" t="n">
        <v>0</v>
      </c>
      <c r="Q53" t="n">
        <v>0</v>
      </c>
      <c r="R53" s="2" t="inlineStr"/>
    </row>
    <row r="54" ht="15" customHeight="1">
      <c r="A54" t="inlineStr">
        <is>
          <t>A 32665-2022</t>
        </is>
      </c>
      <c r="B54" s="1" t="n">
        <v>44783</v>
      </c>
      <c r="C54" s="1" t="n">
        <v>45926</v>
      </c>
      <c r="D54" t="inlineStr">
        <is>
          <t>KALMAR LÄN</t>
        </is>
      </c>
      <c r="E54" t="inlineStr">
        <is>
          <t>BORGHOLM</t>
        </is>
      </c>
      <c r="F54" t="inlineStr">
        <is>
          <t>Sveaskog</t>
        </is>
      </c>
      <c r="G54" t="n">
        <v>4.2</v>
      </c>
      <c r="H54" t="n">
        <v>0</v>
      </c>
      <c r="I54" t="n">
        <v>0</v>
      </c>
      <c r="J54" t="n">
        <v>0</v>
      </c>
      <c r="K54" t="n">
        <v>0</v>
      </c>
      <c r="L54" t="n">
        <v>0</v>
      </c>
      <c r="M54" t="n">
        <v>0</v>
      </c>
      <c r="N54" t="n">
        <v>0</v>
      </c>
      <c r="O54" t="n">
        <v>0</v>
      </c>
      <c r="P54" t="n">
        <v>0</v>
      </c>
      <c r="Q54" t="n">
        <v>0</v>
      </c>
      <c r="R54" s="2" t="inlineStr"/>
    </row>
    <row r="55" ht="15" customHeight="1">
      <c r="A55" t="inlineStr">
        <is>
          <t>A 31790-2021</t>
        </is>
      </c>
      <c r="B55" s="1" t="n">
        <v>44370</v>
      </c>
      <c r="C55" s="1" t="n">
        <v>45926</v>
      </c>
      <c r="D55" t="inlineStr">
        <is>
          <t>KALMAR LÄN</t>
        </is>
      </c>
      <c r="E55" t="inlineStr">
        <is>
          <t>BORGHOLM</t>
        </is>
      </c>
      <c r="F55" t="inlineStr">
        <is>
          <t>Sveaskog</t>
        </is>
      </c>
      <c r="G55" t="n">
        <v>3.3</v>
      </c>
      <c r="H55" t="n">
        <v>0</v>
      </c>
      <c r="I55" t="n">
        <v>0</v>
      </c>
      <c r="J55" t="n">
        <v>0</v>
      </c>
      <c r="K55" t="n">
        <v>0</v>
      </c>
      <c r="L55" t="n">
        <v>0</v>
      </c>
      <c r="M55" t="n">
        <v>0</v>
      </c>
      <c r="N55" t="n">
        <v>0</v>
      </c>
      <c r="O55" t="n">
        <v>0</v>
      </c>
      <c r="P55" t="n">
        <v>0</v>
      </c>
      <c r="Q55" t="n">
        <v>0</v>
      </c>
      <c r="R55" s="2" t="inlineStr"/>
    </row>
    <row r="56" ht="15" customHeight="1">
      <c r="A56" t="inlineStr">
        <is>
          <t>A 10348-2022</t>
        </is>
      </c>
      <c r="B56" s="1" t="n">
        <v>44623</v>
      </c>
      <c r="C56" s="1" t="n">
        <v>45926</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28345-2022</t>
        </is>
      </c>
      <c r="B57" s="1" t="n">
        <v>44747</v>
      </c>
      <c r="C57" s="1" t="n">
        <v>45926</v>
      </c>
      <c r="D57" t="inlineStr">
        <is>
          <t>KALMAR LÄN</t>
        </is>
      </c>
      <c r="E57" t="inlineStr">
        <is>
          <t>BORGHOLM</t>
        </is>
      </c>
      <c r="G57" t="n">
        <v>1.5</v>
      </c>
      <c r="H57" t="n">
        <v>0</v>
      </c>
      <c r="I57" t="n">
        <v>0</v>
      </c>
      <c r="J57" t="n">
        <v>0</v>
      </c>
      <c r="K57" t="n">
        <v>0</v>
      </c>
      <c r="L57" t="n">
        <v>0</v>
      </c>
      <c r="M57" t="n">
        <v>0</v>
      </c>
      <c r="N57" t="n">
        <v>0</v>
      </c>
      <c r="O57" t="n">
        <v>0</v>
      </c>
      <c r="P57" t="n">
        <v>0</v>
      </c>
      <c r="Q57" t="n">
        <v>0</v>
      </c>
      <c r="R57" s="2" t="inlineStr"/>
    </row>
    <row r="58" ht="15" customHeight="1">
      <c r="A58" t="inlineStr">
        <is>
          <t>A 44681-2022</t>
        </is>
      </c>
      <c r="B58" s="1" t="n">
        <v>44840</v>
      </c>
      <c r="C58" s="1" t="n">
        <v>45926</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32608-2022</t>
        </is>
      </c>
      <c r="B59" s="1" t="n">
        <v>44783</v>
      </c>
      <c r="C59" s="1" t="n">
        <v>45926</v>
      </c>
      <c r="D59" t="inlineStr">
        <is>
          <t>KALMAR LÄN</t>
        </is>
      </c>
      <c r="E59" t="inlineStr">
        <is>
          <t>BORGHOLM</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61828-2021</t>
        </is>
      </c>
      <c r="B60" s="1" t="n">
        <v>44501</v>
      </c>
      <c r="C60" s="1" t="n">
        <v>45926</v>
      </c>
      <c r="D60" t="inlineStr">
        <is>
          <t>KALMAR LÄN</t>
        </is>
      </c>
      <c r="E60" t="inlineStr">
        <is>
          <t>BORGHOLM</t>
        </is>
      </c>
      <c r="G60" t="n">
        <v>0.5</v>
      </c>
      <c r="H60" t="n">
        <v>0</v>
      </c>
      <c r="I60" t="n">
        <v>0</v>
      </c>
      <c r="J60" t="n">
        <v>0</v>
      </c>
      <c r="K60" t="n">
        <v>0</v>
      </c>
      <c r="L60" t="n">
        <v>0</v>
      </c>
      <c r="M60" t="n">
        <v>0</v>
      </c>
      <c r="N60" t="n">
        <v>0</v>
      </c>
      <c r="O60" t="n">
        <v>0</v>
      </c>
      <c r="P60" t="n">
        <v>0</v>
      </c>
      <c r="Q60" t="n">
        <v>0</v>
      </c>
      <c r="R60" s="2" t="inlineStr"/>
    </row>
    <row r="61" ht="15" customHeight="1">
      <c r="A61" t="inlineStr">
        <is>
          <t>A 60735-2020</t>
        </is>
      </c>
      <c r="B61" s="1" t="n">
        <v>44153</v>
      </c>
      <c r="C61" s="1" t="n">
        <v>45926</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56188-2021</t>
        </is>
      </c>
      <c r="B62" s="1" t="n">
        <v>44477.83525462963</v>
      </c>
      <c r="C62" s="1" t="n">
        <v>45926</v>
      </c>
      <c r="D62" t="inlineStr">
        <is>
          <t>KALMAR LÄN</t>
        </is>
      </c>
      <c r="E62" t="inlineStr">
        <is>
          <t>BORGHOLM</t>
        </is>
      </c>
      <c r="G62" t="n">
        <v>1.8</v>
      </c>
      <c r="H62" t="n">
        <v>0</v>
      </c>
      <c r="I62" t="n">
        <v>0</v>
      </c>
      <c r="J62" t="n">
        <v>0</v>
      </c>
      <c r="K62" t="n">
        <v>0</v>
      </c>
      <c r="L62" t="n">
        <v>0</v>
      </c>
      <c r="M62" t="n">
        <v>0</v>
      </c>
      <c r="N62" t="n">
        <v>0</v>
      </c>
      <c r="O62" t="n">
        <v>0</v>
      </c>
      <c r="P62" t="n">
        <v>0</v>
      </c>
      <c r="Q62" t="n">
        <v>0</v>
      </c>
      <c r="R62" s="2" t="inlineStr"/>
    </row>
    <row r="63" ht="15" customHeight="1">
      <c r="A63" t="inlineStr">
        <is>
          <t>A 56983-2021</t>
        </is>
      </c>
      <c r="B63" s="1" t="n">
        <v>44482</v>
      </c>
      <c r="C63" s="1" t="n">
        <v>45926</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58394-2020</t>
        </is>
      </c>
      <c r="B64" s="1" t="n">
        <v>44145</v>
      </c>
      <c r="C64" s="1" t="n">
        <v>45926</v>
      </c>
      <c r="D64" t="inlineStr">
        <is>
          <t>KALMAR LÄN</t>
        </is>
      </c>
      <c r="E64" t="inlineStr">
        <is>
          <t>BORGHOLM</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56479-2020</t>
        </is>
      </c>
      <c r="B65" s="1" t="n">
        <v>44137</v>
      </c>
      <c r="C65" s="1" t="n">
        <v>45926</v>
      </c>
      <c r="D65" t="inlineStr">
        <is>
          <t>KALMAR LÄN</t>
        </is>
      </c>
      <c r="E65" t="inlineStr">
        <is>
          <t>BORGHOLM</t>
        </is>
      </c>
      <c r="F65" t="inlineStr">
        <is>
          <t>Sveaskog</t>
        </is>
      </c>
      <c r="G65" t="n">
        <v>2.6</v>
      </c>
      <c r="H65" t="n">
        <v>0</v>
      </c>
      <c r="I65" t="n">
        <v>0</v>
      </c>
      <c r="J65" t="n">
        <v>0</v>
      </c>
      <c r="K65" t="n">
        <v>0</v>
      </c>
      <c r="L65" t="n">
        <v>0</v>
      </c>
      <c r="M65" t="n">
        <v>0</v>
      </c>
      <c r="N65" t="n">
        <v>0</v>
      </c>
      <c r="O65" t="n">
        <v>0</v>
      </c>
      <c r="P65" t="n">
        <v>0</v>
      </c>
      <c r="Q65" t="n">
        <v>0</v>
      </c>
      <c r="R65" s="2" t="inlineStr"/>
    </row>
    <row r="66" ht="15" customHeight="1">
      <c r="A66" t="inlineStr">
        <is>
          <t>A 58253-2020</t>
        </is>
      </c>
      <c r="B66" s="1" t="n">
        <v>44144</v>
      </c>
      <c r="C66" s="1" t="n">
        <v>45926</v>
      </c>
      <c r="D66" t="inlineStr">
        <is>
          <t>KALMAR LÄN</t>
        </is>
      </c>
      <c r="E66" t="inlineStr">
        <is>
          <t>BORGHOLM</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56495-2020</t>
        </is>
      </c>
      <c r="B67" s="1" t="n">
        <v>44137</v>
      </c>
      <c r="C67" s="1" t="n">
        <v>45926</v>
      </c>
      <c r="D67" t="inlineStr">
        <is>
          <t>KALMAR LÄN</t>
        </is>
      </c>
      <c r="E67" t="inlineStr">
        <is>
          <t>BORGHOLM</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45926</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32180-2022</t>
        </is>
      </c>
      <c r="B69" s="1" t="n">
        <v>44781</v>
      </c>
      <c r="C69" s="1" t="n">
        <v>45926</v>
      </c>
      <c r="D69" t="inlineStr">
        <is>
          <t>KALMAR LÄN</t>
        </is>
      </c>
      <c r="E69" t="inlineStr">
        <is>
          <t>BORGHOLM</t>
        </is>
      </c>
      <c r="F69" t="inlineStr">
        <is>
          <t>Sveaskog</t>
        </is>
      </c>
      <c r="G69" t="n">
        <v>0.9</v>
      </c>
      <c r="H69" t="n">
        <v>0</v>
      </c>
      <c r="I69" t="n">
        <v>0</v>
      </c>
      <c r="J69" t="n">
        <v>0</v>
      </c>
      <c r="K69" t="n">
        <v>0</v>
      </c>
      <c r="L69" t="n">
        <v>0</v>
      </c>
      <c r="M69" t="n">
        <v>0</v>
      </c>
      <c r="N69" t="n">
        <v>0</v>
      </c>
      <c r="O69" t="n">
        <v>0</v>
      </c>
      <c r="P69" t="n">
        <v>0</v>
      </c>
      <c r="Q69" t="n">
        <v>0</v>
      </c>
      <c r="R69" s="2" t="inlineStr"/>
    </row>
    <row r="70" ht="15" customHeight="1">
      <c r="A70" t="inlineStr">
        <is>
          <t>A 62631-2021</t>
        </is>
      </c>
      <c r="B70" s="1" t="n">
        <v>44503</v>
      </c>
      <c r="C70" s="1" t="n">
        <v>45926</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12937-2022</t>
        </is>
      </c>
      <c r="B71" s="1" t="n">
        <v>44642</v>
      </c>
      <c r="C71" s="1" t="n">
        <v>45926</v>
      </c>
      <c r="D71" t="inlineStr">
        <is>
          <t>KALMAR LÄN</t>
        </is>
      </c>
      <c r="E71" t="inlineStr">
        <is>
          <t>BORGHOLM</t>
        </is>
      </c>
      <c r="F71" t="inlineStr">
        <is>
          <t>Sveaskog</t>
        </is>
      </c>
      <c r="G71" t="n">
        <v>1.8</v>
      </c>
      <c r="H71" t="n">
        <v>0</v>
      </c>
      <c r="I71" t="n">
        <v>0</v>
      </c>
      <c r="J71" t="n">
        <v>0</v>
      </c>
      <c r="K71" t="n">
        <v>0</v>
      </c>
      <c r="L71" t="n">
        <v>0</v>
      </c>
      <c r="M71" t="n">
        <v>0</v>
      </c>
      <c r="N71" t="n">
        <v>0</v>
      </c>
      <c r="O71" t="n">
        <v>0</v>
      </c>
      <c r="P71" t="n">
        <v>0</v>
      </c>
      <c r="Q71" t="n">
        <v>0</v>
      </c>
      <c r="R71" s="2" t="inlineStr"/>
    </row>
    <row r="72" ht="15" customHeight="1">
      <c r="A72" t="inlineStr">
        <is>
          <t>A 9034-2025</t>
        </is>
      </c>
      <c r="B72" s="1" t="n">
        <v>45713</v>
      </c>
      <c r="C72" s="1" t="n">
        <v>45926</v>
      </c>
      <c r="D72" t="inlineStr">
        <is>
          <t>KALMAR LÄN</t>
        </is>
      </c>
      <c r="E72" t="inlineStr">
        <is>
          <t>BORGHOLM</t>
        </is>
      </c>
      <c r="F72" t="inlineStr">
        <is>
          <t>Sveaskog</t>
        </is>
      </c>
      <c r="G72" t="n">
        <v>6.8</v>
      </c>
      <c r="H72" t="n">
        <v>0</v>
      </c>
      <c r="I72" t="n">
        <v>0</v>
      </c>
      <c r="J72" t="n">
        <v>0</v>
      </c>
      <c r="K72" t="n">
        <v>0</v>
      </c>
      <c r="L72" t="n">
        <v>0</v>
      </c>
      <c r="M72" t="n">
        <v>0</v>
      </c>
      <c r="N72" t="n">
        <v>0</v>
      </c>
      <c r="O72" t="n">
        <v>0</v>
      </c>
      <c r="P72" t="n">
        <v>0</v>
      </c>
      <c r="Q72" t="n">
        <v>0</v>
      </c>
      <c r="R72" s="2" t="inlineStr"/>
    </row>
    <row r="73" ht="15" customHeight="1">
      <c r="A73" t="inlineStr">
        <is>
          <t>A 13548-2025</t>
        </is>
      </c>
      <c r="B73" s="1" t="n">
        <v>45736.53827546296</v>
      </c>
      <c r="C73" s="1" t="n">
        <v>45926</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31840-2021</t>
        </is>
      </c>
      <c r="B74" s="1" t="n">
        <v>44370</v>
      </c>
      <c r="C74" s="1" t="n">
        <v>45926</v>
      </c>
      <c r="D74" t="inlineStr">
        <is>
          <t>KALMAR LÄN</t>
        </is>
      </c>
      <c r="E74" t="inlineStr">
        <is>
          <t>BORGHOLM</t>
        </is>
      </c>
      <c r="F74" t="inlineStr">
        <is>
          <t>Sveaskog</t>
        </is>
      </c>
      <c r="G74" t="n">
        <v>2.8</v>
      </c>
      <c r="H74" t="n">
        <v>0</v>
      </c>
      <c r="I74" t="n">
        <v>0</v>
      </c>
      <c r="J74" t="n">
        <v>0</v>
      </c>
      <c r="K74" t="n">
        <v>0</v>
      </c>
      <c r="L74" t="n">
        <v>0</v>
      </c>
      <c r="M74" t="n">
        <v>0</v>
      </c>
      <c r="N74" t="n">
        <v>0</v>
      </c>
      <c r="O74" t="n">
        <v>0</v>
      </c>
      <c r="P74" t="n">
        <v>0</v>
      </c>
      <c r="Q74" t="n">
        <v>0</v>
      </c>
      <c r="R74" s="2" t="inlineStr"/>
    </row>
    <row r="75" ht="15" customHeight="1">
      <c r="A75" t="inlineStr">
        <is>
          <t>A 56492-2020</t>
        </is>
      </c>
      <c r="B75" s="1" t="n">
        <v>44137</v>
      </c>
      <c r="C75" s="1" t="n">
        <v>45926</v>
      </c>
      <c r="D75" t="inlineStr">
        <is>
          <t>KALMAR LÄN</t>
        </is>
      </c>
      <c r="E75" t="inlineStr">
        <is>
          <t>BORGHOLM</t>
        </is>
      </c>
      <c r="F75" t="inlineStr">
        <is>
          <t>Sveaskog</t>
        </is>
      </c>
      <c r="G75" t="n">
        <v>10.9</v>
      </c>
      <c r="H75" t="n">
        <v>0</v>
      </c>
      <c r="I75" t="n">
        <v>0</v>
      </c>
      <c r="J75" t="n">
        <v>0</v>
      </c>
      <c r="K75" t="n">
        <v>0</v>
      </c>
      <c r="L75" t="n">
        <v>0</v>
      </c>
      <c r="M75" t="n">
        <v>0</v>
      </c>
      <c r="N75" t="n">
        <v>0</v>
      </c>
      <c r="O75" t="n">
        <v>0</v>
      </c>
      <c r="P75" t="n">
        <v>0</v>
      </c>
      <c r="Q75" t="n">
        <v>0</v>
      </c>
      <c r="R75" s="2" t="inlineStr"/>
    </row>
    <row r="76" ht="15" customHeight="1">
      <c r="A76" t="inlineStr">
        <is>
          <t>A 42785-2021</t>
        </is>
      </c>
      <c r="B76" s="1" t="n">
        <v>44428</v>
      </c>
      <c r="C76" s="1" t="n">
        <v>45926</v>
      </c>
      <c r="D76" t="inlineStr">
        <is>
          <t>KALMAR LÄN</t>
        </is>
      </c>
      <c r="E76" t="inlineStr">
        <is>
          <t>BORGHOLM</t>
        </is>
      </c>
      <c r="G76" t="n">
        <v>2.8</v>
      </c>
      <c r="H76" t="n">
        <v>0</v>
      </c>
      <c r="I76" t="n">
        <v>0</v>
      </c>
      <c r="J76" t="n">
        <v>0</v>
      </c>
      <c r="K76" t="n">
        <v>0</v>
      </c>
      <c r="L76" t="n">
        <v>0</v>
      </c>
      <c r="M76" t="n">
        <v>0</v>
      </c>
      <c r="N76" t="n">
        <v>0</v>
      </c>
      <c r="O76" t="n">
        <v>0</v>
      </c>
      <c r="P76" t="n">
        <v>0</v>
      </c>
      <c r="Q76" t="n">
        <v>0</v>
      </c>
      <c r="R76" s="2" t="inlineStr"/>
    </row>
    <row r="77" ht="15" customHeight="1">
      <c r="A77" t="inlineStr">
        <is>
          <t>A 17978-2021</t>
        </is>
      </c>
      <c r="B77" s="1" t="n">
        <v>44301</v>
      </c>
      <c r="C77" s="1" t="n">
        <v>45926</v>
      </c>
      <c r="D77" t="inlineStr">
        <is>
          <t>KALMAR LÄN</t>
        </is>
      </c>
      <c r="E77" t="inlineStr">
        <is>
          <t>BORGHOLM</t>
        </is>
      </c>
      <c r="G77" t="n">
        <v>6</v>
      </c>
      <c r="H77" t="n">
        <v>0</v>
      </c>
      <c r="I77" t="n">
        <v>0</v>
      </c>
      <c r="J77" t="n">
        <v>0</v>
      </c>
      <c r="K77" t="n">
        <v>0</v>
      </c>
      <c r="L77" t="n">
        <v>0</v>
      </c>
      <c r="M77" t="n">
        <v>0</v>
      </c>
      <c r="N77" t="n">
        <v>0</v>
      </c>
      <c r="O77" t="n">
        <v>0</v>
      </c>
      <c r="P77" t="n">
        <v>0</v>
      </c>
      <c r="Q77" t="n">
        <v>0</v>
      </c>
      <c r="R77" s="2" t="inlineStr"/>
    </row>
    <row r="78" ht="15" customHeight="1">
      <c r="A78" t="inlineStr">
        <is>
          <t>A 22785-2025</t>
        </is>
      </c>
      <c r="B78" s="1" t="n">
        <v>45789.64186342592</v>
      </c>
      <c r="C78" s="1" t="n">
        <v>45926</v>
      </c>
      <c r="D78" t="inlineStr">
        <is>
          <t>KALMAR LÄN</t>
        </is>
      </c>
      <c r="E78" t="inlineStr">
        <is>
          <t>BORGHOLM</t>
        </is>
      </c>
      <c r="G78" t="n">
        <v>0.6</v>
      </c>
      <c r="H78" t="n">
        <v>0</v>
      </c>
      <c r="I78" t="n">
        <v>0</v>
      </c>
      <c r="J78" t="n">
        <v>0</v>
      </c>
      <c r="K78" t="n">
        <v>0</v>
      </c>
      <c r="L78" t="n">
        <v>0</v>
      </c>
      <c r="M78" t="n">
        <v>0</v>
      </c>
      <c r="N78" t="n">
        <v>0</v>
      </c>
      <c r="O78" t="n">
        <v>0</v>
      </c>
      <c r="P78" t="n">
        <v>0</v>
      </c>
      <c r="Q78" t="n">
        <v>0</v>
      </c>
      <c r="R78" s="2" t="inlineStr"/>
    </row>
    <row r="79" ht="15" customHeight="1">
      <c r="A79" t="inlineStr">
        <is>
          <t>A 12534-2022</t>
        </is>
      </c>
      <c r="B79" s="1" t="n">
        <v>44638</v>
      </c>
      <c r="C79" s="1" t="n">
        <v>45926</v>
      </c>
      <c r="D79" t="inlineStr">
        <is>
          <t>KALMAR LÄN</t>
        </is>
      </c>
      <c r="E79" t="inlineStr">
        <is>
          <t>BORGHOLM</t>
        </is>
      </c>
      <c r="G79" t="n">
        <v>8.6</v>
      </c>
      <c r="H79" t="n">
        <v>0</v>
      </c>
      <c r="I79" t="n">
        <v>0</v>
      </c>
      <c r="J79" t="n">
        <v>0</v>
      </c>
      <c r="K79" t="n">
        <v>0</v>
      </c>
      <c r="L79" t="n">
        <v>0</v>
      </c>
      <c r="M79" t="n">
        <v>0</v>
      </c>
      <c r="N79" t="n">
        <v>0</v>
      </c>
      <c r="O79" t="n">
        <v>0</v>
      </c>
      <c r="P79" t="n">
        <v>0</v>
      </c>
      <c r="Q79" t="n">
        <v>0</v>
      </c>
      <c r="R79" s="2" t="inlineStr"/>
    </row>
    <row r="80" ht="15" customHeight="1">
      <c r="A80" t="inlineStr">
        <is>
          <t>A 32919-2023</t>
        </is>
      </c>
      <c r="B80" s="1" t="n">
        <v>45125</v>
      </c>
      <c r="C80" s="1" t="n">
        <v>45926</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44678-2022</t>
        </is>
      </c>
      <c r="B81" s="1" t="n">
        <v>44840.65100694444</v>
      </c>
      <c r="C81" s="1" t="n">
        <v>45926</v>
      </c>
      <c r="D81" t="inlineStr">
        <is>
          <t>KALMAR LÄN</t>
        </is>
      </c>
      <c r="E81" t="inlineStr">
        <is>
          <t>BORGHOLM</t>
        </is>
      </c>
      <c r="G81" t="n">
        <v>2.4</v>
      </c>
      <c r="H81" t="n">
        <v>0</v>
      </c>
      <c r="I81" t="n">
        <v>0</v>
      </c>
      <c r="J81" t="n">
        <v>0</v>
      </c>
      <c r="K81" t="n">
        <v>0</v>
      </c>
      <c r="L81" t="n">
        <v>0</v>
      </c>
      <c r="M81" t="n">
        <v>0</v>
      </c>
      <c r="N81" t="n">
        <v>0</v>
      </c>
      <c r="O81" t="n">
        <v>0</v>
      </c>
      <c r="P81" t="n">
        <v>0</v>
      </c>
      <c r="Q81" t="n">
        <v>0</v>
      </c>
      <c r="R81" s="2" t="inlineStr"/>
    </row>
    <row r="82" ht="15" customHeight="1">
      <c r="A82" t="inlineStr">
        <is>
          <t>A 40339-2023</t>
        </is>
      </c>
      <c r="B82" s="1" t="n">
        <v>45169.62733796296</v>
      </c>
      <c r="C82" s="1" t="n">
        <v>45926</v>
      </c>
      <c r="D82" t="inlineStr">
        <is>
          <t>KALMAR LÄN</t>
        </is>
      </c>
      <c r="E82" t="inlineStr">
        <is>
          <t>BORGHOLM</t>
        </is>
      </c>
      <c r="G82" t="n">
        <v>3.8</v>
      </c>
      <c r="H82" t="n">
        <v>0</v>
      </c>
      <c r="I82" t="n">
        <v>0</v>
      </c>
      <c r="J82" t="n">
        <v>0</v>
      </c>
      <c r="K82" t="n">
        <v>0</v>
      </c>
      <c r="L82" t="n">
        <v>0</v>
      </c>
      <c r="M82" t="n">
        <v>0</v>
      </c>
      <c r="N82" t="n">
        <v>0</v>
      </c>
      <c r="O82" t="n">
        <v>0</v>
      </c>
      <c r="P82" t="n">
        <v>0</v>
      </c>
      <c r="Q82" t="n">
        <v>0</v>
      </c>
      <c r="R82" s="2" t="inlineStr"/>
    </row>
    <row r="83" ht="15" customHeight="1">
      <c r="A83" t="inlineStr">
        <is>
          <t>A 64303-2023</t>
        </is>
      </c>
      <c r="B83" s="1" t="n">
        <v>45280</v>
      </c>
      <c r="C83" s="1" t="n">
        <v>45926</v>
      </c>
      <c r="D83" t="inlineStr">
        <is>
          <t>KALMAR LÄN</t>
        </is>
      </c>
      <c r="E83" t="inlineStr">
        <is>
          <t>BORGHOLM</t>
        </is>
      </c>
      <c r="G83" t="n">
        <v>1.2</v>
      </c>
      <c r="H83" t="n">
        <v>0</v>
      </c>
      <c r="I83" t="n">
        <v>0</v>
      </c>
      <c r="J83" t="n">
        <v>0</v>
      </c>
      <c r="K83" t="n">
        <v>0</v>
      </c>
      <c r="L83" t="n">
        <v>0</v>
      </c>
      <c r="M83" t="n">
        <v>0</v>
      </c>
      <c r="N83" t="n">
        <v>0</v>
      </c>
      <c r="O83" t="n">
        <v>0</v>
      </c>
      <c r="P83" t="n">
        <v>0</v>
      </c>
      <c r="Q83" t="n">
        <v>0</v>
      </c>
      <c r="R83" s="2" t="inlineStr"/>
    </row>
    <row r="84" ht="15" customHeight="1">
      <c r="A84" t="inlineStr">
        <is>
          <t>A 31720-2022</t>
        </is>
      </c>
      <c r="B84" s="1" t="n">
        <v>44776</v>
      </c>
      <c r="C84" s="1" t="n">
        <v>45926</v>
      </c>
      <c r="D84" t="inlineStr">
        <is>
          <t>KALMAR LÄN</t>
        </is>
      </c>
      <c r="E84" t="inlineStr">
        <is>
          <t>BORGHOLM</t>
        </is>
      </c>
      <c r="F84" t="inlineStr">
        <is>
          <t>Sveaskog</t>
        </is>
      </c>
      <c r="G84" t="n">
        <v>4.5</v>
      </c>
      <c r="H84" t="n">
        <v>0</v>
      </c>
      <c r="I84" t="n">
        <v>0</v>
      </c>
      <c r="J84" t="n">
        <v>0</v>
      </c>
      <c r="K84" t="n">
        <v>0</v>
      </c>
      <c r="L84" t="n">
        <v>0</v>
      </c>
      <c r="M84" t="n">
        <v>0</v>
      </c>
      <c r="N84" t="n">
        <v>0</v>
      </c>
      <c r="O84" t="n">
        <v>0</v>
      </c>
      <c r="P84" t="n">
        <v>0</v>
      </c>
      <c r="Q84" t="n">
        <v>0</v>
      </c>
      <c r="R84" s="2" t="inlineStr"/>
    </row>
    <row r="85" ht="15" customHeight="1">
      <c r="A85" t="inlineStr">
        <is>
          <t>A 24166-2022</t>
        </is>
      </c>
      <c r="B85" s="1" t="n">
        <v>44725</v>
      </c>
      <c r="C85" s="1" t="n">
        <v>45926</v>
      </c>
      <c r="D85" t="inlineStr">
        <is>
          <t>KALMAR LÄN</t>
        </is>
      </c>
      <c r="E85" t="inlineStr">
        <is>
          <t>BORGHOLM</t>
        </is>
      </c>
      <c r="G85" t="n">
        <v>10.7</v>
      </c>
      <c r="H85" t="n">
        <v>0</v>
      </c>
      <c r="I85" t="n">
        <v>0</v>
      </c>
      <c r="J85" t="n">
        <v>0</v>
      </c>
      <c r="K85" t="n">
        <v>0</v>
      </c>
      <c r="L85" t="n">
        <v>0</v>
      </c>
      <c r="M85" t="n">
        <v>0</v>
      </c>
      <c r="N85" t="n">
        <v>0</v>
      </c>
      <c r="O85" t="n">
        <v>0</v>
      </c>
      <c r="P85" t="n">
        <v>0</v>
      </c>
      <c r="Q85" t="n">
        <v>0</v>
      </c>
      <c r="R85" s="2" t="inlineStr"/>
    </row>
    <row r="86" ht="15" customHeight="1">
      <c r="A86" t="inlineStr">
        <is>
          <t>A 44547-2021</t>
        </is>
      </c>
      <c r="B86" s="1" t="n">
        <v>44435</v>
      </c>
      <c r="C86" s="1" t="n">
        <v>45926</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5175-2024</t>
        </is>
      </c>
      <c r="B87" s="1" t="n">
        <v>45330</v>
      </c>
      <c r="C87" s="1" t="n">
        <v>45926</v>
      </c>
      <c r="D87" t="inlineStr">
        <is>
          <t>KALMAR LÄN</t>
        </is>
      </c>
      <c r="E87" t="inlineStr">
        <is>
          <t>BORGHOLM</t>
        </is>
      </c>
      <c r="G87" t="n">
        <v>1.5</v>
      </c>
      <c r="H87" t="n">
        <v>0</v>
      </c>
      <c r="I87" t="n">
        <v>0</v>
      </c>
      <c r="J87" t="n">
        <v>0</v>
      </c>
      <c r="K87" t="n">
        <v>0</v>
      </c>
      <c r="L87" t="n">
        <v>0</v>
      </c>
      <c r="M87" t="n">
        <v>0</v>
      </c>
      <c r="N87" t="n">
        <v>0</v>
      </c>
      <c r="O87" t="n">
        <v>0</v>
      </c>
      <c r="P87" t="n">
        <v>0</v>
      </c>
      <c r="Q87" t="n">
        <v>0</v>
      </c>
      <c r="R87" s="2" t="inlineStr"/>
    </row>
    <row r="88" ht="15" customHeight="1">
      <c r="A88" t="inlineStr">
        <is>
          <t>A 26190-2025</t>
        </is>
      </c>
      <c r="B88" s="1" t="n">
        <v>45805.48349537037</v>
      </c>
      <c r="C88" s="1" t="n">
        <v>45926</v>
      </c>
      <c r="D88" t="inlineStr">
        <is>
          <t>KALMAR LÄN</t>
        </is>
      </c>
      <c r="E88" t="inlineStr">
        <is>
          <t>BORGHOLM</t>
        </is>
      </c>
      <c r="G88" t="n">
        <v>3.2</v>
      </c>
      <c r="H88" t="n">
        <v>0</v>
      </c>
      <c r="I88" t="n">
        <v>0</v>
      </c>
      <c r="J88" t="n">
        <v>0</v>
      </c>
      <c r="K88" t="n">
        <v>0</v>
      </c>
      <c r="L88" t="n">
        <v>0</v>
      </c>
      <c r="M88" t="n">
        <v>0</v>
      </c>
      <c r="N88" t="n">
        <v>0</v>
      </c>
      <c r="O88" t="n">
        <v>0</v>
      </c>
      <c r="P88" t="n">
        <v>0</v>
      </c>
      <c r="Q88" t="n">
        <v>0</v>
      </c>
      <c r="R88" s="2" t="inlineStr"/>
    </row>
    <row r="89" ht="15" customHeight="1">
      <c r="A89" t="inlineStr">
        <is>
          <t>A 26160-2025</t>
        </is>
      </c>
      <c r="B89" s="1" t="n">
        <v>45805.4490162037</v>
      </c>
      <c r="C89" s="1" t="n">
        <v>45926</v>
      </c>
      <c r="D89" t="inlineStr">
        <is>
          <t>KALMAR LÄN</t>
        </is>
      </c>
      <c r="E89" t="inlineStr">
        <is>
          <t>BORGHOLM</t>
        </is>
      </c>
      <c r="G89" t="n">
        <v>3.7</v>
      </c>
      <c r="H89" t="n">
        <v>0</v>
      </c>
      <c r="I89" t="n">
        <v>0</v>
      </c>
      <c r="J89" t="n">
        <v>0</v>
      </c>
      <c r="K89" t="n">
        <v>0</v>
      </c>
      <c r="L89" t="n">
        <v>0</v>
      </c>
      <c r="M89" t="n">
        <v>0</v>
      </c>
      <c r="N89" t="n">
        <v>0</v>
      </c>
      <c r="O89" t="n">
        <v>0</v>
      </c>
      <c r="P89" t="n">
        <v>0</v>
      </c>
      <c r="Q89" t="n">
        <v>0</v>
      </c>
      <c r="R89" s="2" t="inlineStr"/>
    </row>
    <row r="90" ht="15" customHeight="1">
      <c r="A90" t="inlineStr">
        <is>
          <t>A 34951-2022</t>
        </is>
      </c>
      <c r="B90" s="1" t="n">
        <v>44796</v>
      </c>
      <c r="C90" s="1" t="n">
        <v>45926</v>
      </c>
      <c r="D90" t="inlineStr">
        <is>
          <t>KALMAR LÄN</t>
        </is>
      </c>
      <c r="E90" t="inlineStr">
        <is>
          <t>BORGHOLM</t>
        </is>
      </c>
      <c r="F90" t="inlineStr">
        <is>
          <t>Sveaskog</t>
        </is>
      </c>
      <c r="G90" t="n">
        <v>4.6</v>
      </c>
      <c r="H90" t="n">
        <v>0</v>
      </c>
      <c r="I90" t="n">
        <v>0</v>
      </c>
      <c r="J90" t="n">
        <v>0</v>
      </c>
      <c r="K90" t="n">
        <v>0</v>
      </c>
      <c r="L90" t="n">
        <v>0</v>
      </c>
      <c r="M90" t="n">
        <v>0</v>
      </c>
      <c r="N90" t="n">
        <v>0</v>
      </c>
      <c r="O90" t="n">
        <v>0</v>
      </c>
      <c r="P90" t="n">
        <v>0</v>
      </c>
      <c r="Q90" t="n">
        <v>0</v>
      </c>
      <c r="R90" s="2" t="inlineStr"/>
    </row>
    <row r="91" ht="15" customHeight="1">
      <c r="A91" t="inlineStr">
        <is>
          <t>A 19867-2024</t>
        </is>
      </c>
      <c r="B91" s="1" t="n">
        <v>45433</v>
      </c>
      <c r="C91" s="1" t="n">
        <v>45926</v>
      </c>
      <c r="D91" t="inlineStr">
        <is>
          <t>KALMAR LÄN</t>
        </is>
      </c>
      <c r="E91" t="inlineStr">
        <is>
          <t>BORGHOLM</t>
        </is>
      </c>
      <c r="G91" t="n">
        <v>3.9</v>
      </c>
      <c r="H91" t="n">
        <v>0</v>
      </c>
      <c r="I91" t="n">
        <v>0</v>
      </c>
      <c r="J91" t="n">
        <v>0</v>
      </c>
      <c r="K91" t="n">
        <v>0</v>
      </c>
      <c r="L91" t="n">
        <v>0</v>
      </c>
      <c r="M91" t="n">
        <v>0</v>
      </c>
      <c r="N91" t="n">
        <v>0</v>
      </c>
      <c r="O91" t="n">
        <v>0</v>
      </c>
      <c r="P91" t="n">
        <v>0</v>
      </c>
      <c r="Q91" t="n">
        <v>0</v>
      </c>
      <c r="R91" s="2" t="inlineStr"/>
    </row>
    <row r="92" ht="15" customHeight="1">
      <c r="A92" t="inlineStr">
        <is>
          <t>A 21908-2022</t>
        </is>
      </c>
      <c r="B92" s="1" t="n">
        <v>44711</v>
      </c>
      <c r="C92" s="1" t="n">
        <v>45926</v>
      </c>
      <c r="D92" t="inlineStr">
        <is>
          <t>KALMAR LÄN</t>
        </is>
      </c>
      <c r="E92" t="inlineStr">
        <is>
          <t>BORGHOLM</t>
        </is>
      </c>
      <c r="G92" t="n">
        <v>4.7</v>
      </c>
      <c r="H92" t="n">
        <v>0</v>
      </c>
      <c r="I92" t="n">
        <v>0</v>
      </c>
      <c r="J92" t="n">
        <v>0</v>
      </c>
      <c r="K92" t="n">
        <v>0</v>
      </c>
      <c r="L92" t="n">
        <v>0</v>
      </c>
      <c r="M92" t="n">
        <v>0</v>
      </c>
      <c r="N92" t="n">
        <v>0</v>
      </c>
      <c r="O92" t="n">
        <v>0</v>
      </c>
      <c r="P92" t="n">
        <v>0</v>
      </c>
      <c r="Q92" t="n">
        <v>0</v>
      </c>
      <c r="R92" s="2" t="inlineStr"/>
    </row>
    <row r="93" ht="15" customHeight="1">
      <c r="A93" t="inlineStr">
        <is>
          <t>A 55367-2024</t>
        </is>
      </c>
      <c r="B93" s="1" t="n">
        <v>45621.87075231481</v>
      </c>
      <c r="C93" s="1" t="n">
        <v>45926</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27357-2025</t>
        </is>
      </c>
      <c r="B94" s="1" t="n">
        <v>45812.63650462963</v>
      </c>
      <c r="C94" s="1" t="n">
        <v>45926</v>
      </c>
      <c r="D94" t="inlineStr">
        <is>
          <t>KALMAR LÄN</t>
        </is>
      </c>
      <c r="E94" t="inlineStr">
        <is>
          <t>BORGHOLM</t>
        </is>
      </c>
      <c r="F94" t="inlineStr">
        <is>
          <t>Sveaskog</t>
        </is>
      </c>
      <c r="G94" t="n">
        <v>4.5</v>
      </c>
      <c r="H94" t="n">
        <v>0</v>
      </c>
      <c r="I94" t="n">
        <v>0</v>
      </c>
      <c r="J94" t="n">
        <v>0</v>
      </c>
      <c r="K94" t="n">
        <v>0</v>
      </c>
      <c r="L94" t="n">
        <v>0</v>
      </c>
      <c r="M94" t="n">
        <v>0</v>
      </c>
      <c r="N94" t="n">
        <v>0</v>
      </c>
      <c r="O94" t="n">
        <v>0</v>
      </c>
      <c r="P94" t="n">
        <v>0</v>
      </c>
      <c r="Q94" t="n">
        <v>0</v>
      </c>
      <c r="R94" s="2" t="inlineStr"/>
    </row>
    <row r="95" ht="15" customHeight="1">
      <c r="A95" t="inlineStr">
        <is>
          <t>A 27366-2025</t>
        </is>
      </c>
      <c r="B95" s="1" t="n">
        <v>45812.64475694444</v>
      </c>
      <c r="C95" s="1" t="n">
        <v>45926</v>
      </c>
      <c r="D95" t="inlineStr">
        <is>
          <t>KALMAR LÄN</t>
        </is>
      </c>
      <c r="E95" t="inlineStr">
        <is>
          <t>BORGHOLM</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13383-2023</t>
        </is>
      </c>
      <c r="B96" s="1" t="n">
        <v>45005</v>
      </c>
      <c r="C96" s="1" t="n">
        <v>45926</v>
      </c>
      <c r="D96" t="inlineStr">
        <is>
          <t>KALMAR LÄN</t>
        </is>
      </c>
      <c r="E96" t="inlineStr">
        <is>
          <t>BORGHOLM</t>
        </is>
      </c>
      <c r="G96" t="n">
        <v>0.8</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45926</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3878-2023</t>
        </is>
      </c>
      <c r="B98" s="1" t="n">
        <v>44951</v>
      </c>
      <c r="C98" s="1" t="n">
        <v>45926</v>
      </c>
      <c r="D98" t="inlineStr">
        <is>
          <t>KALMAR LÄN</t>
        </is>
      </c>
      <c r="E98" t="inlineStr">
        <is>
          <t>BORGHOLM</t>
        </is>
      </c>
      <c r="G98" t="n">
        <v>1.7</v>
      </c>
      <c r="H98" t="n">
        <v>0</v>
      </c>
      <c r="I98" t="n">
        <v>0</v>
      </c>
      <c r="J98" t="n">
        <v>0</v>
      </c>
      <c r="K98" t="n">
        <v>0</v>
      </c>
      <c r="L98" t="n">
        <v>0</v>
      </c>
      <c r="M98" t="n">
        <v>0</v>
      </c>
      <c r="N98" t="n">
        <v>0</v>
      </c>
      <c r="O98" t="n">
        <v>0</v>
      </c>
      <c r="P98" t="n">
        <v>0</v>
      </c>
      <c r="Q98" t="n">
        <v>0</v>
      </c>
      <c r="R98" s="2" t="inlineStr"/>
    </row>
    <row r="99" ht="15" customHeight="1">
      <c r="A99" t="inlineStr">
        <is>
          <t>A 61438-2023</t>
        </is>
      </c>
      <c r="B99" s="1" t="n">
        <v>45264</v>
      </c>
      <c r="C99" s="1" t="n">
        <v>45926</v>
      </c>
      <c r="D99" t="inlineStr">
        <is>
          <t>KALMAR LÄN</t>
        </is>
      </c>
      <c r="E99" t="inlineStr">
        <is>
          <t>BORGHOLM</t>
        </is>
      </c>
      <c r="G99" t="n">
        <v>1.1</v>
      </c>
      <c r="H99" t="n">
        <v>0</v>
      </c>
      <c r="I99" t="n">
        <v>0</v>
      </c>
      <c r="J99" t="n">
        <v>0</v>
      </c>
      <c r="K99" t="n">
        <v>0</v>
      </c>
      <c r="L99" t="n">
        <v>0</v>
      </c>
      <c r="M99" t="n">
        <v>0</v>
      </c>
      <c r="N99" t="n">
        <v>0</v>
      </c>
      <c r="O99" t="n">
        <v>0</v>
      </c>
      <c r="P99" t="n">
        <v>0</v>
      </c>
      <c r="Q99" t="n">
        <v>0</v>
      </c>
      <c r="R99" s="2" t="inlineStr"/>
    </row>
    <row r="100" ht="15" customHeight="1">
      <c r="A100" t="inlineStr">
        <is>
          <t>A 13041-2024</t>
        </is>
      </c>
      <c r="B100" s="1" t="n">
        <v>45385.60065972222</v>
      </c>
      <c r="C100" s="1" t="n">
        <v>45926</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28782-2025</t>
        </is>
      </c>
      <c r="B101" s="1" t="n">
        <v>45820.45572916666</v>
      </c>
      <c r="C101" s="1" t="n">
        <v>45926</v>
      </c>
      <c r="D101" t="inlineStr">
        <is>
          <t>KALMAR LÄN</t>
        </is>
      </c>
      <c r="E101" t="inlineStr">
        <is>
          <t>BORGHOLM</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53050-2021</t>
        </is>
      </c>
      <c r="B102" s="1" t="n">
        <v>44467</v>
      </c>
      <c r="C102" s="1" t="n">
        <v>45926</v>
      </c>
      <c r="D102" t="inlineStr">
        <is>
          <t>KALMAR LÄN</t>
        </is>
      </c>
      <c r="E102" t="inlineStr">
        <is>
          <t>BORGHOLM</t>
        </is>
      </c>
      <c r="G102" t="n">
        <v>3.6</v>
      </c>
      <c r="H102" t="n">
        <v>0</v>
      </c>
      <c r="I102" t="n">
        <v>0</v>
      </c>
      <c r="J102" t="n">
        <v>0</v>
      </c>
      <c r="K102" t="n">
        <v>0</v>
      </c>
      <c r="L102" t="n">
        <v>0</v>
      </c>
      <c r="M102" t="n">
        <v>0</v>
      </c>
      <c r="N102" t="n">
        <v>0</v>
      </c>
      <c r="O102" t="n">
        <v>0</v>
      </c>
      <c r="P102" t="n">
        <v>0</v>
      </c>
      <c r="Q102" t="n">
        <v>0</v>
      </c>
      <c r="R102" s="2" t="inlineStr"/>
    </row>
    <row r="103" ht="15" customHeight="1">
      <c r="A103" t="inlineStr">
        <is>
          <t>A 4165-2023</t>
        </is>
      </c>
      <c r="B103" s="1" t="n">
        <v>44953</v>
      </c>
      <c r="C103" s="1" t="n">
        <v>45926</v>
      </c>
      <c r="D103" t="inlineStr">
        <is>
          <t>KALMAR LÄN</t>
        </is>
      </c>
      <c r="E103" t="inlineStr">
        <is>
          <t>BORGHOLM</t>
        </is>
      </c>
      <c r="G103" t="n">
        <v>0.6</v>
      </c>
      <c r="H103" t="n">
        <v>0</v>
      </c>
      <c r="I103" t="n">
        <v>0</v>
      </c>
      <c r="J103" t="n">
        <v>0</v>
      </c>
      <c r="K103" t="n">
        <v>0</v>
      </c>
      <c r="L103" t="n">
        <v>0</v>
      </c>
      <c r="M103" t="n">
        <v>0</v>
      </c>
      <c r="N103" t="n">
        <v>0</v>
      </c>
      <c r="O103" t="n">
        <v>0</v>
      </c>
      <c r="P103" t="n">
        <v>0</v>
      </c>
      <c r="Q103" t="n">
        <v>0</v>
      </c>
      <c r="R103" s="2" t="inlineStr"/>
    </row>
    <row r="104" ht="15" customHeight="1">
      <c r="A104" t="inlineStr">
        <is>
          <t>A 50129-2021</t>
        </is>
      </c>
      <c r="B104" s="1" t="n">
        <v>44456</v>
      </c>
      <c r="C104" s="1" t="n">
        <v>45926</v>
      </c>
      <c r="D104" t="inlineStr">
        <is>
          <t>KALMAR LÄN</t>
        </is>
      </c>
      <c r="E104" t="inlineStr">
        <is>
          <t>BORGHOLM</t>
        </is>
      </c>
      <c r="G104" t="n">
        <v>1.6</v>
      </c>
      <c r="H104" t="n">
        <v>0</v>
      </c>
      <c r="I104" t="n">
        <v>0</v>
      </c>
      <c r="J104" t="n">
        <v>0</v>
      </c>
      <c r="K104" t="n">
        <v>0</v>
      </c>
      <c r="L104" t="n">
        <v>0</v>
      </c>
      <c r="M104" t="n">
        <v>0</v>
      </c>
      <c r="N104" t="n">
        <v>0</v>
      </c>
      <c r="O104" t="n">
        <v>0</v>
      </c>
      <c r="P104" t="n">
        <v>0</v>
      </c>
      <c r="Q104" t="n">
        <v>0</v>
      </c>
      <c r="R104" s="2" t="inlineStr"/>
    </row>
    <row r="105" ht="15" customHeight="1">
      <c r="A105" t="inlineStr">
        <is>
          <t>A 65144-2020</t>
        </is>
      </c>
      <c r="B105" s="1" t="n">
        <v>44172</v>
      </c>
      <c r="C105" s="1" t="n">
        <v>45926</v>
      </c>
      <c r="D105" t="inlineStr">
        <is>
          <t>KALMAR LÄN</t>
        </is>
      </c>
      <c r="E105" t="inlineStr">
        <is>
          <t>BORGHOLM</t>
        </is>
      </c>
      <c r="G105" t="n">
        <v>1.7</v>
      </c>
      <c r="H105" t="n">
        <v>0</v>
      </c>
      <c r="I105" t="n">
        <v>0</v>
      </c>
      <c r="J105" t="n">
        <v>0</v>
      </c>
      <c r="K105" t="n">
        <v>0</v>
      </c>
      <c r="L105" t="n">
        <v>0</v>
      </c>
      <c r="M105" t="n">
        <v>0</v>
      </c>
      <c r="N105" t="n">
        <v>0</v>
      </c>
      <c r="O105" t="n">
        <v>0</v>
      </c>
      <c r="P105" t="n">
        <v>0</v>
      </c>
      <c r="Q105" t="n">
        <v>0</v>
      </c>
      <c r="R105" s="2" t="inlineStr"/>
    </row>
    <row r="106" ht="15" customHeight="1">
      <c r="A106" t="inlineStr">
        <is>
          <t>A 4159-2024</t>
        </is>
      </c>
      <c r="B106" s="1" t="n">
        <v>45323</v>
      </c>
      <c r="C106" s="1" t="n">
        <v>45926</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32921-2023</t>
        </is>
      </c>
      <c r="B107" s="1" t="n">
        <v>45125</v>
      </c>
      <c r="C107" s="1" t="n">
        <v>45926</v>
      </c>
      <c r="D107" t="inlineStr">
        <is>
          <t>KALMAR LÄN</t>
        </is>
      </c>
      <c r="E107" t="inlineStr">
        <is>
          <t>BORGHOLM</t>
        </is>
      </c>
      <c r="G107" t="n">
        <v>2.9</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45926</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63276-2023</t>
        </is>
      </c>
      <c r="B109" s="1" t="n">
        <v>45273.82195601852</v>
      </c>
      <c r="C109" s="1" t="n">
        <v>45926</v>
      </c>
      <c r="D109" t="inlineStr">
        <is>
          <t>KALMAR LÄN</t>
        </is>
      </c>
      <c r="E109" t="inlineStr">
        <is>
          <t>BORGHOLM</t>
        </is>
      </c>
      <c r="G109" t="n">
        <v>5</v>
      </c>
      <c r="H109" t="n">
        <v>0</v>
      </c>
      <c r="I109" t="n">
        <v>0</v>
      </c>
      <c r="J109" t="n">
        <v>0</v>
      </c>
      <c r="K109" t="n">
        <v>0</v>
      </c>
      <c r="L109" t="n">
        <v>0</v>
      </c>
      <c r="M109" t="n">
        <v>0</v>
      </c>
      <c r="N109" t="n">
        <v>0</v>
      </c>
      <c r="O109" t="n">
        <v>0</v>
      </c>
      <c r="P109" t="n">
        <v>0</v>
      </c>
      <c r="Q109" t="n">
        <v>0</v>
      </c>
      <c r="R109" s="2" t="inlineStr"/>
    </row>
    <row r="110" ht="15" customHeight="1">
      <c r="A110" t="inlineStr">
        <is>
          <t>A 1614-2025</t>
        </is>
      </c>
      <c r="B110" s="1" t="n">
        <v>45670.60094907408</v>
      </c>
      <c r="C110" s="1" t="n">
        <v>45926</v>
      </c>
      <c r="D110" t="inlineStr">
        <is>
          <t>KALMAR LÄN</t>
        </is>
      </c>
      <c r="E110" t="inlineStr">
        <is>
          <t>BORGHOLM</t>
        </is>
      </c>
      <c r="G110" t="n">
        <v>1.4</v>
      </c>
      <c r="H110" t="n">
        <v>0</v>
      </c>
      <c r="I110" t="n">
        <v>0</v>
      </c>
      <c r="J110" t="n">
        <v>0</v>
      </c>
      <c r="K110" t="n">
        <v>0</v>
      </c>
      <c r="L110" t="n">
        <v>0</v>
      </c>
      <c r="M110" t="n">
        <v>0</v>
      </c>
      <c r="N110" t="n">
        <v>0</v>
      </c>
      <c r="O110" t="n">
        <v>0</v>
      </c>
      <c r="P110" t="n">
        <v>0</v>
      </c>
      <c r="Q110" t="n">
        <v>0</v>
      </c>
      <c r="R110" s="2" t="inlineStr"/>
    </row>
    <row r="111" ht="15" customHeight="1">
      <c r="A111" t="inlineStr">
        <is>
          <t>A 13043-2024</t>
        </is>
      </c>
      <c r="B111" s="1" t="n">
        <v>45385.60111111111</v>
      </c>
      <c r="C111" s="1" t="n">
        <v>45926</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45926</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9076-2025</t>
        </is>
      </c>
      <c r="B113" s="1" t="n">
        <v>45713.6596875</v>
      </c>
      <c r="C113" s="1" t="n">
        <v>45926</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1757-2025</t>
        </is>
      </c>
      <c r="B114" s="1" t="n">
        <v>45671.42195601852</v>
      </c>
      <c r="C114" s="1" t="n">
        <v>45926</v>
      </c>
      <c r="D114" t="inlineStr">
        <is>
          <t>KALMAR LÄN</t>
        </is>
      </c>
      <c r="E114" t="inlineStr">
        <is>
          <t>BORGHOLM</t>
        </is>
      </c>
      <c r="G114" t="n">
        <v>1.4</v>
      </c>
      <c r="H114" t="n">
        <v>0</v>
      </c>
      <c r="I114" t="n">
        <v>0</v>
      </c>
      <c r="J114" t="n">
        <v>0</v>
      </c>
      <c r="K114" t="n">
        <v>0</v>
      </c>
      <c r="L114" t="n">
        <v>0</v>
      </c>
      <c r="M114" t="n">
        <v>0</v>
      </c>
      <c r="N114" t="n">
        <v>0</v>
      </c>
      <c r="O114" t="n">
        <v>0</v>
      </c>
      <c r="P114" t="n">
        <v>0</v>
      </c>
      <c r="Q114" t="n">
        <v>0</v>
      </c>
      <c r="R114" s="2" t="inlineStr"/>
    </row>
    <row r="115" ht="15" customHeight="1">
      <c r="A115" t="inlineStr">
        <is>
          <t>A 7960-2023</t>
        </is>
      </c>
      <c r="B115" s="1" t="n">
        <v>44973</v>
      </c>
      <c r="C115" s="1" t="n">
        <v>45926</v>
      </c>
      <c r="D115" t="inlineStr">
        <is>
          <t>KALMAR LÄN</t>
        </is>
      </c>
      <c r="E115" t="inlineStr">
        <is>
          <t>BORGHOLM</t>
        </is>
      </c>
      <c r="G115" t="n">
        <v>2.1</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45926</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29656-2023</t>
        </is>
      </c>
      <c r="B117" s="1" t="n">
        <v>45107</v>
      </c>
      <c r="C117" s="1" t="n">
        <v>45926</v>
      </c>
      <c r="D117" t="inlineStr">
        <is>
          <t>KALMAR LÄN</t>
        </is>
      </c>
      <c r="E117" t="inlineStr">
        <is>
          <t>BORGHOLM</t>
        </is>
      </c>
      <c r="G117" t="n">
        <v>4.1</v>
      </c>
      <c r="H117" t="n">
        <v>0</v>
      </c>
      <c r="I117" t="n">
        <v>0</v>
      </c>
      <c r="J117" t="n">
        <v>0</v>
      </c>
      <c r="K117" t="n">
        <v>0</v>
      </c>
      <c r="L117" t="n">
        <v>0</v>
      </c>
      <c r="M117" t="n">
        <v>0</v>
      </c>
      <c r="N117" t="n">
        <v>0</v>
      </c>
      <c r="O117" t="n">
        <v>0</v>
      </c>
      <c r="P117" t="n">
        <v>0</v>
      </c>
      <c r="Q117" t="n">
        <v>0</v>
      </c>
      <c r="R117" s="2" t="inlineStr"/>
    </row>
    <row r="118" ht="15" customHeight="1">
      <c r="A118" t="inlineStr">
        <is>
          <t>A 20878-2024</t>
        </is>
      </c>
      <c r="B118" s="1" t="n">
        <v>45439.44748842593</v>
      </c>
      <c r="C118" s="1" t="n">
        <v>45926</v>
      </c>
      <c r="D118" t="inlineStr">
        <is>
          <t>KALMAR LÄN</t>
        </is>
      </c>
      <c r="E118" t="inlineStr">
        <is>
          <t>BORGHOLM</t>
        </is>
      </c>
      <c r="G118" t="n">
        <v>1.9</v>
      </c>
      <c r="H118" t="n">
        <v>0</v>
      </c>
      <c r="I118" t="n">
        <v>0</v>
      </c>
      <c r="J118" t="n">
        <v>0</v>
      </c>
      <c r="K118" t="n">
        <v>0</v>
      </c>
      <c r="L118" t="n">
        <v>0</v>
      </c>
      <c r="M118" t="n">
        <v>0</v>
      </c>
      <c r="N118" t="n">
        <v>0</v>
      </c>
      <c r="O118" t="n">
        <v>0</v>
      </c>
      <c r="P118" t="n">
        <v>0</v>
      </c>
      <c r="Q118" t="n">
        <v>0</v>
      </c>
      <c r="R118" s="2" t="inlineStr"/>
    </row>
    <row r="119" ht="15" customHeight="1">
      <c r="A119" t="inlineStr">
        <is>
          <t>A 17699-2025</t>
        </is>
      </c>
      <c r="B119" s="1" t="n">
        <v>45758.41846064815</v>
      </c>
      <c r="C119" s="1" t="n">
        <v>45926</v>
      </c>
      <c r="D119" t="inlineStr">
        <is>
          <t>KALMAR LÄN</t>
        </is>
      </c>
      <c r="E119" t="inlineStr">
        <is>
          <t>BORGHOLM</t>
        </is>
      </c>
      <c r="G119" t="n">
        <v>0.7</v>
      </c>
      <c r="H119" t="n">
        <v>0</v>
      </c>
      <c r="I119" t="n">
        <v>0</v>
      </c>
      <c r="J119" t="n">
        <v>0</v>
      </c>
      <c r="K119" t="n">
        <v>0</v>
      </c>
      <c r="L119" t="n">
        <v>0</v>
      </c>
      <c r="M119" t="n">
        <v>0</v>
      </c>
      <c r="N119" t="n">
        <v>0</v>
      </c>
      <c r="O119" t="n">
        <v>0</v>
      </c>
      <c r="P119" t="n">
        <v>0</v>
      </c>
      <c r="Q119" t="n">
        <v>0</v>
      </c>
      <c r="R119" s="2" t="inlineStr"/>
    </row>
    <row r="120" ht="15" customHeight="1">
      <c r="A120" t="inlineStr">
        <is>
          <t>A 41831-2025</t>
        </is>
      </c>
      <c r="B120" s="1" t="n">
        <v>45902.67887731481</v>
      </c>
      <c r="C120" s="1" t="n">
        <v>45926</v>
      </c>
      <c r="D120" t="inlineStr">
        <is>
          <t>KALMAR LÄN</t>
        </is>
      </c>
      <c r="E120" t="inlineStr">
        <is>
          <t>BORGHOLM</t>
        </is>
      </c>
      <c r="G120" t="n">
        <v>1.5</v>
      </c>
      <c r="H120" t="n">
        <v>0</v>
      </c>
      <c r="I120" t="n">
        <v>0</v>
      </c>
      <c r="J120" t="n">
        <v>0</v>
      </c>
      <c r="K120" t="n">
        <v>0</v>
      </c>
      <c r="L120" t="n">
        <v>0</v>
      </c>
      <c r="M120" t="n">
        <v>0</v>
      </c>
      <c r="N120" t="n">
        <v>0</v>
      </c>
      <c r="O120" t="n">
        <v>0</v>
      </c>
      <c r="P120" t="n">
        <v>0</v>
      </c>
      <c r="Q120" t="n">
        <v>0</v>
      </c>
      <c r="R120" s="2" t="inlineStr"/>
    </row>
    <row r="121" ht="15" customHeight="1">
      <c r="A121" t="inlineStr">
        <is>
          <t>A 20287-2025</t>
        </is>
      </c>
      <c r="B121" s="1" t="n">
        <v>45774.60741898148</v>
      </c>
      <c r="C121" s="1" t="n">
        <v>45926</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41950-2025</t>
        </is>
      </c>
      <c r="B122" s="1" t="n">
        <v>45903.45767361111</v>
      </c>
      <c r="C122" s="1" t="n">
        <v>45926</v>
      </c>
      <c r="D122" t="inlineStr">
        <is>
          <t>KALMAR LÄN</t>
        </is>
      </c>
      <c r="E122" t="inlineStr">
        <is>
          <t>BORGHOLM</t>
        </is>
      </c>
      <c r="G122" t="n">
        <v>1.8</v>
      </c>
      <c r="H122" t="n">
        <v>0</v>
      </c>
      <c r="I122" t="n">
        <v>0</v>
      </c>
      <c r="J122" t="n">
        <v>0</v>
      </c>
      <c r="K122" t="n">
        <v>0</v>
      </c>
      <c r="L122" t="n">
        <v>0</v>
      </c>
      <c r="M122" t="n">
        <v>0</v>
      </c>
      <c r="N122" t="n">
        <v>0</v>
      </c>
      <c r="O122" t="n">
        <v>0</v>
      </c>
      <c r="P122" t="n">
        <v>0</v>
      </c>
      <c r="Q122" t="n">
        <v>0</v>
      </c>
      <c r="R122" s="2" t="inlineStr"/>
    </row>
    <row r="123" ht="15" customHeight="1">
      <c r="A123" t="inlineStr">
        <is>
          <t>A 42232-2025</t>
        </is>
      </c>
      <c r="B123" s="1" t="n">
        <v>45904.55591435185</v>
      </c>
      <c r="C123" s="1" t="n">
        <v>45926</v>
      </c>
      <c r="D123" t="inlineStr">
        <is>
          <t>KALMAR LÄN</t>
        </is>
      </c>
      <c r="E123" t="inlineStr">
        <is>
          <t>BORGHOLM</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26160-2024</t>
        </is>
      </c>
      <c r="B124" s="1" t="n">
        <v>45468</v>
      </c>
      <c r="C124" s="1" t="n">
        <v>45926</v>
      </c>
      <c r="D124" t="inlineStr">
        <is>
          <t>KALMAR LÄN</t>
        </is>
      </c>
      <c r="E124" t="inlineStr">
        <is>
          <t>BORGHOLM</t>
        </is>
      </c>
      <c r="G124" t="n">
        <v>0.4</v>
      </c>
      <c r="H124" t="n">
        <v>0</v>
      </c>
      <c r="I124" t="n">
        <v>0</v>
      </c>
      <c r="J124" t="n">
        <v>0</v>
      </c>
      <c r="K124" t="n">
        <v>0</v>
      </c>
      <c r="L124" t="n">
        <v>0</v>
      </c>
      <c r="M124" t="n">
        <v>0</v>
      </c>
      <c r="N124" t="n">
        <v>0</v>
      </c>
      <c r="O124" t="n">
        <v>0</v>
      </c>
      <c r="P124" t="n">
        <v>0</v>
      </c>
      <c r="Q124" t="n">
        <v>0</v>
      </c>
      <c r="R124" s="2" t="inlineStr"/>
      <c r="T124">
        <f>HYPERLINK("https://klasma.github.io/Logging_0885/kartor/A 26160-2024 karta.png", "A 26160-2024")</f>
        <v/>
      </c>
      <c r="V124">
        <f>HYPERLINK("https://klasma.github.io/Logging_0885/klagomål/A 26160-2024 FSC-klagomål.docx", "A 26160-2024")</f>
        <v/>
      </c>
      <c r="W124">
        <f>HYPERLINK("https://klasma.github.io/Logging_0885/klagomålsmail/A 26160-2024 FSC-klagomål mail.docx", "A 26160-2024")</f>
        <v/>
      </c>
      <c r="X124">
        <f>HYPERLINK("https://klasma.github.io/Logging_0885/tillsyn/A 26160-2024 tillsynsbegäran.docx", "A 26160-2024")</f>
        <v/>
      </c>
      <c r="Y124">
        <f>HYPERLINK("https://klasma.github.io/Logging_0885/tillsynsmail/A 26160-2024 tillsynsbegäran mail.docx", "A 26160-2024")</f>
        <v/>
      </c>
    </row>
    <row r="125" ht="15" customHeight="1">
      <c r="A125" t="inlineStr">
        <is>
          <t>A 9050-2025</t>
        </is>
      </c>
      <c r="B125" s="1" t="n">
        <v>45713.63512731482</v>
      </c>
      <c r="C125" s="1" t="n">
        <v>45926</v>
      </c>
      <c r="D125" t="inlineStr">
        <is>
          <t>KALMAR LÄN</t>
        </is>
      </c>
      <c r="E125" t="inlineStr">
        <is>
          <t>BORGHOLM</t>
        </is>
      </c>
      <c r="F125" t="inlineStr">
        <is>
          <t>Sveaskog</t>
        </is>
      </c>
      <c r="G125" t="n">
        <v>2.5</v>
      </c>
      <c r="H125" t="n">
        <v>0</v>
      </c>
      <c r="I125" t="n">
        <v>0</v>
      </c>
      <c r="J125" t="n">
        <v>0</v>
      </c>
      <c r="K125" t="n">
        <v>0</v>
      </c>
      <c r="L125" t="n">
        <v>0</v>
      </c>
      <c r="M125" t="n">
        <v>0</v>
      </c>
      <c r="N125" t="n">
        <v>0</v>
      </c>
      <c r="O125" t="n">
        <v>0</v>
      </c>
      <c r="P125" t="n">
        <v>0</v>
      </c>
      <c r="Q125" t="n">
        <v>0</v>
      </c>
      <c r="R125" s="2" t="inlineStr"/>
    </row>
    <row r="126" ht="15" customHeight="1">
      <c r="A126" t="inlineStr">
        <is>
          <t>A 36269-2025</t>
        </is>
      </c>
      <c r="B126" s="1" t="n">
        <v>45867.61736111111</v>
      </c>
      <c r="C126" s="1" t="n">
        <v>45926</v>
      </c>
      <c r="D126" t="inlineStr">
        <is>
          <t>KALMAR LÄN</t>
        </is>
      </c>
      <c r="E126" t="inlineStr">
        <is>
          <t>BORGHOLM</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43542-2025</t>
        </is>
      </c>
      <c r="B127" s="1" t="n">
        <v>45911.61123842592</v>
      </c>
      <c r="C127" s="1" t="n">
        <v>45926</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9028-2025</t>
        </is>
      </c>
      <c r="B128" s="1" t="n">
        <v>45713</v>
      </c>
      <c r="C128" s="1" t="n">
        <v>45926</v>
      </c>
      <c r="D128" t="inlineStr">
        <is>
          <t>KALMAR LÄN</t>
        </is>
      </c>
      <c r="E128" t="inlineStr">
        <is>
          <t>BORGHOLM</t>
        </is>
      </c>
      <c r="F128" t="inlineStr">
        <is>
          <t>Sveaskog</t>
        </is>
      </c>
      <c r="G128" t="n">
        <v>3</v>
      </c>
      <c r="H128" t="n">
        <v>0</v>
      </c>
      <c r="I128" t="n">
        <v>0</v>
      </c>
      <c r="J128" t="n">
        <v>0</v>
      </c>
      <c r="K128" t="n">
        <v>0</v>
      </c>
      <c r="L128" t="n">
        <v>0</v>
      </c>
      <c r="M128" t="n">
        <v>0</v>
      </c>
      <c r="N128" t="n">
        <v>0</v>
      </c>
      <c r="O128" t="n">
        <v>0</v>
      </c>
      <c r="P128" t="n">
        <v>0</v>
      </c>
      <c r="Q128" t="n">
        <v>0</v>
      </c>
      <c r="R128" s="2" t="inlineStr"/>
    </row>
    <row r="129" ht="15" customHeight="1">
      <c r="A129" t="inlineStr">
        <is>
          <t>A 7669-2024</t>
        </is>
      </c>
      <c r="B129" s="1" t="n">
        <v>45348.82498842593</v>
      </c>
      <c r="C129" s="1" t="n">
        <v>45926</v>
      </c>
      <c r="D129" t="inlineStr">
        <is>
          <t>KALMAR LÄN</t>
        </is>
      </c>
      <c r="E129" t="inlineStr">
        <is>
          <t>BORGHOLM</t>
        </is>
      </c>
      <c r="G129" t="n">
        <v>2.3</v>
      </c>
      <c r="H129" t="n">
        <v>0</v>
      </c>
      <c r="I129" t="n">
        <v>0</v>
      </c>
      <c r="J129" t="n">
        <v>0</v>
      </c>
      <c r="K129" t="n">
        <v>0</v>
      </c>
      <c r="L129" t="n">
        <v>0</v>
      </c>
      <c r="M129" t="n">
        <v>0</v>
      </c>
      <c r="N129" t="n">
        <v>0</v>
      </c>
      <c r="O129" t="n">
        <v>0</v>
      </c>
      <c r="P129" t="n">
        <v>0</v>
      </c>
      <c r="Q129" t="n">
        <v>0</v>
      </c>
      <c r="R129" s="2" t="inlineStr"/>
    </row>
    <row r="130" ht="15" customHeight="1">
      <c r="A130" t="inlineStr">
        <is>
          <t>A 44224-2025</t>
        </is>
      </c>
      <c r="B130" s="1" t="n">
        <v>45915</v>
      </c>
      <c r="C130" s="1" t="n">
        <v>45926</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45926</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45734-2025</t>
        </is>
      </c>
      <c r="B132" s="1" t="n">
        <v>45923.46512731481</v>
      </c>
      <c r="C132" s="1" t="n">
        <v>45926</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c r="A133" t="inlineStr">
        <is>
          <t>A 45869-2025</t>
        </is>
      </c>
      <c r="B133" s="1" t="n">
        <v>45923.65313657407</v>
      </c>
      <c r="C133" s="1" t="n">
        <v>45926</v>
      </c>
      <c r="D133" t="inlineStr">
        <is>
          <t>KALMAR LÄN</t>
        </is>
      </c>
      <c r="E133" t="inlineStr">
        <is>
          <t>BORGHOLM</t>
        </is>
      </c>
      <c r="G133" t="n">
        <v>4.5</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2025-09-26T11:57:48Z</dcterms:created>
  <dcterms:modified xmlns:dcterms="http://purl.org/dc/terms/" xmlns:xsi="http://www.w3.org/2001/XMLSchema-instance" xsi:type="dcterms:W3CDTF">2025-09-26T11:57:48Z</dcterms:modified>
</cp:coreProperties>
</file>