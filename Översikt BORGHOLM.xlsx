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46084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46084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46084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46084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46084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46084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46084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46084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46084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46084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46084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46084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46084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46084</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46084</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46084</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46084</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46084</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32174-2022</t>
        </is>
      </c>
      <c r="B20" s="1" t="n">
        <v>44781</v>
      </c>
      <c r="C20" s="1" t="n">
        <v>46084</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43756-2022</t>
        </is>
      </c>
      <c r="B21" s="1" t="n">
        <v>44837</v>
      </c>
      <c r="C21" s="1" t="n">
        <v>46084</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28779-2025</t>
        </is>
      </c>
      <c r="B22" s="1" t="n">
        <v>45820.44920138889</v>
      </c>
      <c r="C22" s="1" t="n">
        <v>46084</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13556-2025</t>
        </is>
      </c>
      <c r="B23" s="1" t="n">
        <v>45736.54759259259</v>
      </c>
      <c r="C23" s="1" t="n">
        <v>46084</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9253-2026</t>
        </is>
      </c>
      <c r="B24" s="1" t="n">
        <v>46070.51003472223</v>
      </c>
      <c r="C24" s="1" t="n">
        <v>46084</v>
      </c>
      <c r="D24" t="inlineStr">
        <is>
          <t>KALMAR LÄN</t>
        </is>
      </c>
      <c r="E24" t="inlineStr">
        <is>
          <t>BORGHOLM</t>
        </is>
      </c>
      <c r="G24" t="n">
        <v>1.1</v>
      </c>
      <c r="H24" t="n">
        <v>1</v>
      </c>
      <c r="I24" t="n">
        <v>1</v>
      </c>
      <c r="J24" t="n">
        <v>0</v>
      </c>
      <c r="K24" t="n">
        <v>0</v>
      </c>
      <c r="L24" t="n">
        <v>0</v>
      </c>
      <c r="M24" t="n">
        <v>0</v>
      </c>
      <c r="N24" t="n">
        <v>0</v>
      </c>
      <c r="O24" t="n">
        <v>0</v>
      </c>
      <c r="P24" t="n">
        <v>0</v>
      </c>
      <c r="Q24" t="n">
        <v>2</v>
      </c>
      <c r="R24" s="2" t="inlineStr">
        <is>
          <t>Murgröna
Gullviva</t>
        </is>
      </c>
      <c r="S24">
        <f>HYPERLINK("https://klasma.github.io/Logging_0885/artfynd/A 9253-2026 artfynd.xlsx", "A 9253-2026")</f>
        <v/>
      </c>
      <c r="T24">
        <f>HYPERLINK("https://klasma.github.io/Logging_0885/kartor/A 9253-2026 karta.png", "A 9253-2026")</f>
        <v/>
      </c>
      <c r="V24">
        <f>HYPERLINK("https://klasma.github.io/Logging_0885/klagomål/A 9253-2026 FSC-klagomål.docx", "A 9253-2026")</f>
        <v/>
      </c>
      <c r="W24">
        <f>HYPERLINK("https://klasma.github.io/Logging_0885/klagomålsmail/A 9253-2026 FSC-klagomål mail.docx", "A 9253-2026")</f>
        <v/>
      </c>
      <c r="X24">
        <f>HYPERLINK("https://klasma.github.io/Logging_0885/tillsyn/A 9253-2026 tillsynsbegäran.docx", "A 9253-2026")</f>
        <v/>
      </c>
      <c r="Y24">
        <f>HYPERLINK("https://klasma.github.io/Logging_0885/tillsynsmail/A 9253-2026 tillsynsbegäran mail.docx", "A 9253-2026")</f>
        <v/>
      </c>
    </row>
    <row r="25" ht="15" customHeight="1">
      <c r="A25" t="inlineStr">
        <is>
          <t>A 60140-2025</t>
        </is>
      </c>
      <c r="B25" s="1" t="n">
        <v>45994.36274305556</v>
      </c>
      <c r="C25" s="1" t="n">
        <v>46084</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4164-2023</t>
        </is>
      </c>
      <c r="B26" s="1" t="n">
        <v>44953</v>
      </c>
      <c r="C26" s="1" t="n">
        <v>46084</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44008-2022</t>
        </is>
      </c>
      <c r="B27" s="1" t="n">
        <v>44838</v>
      </c>
      <c r="C27" s="1" t="n">
        <v>46084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34944-2022</t>
        </is>
      </c>
      <c r="B28" s="1" t="n">
        <v>44796</v>
      </c>
      <c r="C28" s="1" t="n">
        <v>46084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34944-2022 artfynd.xlsx", "A 34944-2022")</f>
        <v/>
      </c>
      <c r="T28">
        <f>HYPERLINK("https://klasma.github.io/Logging_0885/kartor/A 34944-2022 karta.png", "A 34944-2022")</f>
        <v/>
      </c>
      <c r="V28">
        <f>HYPERLINK("https://klasma.github.io/Logging_0885/klagomål/A 34944-2022 FSC-klagomål.docx", "A 34944-2022")</f>
        <v/>
      </c>
      <c r="W28">
        <f>HYPERLINK("https://klasma.github.io/Logging_0885/klagomålsmail/A 34944-2022 FSC-klagomål mail.docx", "A 34944-2022")</f>
        <v/>
      </c>
      <c r="X28">
        <f>HYPERLINK("https://klasma.github.io/Logging_0885/tillsyn/A 34944-2022 tillsynsbegäran.docx", "A 34944-2022")</f>
        <v/>
      </c>
      <c r="Y28">
        <f>HYPERLINK("https://klasma.github.io/Logging_0885/tillsynsmail/A 34944-2022 tillsynsbegäran mail.docx", "A 34944-2022")</f>
        <v/>
      </c>
      <c r="Z28">
        <f>HYPERLINK("https://klasma.github.io/Logging_0885/fåglar/A 34944-2022 prioriterade fågelarter.docx", "A 34944-2022")</f>
        <v/>
      </c>
    </row>
    <row r="29" ht="15" customHeight="1">
      <c r="A29" t="inlineStr">
        <is>
          <t>A 31790-2021</t>
        </is>
      </c>
      <c r="B29" s="1" t="n">
        <v>44370</v>
      </c>
      <c r="C29" s="1" t="n">
        <v>46084</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46084</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43603-2024</t>
        </is>
      </c>
      <c r="B31" s="1" t="n">
        <v>45569.44700231482</v>
      </c>
      <c r="C31" s="1" t="n">
        <v>46084</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24701-2023</t>
        </is>
      </c>
      <c r="B32" s="1" t="n">
        <v>45084</v>
      </c>
      <c r="C32" s="1" t="n">
        <v>46084</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14789-2021</t>
        </is>
      </c>
      <c r="B33" s="1" t="n">
        <v>44280</v>
      </c>
      <c r="C33" s="1" t="n">
        <v>46084</v>
      </c>
      <c r="D33" t="inlineStr">
        <is>
          <t>KALMAR LÄN</t>
        </is>
      </c>
      <c r="E33" t="inlineStr">
        <is>
          <t>BORGHOLM</t>
        </is>
      </c>
      <c r="G33" t="n">
        <v>1</v>
      </c>
      <c r="H33" t="n">
        <v>1</v>
      </c>
      <c r="I33" t="n">
        <v>1</v>
      </c>
      <c r="J33" t="n">
        <v>0</v>
      </c>
      <c r="K33" t="n">
        <v>0</v>
      </c>
      <c r="L33" t="n">
        <v>0</v>
      </c>
      <c r="M33" t="n">
        <v>0</v>
      </c>
      <c r="N33" t="n">
        <v>0</v>
      </c>
      <c r="O33" t="n">
        <v>0</v>
      </c>
      <c r="P33" t="n">
        <v>0</v>
      </c>
      <c r="Q33" t="n">
        <v>1</v>
      </c>
      <c r="R33" s="2" t="inlineStr">
        <is>
          <t>Skogsknipprot</t>
        </is>
      </c>
      <c r="S33">
        <f>HYPERLINK("https://klasma.github.io/Logging_0885/artfynd/A 14789-2021 artfynd.xlsx", "A 14789-2021")</f>
        <v/>
      </c>
      <c r="T33">
        <f>HYPERLINK("https://klasma.github.io/Logging_0885/kartor/A 14789-2021 karta.png", "A 14789-2021")</f>
        <v/>
      </c>
      <c r="V33">
        <f>HYPERLINK("https://klasma.github.io/Logging_0885/klagomål/A 14789-2021 FSC-klagomål.docx", "A 14789-2021")</f>
        <v/>
      </c>
      <c r="W33">
        <f>HYPERLINK("https://klasma.github.io/Logging_0885/klagomålsmail/A 14789-2021 FSC-klagomål mail.docx", "A 14789-2021")</f>
        <v/>
      </c>
      <c r="X33">
        <f>HYPERLINK("https://klasma.github.io/Logging_0885/tillsyn/A 14789-2021 tillsynsbegäran.docx", "A 14789-2021")</f>
        <v/>
      </c>
      <c r="Y33">
        <f>HYPERLINK("https://klasma.github.io/Logging_0885/tillsynsmail/A 14789-2021 tillsynsbegäran mail.docx", "A 14789-2021")</f>
        <v/>
      </c>
    </row>
    <row r="34" ht="15" customHeight="1">
      <c r="A34" t="inlineStr">
        <is>
          <t>A 24048-2025</t>
        </is>
      </c>
      <c r="B34" s="1" t="n">
        <v>45796.4959375</v>
      </c>
      <c r="C34" s="1" t="n">
        <v>46084</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46084</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13558-2025</t>
        </is>
      </c>
      <c r="B36" s="1" t="n">
        <v>45736.54974537037</v>
      </c>
      <c r="C36" s="1" t="n">
        <v>46084</v>
      </c>
      <c r="D36" t="inlineStr">
        <is>
          <t>KALMAR LÄN</t>
        </is>
      </c>
      <c r="E36" t="inlineStr">
        <is>
          <t>BORGHOLM</t>
        </is>
      </c>
      <c r="G36" t="n">
        <v>0.7</v>
      </c>
      <c r="H36" t="n">
        <v>0</v>
      </c>
      <c r="I36" t="n">
        <v>0</v>
      </c>
      <c r="J36" t="n">
        <v>1</v>
      </c>
      <c r="K36" t="n">
        <v>0</v>
      </c>
      <c r="L36" t="n">
        <v>0</v>
      </c>
      <c r="M36" t="n">
        <v>0</v>
      </c>
      <c r="N36" t="n">
        <v>0</v>
      </c>
      <c r="O36" t="n">
        <v>1</v>
      </c>
      <c r="P36" t="n">
        <v>0</v>
      </c>
      <c r="Q36" t="n">
        <v>1</v>
      </c>
      <c r="R36" s="2" t="inlineStr">
        <is>
          <t>Backruta</t>
        </is>
      </c>
      <c r="S36">
        <f>HYPERLINK("https://klasma.github.io/Logging_0885/artfynd/A 13558-2025 artfynd.xlsx", "A 13558-2025")</f>
        <v/>
      </c>
      <c r="T36">
        <f>HYPERLINK("https://klasma.github.io/Logging_0885/kartor/A 13558-2025 karta.png", "A 13558-2025")</f>
        <v/>
      </c>
      <c r="V36">
        <f>HYPERLINK("https://klasma.github.io/Logging_0885/klagomål/A 13558-2025 FSC-klagomål.docx", "A 13558-2025")</f>
        <v/>
      </c>
      <c r="W36">
        <f>HYPERLINK("https://klasma.github.io/Logging_0885/klagomålsmail/A 13558-2025 FSC-klagomål mail.docx", "A 13558-2025")</f>
        <v/>
      </c>
      <c r="X36">
        <f>HYPERLINK("https://klasma.github.io/Logging_0885/tillsyn/A 13558-2025 tillsynsbegäran.docx", "A 13558-2025")</f>
        <v/>
      </c>
      <c r="Y36">
        <f>HYPERLINK("https://klasma.github.io/Logging_0885/tillsynsmail/A 13558-2025 tillsynsbegäran mail.docx", "A 13558-2025")</f>
        <v/>
      </c>
    </row>
    <row r="37" ht="15" customHeight="1">
      <c r="A37" t="inlineStr">
        <is>
          <t>A 28785-2025</t>
        </is>
      </c>
      <c r="B37" s="1" t="n">
        <v>45820.46159722222</v>
      </c>
      <c r="C37" s="1" t="n">
        <v>46084</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46084</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34885-2025</t>
        </is>
      </c>
      <c r="B39" s="1" t="n">
        <v>45849.47128472223</v>
      </c>
      <c r="C39" s="1" t="n">
        <v>46084</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45693-2025</t>
        </is>
      </c>
      <c r="B40" s="1" t="n">
        <v>45923</v>
      </c>
      <c r="C40" s="1" t="n">
        <v>46084</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12785-2021</t>
        </is>
      </c>
      <c r="B41" s="1" t="n">
        <v>44270</v>
      </c>
      <c r="C41" s="1" t="n">
        <v>46084</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3302-2026</t>
        </is>
      </c>
      <c r="B42" s="1" t="n">
        <v>46041</v>
      </c>
      <c r="C42" s="1" t="n">
        <v>46084</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24704-2023</t>
        </is>
      </c>
      <c r="B43" s="1" t="n">
        <v>45084</v>
      </c>
      <c r="C43" s="1" t="n">
        <v>46084</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9745-2023</t>
        </is>
      </c>
      <c r="B44" s="1" t="n">
        <v>44984</v>
      </c>
      <c r="C44" s="1" t="n">
        <v>46084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12711-2021</t>
        </is>
      </c>
      <c r="B45" s="1" t="n">
        <v>44270</v>
      </c>
      <c r="C45" s="1" t="n">
        <v>46084</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46084</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46084</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46084</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46084</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46084</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46084</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46084</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46084</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46084</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46084</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32180-2022</t>
        </is>
      </c>
      <c r="B56" s="1" t="n">
        <v>44781</v>
      </c>
      <c r="C56" s="1" t="n">
        <v>46084</v>
      </c>
      <c r="D56" t="inlineStr">
        <is>
          <t>KALMAR LÄN</t>
        </is>
      </c>
      <c r="E56" t="inlineStr">
        <is>
          <t>BORGHOLM</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46084</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46084</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46084</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46084</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7669-2024</t>
        </is>
      </c>
      <c r="B61" s="1" t="n">
        <v>45348.82498842593</v>
      </c>
      <c r="C61" s="1" t="n">
        <v>46084</v>
      </c>
      <c r="D61" t="inlineStr">
        <is>
          <t>KALMAR LÄN</t>
        </is>
      </c>
      <c r="E61" t="inlineStr">
        <is>
          <t>BORGHOLM</t>
        </is>
      </c>
      <c r="G61" t="n">
        <v>2.3</v>
      </c>
      <c r="H61" t="n">
        <v>0</v>
      </c>
      <c r="I61" t="n">
        <v>0</v>
      </c>
      <c r="J61" t="n">
        <v>0</v>
      </c>
      <c r="K61" t="n">
        <v>0</v>
      </c>
      <c r="L61" t="n">
        <v>0</v>
      </c>
      <c r="M61" t="n">
        <v>0</v>
      </c>
      <c r="N61" t="n">
        <v>0</v>
      </c>
      <c r="O61" t="n">
        <v>0</v>
      </c>
      <c r="P61" t="n">
        <v>0</v>
      </c>
      <c r="Q61" t="n">
        <v>0</v>
      </c>
      <c r="R61" s="2" t="inlineStr"/>
    </row>
    <row r="62" ht="15" customHeight="1">
      <c r="A62" t="inlineStr">
        <is>
          <t>A 12937-2022</t>
        </is>
      </c>
      <c r="B62" s="1" t="n">
        <v>44642</v>
      </c>
      <c r="C62" s="1" t="n">
        <v>46084</v>
      </c>
      <c r="D62" t="inlineStr">
        <is>
          <t>KALMAR LÄN</t>
        </is>
      </c>
      <c r="E62" t="inlineStr">
        <is>
          <t>BORGHOLM</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17978-2021</t>
        </is>
      </c>
      <c r="B63" s="1" t="n">
        <v>44301</v>
      </c>
      <c r="C63" s="1" t="n">
        <v>46084</v>
      </c>
      <c r="D63" t="inlineStr">
        <is>
          <t>KALMAR LÄN</t>
        </is>
      </c>
      <c r="E63" t="inlineStr">
        <is>
          <t>BORGHOLM</t>
        </is>
      </c>
      <c r="G63" t="n">
        <v>6</v>
      </c>
      <c r="H63" t="n">
        <v>0</v>
      </c>
      <c r="I63" t="n">
        <v>0</v>
      </c>
      <c r="J63" t="n">
        <v>0</v>
      </c>
      <c r="K63" t="n">
        <v>0</v>
      </c>
      <c r="L63" t="n">
        <v>0</v>
      </c>
      <c r="M63" t="n">
        <v>0</v>
      </c>
      <c r="N63" t="n">
        <v>0</v>
      </c>
      <c r="O63" t="n">
        <v>0</v>
      </c>
      <c r="P63" t="n">
        <v>0</v>
      </c>
      <c r="Q63" t="n">
        <v>0</v>
      </c>
      <c r="R63" s="2" t="inlineStr"/>
    </row>
    <row r="64" ht="15" customHeight="1">
      <c r="A64" t="inlineStr">
        <is>
          <t>A 22785-2025</t>
        </is>
      </c>
      <c r="B64" s="1" t="n">
        <v>45789.64186342592</v>
      </c>
      <c r="C64" s="1" t="n">
        <v>46084</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9034-2025</t>
        </is>
      </c>
      <c r="B65" s="1" t="n">
        <v>45713</v>
      </c>
      <c r="C65" s="1" t="n">
        <v>46084</v>
      </c>
      <c r="D65" t="inlineStr">
        <is>
          <t>KALMAR LÄN</t>
        </is>
      </c>
      <c r="E65" t="inlineStr">
        <is>
          <t>BORGHOLM</t>
        </is>
      </c>
      <c r="F65" t="inlineStr">
        <is>
          <t>Sveaskog</t>
        </is>
      </c>
      <c r="G65" t="n">
        <v>6.8</v>
      </c>
      <c r="H65" t="n">
        <v>0</v>
      </c>
      <c r="I65" t="n">
        <v>0</v>
      </c>
      <c r="J65" t="n">
        <v>0</v>
      </c>
      <c r="K65" t="n">
        <v>0</v>
      </c>
      <c r="L65" t="n">
        <v>0</v>
      </c>
      <c r="M65" t="n">
        <v>0</v>
      </c>
      <c r="N65" t="n">
        <v>0</v>
      </c>
      <c r="O65" t="n">
        <v>0</v>
      </c>
      <c r="P65" t="n">
        <v>0</v>
      </c>
      <c r="Q65" t="n">
        <v>0</v>
      </c>
      <c r="R65" s="2" t="inlineStr"/>
    </row>
    <row r="66" ht="15" customHeight="1">
      <c r="A66" t="inlineStr">
        <is>
          <t>A 31840-2021</t>
        </is>
      </c>
      <c r="B66" s="1" t="n">
        <v>44370</v>
      </c>
      <c r="C66" s="1" t="n">
        <v>46084</v>
      </c>
      <c r="D66" t="inlineStr">
        <is>
          <t>KALMAR LÄN</t>
        </is>
      </c>
      <c r="E66" t="inlineStr">
        <is>
          <t>BORGHOLM</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12534-2022</t>
        </is>
      </c>
      <c r="B67" s="1" t="n">
        <v>44638</v>
      </c>
      <c r="C67" s="1" t="n">
        <v>46084</v>
      </c>
      <c r="D67" t="inlineStr">
        <is>
          <t>KALMAR LÄN</t>
        </is>
      </c>
      <c r="E67" t="inlineStr">
        <is>
          <t>BORGHOLM</t>
        </is>
      </c>
      <c r="G67" t="n">
        <v>8.6</v>
      </c>
      <c r="H67" t="n">
        <v>0</v>
      </c>
      <c r="I67" t="n">
        <v>0</v>
      </c>
      <c r="J67" t="n">
        <v>0</v>
      </c>
      <c r="K67" t="n">
        <v>0</v>
      </c>
      <c r="L67" t="n">
        <v>0</v>
      </c>
      <c r="M67" t="n">
        <v>0</v>
      </c>
      <c r="N67" t="n">
        <v>0</v>
      </c>
      <c r="O67" t="n">
        <v>0</v>
      </c>
      <c r="P67" t="n">
        <v>0</v>
      </c>
      <c r="Q67" t="n">
        <v>0</v>
      </c>
      <c r="R67" s="2" t="inlineStr"/>
    </row>
    <row r="68" ht="15" customHeight="1">
      <c r="A68" t="inlineStr">
        <is>
          <t>A 40339-2023</t>
        </is>
      </c>
      <c r="B68" s="1" t="n">
        <v>45169.62733796296</v>
      </c>
      <c r="C68" s="1" t="n">
        <v>46084</v>
      </c>
      <c r="D68" t="inlineStr">
        <is>
          <t>KALMAR LÄN</t>
        </is>
      </c>
      <c r="E68" t="inlineStr">
        <is>
          <t>BORGHOLM</t>
        </is>
      </c>
      <c r="G68" t="n">
        <v>3.8</v>
      </c>
      <c r="H68" t="n">
        <v>0</v>
      </c>
      <c r="I68" t="n">
        <v>0</v>
      </c>
      <c r="J68" t="n">
        <v>0</v>
      </c>
      <c r="K68" t="n">
        <v>0</v>
      </c>
      <c r="L68" t="n">
        <v>0</v>
      </c>
      <c r="M68" t="n">
        <v>0</v>
      </c>
      <c r="N68" t="n">
        <v>0</v>
      </c>
      <c r="O68" t="n">
        <v>0</v>
      </c>
      <c r="P68" t="n">
        <v>0</v>
      </c>
      <c r="Q68" t="n">
        <v>0</v>
      </c>
      <c r="R68" s="2" t="inlineStr"/>
    </row>
    <row r="69" ht="15" customHeight="1">
      <c r="A69" t="inlineStr">
        <is>
          <t>A 24166-2022</t>
        </is>
      </c>
      <c r="B69" s="1" t="n">
        <v>44725</v>
      </c>
      <c r="C69" s="1" t="n">
        <v>46084</v>
      </c>
      <c r="D69" t="inlineStr">
        <is>
          <t>KALMAR LÄN</t>
        </is>
      </c>
      <c r="E69" t="inlineStr">
        <is>
          <t>BORGHOLM</t>
        </is>
      </c>
      <c r="G69" t="n">
        <v>10.7</v>
      </c>
      <c r="H69" t="n">
        <v>0</v>
      </c>
      <c r="I69" t="n">
        <v>0</v>
      </c>
      <c r="J69" t="n">
        <v>0</v>
      </c>
      <c r="K69" t="n">
        <v>0</v>
      </c>
      <c r="L69" t="n">
        <v>0</v>
      </c>
      <c r="M69" t="n">
        <v>0</v>
      </c>
      <c r="N69" t="n">
        <v>0</v>
      </c>
      <c r="O69" t="n">
        <v>0</v>
      </c>
      <c r="P69" t="n">
        <v>0</v>
      </c>
      <c r="Q69" t="n">
        <v>0</v>
      </c>
      <c r="R69" s="2" t="inlineStr"/>
    </row>
    <row r="70" ht="15" customHeight="1">
      <c r="A70" t="inlineStr">
        <is>
          <t>A 26190-2025</t>
        </is>
      </c>
      <c r="B70" s="1" t="n">
        <v>45805.48349537037</v>
      </c>
      <c r="C70" s="1" t="n">
        <v>46084</v>
      </c>
      <c r="D70" t="inlineStr">
        <is>
          <t>KALMAR LÄN</t>
        </is>
      </c>
      <c r="E70" t="inlineStr">
        <is>
          <t>BORGHOLM</t>
        </is>
      </c>
      <c r="G70" t="n">
        <v>3.2</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46084</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26160-2025</t>
        </is>
      </c>
      <c r="B72" s="1" t="n">
        <v>45805.4490162037</v>
      </c>
      <c r="C72" s="1" t="n">
        <v>46084</v>
      </c>
      <c r="D72" t="inlineStr">
        <is>
          <t>KALMAR LÄN</t>
        </is>
      </c>
      <c r="E72" t="inlineStr">
        <is>
          <t>BORGHOLM</t>
        </is>
      </c>
      <c r="G72" t="n">
        <v>3.7</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46084</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42232-2025</t>
        </is>
      </c>
      <c r="B74" s="1" t="n">
        <v>45904.55591435185</v>
      </c>
      <c r="C74" s="1" t="n">
        <v>46084</v>
      </c>
      <c r="D74" t="inlineStr">
        <is>
          <t>KALMAR LÄN</t>
        </is>
      </c>
      <c r="E74" t="inlineStr">
        <is>
          <t>BORGHOLM</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27357-2025</t>
        </is>
      </c>
      <c r="B75" s="1" t="n">
        <v>45812.63650462963</v>
      </c>
      <c r="C75" s="1" t="n">
        <v>46084</v>
      </c>
      <c r="D75" t="inlineStr">
        <is>
          <t>KALMAR LÄN</t>
        </is>
      </c>
      <c r="E75" t="inlineStr">
        <is>
          <t>BORGHOLM</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27366-2025</t>
        </is>
      </c>
      <c r="B76" s="1" t="n">
        <v>45812.64475694444</v>
      </c>
      <c r="C76" s="1" t="n">
        <v>46084</v>
      </c>
      <c r="D76" t="inlineStr">
        <is>
          <t>KALMAR LÄN</t>
        </is>
      </c>
      <c r="E76" t="inlineStr">
        <is>
          <t>BORGHOLM</t>
        </is>
      </c>
      <c r="F76" t="inlineStr">
        <is>
          <t>Sveaskog</t>
        </is>
      </c>
      <c r="G76" t="n">
        <v>2.5</v>
      </c>
      <c r="H76" t="n">
        <v>0</v>
      </c>
      <c r="I76" t="n">
        <v>0</v>
      </c>
      <c r="J76" t="n">
        <v>0</v>
      </c>
      <c r="K76" t="n">
        <v>0</v>
      </c>
      <c r="L76" t="n">
        <v>0</v>
      </c>
      <c r="M76" t="n">
        <v>0</v>
      </c>
      <c r="N76" t="n">
        <v>0</v>
      </c>
      <c r="O76" t="n">
        <v>0</v>
      </c>
      <c r="P76" t="n">
        <v>0</v>
      </c>
      <c r="Q76" t="n">
        <v>0</v>
      </c>
      <c r="R76" s="2" t="inlineStr"/>
    </row>
    <row r="77" ht="15" customHeight="1">
      <c r="A77" t="inlineStr">
        <is>
          <t>A 13548-2025</t>
        </is>
      </c>
      <c r="B77" s="1" t="n">
        <v>45736.53827546296</v>
      </c>
      <c r="C77" s="1" t="n">
        <v>46084</v>
      </c>
      <c r="D77" t="inlineStr">
        <is>
          <t>KALMAR LÄN</t>
        </is>
      </c>
      <c r="E77" t="inlineStr">
        <is>
          <t>BORGHOLM</t>
        </is>
      </c>
      <c r="G77" t="n">
        <v>1</v>
      </c>
      <c r="H77" t="n">
        <v>0</v>
      </c>
      <c r="I77" t="n">
        <v>0</v>
      </c>
      <c r="J77" t="n">
        <v>0</v>
      </c>
      <c r="K77" t="n">
        <v>0</v>
      </c>
      <c r="L77" t="n">
        <v>0</v>
      </c>
      <c r="M77" t="n">
        <v>0</v>
      </c>
      <c r="N77" t="n">
        <v>0</v>
      </c>
      <c r="O77" t="n">
        <v>0</v>
      </c>
      <c r="P77" t="n">
        <v>0</v>
      </c>
      <c r="Q77" t="n">
        <v>0</v>
      </c>
      <c r="R77" s="2" t="inlineStr"/>
    </row>
    <row r="78" ht="15" customHeight="1">
      <c r="A78" t="inlineStr">
        <is>
          <t>A 32919-2023</t>
        </is>
      </c>
      <c r="B78" s="1" t="n">
        <v>45125</v>
      </c>
      <c r="C78" s="1" t="n">
        <v>46084</v>
      </c>
      <c r="D78" t="inlineStr">
        <is>
          <t>KALMAR LÄN</t>
        </is>
      </c>
      <c r="E78" t="inlineStr">
        <is>
          <t>BORGHOLM</t>
        </is>
      </c>
      <c r="G78" t="n">
        <v>2.7</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46084</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44678-2022</t>
        </is>
      </c>
      <c r="B80" s="1" t="n">
        <v>44840.65100694444</v>
      </c>
      <c r="C80" s="1" t="n">
        <v>46084</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28782-2025</t>
        </is>
      </c>
      <c r="B81" s="1" t="n">
        <v>45820.45572916666</v>
      </c>
      <c r="C81" s="1" t="n">
        <v>46084</v>
      </c>
      <c r="D81" t="inlineStr">
        <is>
          <t>KALMAR LÄN</t>
        </is>
      </c>
      <c r="E81" t="inlineStr">
        <is>
          <t>BORGHOLM</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31720-2022</t>
        </is>
      </c>
      <c r="B82" s="1" t="n">
        <v>44776</v>
      </c>
      <c r="C82" s="1" t="n">
        <v>46084</v>
      </c>
      <c r="D82" t="inlineStr">
        <is>
          <t>KALMAR LÄN</t>
        </is>
      </c>
      <c r="E82" t="inlineStr">
        <is>
          <t>BORGHOLM</t>
        </is>
      </c>
      <c r="F82" t="inlineStr">
        <is>
          <t>Sveaskog</t>
        </is>
      </c>
      <c r="G82" t="n">
        <v>4.5</v>
      </c>
      <c r="H82" t="n">
        <v>0</v>
      </c>
      <c r="I82" t="n">
        <v>0</v>
      </c>
      <c r="J82" t="n">
        <v>0</v>
      </c>
      <c r="K82" t="n">
        <v>0</v>
      </c>
      <c r="L82" t="n">
        <v>0</v>
      </c>
      <c r="M82" t="n">
        <v>0</v>
      </c>
      <c r="N82" t="n">
        <v>0</v>
      </c>
      <c r="O82" t="n">
        <v>0</v>
      </c>
      <c r="P82" t="n">
        <v>0</v>
      </c>
      <c r="Q82" t="n">
        <v>0</v>
      </c>
      <c r="R82" s="2" t="inlineStr"/>
    </row>
    <row r="83" ht="15" customHeight="1">
      <c r="A83" t="inlineStr">
        <is>
          <t>A 45734-2025</t>
        </is>
      </c>
      <c r="B83" s="1" t="n">
        <v>45923.46512731481</v>
      </c>
      <c r="C83" s="1" t="n">
        <v>46084</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44547-2021</t>
        </is>
      </c>
      <c r="B84" s="1" t="n">
        <v>44435</v>
      </c>
      <c r="C84" s="1" t="n">
        <v>46084</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5175-2024</t>
        </is>
      </c>
      <c r="B85" s="1" t="n">
        <v>45330</v>
      </c>
      <c r="C85" s="1" t="n">
        <v>46084</v>
      </c>
      <c r="D85" t="inlineStr">
        <is>
          <t>KALMAR LÄN</t>
        </is>
      </c>
      <c r="E85" t="inlineStr">
        <is>
          <t>BORGHOLM</t>
        </is>
      </c>
      <c r="G85" t="n">
        <v>1.5</v>
      </c>
      <c r="H85" t="n">
        <v>0</v>
      </c>
      <c r="I85" t="n">
        <v>0</v>
      </c>
      <c r="J85" t="n">
        <v>0</v>
      </c>
      <c r="K85" t="n">
        <v>0</v>
      </c>
      <c r="L85" t="n">
        <v>0</v>
      </c>
      <c r="M85" t="n">
        <v>0</v>
      </c>
      <c r="N85" t="n">
        <v>0</v>
      </c>
      <c r="O85" t="n">
        <v>0</v>
      </c>
      <c r="P85" t="n">
        <v>0</v>
      </c>
      <c r="Q85" t="n">
        <v>0</v>
      </c>
      <c r="R85" s="2" t="inlineStr"/>
    </row>
    <row r="86" ht="15" customHeight="1">
      <c r="A86" t="inlineStr">
        <is>
          <t>A 45869-2025</t>
        </is>
      </c>
      <c r="B86" s="1" t="n">
        <v>45923.65313657407</v>
      </c>
      <c r="C86" s="1" t="n">
        <v>46084</v>
      </c>
      <c r="D86" t="inlineStr">
        <is>
          <t>KALMAR LÄN</t>
        </is>
      </c>
      <c r="E86" t="inlineStr">
        <is>
          <t>BORGHOLM</t>
        </is>
      </c>
      <c r="G86" t="n">
        <v>4.5</v>
      </c>
      <c r="H86" t="n">
        <v>0</v>
      </c>
      <c r="I86" t="n">
        <v>0</v>
      </c>
      <c r="J86" t="n">
        <v>0</v>
      </c>
      <c r="K86" t="n">
        <v>0</v>
      </c>
      <c r="L86" t="n">
        <v>0</v>
      </c>
      <c r="M86" t="n">
        <v>0</v>
      </c>
      <c r="N86" t="n">
        <v>0</v>
      </c>
      <c r="O86" t="n">
        <v>0</v>
      </c>
      <c r="P86" t="n">
        <v>0</v>
      </c>
      <c r="Q86" t="n">
        <v>0</v>
      </c>
      <c r="R86" s="2" t="inlineStr"/>
    </row>
    <row r="87" ht="15" customHeight="1">
      <c r="A87" t="inlineStr">
        <is>
          <t>A 34951-2022</t>
        </is>
      </c>
      <c r="B87" s="1" t="n">
        <v>44796</v>
      </c>
      <c r="C87" s="1" t="n">
        <v>46084</v>
      </c>
      <c r="D87" t="inlineStr">
        <is>
          <t>KALMAR LÄN</t>
        </is>
      </c>
      <c r="E87" t="inlineStr">
        <is>
          <t>BORGHOLM</t>
        </is>
      </c>
      <c r="F87" t="inlineStr">
        <is>
          <t>Sveaskog</t>
        </is>
      </c>
      <c r="G87" t="n">
        <v>4.6</v>
      </c>
      <c r="H87" t="n">
        <v>0</v>
      </c>
      <c r="I87" t="n">
        <v>0</v>
      </c>
      <c r="J87" t="n">
        <v>0</v>
      </c>
      <c r="K87" t="n">
        <v>0</v>
      </c>
      <c r="L87" t="n">
        <v>0</v>
      </c>
      <c r="M87" t="n">
        <v>0</v>
      </c>
      <c r="N87" t="n">
        <v>0</v>
      </c>
      <c r="O87" t="n">
        <v>0</v>
      </c>
      <c r="P87" t="n">
        <v>0</v>
      </c>
      <c r="Q87" t="n">
        <v>0</v>
      </c>
      <c r="R87" s="2" t="inlineStr"/>
    </row>
    <row r="88" ht="15" customHeight="1">
      <c r="A88" t="inlineStr">
        <is>
          <t>A 19867-2024</t>
        </is>
      </c>
      <c r="B88" s="1" t="n">
        <v>45433</v>
      </c>
      <c r="C88" s="1" t="n">
        <v>46084</v>
      </c>
      <c r="D88" t="inlineStr">
        <is>
          <t>KALMAR LÄN</t>
        </is>
      </c>
      <c r="E88" t="inlineStr">
        <is>
          <t>BORGHOLM</t>
        </is>
      </c>
      <c r="G88" t="n">
        <v>3.9</v>
      </c>
      <c r="H88" t="n">
        <v>0</v>
      </c>
      <c r="I88" t="n">
        <v>0</v>
      </c>
      <c r="J88" t="n">
        <v>0</v>
      </c>
      <c r="K88" t="n">
        <v>0</v>
      </c>
      <c r="L88" t="n">
        <v>0</v>
      </c>
      <c r="M88" t="n">
        <v>0</v>
      </c>
      <c r="N88" t="n">
        <v>0</v>
      </c>
      <c r="O88" t="n">
        <v>0</v>
      </c>
      <c r="P88" t="n">
        <v>0</v>
      </c>
      <c r="Q88" t="n">
        <v>0</v>
      </c>
      <c r="R88" s="2" t="inlineStr"/>
    </row>
    <row r="89" ht="15" customHeight="1">
      <c r="A89" t="inlineStr">
        <is>
          <t>A 46845-2025</t>
        </is>
      </c>
      <c r="B89" s="1" t="n">
        <v>45928</v>
      </c>
      <c r="C89" s="1" t="n">
        <v>46084</v>
      </c>
      <c r="D89" t="inlineStr">
        <is>
          <t>KALMAR LÄN</t>
        </is>
      </c>
      <c r="E89" t="inlineStr">
        <is>
          <t>BORGHOLM</t>
        </is>
      </c>
      <c r="G89" t="n">
        <v>2.7</v>
      </c>
      <c r="H89" t="n">
        <v>0</v>
      </c>
      <c r="I89" t="n">
        <v>0</v>
      </c>
      <c r="J89" t="n">
        <v>0</v>
      </c>
      <c r="K89" t="n">
        <v>0</v>
      </c>
      <c r="L89" t="n">
        <v>0</v>
      </c>
      <c r="M89" t="n">
        <v>0</v>
      </c>
      <c r="N89" t="n">
        <v>0</v>
      </c>
      <c r="O89" t="n">
        <v>0</v>
      </c>
      <c r="P89" t="n">
        <v>0</v>
      </c>
      <c r="Q89" t="n">
        <v>0</v>
      </c>
      <c r="R89" s="2" t="inlineStr"/>
    </row>
    <row r="90" ht="15" customHeight="1">
      <c r="A90" t="inlineStr">
        <is>
          <t>A 13383-2023</t>
        </is>
      </c>
      <c r="B90" s="1" t="n">
        <v>45005</v>
      </c>
      <c r="C90" s="1" t="n">
        <v>46084</v>
      </c>
      <c r="D90" t="inlineStr">
        <is>
          <t>KALMAR LÄN</t>
        </is>
      </c>
      <c r="E90" t="inlineStr">
        <is>
          <t>BORGHOLM</t>
        </is>
      </c>
      <c r="G90" t="n">
        <v>0.8</v>
      </c>
      <c r="H90" t="n">
        <v>0</v>
      </c>
      <c r="I90" t="n">
        <v>0</v>
      </c>
      <c r="J90" t="n">
        <v>0</v>
      </c>
      <c r="K90" t="n">
        <v>0</v>
      </c>
      <c r="L90" t="n">
        <v>0</v>
      </c>
      <c r="M90" t="n">
        <v>0</v>
      </c>
      <c r="N90" t="n">
        <v>0</v>
      </c>
      <c r="O90" t="n">
        <v>0</v>
      </c>
      <c r="P90" t="n">
        <v>0</v>
      </c>
      <c r="Q90" t="n">
        <v>0</v>
      </c>
      <c r="R90" s="2" t="inlineStr"/>
    </row>
    <row r="91" ht="15" customHeight="1">
      <c r="A91" t="inlineStr">
        <is>
          <t>A 61438-2023</t>
        </is>
      </c>
      <c r="B91" s="1" t="n">
        <v>45264</v>
      </c>
      <c r="C91" s="1" t="n">
        <v>46084</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13041-2024</t>
        </is>
      </c>
      <c r="B92" s="1" t="n">
        <v>45385.60065972222</v>
      </c>
      <c r="C92" s="1" t="n">
        <v>46084</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53050-2021</t>
        </is>
      </c>
      <c r="B93" s="1" t="n">
        <v>44467</v>
      </c>
      <c r="C93" s="1" t="n">
        <v>46084</v>
      </c>
      <c r="D93" t="inlineStr">
        <is>
          <t>KALMAR LÄN</t>
        </is>
      </c>
      <c r="E93" t="inlineStr">
        <is>
          <t>BORGHOLM</t>
        </is>
      </c>
      <c r="G93" t="n">
        <v>3.6</v>
      </c>
      <c r="H93" t="n">
        <v>0</v>
      </c>
      <c r="I93" t="n">
        <v>0</v>
      </c>
      <c r="J93" t="n">
        <v>0</v>
      </c>
      <c r="K93" t="n">
        <v>0</v>
      </c>
      <c r="L93" t="n">
        <v>0</v>
      </c>
      <c r="M93" t="n">
        <v>0</v>
      </c>
      <c r="N93" t="n">
        <v>0</v>
      </c>
      <c r="O93" t="n">
        <v>0</v>
      </c>
      <c r="P93" t="n">
        <v>0</v>
      </c>
      <c r="Q93" t="n">
        <v>0</v>
      </c>
      <c r="R93" s="2" t="inlineStr"/>
    </row>
    <row r="94" ht="15" customHeight="1">
      <c r="A94" t="inlineStr">
        <is>
          <t>A 4165-2023</t>
        </is>
      </c>
      <c r="B94" s="1" t="n">
        <v>44953</v>
      </c>
      <c r="C94" s="1" t="n">
        <v>46084</v>
      </c>
      <c r="D94" t="inlineStr">
        <is>
          <t>KALMAR LÄN</t>
        </is>
      </c>
      <c r="E94" t="inlineStr">
        <is>
          <t>BORGHOLM</t>
        </is>
      </c>
      <c r="G94" t="n">
        <v>0.6</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46084</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36269-2025</t>
        </is>
      </c>
      <c r="B96" s="1" t="n">
        <v>45867.61736111111</v>
      </c>
      <c r="C96" s="1" t="n">
        <v>46084</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13043-2024</t>
        </is>
      </c>
      <c r="B97" s="1" t="n">
        <v>45385.60111111111</v>
      </c>
      <c r="C97" s="1" t="n">
        <v>46084</v>
      </c>
      <c r="D97" t="inlineStr">
        <is>
          <t>KALMAR LÄN</t>
        </is>
      </c>
      <c r="E97" t="inlineStr">
        <is>
          <t>BORGHOLM</t>
        </is>
      </c>
      <c r="G97" t="n">
        <v>0.4</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46084</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64303-2023</t>
        </is>
      </c>
      <c r="B99" s="1" t="n">
        <v>45280</v>
      </c>
      <c r="C99" s="1" t="n">
        <v>46084</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9104-2026</t>
        </is>
      </c>
      <c r="B100" s="1" t="n">
        <v>46069</v>
      </c>
      <c r="C100" s="1" t="n">
        <v>46084</v>
      </c>
      <c r="D100" t="inlineStr">
        <is>
          <t>KALMAR LÄN</t>
        </is>
      </c>
      <c r="E100" t="inlineStr">
        <is>
          <t>BORGHOLM</t>
        </is>
      </c>
      <c r="G100" t="n">
        <v>1.3</v>
      </c>
      <c r="H100" t="n">
        <v>0</v>
      </c>
      <c r="I100" t="n">
        <v>0</v>
      </c>
      <c r="J100" t="n">
        <v>0</v>
      </c>
      <c r="K100" t="n">
        <v>0</v>
      </c>
      <c r="L100" t="n">
        <v>0</v>
      </c>
      <c r="M100" t="n">
        <v>0</v>
      </c>
      <c r="N100" t="n">
        <v>0</v>
      </c>
      <c r="O100" t="n">
        <v>0</v>
      </c>
      <c r="P100" t="n">
        <v>0</v>
      </c>
      <c r="Q100" t="n">
        <v>0</v>
      </c>
      <c r="R100" s="2" t="inlineStr"/>
    </row>
    <row r="101" ht="15" customHeight="1">
      <c r="A101" t="inlineStr">
        <is>
          <t>A 9259-2026</t>
        </is>
      </c>
      <c r="B101" s="1" t="n">
        <v>46070.51917824074</v>
      </c>
      <c r="C101" s="1" t="n">
        <v>46084</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9905-2026</t>
        </is>
      </c>
      <c r="B102" s="1" t="n">
        <v>46073.4108912037</v>
      </c>
      <c r="C102" s="1" t="n">
        <v>46084</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9044-2025</t>
        </is>
      </c>
      <c r="B103" s="1" t="n">
        <v>45713.6275</v>
      </c>
      <c r="C103" s="1" t="n">
        <v>46084</v>
      </c>
      <c r="D103" t="inlineStr">
        <is>
          <t>KALMAR LÄN</t>
        </is>
      </c>
      <c r="E103" t="inlineStr">
        <is>
          <t>BORGHOLM</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46084</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60141-2025</t>
        </is>
      </c>
      <c r="B105" s="1" t="n">
        <v>45994.36873842592</v>
      </c>
      <c r="C105" s="1" t="n">
        <v>46084</v>
      </c>
      <c r="D105" t="inlineStr">
        <is>
          <t>KALMAR LÄN</t>
        </is>
      </c>
      <c r="E105" t="inlineStr">
        <is>
          <t>BORGHOLM</t>
        </is>
      </c>
      <c r="G105" t="n">
        <v>0.7</v>
      </c>
      <c r="H105" t="n">
        <v>0</v>
      </c>
      <c r="I105" t="n">
        <v>0</v>
      </c>
      <c r="J105" t="n">
        <v>0</v>
      </c>
      <c r="K105" t="n">
        <v>0</v>
      </c>
      <c r="L105" t="n">
        <v>0</v>
      </c>
      <c r="M105" t="n">
        <v>0</v>
      </c>
      <c r="N105" t="n">
        <v>0</v>
      </c>
      <c r="O105" t="n">
        <v>0</v>
      </c>
      <c r="P105" t="n">
        <v>0</v>
      </c>
      <c r="Q105" t="n">
        <v>0</v>
      </c>
      <c r="R105" s="2" t="inlineStr"/>
    </row>
    <row r="106" ht="15" customHeight="1">
      <c r="A106" t="inlineStr">
        <is>
          <t>A 55367-2024</t>
        </is>
      </c>
      <c r="B106" s="1" t="n">
        <v>45621.87075231481</v>
      </c>
      <c r="C106" s="1" t="n">
        <v>46084</v>
      </c>
      <c r="D106" t="inlineStr">
        <is>
          <t>KALMAR LÄN</t>
        </is>
      </c>
      <c r="E106" t="inlineStr">
        <is>
          <t>BORGHOLM</t>
        </is>
      </c>
      <c r="G106" t="n">
        <v>0.7</v>
      </c>
      <c r="H106" t="n">
        <v>0</v>
      </c>
      <c r="I106" t="n">
        <v>0</v>
      </c>
      <c r="J106" t="n">
        <v>0</v>
      </c>
      <c r="K106" t="n">
        <v>0</v>
      </c>
      <c r="L106" t="n">
        <v>0</v>
      </c>
      <c r="M106" t="n">
        <v>0</v>
      </c>
      <c r="N106" t="n">
        <v>0</v>
      </c>
      <c r="O106" t="n">
        <v>0</v>
      </c>
      <c r="P106" t="n">
        <v>0</v>
      </c>
      <c r="Q106" t="n">
        <v>0</v>
      </c>
      <c r="R106" s="2" t="inlineStr"/>
    </row>
    <row r="107" ht="15" customHeight="1">
      <c r="A107" t="inlineStr">
        <is>
          <t>A 20878-2024</t>
        </is>
      </c>
      <c r="B107" s="1" t="n">
        <v>45439.44748842593</v>
      </c>
      <c r="C107" s="1" t="n">
        <v>46084</v>
      </c>
      <c r="D107" t="inlineStr">
        <is>
          <t>KALMAR LÄN</t>
        </is>
      </c>
      <c r="E107" t="inlineStr">
        <is>
          <t>BORGHOLM</t>
        </is>
      </c>
      <c r="G107" t="n">
        <v>1.9</v>
      </c>
      <c r="H107" t="n">
        <v>0</v>
      </c>
      <c r="I107" t="n">
        <v>0</v>
      </c>
      <c r="J107" t="n">
        <v>0</v>
      </c>
      <c r="K107" t="n">
        <v>0</v>
      </c>
      <c r="L107" t="n">
        <v>0</v>
      </c>
      <c r="M107" t="n">
        <v>0</v>
      </c>
      <c r="N107" t="n">
        <v>0</v>
      </c>
      <c r="O107" t="n">
        <v>0</v>
      </c>
      <c r="P107" t="n">
        <v>0</v>
      </c>
      <c r="Q107" t="n">
        <v>0</v>
      </c>
      <c r="R107" s="2" t="inlineStr"/>
    </row>
    <row r="108" ht="15" customHeight="1">
      <c r="A108" t="inlineStr">
        <is>
          <t>A 17699-2025</t>
        </is>
      </c>
      <c r="B108" s="1" t="n">
        <v>45758.41846064815</v>
      </c>
      <c r="C108" s="1" t="n">
        <v>46084</v>
      </c>
      <c r="D108" t="inlineStr">
        <is>
          <t>KALMAR LÄN</t>
        </is>
      </c>
      <c r="E108" t="inlineStr">
        <is>
          <t>BORGHOLM</t>
        </is>
      </c>
      <c r="G108" t="n">
        <v>0.7</v>
      </c>
      <c r="H108" t="n">
        <v>0</v>
      </c>
      <c r="I108" t="n">
        <v>0</v>
      </c>
      <c r="J108" t="n">
        <v>0</v>
      </c>
      <c r="K108" t="n">
        <v>0</v>
      </c>
      <c r="L108" t="n">
        <v>0</v>
      </c>
      <c r="M108" t="n">
        <v>0</v>
      </c>
      <c r="N108" t="n">
        <v>0</v>
      </c>
      <c r="O108" t="n">
        <v>0</v>
      </c>
      <c r="P108" t="n">
        <v>0</v>
      </c>
      <c r="Q108" t="n">
        <v>0</v>
      </c>
      <c r="R108" s="2" t="inlineStr"/>
    </row>
    <row r="109" ht="15" customHeight="1">
      <c r="A109" t="inlineStr">
        <is>
          <t>A 20287-2025</t>
        </is>
      </c>
      <c r="B109" s="1" t="n">
        <v>45774.60741898148</v>
      </c>
      <c r="C109" s="1" t="n">
        <v>46084</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61723-2025</t>
        </is>
      </c>
      <c r="B110" s="1" t="n">
        <v>46002.58388888889</v>
      </c>
      <c r="C110" s="1" t="n">
        <v>46084</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26160-2024</t>
        </is>
      </c>
      <c r="B111" s="1" t="n">
        <v>45468</v>
      </c>
      <c r="C111" s="1" t="n">
        <v>46084</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c r="T111">
        <f>HYPERLINK("https://klasma.github.io/Logging_0885/kartor/A 26160-2024 karta.png", "A 26160-2024")</f>
        <v/>
      </c>
      <c r="V111">
        <f>HYPERLINK("https://klasma.github.io/Logging_0885/klagomål/A 26160-2024 FSC-klagomål.docx", "A 26160-2024")</f>
        <v/>
      </c>
      <c r="W111">
        <f>HYPERLINK("https://klasma.github.io/Logging_0885/klagomålsmail/A 26160-2024 FSC-klagomål mail.docx", "A 26160-2024")</f>
        <v/>
      </c>
      <c r="X111">
        <f>HYPERLINK("https://klasma.github.io/Logging_0885/tillsyn/A 26160-2024 tillsynsbegäran.docx", "A 26160-2024")</f>
        <v/>
      </c>
      <c r="Y111">
        <f>HYPERLINK("https://klasma.github.io/Logging_0885/tillsynsmail/A 26160-2024 tillsynsbegäran mail.docx", "A 26160-2024")</f>
        <v/>
      </c>
    </row>
    <row r="112" ht="15" customHeight="1">
      <c r="A112" t="inlineStr">
        <is>
          <t>A 63075-2023</t>
        </is>
      </c>
      <c r="B112" s="1" t="n">
        <v>45273</v>
      </c>
      <c r="C112" s="1" t="n">
        <v>46084</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7481-2026</t>
        </is>
      </c>
      <c r="B113" s="1" t="n">
        <v>46059.51359953704</v>
      </c>
      <c r="C113" s="1" t="n">
        <v>46084</v>
      </c>
      <c r="D113" t="inlineStr">
        <is>
          <t>KALMAR LÄN</t>
        </is>
      </c>
      <c r="E113" t="inlineStr">
        <is>
          <t>BORGHOLM</t>
        </is>
      </c>
      <c r="G113" t="n">
        <v>1.9</v>
      </c>
      <c r="H113" t="n">
        <v>0</v>
      </c>
      <c r="I113" t="n">
        <v>0</v>
      </c>
      <c r="J113" t="n">
        <v>0</v>
      </c>
      <c r="K113" t="n">
        <v>0</v>
      </c>
      <c r="L113" t="n">
        <v>0</v>
      </c>
      <c r="M113" t="n">
        <v>0</v>
      </c>
      <c r="N113" t="n">
        <v>0</v>
      </c>
      <c r="O113" t="n">
        <v>0</v>
      </c>
      <c r="P113" t="n">
        <v>0</v>
      </c>
      <c r="Q113" t="n">
        <v>0</v>
      </c>
      <c r="R113" s="2" t="inlineStr"/>
    </row>
    <row r="114" ht="15" customHeight="1">
      <c r="A114" t="inlineStr">
        <is>
          <t>A 4159-2024</t>
        </is>
      </c>
      <c r="B114" s="1" t="n">
        <v>45323</v>
      </c>
      <c r="C114" s="1" t="n">
        <v>46084</v>
      </c>
      <c r="D114" t="inlineStr">
        <is>
          <t>KALMAR LÄN</t>
        </is>
      </c>
      <c r="E114" t="inlineStr">
        <is>
          <t>BORGHOLM</t>
        </is>
      </c>
      <c r="G114" t="n">
        <v>0.5</v>
      </c>
      <c r="H114" t="n">
        <v>0</v>
      </c>
      <c r="I114" t="n">
        <v>0</v>
      </c>
      <c r="J114" t="n">
        <v>0</v>
      </c>
      <c r="K114" t="n">
        <v>0</v>
      </c>
      <c r="L114" t="n">
        <v>0</v>
      </c>
      <c r="M114" t="n">
        <v>0</v>
      </c>
      <c r="N114" t="n">
        <v>0</v>
      </c>
      <c r="O114" t="n">
        <v>0</v>
      </c>
      <c r="P114" t="n">
        <v>0</v>
      </c>
      <c r="Q114" t="n">
        <v>0</v>
      </c>
      <c r="R114" s="2" t="inlineStr"/>
    </row>
    <row r="115" ht="15" customHeight="1">
      <c r="A115" t="inlineStr">
        <is>
          <t>A 32921-2023</t>
        </is>
      </c>
      <c r="B115" s="1" t="n">
        <v>45125</v>
      </c>
      <c r="C115" s="1" t="n">
        <v>46084</v>
      </c>
      <c r="D115" t="inlineStr">
        <is>
          <t>KALMAR LÄN</t>
        </is>
      </c>
      <c r="E115" t="inlineStr">
        <is>
          <t>BORGHOLM</t>
        </is>
      </c>
      <c r="G115" t="n">
        <v>2.9</v>
      </c>
      <c r="H115" t="n">
        <v>0</v>
      </c>
      <c r="I115" t="n">
        <v>0</v>
      </c>
      <c r="J115" t="n">
        <v>0</v>
      </c>
      <c r="K115" t="n">
        <v>0</v>
      </c>
      <c r="L115" t="n">
        <v>0</v>
      </c>
      <c r="M115" t="n">
        <v>0</v>
      </c>
      <c r="N115" t="n">
        <v>0</v>
      </c>
      <c r="O115" t="n">
        <v>0</v>
      </c>
      <c r="P115" t="n">
        <v>0</v>
      </c>
      <c r="Q115" t="n">
        <v>0</v>
      </c>
      <c r="R115" s="2" t="inlineStr"/>
    </row>
    <row r="116" ht="15" customHeight="1">
      <c r="A116" t="inlineStr">
        <is>
          <t>A 31699-2022</t>
        </is>
      </c>
      <c r="B116" s="1" t="n">
        <v>44776</v>
      </c>
      <c r="C116" s="1" t="n">
        <v>46084</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63276-2023</t>
        </is>
      </c>
      <c r="B117" s="1" t="n">
        <v>45273.82195601852</v>
      </c>
      <c r="C117" s="1" t="n">
        <v>46084</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1614-2025</t>
        </is>
      </c>
      <c r="B118" s="1" t="n">
        <v>45670.60094907408</v>
      </c>
      <c r="C118" s="1" t="n">
        <v>46084</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9076-2025</t>
        </is>
      </c>
      <c r="B119" s="1" t="n">
        <v>45713.6596875</v>
      </c>
      <c r="C119" s="1" t="n">
        <v>46084</v>
      </c>
      <c r="D119" t="inlineStr">
        <is>
          <t>KALMAR LÄN</t>
        </is>
      </c>
      <c r="E119" t="inlineStr">
        <is>
          <t>BORGHOLM</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1757-2025</t>
        </is>
      </c>
      <c r="B120" s="1" t="n">
        <v>45671.42195601852</v>
      </c>
      <c r="C120" s="1" t="n">
        <v>46084</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46084</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29656-2023</t>
        </is>
      </c>
      <c r="B122" s="1" t="n">
        <v>45107</v>
      </c>
      <c r="C122" s="1" t="n">
        <v>46084</v>
      </c>
      <c r="D122" t="inlineStr">
        <is>
          <t>KALMAR LÄN</t>
        </is>
      </c>
      <c r="E122" t="inlineStr">
        <is>
          <t>BORGHOLM</t>
        </is>
      </c>
      <c r="G122" t="n">
        <v>4.1</v>
      </c>
      <c r="H122" t="n">
        <v>0</v>
      </c>
      <c r="I122" t="n">
        <v>0</v>
      </c>
      <c r="J122" t="n">
        <v>0</v>
      </c>
      <c r="K122" t="n">
        <v>0</v>
      </c>
      <c r="L122" t="n">
        <v>0</v>
      </c>
      <c r="M122" t="n">
        <v>0</v>
      </c>
      <c r="N122" t="n">
        <v>0</v>
      </c>
      <c r="O122" t="n">
        <v>0</v>
      </c>
      <c r="P122" t="n">
        <v>0</v>
      </c>
      <c r="Q122" t="n">
        <v>0</v>
      </c>
      <c r="R122" s="2" t="inlineStr"/>
    </row>
    <row r="123">
      <c r="A123" t="inlineStr">
        <is>
          <t>A 9050-2025</t>
        </is>
      </c>
      <c r="B123" s="1" t="n">
        <v>45713.63512731482</v>
      </c>
      <c r="C123" s="1" t="n">
        <v>46084</v>
      </c>
      <c r="D123" t="inlineStr">
        <is>
          <t>KALMAR LÄN</t>
        </is>
      </c>
      <c r="E123" t="inlineStr">
        <is>
          <t>BORGHOLM</t>
        </is>
      </c>
      <c r="F123" t="inlineStr">
        <is>
          <t>Sveaskog</t>
        </is>
      </c>
      <c r="G123" t="n">
        <v>2.5</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2026-03-03T11:10:19Z</dcterms:created>
  <dcterms:modified xmlns:dcterms="http://purl.org/dc/terms/" xmlns:xsi="http://www.w3.org/2001/XMLSchema-instance" xsi:type="dcterms:W3CDTF">2026-03-03T11:10:19Z</dcterms:modified>
</cp:coreProperties>
</file>