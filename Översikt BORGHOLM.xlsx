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46145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46145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46145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46145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46145</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46145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46145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46145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46145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46145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46145</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46145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46145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46145</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46145</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46145</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46145</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46145</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32174-2022</t>
        </is>
      </c>
      <c r="B20" s="1" t="n">
        <v>44781</v>
      </c>
      <c r="C20" s="1" t="n">
        <v>46145</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46145</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60140-2025</t>
        </is>
      </c>
      <c r="B22" s="1" t="n">
        <v>45994.36274305556</v>
      </c>
      <c r="C22" s="1" t="n">
        <v>46145</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34944-2022</t>
        </is>
      </c>
      <c r="B23" s="1" t="n">
        <v>44796</v>
      </c>
      <c r="C23" s="1" t="n">
        <v>46145</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15285-2026</t>
        </is>
      </c>
      <c r="B24" s="1" t="n">
        <v>46105.6156712963</v>
      </c>
      <c r="C24" s="1" t="n">
        <v>46145</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4164-2023</t>
        </is>
      </c>
      <c r="B25" s="1" t="n">
        <v>44953</v>
      </c>
      <c r="C25" s="1" t="n">
        <v>46145</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46145</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9253-2026</t>
        </is>
      </c>
      <c r="B27" s="1" t="n">
        <v>46070.51003472223</v>
      </c>
      <c r="C27" s="1" t="n">
        <v>46145</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44008-2022</t>
        </is>
      </c>
      <c r="B28" s="1" t="n">
        <v>44838</v>
      </c>
      <c r="C28" s="1" t="n">
        <v>46145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28779-2025</t>
        </is>
      </c>
      <c r="B29" s="1" t="n">
        <v>45820.44920138889</v>
      </c>
      <c r="C29" s="1" t="n">
        <v>46145</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31790-2021</t>
        </is>
      </c>
      <c r="B30" s="1" t="n">
        <v>44370</v>
      </c>
      <c r="C30" s="1" t="n">
        <v>46145</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46145</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9745-2023</t>
        </is>
      </c>
      <c r="B32" s="1" t="n">
        <v>44984</v>
      </c>
      <c r="C32" s="1" t="n">
        <v>46145</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13558-2025</t>
        </is>
      </c>
      <c r="B33" s="1" t="n">
        <v>45736.54974537037</v>
      </c>
      <c r="C33" s="1" t="n">
        <v>46145</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24701-2023</t>
        </is>
      </c>
      <c r="B34" s="1" t="n">
        <v>45084</v>
      </c>
      <c r="C34" s="1" t="n">
        <v>46145</v>
      </c>
      <c r="D34" t="inlineStr">
        <is>
          <t>KALMAR LÄN</t>
        </is>
      </c>
      <c r="E34" t="inlineStr">
        <is>
          <t>BORGHOLM</t>
        </is>
      </c>
      <c r="G34" t="n">
        <v>3</v>
      </c>
      <c r="H34" t="n">
        <v>0</v>
      </c>
      <c r="I34" t="n">
        <v>0</v>
      </c>
      <c r="J34" t="n">
        <v>0</v>
      </c>
      <c r="K34" t="n">
        <v>0</v>
      </c>
      <c r="L34" t="n">
        <v>1</v>
      </c>
      <c r="M34" t="n">
        <v>0</v>
      </c>
      <c r="N34" t="n">
        <v>0</v>
      </c>
      <c r="O34" t="n">
        <v>1</v>
      </c>
      <c r="P34" t="n">
        <v>1</v>
      </c>
      <c r="Q34" t="n">
        <v>1</v>
      </c>
      <c r="R34" s="2" t="inlineStr">
        <is>
          <t>Ask</t>
        </is>
      </c>
      <c r="S34">
        <f>HYPERLINK("https://klasma.github.io/Logging_0885/artfynd/A 24701-2023 artfynd.xlsx", "A 24701-2023")</f>
        <v/>
      </c>
      <c r="T34">
        <f>HYPERLINK("https://klasma.github.io/Logging_0885/kartor/A 24701-2023 karta.png", "A 24701-2023")</f>
        <v/>
      </c>
      <c r="V34">
        <f>HYPERLINK("https://klasma.github.io/Logging_0885/klagomål/A 24701-2023 FSC-klagomål.docx", "A 24701-2023")</f>
        <v/>
      </c>
      <c r="W34">
        <f>HYPERLINK("https://klasma.github.io/Logging_0885/klagomålsmail/A 24701-2023 FSC-klagomål mail.docx", "A 24701-2023")</f>
        <v/>
      </c>
      <c r="X34">
        <f>HYPERLINK("https://klasma.github.io/Logging_0885/tillsyn/A 24701-2023 tillsynsbegäran.docx", "A 24701-2023")</f>
        <v/>
      </c>
      <c r="Y34">
        <f>HYPERLINK("https://klasma.github.io/Logging_0885/tillsynsmail/A 24701-2023 tillsynsbegäran mail.docx", "A 24701-2023")</f>
        <v/>
      </c>
    </row>
    <row r="35" ht="15" customHeight="1">
      <c r="A35" t="inlineStr">
        <is>
          <t>A 45693-2025</t>
        </is>
      </c>
      <c r="B35" s="1" t="n">
        <v>45923</v>
      </c>
      <c r="C35" s="1" t="n">
        <v>46145</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43603-2024</t>
        </is>
      </c>
      <c r="B36" s="1" t="n">
        <v>45569.44700231482</v>
      </c>
      <c r="C36" s="1" t="n">
        <v>46145</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46145</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3302-2026</t>
        </is>
      </c>
      <c r="B38" s="1" t="n">
        <v>46041</v>
      </c>
      <c r="C38" s="1" t="n">
        <v>46145</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24048-2025</t>
        </is>
      </c>
      <c r="B39" s="1" t="n">
        <v>45796.4959375</v>
      </c>
      <c r="C39" s="1" t="n">
        <v>46145</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46145</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46145</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46145</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46145</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46145</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46145</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46145</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46145</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46145</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46145</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46145</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46145</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46145</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46145</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46145</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46145</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46145</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46145</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46145</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46145</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20878-2024</t>
        </is>
      </c>
      <c r="B60" s="1" t="n">
        <v>45439.44748842593</v>
      </c>
      <c r="C60" s="1" t="n">
        <v>46145</v>
      </c>
      <c r="D60" t="inlineStr">
        <is>
          <t>KALMAR LÄN</t>
        </is>
      </c>
      <c r="E60" t="inlineStr">
        <is>
          <t>BORGHOLM</t>
        </is>
      </c>
      <c r="G60" t="n">
        <v>1.9</v>
      </c>
      <c r="H60" t="n">
        <v>0</v>
      </c>
      <c r="I60" t="n">
        <v>0</v>
      </c>
      <c r="J60" t="n">
        <v>0</v>
      </c>
      <c r="K60" t="n">
        <v>0</v>
      </c>
      <c r="L60" t="n">
        <v>0</v>
      </c>
      <c r="M60" t="n">
        <v>0</v>
      </c>
      <c r="N60" t="n">
        <v>0</v>
      </c>
      <c r="O60" t="n">
        <v>0</v>
      </c>
      <c r="P60" t="n">
        <v>0</v>
      </c>
      <c r="Q60" t="n">
        <v>0</v>
      </c>
      <c r="R60" s="2" t="inlineStr"/>
    </row>
    <row r="61" ht="15" customHeight="1">
      <c r="A61" t="inlineStr">
        <is>
          <t>A 4159-2024</t>
        </is>
      </c>
      <c r="B61" s="1" t="n">
        <v>45323</v>
      </c>
      <c r="C61" s="1" t="n">
        <v>46145</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53050-2021</t>
        </is>
      </c>
      <c r="B62" s="1" t="n">
        <v>44467</v>
      </c>
      <c r="C62" s="1" t="n">
        <v>46145</v>
      </c>
      <c r="D62" t="inlineStr">
        <is>
          <t>KALMAR LÄN</t>
        </is>
      </c>
      <c r="E62" t="inlineStr">
        <is>
          <t>BORGHOLM</t>
        </is>
      </c>
      <c r="G62" t="n">
        <v>3.6</v>
      </c>
      <c r="H62" t="n">
        <v>0</v>
      </c>
      <c r="I62" t="n">
        <v>0</v>
      </c>
      <c r="J62" t="n">
        <v>0</v>
      </c>
      <c r="K62" t="n">
        <v>0</v>
      </c>
      <c r="L62" t="n">
        <v>0</v>
      </c>
      <c r="M62" t="n">
        <v>0</v>
      </c>
      <c r="N62" t="n">
        <v>0</v>
      </c>
      <c r="O62" t="n">
        <v>0</v>
      </c>
      <c r="P62" t="n">
        <v>0</v>
      </c>
      <c r="Q62" t="n">
        <v>0</v>
      </c>
      <c r="R62" s="2" t="inlineStr"/>
    </row>
    <row r="63" ht="15" customHeight="1">
      <c r="A63" t="inlineStr">
        <is>
          <t>A 31720-2022</t>
        </is>
      </c>
      <c r="B63" s="1" t="n">
        <v>44776</v>
      </c>
      <c r="C63" s="1" t="n">
        <v>46145</v>
      </c>
      <c r="D63" t="inlineStr">
        <is>
          <t>KALMAR LÄN</t>
        </is>
      </c>
      <c r="E63" t="inlineStr">
        <is>
          <t>BORGHOLM</t>
        </is>
      </c>
      <c r="F63" t="inlineStr">
        <is>
          <t>Sveaskog</t>
        </is>
      </c>
      <c r="G63" t="n">
        <v>4.5</v>
      </c>
      <c r="H63" t="n">
        <v>0</v>
      </c>
      <c r="I63" t="n">
        <v>0</v>
      </c>
      <c r="J63" t="n">
        <v>0</v>
      </c>
      <c r="K63" t="n">
        <v>0</v>
      </c>
      <c r="L63" t="n">
        <v>0</v>
      </c>
      <c r="M63" t="n">
        <v>0</v>
      </c>
      <c r="N63" t="n">
        <v>0</v>
      </c>
      <c r="O63" t="n">
        <v>0</v>
      </c>
      <c r="P63" t="n">
        <v>0</v>
      </c>
      <c r="Q63" t="n">
        <v>0</v>
      </c>
      <c r="R63" s="2" t="inlineStr"/>
    </row>
    <row r="64" ht="15" customHeight="1">
      <c r="A64" t="inlineStr">
        <is>
          <t>A 29656-2023</t>
        </is>
      </c>
      <c r="B64" s="1" t="n">
        <v>45107</v>
      </c>
      <c r="C64" s="1" t="n">
        <v>46145</v>
      </c>
      <c r="D64" t="inlineStr">
        <is>
          <t>KALMAR LÄN</t>
        </is>
      </c>
      <c r="E64" t="inlineStr">
        <is>
          <t>BORGHOLM</t>
        </is>
      </c>
      <c r="G64" t="n">
        <v>4.1</v>
      </c>
      <c r="H64" t="n">
        <v>0</v>
      </c>
      <c r="I64" t="n">
        <v>0</v>
      </c>
      <c r="J64" t="n">
        <v>0</v>
      </c>
      <c r="K64" t="n">
        <v>0</v>
      </c>
      <c r="L64" t="n">
        <v>0</v>
      </c>
      <c r="M64" t="n">
        <v>0</v>
      </c>
      <c r="N64" t="n">
        <v>0</v>
      </c>
      <c r="O64" t="n">
        <v>0</v>
      </c>
      <c r="P64" t="n">
        <v>0</v>
      </c>
      <c r="Q64" t="n">
        <v>0</v>
      </c>
      <c r="R64" s="2" t="inlineStr"/>
    </row>
    <row r="65" ht="15" customHeight="1">
      <c r="A65" t="inlineStr">
        <is>
          <t>A 4165-2023</t>
        </is>
      </c>
      <c r="B65" s="1" t="n">
        <v>44953</v>
      </c>
      <c r="C65" s="1" t="n">
        <v>46145</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13548-2025</t>
        </is>
      </c>
      <c r="B66" s="1" t="n">
        <v>45736.53827546296</v>
      </c>
      <c r="C66" s="1" t="n">
        <v>46145</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46145</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46145</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46145</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32921-2023</t>
        </is>
      </c>
      <c r="B70" s="1" t="n">
        <v>45125</v>
      </c>
      <c r="C70" s="1" t="n">
        <v>46145</v>
      </c>
      <c r="D70" t="inlineStr">
        <is>
          <t>KALMAR LÄN</t>
        </is>
      </c>
      <c r="E70" t="inlineStr">
        <is>
          <t>BORGHOLM</t>
        </is>
      </c>
      <c r="G70" t="n">
        <v>2.9</v>
      </c>
      <c r="H70" t="n">
        <v>0</v>
      </c>
      <c r="I70" t="n">
        <v>0</v>
      </c>
      <c r="J70" t="n">
        <v>0</v>
      </c>
      <c r="K70" t="n">
        <v>0</v>
      </c>
      <c r="L70" t="n">
        <v>0</v>
      </c>
      <c r="M70" t="n">
        <v>0</v>
      </c>
      <c r="N70" t="n">
        <v>0</v>
      </c>
      <c r="O70" t="n">
        <v>0</v>
      </c>
      <c r="P70" t="n">
        <v>0</v>
      </c>
      <c r="Q70" t="n">
        <v>0</v>
      </c>
      <c r="R70" s="2" t="inlineStr"/>
    </row>
    <row r="71" ht="15" customHeight="1">
      <c r="A71" t="inlineStr">
        <is>
          <t>A 31840-2021</t>
        </is>
      </c>
      <c r="B71" s="1" t="n">
        <v>44370</v>
      </c>
      <c r="C71" s="1" t="n">
        <v>46145</v>
      </c>
      <c r="D71" t="inlineStr">
        <is>
          <t>KALMAR LÄN</t>
        </is>
      </c>
      <c r="E71" t="inlineStr">
        <is>
          <t>BORGHOLM</t>
        </is>
      </c>
      <c r="F71" t="inlineStr">
        <is>
          <t>Sveaskog</t>
        </is>
      </c>
      <c r="G71" t="n">
        <v>2.8</v>
      </c>
      <c r="H71" t="n">
        <v>0</v>
      </c>
      <c r="I71" t="n">
        <v>0</v>
      </c>
      <c r="J71" t="n">
        <v>0</v>
      </c>
      <c r="K71" t="n">
        <v>0</v>
      </c>
      <c r="L71" t="n">
        <v>0</v>
      </c>
      <c r="M71" t="n">
        <v>0</v>
      </c>
      <c r="N71" t="n">
        <v>0</v>
      </c>
      <c r="O71" t="n">
        <v>0</v>
      </c>
      <c r="P71" t="n">
        <v>0</v>
      </c>
      <c r="Q71" t="n">
        <v>0</v>
      </c>
      <c r="R71" s="2" t="inlineStr"/>
    </row>
    <row r="72" ht="15" customHeight="1">
      <c r="A72" t="inlineStr">
        <is>
          <t>A 43542-2025</t>
        </is>
      </c>
      <c r="B72" s="1" t="n">
        <v>45911.61123842592</v>
      </c>
      <c r="C72" s="1" t="n">
        <v>46145</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44678-2022</t>
        </is>
      </c>
      <c r="B73" s="1" t="n">
        <v>44840.65100694444</v>
      </c>
      <c r="C73" s="1" t="n">
        <v>46145</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46145</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46145</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46145</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64303-2023</t>
        </is>
      </c>
      <c r="B77" s="1" t="n">
        <v>45280</v>
      </c>
      <c r="C77" s="1" t="n">
        <v>46145</v>
      </c>
      <c r="D77" t="inlineStr">
        <is>
          <t>KALMAR LÄN</t>
        </is>
      </c>
      <c r="E77" t="inlineStr">
        <is>
          <t>BORGHOLM</t>
        </is>
      </c>
      <c r="G77" t="n">
        <v>1.2</v>
      </c>
      <c r="H77" t="n">
        <v>0</v>
      </c>
      <c r="I77" t="n">
        <v>0</v>
      </c>
      <c r="J77" t="n">
        <v>0</v>
      </c>
      <c r="K77" t="n">
        <v>0</v>
      </c>
      <c r="L77" t="n">
        <v>0</v>
      </c>
      <c r="M77" t="n">
        <v>0</v>
      </c>
      <c r="N77" t="n">
        <v>0</v>
      </c>
      <c r="O77" t="n">
        <v>0</v>
      </c>
      <c r="P77" t="n">
        <v>0</v>
      </c>
      <c r="Q77" t="n">
        <v>0</v>
      </c>
      <c r="R77" s="2" t="inlineStr"/>
    </row>
    <row r="78" ht="15" customHeight="1">
      <c r="A78" t="inlineStr">
        <is>
          <t>A 44547-2021</t>
        </is>
      </c>
      <c r="B78" s="1" t="n">
        <v>44435</v>
      </c>
      <c r="C78" s="1" t="n">
        <v>46145</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63075-2023</t>
        </is>
      </c>
      <c r="B79" s="1" t="n">
        <v>45273</v>
      </c>
      <c r="C79" s="1" t="n">
        <v>46145</v>
      </c>
      <c r="D79" t="inlineStr">
        <is>
          <t>KALMAR LÄN</t>
        </is>
      </c>
      <c r="E79" t="inlineStr">
        <is>
          <t>BORGHOLM</t>
        </is>
      </c>
      <c r="G79" t="n">
        <v>1.1</v>
      </c>
      <c r="H79" t="n">
        <v>0</v>
      </c>
      <c r="I79" t="n">
        <v>0</v>
      </c>
      <c r="J79" t="n">
        <v>0</v>
      </c>
      <c r="K79" t="n">
        <v>0</v>
      </c>
      <c r="L79" t="n">
        <v>0</v>
      </c>
      <c r="M79" t="n">
        <v>0</v>
      </c>
      <c r="N79" t="n">
        <v>0</v>
      </c>
      <c r="O79" t="n">
        <v>0</v>
      </c>
      <c r="P79" t="n">
        <v>0</v>
      </c>
      <c r="Q79" t="n">
        <v>0</v>
      </c>
      <c r="R79" s="2" t="inlineStr"/>
    </row>
    <row r="80" ht="15" customHeight="1">
      <c r="A80" t="inlineStr">
        <is>
          <t>A 50129-2021</t>
        </is>
      </c>
      <c r="B80" s="1" t="n">
        <v>44456</v>
      </c>
      <c r="C80" s="1" t="n">
        <v>46145</v>
      </c>
      <c r="D80" t="inlineStr">
        <is>
          <t>KALMAR LÄN</t>
        </is>
      </c>
      <c r="E80" t="inlineStr">
        <is>
          <t>BORGHOLM</t>
        </is>
      </c>
      <c r="G80" t="n">
        <v>1.6</v>
      </c>
      <c r="H80" t="n">
        <v>0</v>
      </c>
      <c r="I80" t="n">
        <v>0</v>
      </c>
      <c r="J80" t="n">
        <v>0</v>
      </c>
      <c r="K80" t="n">
        <v>0</v>
      </c>
      <c r="L80" t="n">
        <v>0</v>
      </c>
      <c r="M80" t="n">
        <v>0</v>
      </c>
      <c r="N80" t="n">
        <v>0</v>
      </c>
      <c r="O80" t="n">
        <v>0</v>
      </c>
      <c r="P80" t="n">
        <v>0</v>
      </c>
      <c r="Q80" t="n">
        <v>0</v>
      </c>
      <c r="R80" s="2" t="inlineStr"/>
    </row>
    <row r="81" ht="15" customHeight="1">
      <c r="A81" t="inlineStr">
        <is>
          <t>A 1757-2025</t>
        </is>
      </c>
      <c r="B81" s="1" t="n">
        <v>45671.42195601852</v>
      </c>
      <c r="C81" s="1" t="n">
        <v>46145</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17699-2025</t>
        </is>
      </c>
      <c r="B82" s="1" t="n">
        <v>45758.41846064815</v>
      </c>
      <c r="C82" s="1" t="n">
        <v>46145</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7669-2024</t>
        </is>
      </c>
      <c r="B83" s="1" t="n">
        <v>45348.82498842593</v>
      </c>
      <c r="C83" s="1" t="n">
        <v>46145</v>
      </c>
      <c r="D83" t="inlineStr">
        <is>
          <t>KALMAR LÄN</t>
        </is>
      </c>
      <c r="E83" t="inlineStr">
        <is>
          <t>BORGHOLM</t>
        </is>
      </c>
      <c r="G83" t="n">
        <v>2.3</v>
      </c>
      <c r="H83" t="n">
        <v>0</v>
      </c>
      <c r="I83" t="n">
        <v>0</v>
      </c>
      <c r="J83" t="n">
        <v>0</v>
      </c>
      <c r="K83" t="n">
        <v>0</v>
      </c>
      <c r="L83" t="n">
        <v>0</v>
      </c>
      <c r="M83" t="n">
        <v>0</v>
      </c>
      <c r="N83" t="n">
        <v>0</v>
      </c>
      <c r="O83" t="n">
        <v>0</v>
      </c>
      <c r="P83" t="n">
        <v>0</v>
      </c>
      <c r="Q83" t="n">
        <v>0</v>
      </c>
      <c r="R83" s="2" t="inlineStr"/>
    </row>
    <row r="84" ht="15" customHeight="1">
      <c r="A84" t="inlineStr">
        <is>
          <t>A 34780-2022</t>
        </is>
      </c>
      <c r="B84" s="1" t="n">
        <v>44795</v>
      </c>
      <c r="C84" s="1" t="n">
        <v>46145</v>
      </c>
      <c r="D84" t="inlineStr">
        <is>
          <t>KALMAR LÄN</t>
        </is>
      </c>
      <c r="E84" t="inlineStr">
        <is>
          <t>BORGHOLM</t>
        </is>
      </c>
      <c r="F84" t="inlineStr">
        <is>
          <t>Sveaskog</t>
        </is>
      </c>
      <c r="G84" t="n">
        <v>6.7</v>
      </c>
      <c r="H84" t="n">
        <v>0</v>
      </c>
      <c r="I84" t="n">
        <v>0</v>
      </c>
      <c r="J84" t="n">
        <v>0</v>
      </c>
      <c r="K84" t="n">
        <v>0</v>
      </c>
      <c r="L84" t="n">
        <v>0</v>
      </c>
      <c r="M84" t="n">
        <v>0</v>
      </c>
      <c r="N84" t="n">
        <v>0</v>
      </c>
      <c r="O84" t="n">
        <v>0</v>
      </c>
      <c r="P84" t="n">
        <v>0</v>
      </c>
      <c r="Q84" t="n">
        <v>0</v>
      </c>
      <c r="R84" s="2" t="inlineStr"/>
    </row>
    <row r="85" ht="15" customHeight="1">
      <c r="A85" t="inlineStr">
        <is>
          <t>A 55367-2024</t>
        </is>
      </c>
      <c r="B85" s="1" t="n">
        <v>45621.87075231481</v>
      </c>
      <c r="C85" s="1" t="n">
        <v>46145</v>
      </c>
      <c r="D85" t="inlineStr">
        <is>
          <t>KALMAR LÄN</t>
        </is>
      </c>
      <c r="E85" t="inlineStr">
        <is>
          <t>BORGHOLM</t>
        </is>
      </c>
      <c r="G85" t="n">
        <v>0.7</v>
      </c>
      <c r="H85" t="n">
        <v>0</v>
      </c>
      <c r="I85" t="n">
        <v>0</v>
      </c>
      <c r="J85" t="n">
        <v>0</v>
      </c>
      <c r="K85" t="n">
        <v>0</v>
      </c>
      <c r="L85" t="n">
        <v>0</v>
      </c>
      <c r="M85" t="n">
        <v>0</v>
      </c>
      <c r="N85" t="n">
        <v>0</v>
      </c>
      <c r="O85" t="n">
        <v>0</v>
      </c>
      <c r="P85" t="n">
        <v>0</v>
      </c>
      <c r="Q85" t="n">
        <v>0</v>
      </c>
      <c r="R85" s="2" t="inlineStr"/>
    </row>
    <row r="86" ht="15" customHeight="1">
      <c r="A86" t="inlineStr">
        <is>
          <t>A 20287-2025</t>
        </is>
      </c>
      <c r="B86" s="1" t="n">
        <v>45774.60741898148</v>
      </c>
      <c r="C86" s="1" t="n">
        <v>46145</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60141-2025</t>
        </is>
      </c>
      <c r="B87" s="1" t="n">
        <v>45994.36873842592</v>
      </c>
      <c r="C87" s="1" t="n">
        <v>46145</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9076-2025</t>
        </is>
      </c>
      <c r="B88" s="1" t="n">
        <v>45713.6596875</v>
      </c>
      <c r="C88" s="1" t="n">
        <v>46145</v>
      </c>
      <c r="D88" t="inlineStr">
        <is>
          <t>KALMAR LÄN</t>
        </is>
      </c>
      <c r="E88" t="inlineStr">
        <is>
          <t>BORGHOLM</t>
        </is>
      </c>
      <c r="F88" t="inlineStr">
        <is>
          <t>Sveaskog</t>
        </is>
      </c>
      <c r="G88" t="n">
        <v>4.2</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46145</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46145</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21908-2022</t>
        </is>
      </c>
      <c r="B91" s="1" t="n">
        <v>44711</v>
      </c>
      <c r="C91" s="1" t="n">
        <v>46145</v>
      </c>
      <c r="D91" t="inlineStr">
        <is>
          <t>KALMAR LÄN</t>
        </is>
      </c>
      <c r="E91" t="inlineStr">
        <is>
          <t>BORGHOLM</t>
        </is>
      </c>
      <c r="G91" t="n">
        <v>4.7</v>
      </c>
      <c r="H91" t="n">
        <v>0</v>
      </c>
      <c r="I91" t="n">
        <v>0</v>
      </c>
      <c r="J91" t="n">
        <v>0</v>
      </c>
      <c r="K91" t="n">
        <v>0</v>
      </c>
      <c r="L91" t="n">
        <v>0</v>
      </c>
      <c r="M91" t="n">
        <v>0</v>
      </c>
      <c r="N91" t="n">
        <v>0</v>
      </c>
      <c r="O91" t="n">
        <v>0</v>
      </c>
      <c r="P91" t="n">
        <v>0</v>
      </c>
      <c r="Q91" t="n">
        <v>0</v>
      </c>
      <c r="R91" s="2" t="inlineStr"/>
    </row>
    <row r="92" ht="15" customHeight="1">
      <c r="A92" t="inlineStr">
        <is>
          <t>A 34951-2022</t>
        </is>
      </c>
      <c r="B92" s="1" t="n">
        <v>44796</v>
      </c>
      <c r="C92" s="1" t="n">
        <v>46145</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9034-2025</t>
        </is>
      </c>
      <c r="B93" s="1" t="n">
        <v>45713</v>
      </c>
      <c r="C93" s="1" t="n">
        <v>46145</v>
      </c>
      <c r="D93" t="inlineStr">
        <is>
          <t>KALMAR LÄN</t>
        </is>
      </c>
      <c r="E93" t="inlineStr">
        <is>
          <t>BORGHOLM</t>
        </is>
      </c>
      <c r="F93" t="inlineStr">
        <is>
          <t>Sveaskog</t>
        </is>
      </c>
      <c r="G93" t="n">
        <v>6.8</v>
      </c>
      <c r="H93" t="n">
        <v>0</v>
      </c>
      <c r="I93" t="n">
        <v>0</v>
      </c>
      <c r="J93" t="n">
        <v>0</v>
      </c>
      <c r="K93" t="n">
        <v>0</v>
      </c>
      <c r="L93" t="n">
        <v>0</v>
      </c>
      <c r="M93" t="n">
        <v>0</v>
      </c>
      <c r="N93" t="n">
        <v>0</v>
      </c>
      <c r="O93" t="n">
        <v>0</v>
      </c>
      <c r="P93" t="n">
        <v>0</v>
      </c>
      <c r="Q93" t="n">
        <v>0</v>
      </c>
      <c r="R93" s="2" t="inlineStr"/>
    </row>
    <row r="94" ht="15" customHeight="1">
      <c r="A94" t="inlineStr">
        <is>
          <t>A 5175-2024</t>
        </is>
      </c>
      <c r="B94" s="1" t="n">
        <v>45330</v>
      </c>
      <c r="C94" s="1" t="n">
        <v>46145</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7481-2026</t>
        </is>
      </c>
      <c r="B95" s="1" t="n">
        <v>46059.51359953704</v>
      </c>
      <c r="C95" s="1" t="n">
        <v>46145</v>
      </c>
      <c r="D95" t="inlineStr">
        <is>
          <t>KALMAR LÄN</t>
        </is>
      </c>
      <c r="E95" t="inlineStr">
        <is>
          <t>BORGHOLM</t>
        </is>
      </c>
      <c r="G95" t="n">
        <v>1.9</v>
      </c>
      <c r="H95" t="n">
        <v>0</v>
      </c>
      <c r="I95" t="n">
        <v>0</v>
      </c>
      <c r="J95" t="n">
        <v>0</v>
      </c>
      <c r="K95" t="n">
        <v>0</v>
      </c>
      <c r="L95" t="n">
        <v>0</v>
      </c>
      <c r="M95" t="n">
        <v>0</v>
      </c>
      <c r="N95" t="n">
        <v>0</v>
      </c>
      <c r="O95" t="n">
        <v>0</v>
      </c>
      <c r="P95" t="n">
        <v>0</v>
      </c>
      <c r="Q95" t="n">
        <v>0</v>
      </c>
      <c r="R95" s="2" t="inlineStr"/>
    </row>
    <row r="96" ht="15" customHeight="1">
      <c r="A96" t="inlineStr">
        <is>
          <t>A 3878-2023</t>
        </is>
      </c>
      <c r="B96" s="1" t="n">
        <v>44951</v>
      </c>
      <c r="C96" s="1" t="n">
        <v>46145</v>
      </c>
      <c r="D96" t="inlineStr">
        <is>
          <t>KALMAR LÄN</t>
        </is>
      </c>
      <c r="E96" t="inlineStr">
        <is>
          <t>BORGHOLM</t>
        </is>
      </c>
      <c r="G96" t="n">
        <v>1.7</v>
      </c>
      <c r="H96" t="n">
        <v>0</v>
      </c>
      <c r="I96" t="n">
        <v>0</v>
      </c>
      <c r="J96" t="n">
        <v>0</v>
      </c>
      <c r="K96" t="n">
        <v>0</v>
      </c>
      <c r="L96" t="n">
        <v>0</v>
      </c>
      <c r="M96" t="n">
        <v>0</v>
      </c>
      <c r="N96" t="n">
        <v>0</v>
      </c>
      <c r="O96" t="n">
        <v>0</v>
      </c>
      <c r="P96" t="n">
        <v>0</v>
      </c>
      <c r="Q96" t="n">
        <v>0</v>
      </c>
      <c r="R96" s="2" t="inlineStr"/>
    </row>
    <row r="97" ht="15" customHeight="1">
      <c r="A97" t="inlineStr">
        <is>
          <t>A 15264-2026</t>
        </is>
      </c>
      <c r="B97" s="1" t="n">
        <v>46105.59372685185</v>
      </c>
      <c r="C97" s="1" t="n">
        <v>46145</v>
      </c>
      <c r="D97" t="inlineStr">
        <is>
          <t>KALMAR LÄN</t>
        </is>
      </c>
      <c r="E97" t="inlineStr">
        <is>
          <t>BORGHOLM</t>
        </is>
      </c>
      <c r="F97" t="inlineStr">
        <is>
          <t>Sveaskog</t>
        </is>
      </c>
      <c r="G97" t="n">
        <v>1.7</v>
      </c>
      <c r="H97" t="n">
        <v>0</v>
      </c>
      <c r="I97" t="n">
        <v>0</v>
      </c>
      <c r="J97" t="n">
        <v>0</v>
      </c>
      <c r="K97" t="n">
        <v>0</v>
      </c>
      <c r="L97" t="n">
        <v>0</v>
      </c>
      <c r="M97" t="n">
        <v>0</v>
      </c>
      <c r="N97" t="n">
        <v>0</v>
      </c>
      <c r="O97" t="n">
        <v>0</v>
      </c>
      <c r="P97" t="n">
        <v>0</v>
      </c>
      <c r="Q97" t="n">
        <v>0</v>
      </c>
      <c r="R97" s="2" t="inlineStr"/>
    </row>
    <row r="98" ht="15" customHeight="1">
      <c r="A98" t="inlineStr">
        <is>
          <t>A 15272-2026</t>
        </is>
      </c>
      <c r="B98" s="1" t="n">
        <v>46105.60017361111</v>
      </c>
      <c r="C98" s="1" t="n">
        <v>46145</v>
      </c>
      <c r="D98" t="inlineStr">
        <is>
          <t>KALMAR LÄN</t>
        </is>
      </c>
      <c r="E98" t="inlineStr">
        <is>
          <t>BORGHOLM</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15279-2026</t>
        </is>
      </c>
      <c r="B99" s="1" t="n">
        <v>46105.61030092592</v>
      </c>
      <c r="C99" s="1" t="n">
        <v>46145</v>
      </c>
      <c r="D99" t="inlineStr">
        <is>
          <t>KALMAR LÄN</t>
        </is>
      </c>
      <c r="E99" t="inlineStr">
        <is>
          <t>BORGHOLM</t>
        </is>
      </c>
      <c r="F99" t="inlineStr">
        <is>
          <t>Sveaskog</t>
        </is>
      </c>
      <c r="G99" t="n">
        <v>4.6</v>
      </c>
      <c r="H99" t="n">
        <v>0</v>
      </c>
      <c r="I99" t="n">
        <v>0</v>
      </c>
      <c r="J99" t="n">
        <v>0</v>
      </c>
      <c r="K99" t="n">
        <v>0</v>
      </c>
      <c r="L99" t="n">
        <v>0</v>
      </c>
      <c r="M99" t="n">
        <v>0</v>
      </c>
      <c r="N99" t="n">
        <v>0</v>
      </c>
      <c r="O99" t="n">
        <v>0</v>
      </c>
      <c r="P99" t="n">
        <v>0</v>
      </c>
      <c r="Q99" t="n">
        <v>0</v>
      </c>
      <c r="R99" s="2" t="inlineStr"/>
    </row>
    <row r="100" ht="15" customHeight="1">
      <c r="A100" t="inlineStr">
        <is>
          <t>A 9104-2026</t>
        </is>
      </c>
      <c r="B100" s="1" t="n">
        <v>46069</v>
      </c>
      <c r="C100" s="1" t="n">
        <v>46145</v>
      </c>
      <c r="D100" t="inlineStr">
        <is>
          <t>KALMAR LÄN</t>
        </is>
      </c>
      <c r="E100" t="inlineStr">
        <is>
          <t>BORGHOLM</t>
        </is>
      </c>
      <c r="G100" t="n">
        <v>1.3</v>
      </c>
      <c r="H100" t="n">
        <v>0</v>
      </c>
      <c r="I100" t="n">
        <v>0</v>
      </c>
      <c r="J100" t="n">
        <v>0</v>
      </c>
      <c r="K100" t="n">
        <v>0</v>
      </c>
      <c r="L100" t="n">
        <v>0</v>
      </c>
      <c r="M100" t="n">
        <v>0</v>
      </c>
      <c r="N100" t="n">
        <v>0</v>
      </c>
      <c r="O100" t="n">
        <v>0</v>
      </c>
      <c r="P100" t="n">
        <v>0</v>
      </c>
      <c r="Q100" t="n">
        <v>0</v>
      </c>
      <c r="R100" s="2" t="inlineStr"/>
    </row>
    <row r="101" ht="15" customHeight="1">
      <c r="A101" t="inlineStr">
        <is>
          <t>A 19867-2024</t>
        </is>
      </c>
      <c r="B101" s="1" t="n">
        <v>45433</v>
      </c>
      <c r="C101" s="1" t="n">
        <v>46145</v>
      </c>
      <c r="D101" t="inlineStr">
        <is>
          <t>KALMAR LÄN</t>
        </is>
      </c>
      <c r="E101" t="inlineStr">
        <is>
          <t>BORGHOLM</t>
        </is>
      </c>
      <c r="G101" t="n">
        <v>3.9</v>
      </c>
      <c r="H101" t="n">
        <v>0</v>
      </c>
      <c r="I101" t="n">
        <v>0</v>
      </c>
      <c r="J101" t="n">
        <v>0</v>
      </c>
      <c r="K101" t="n">
        <v>0</v>
      </c>
      <c r="L101" t="n">
        <v>0</v>
      </c>
      <c r="M101" t="n">
        <v>0</v>
      </c>
      <c r="N101" t="n">
        <v>0</v>
      </c>
      <c r="O101" t="n">
        <v>0</v>
      </c>
      <c r="P101" t="n">
        <v>0</v>
      </c>
      <c r="Q101" t="n">
        <v>0</v>
      </c>
      <c r="R101" s="2" t="inlineStr"/>
    </row>
    <row r="102" ht="15" customHeight="1">
      <c r="A102" t="inlineStr">
        <is>
          <t>A 9259-2026</t>
        </is>
      </c>
      <c r="B102" s="1" t="n">
        <v>46070.51917824074</v>
      </c>
      <c r="C102" s="1" t="n">
        <v>46145</v>
      </c>
      <c r="D102" t="inlineStr">
        <is>
          <t>KALMAR LÄN</t>
        </is>
      </c>
      <c r="E102" t="inlineStr">
        <is>
          <t>BORGHOLM</t>
        </is>
      </c>
      <c r="G102" t="n">
        <v>1.6</v>
      </c>
      <c r="H102" t="n">
        <v>0</v>
      </c>
      <c r="I102" t="n">
        <v>0</v>
      </c>
      <c r="J102" t="n">
        <v>0</v>
      </c>
      <c r="K102" t="n">
        <v>0</v>
      </c>
      <c r="L102" t="n">
        <v>0</v>
      </c>
      <c r="M102" t="n">
        <v>0</v>
      </c>
      <c r="N102" t="n">
        <v>0</v>
      </c>
      <c r="O102" t="n">
        <v>0</v>
      </c>
      <c r="P102" t="n">
        <v>0</v>
      </c>
      <c r="Q102" t="n">
        <v>0</v>
      </c>
      <c r="R102" s="2" t="inlineStr"/>
    </row>
    <row r="103" ht="15" customHeight="1">
      <c r="A103" t="inlineStr">
        <is>
          <t>A 13383-2023</t>
        </is>
      </c>
      <c r="B103" s="1" t="n">
        <v>45005</v>
      </c>
      <c r="C103" s="1" t="n">
        <v>46145</v>
      </c>
      <c r="D103" t="inlineStr">
        <is>
          <t>KALMAR LÄN</t>
        </is>
      </c>
      <c r="E103" t="inlineStr">
        <is>
          <t>BORGHOLM</t>
        </is>
      </c>
      <c r="G103" t="n">
        <v>0.8</v>
      </c>
      <c r="H103" t="n">
        <v>0</v>
      </c>
      <c r="I103" t="n">
        <v>0</v>
      </c>
      <c r="J103" t="n">
        <v>0</v>
      </c>
      <c r="K103" t="n">
        <v>0</v>
      </c>
      <c r="L103" t="n">
        <v>0</v>
      </c>
      <c r="M103" t="n">
        <v>0</v>
      </c>
      <c r="N103" t="n">
        <v>0</v>
      </c>
      <c r="O103" t="n">
        <v>0</v>
      </c>
      <c r="P103" t="n">
        <v>0</v>
      </c>
      <c r="Q103" t="n">
        <v>0</v>
      </c>
      <c r="R103" s="2" t="inlineStr"/>
    </row>
    <row r="104" ht="15" customHeight="1">
      <c r="A104" t="inlineStr">
        <is>
          <t>A 9905-2026</t>
        </is>
      </c>
      <c r="B104" s="1" t="n">
        <v>46073.4108912037</v>
      </c>
      <c r="C104" s="1" t="n">
        <v>46145</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46145</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7960-2023</t>
        </is>
      </c>
      <c r="B106" s="1" t="n">
        <v>44973</v>
      </c>
      <c r="C106" s="1" t="n">
        <v>46145</v>
      </c>
      <c r="D106" t="inlineStr">
        <is>
          <t>KALMAR LÄN</t>
        </is>
      </c>
      <c r="E106" t="inlineStr">
        <is>
          <t>BORGHOLM</t>
        </is>
      </c>
      <c r="G106" t="n">
        <v>2.1</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46145</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46145</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1614-2025</t>
        </is>
      </c>
      <c r="B109" s="1" t="n">
        <v>45670.60094907408</v>
      </c>
      <c r="C109" s="1" t="n">
        <v>46145</v>
      </c>
      <c r="D109" t="inlineStr">
        <is>
          <t>KALMAR LÄN</t>
        </is>
      </c>
      <c r="E109" t="inlineStr">
        <is>
          <t>BORGHOLM</t>
        </is>
      </c>
      <c r="G109" t="n">
        <v>1.4</v>
      </c>
      <c r="H109" t="n">
        <v>0</v>
      </c>
      <c r="I109" t="n">
        <v>0</v>
      </c>
      <c r="J109" t="n">
        <v>0</v>
      </c>
      <c r="K109" t="n">
        <v>0</v>
      </c>
      <c r="L109" t="n">
        <v>0</v>
      </c>
      <c r="M109" t="n">
        <v>0</v>
      </c>
      <c r="N109" t="n">
        <v>0</v>
      </c>
      <c r="O109" t="n">
        <v>0</v>
      </c>
      <c r="P109" t="n">
        <v>0</v>
      </c>
      <c r="Q109" t="n">
        <v>0</v>
      </c>
      <c r="R109" s="2" t="inlineStr"/>
    </row>
    <row r="110" ht="15" customHeight="1">
      <c r="A110" t="inlineStr">
        <is>
          <t>A 63276-2023</t>
        </is>
      </c>
      <c r="B110" s="1" t="n">
        <v>45273.82195601852</v>
      </c>
      <c r="C110" s="1" t="n">
        <v>46145</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9050-2025</t>
        </is>
      </c>
      <c r="B111" s="1" t="n">
        <v>45713.63512731482</v>
      </c>
      <c r="C111" s="1" t="n">
        <v>46145</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46145</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46145</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46145</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46145</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46145</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26160-2025</t>
        </is>
      </c>
      <c r="B117" s="1" t="n">
        <v>45805.4490162037</v>
      </c>
      <c r="C117" s="1" t="n">
        <v>46145</v>
      </c>
      <c r="D117" t="inlineStr">
        <is>
          <t>KALMAR LÄN</t>
        </is>
      </c>
      <c r="E117" t="inlineStr">
        <is>
          <t>BORGHOLM</t>
        </is>
      </c>
      <c r="G117" t="n">
        <v>3.7</v>
      </c>
      <c r="H117" t="n">
        <v>0</v>
      </c>
      <c r="I117" t="n">
        <v>0</v>
      </c>
      <c r="J117" t="n">
        <v>0</v>
      </c>
      <c r="K117" t="n">
        <v>0</v>
      </c>
      <c r="L117" t="n">
        <v>0</v>
      </c>
      <c r="M117" t="n">
        <v>0</v>
      </c>
      <c r="N117" t="n">
        <v>0</v>
      </c>
      <c r="O117" t="n">
        <v>0</v>
      </c>
      <c r="P117" t="n">
        <v>0</v>
      </c>
      <c r="Q117" t="n">
        <v>0</v>
      </c>
      <c r="R117" s="2" t="inlineStr"/>
    </row>
    <row r="118" ht="15" customHeight="1">
      <c r="A118" t="inlineStr">
        <is>
          <t>A 26190-2025</t>
        </is>
      </c>
      <c r="B118" s="1" t="n">
        <v>45805.48349537037</v>
      </c>
      <c r="C118" s="1" t="n">
        <v>46145</v>
      </c>
      <c r="D118" t="inlineStr">
        <is>
          <t>KALMAR LÄN</t>
        </is>
      </c>
      <c r="E118" t="inlineStr">
        <is>
          <t>BORGHOLM</t>
        </is>
      </c>
      <c r="G118" t="n">
        <v>3.2</v>
      </c>
      <c r="H118" t="n">
        <v>0</v>
      </c>
      <c r="I118" t="n">
        <v>0</v>
      </c>
      <c r="J118" t="n">
        <v>0</v>
      </c>
      <c r="K118" t="n">
        <v>0</v>
      </c>
      <c r="L118" t="n">
        <v>0</v>
      </c>
      <c r="M118" t="n">
        <v>0</v>
      </c>
      <c r="N118" t="n">
        <v>0</v>
      </c>
      <c r="O118" t="n">
        <v>0</v>
      </c>
      <c r="P118" t="n">
        <v>0</v>
      </c>
      <c r="Q118" t="n">
        <v>0</v>
      </c>
      <c r="R118" s="2" t="inlineStr"/>
    </row>
    <row r="119" ht="15" customHeight="1">
      <c r="A119" t="inlineStr">
        <is>
          <t>A 27357-2025</t>
        </is>
      </c>
      <c r="B119" s="1" t="n">
        <v>45812.63650462963</v>
      </c>
      <c r="C119" s="1" t="n">
        <v>46145</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27366-2025</t>
        </is>
      </c>
      <c r="B120" s="1" t="n">
        <v>45812.64475694444</v>
      </c>
      <c r="C120" s="1" t="n">
        <v>46145</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ht="15" customHeight="1">
      <c r="A121" t="inlineStr">
        <is>
          <t>A 28782-2025</t>
        </is>
      </c>
      <c r="B121" s="1" t="n">
        <v>45820.45572916666</v>
      </c>
      <c r="C121" s="1" t="n">
        <v>46145</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row r="122">
      <c r="A122" t="inlineStr">
        <is>
          <t>A 36269-2025</t>
        </is>
      </c>
      <c r="B122" s="1" t="n">
        <v>45867.61736111111</v>
      </c>
      <c r="C122" s="1" t="n">
        <v>46145</v>
      </c>
      <c r="D122" t="inlineStr">
        <is>
          <t>KALMAR LÄN</t>
        </is>
      </c>
      <c r="E122" t="inlineStr">
        <is>
          <t>BORGHOLM</t>
        </is>
      </c>
      <c r="F122" t="inlineStr">
        <is>
          <t>Sveaskog</t>
        </is>
      </c>
      <c r="G122" t="n">
        <v>3.3</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2026-05-03T11:04:06Z</dcterms:created>
  <dcterms:modified xmlns:dcterms="http://purl.org/dc/terms/" xmlns:xsi="http://www.w3.org/2001/XMLSchema-instance" xsi:type="dcterms:W3CDTF">2026-05-03T11:04:06Z</dcterms:modified>
</cp:coreProperties>
</file>