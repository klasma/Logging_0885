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45899</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45899</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45899</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45899</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45899</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45899</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45899</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45899</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45899</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45899</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45899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45899</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45899</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38860-2025</t>
        </is>
      </c>
      <c r="B20" s="1" t="n">
        <v>45887.5609375</v>
      </c>
      <c r="C20" s="1" t="n">
        <v>45899</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45899</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45899</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45899</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13556-2025</t>
        </is>
      </c>
      <c r="B24" s="1" t="n">
        <v>45736.54759259259</v>
      </c>
      <c r="C24" s="1" t="n">
        <v>45899</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45899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45899</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45899</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45899</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43603-2024</t>
        </is>
      </c>
      <c r="B29" s="1" t="n">
        <v>45569.44700231482</v>
      </c>
      <c r="C29" s="1" t="n">
        <v>45899</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14789-2021</t>
        </is>
      </c>
      <c r="B30" s="1" t="n">
        <v>44280</v>
      </c>
      <c r="C30" s="1" t="n">
        <v>45899</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24704-2023</t>
        </is>
      </c>
      <c r="B31" s="1" t="n">
        <v>45084</v>
      </c>
      <c r="C31" s="1" t="n">
        <v>45899</v>
      </c>
      <c r="D31" t="inlineStr">
        <is>
          <t>KALMAR LÄN</t>
        </is>
      </c>
      <c r="E31" t="inlineStr">
        <is>
          <t>BORGHOLM</t>
        </is>
      </c>
      <c r="G31" t="n">
        <v>3.5</v>
      </c>
      <c r="H31" t="n">
        <v>0</v>
      </c>
      <c r="I31" t="n">
        <v>0</v>
      </c>
      <c r="J31" t="n">
        <v>0</v>
      </c>
      <c r="K31" t="n">
        <v>0</v>
      </c>
      <c r="L31" t="n">
        <v>1</v>
      </c>
      <c r="M31" t="n">
        <v>0</v>
      </c>
      <c r="N31" t="n">
        <v>0</v>
      </c>
      <c r="O31" t="n">
        <v>1</v>
      </c>
      <c r="P31" t="n">
        <v>1</v>
      </c>
      <c r="Q31" t="n">
        <v>1</v>
      </c>
      <c r="R31" s="2" t="inlineStr">
        <is>
          <t>Ask</t>
        </is>
      </c>
      <c r="S31">
        <f>HYPERLINK("https://klasma.github.io/Logging_0885/artfynd/A 24704-2023 artfynd.xlsx", "A 24704-2023")</f>
        <v/>
      </c>
      <c r="T31">
        <f>HYPERLINK("https://klasma.github.io/Logging_0885/kartor/A 24704-2023 karta.png", "A 24704-2023")</f>
        <v/>
      </c>
      <c r="V31">
        <f>HYPERLINK("https://klasma.github.io/Logging_0885/klagomål/A 24704-2023 FSC-klagomål.docx", "A 24704-2023")</f>
        <v/>
      </c>
      <c r="W31">
        <f>HYPERLINK("https://klasma.github.io/Logging_0885/klagomålsmail/A 24704-2023 FSC-klagomål mail.docx", "A 24704-2023")</f>
        <v/>
      </c>
      <c r="X31">
        <f>HYPERLINK("https://klasma.github.io/Logging_0885/tillsyn/A 24704-2023 tillsynsbegäran.docx", "A 24704-2023")</f>
        <v/>
      </c>
      <c r="Y31">
        <f>HYPERLINK("https://klasma.github.io/Logging_0885/tillsynsmail/A 24704-2023 tillsynsbegäran mail.docx", "A 24704-2023")</f>
        <v/>
      </c>
    </row>
    <row r="32" ht="15" customHeight="1">
      <c r="A32" t="inlineStr">
        <is>
          <t>A 24048-2025</t>
        </is>
      </c>
      <c r="B32" s="1" t="n">
        <v>45796.4959375</v>
      </c>
      <c r="C32" s="1" t="n">
        <v>45899</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45899</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45899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45899</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45899</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45899</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34885-2025</t>
        </is>
      </c>
      <c r="B38" s="1" t="n">
        <v>45849.47128472223</v>
      </c>
      <c r="C38" s="1" t="n">
        <v>45899</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45899</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45899</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56499-2020</t>
        </is>
      </c>
      <c r="B41" s="1" t="n">
        <v>44137</v>
      </c>
      <c r="C41" s="1" t="n">
        <v>45899</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45899</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45899</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45899</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45899</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45899</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45899</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45899</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45899</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45899</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45899</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45899</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45899</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45899</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45899</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45899</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45899</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45899</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45899</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45899</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45899</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45899</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45899</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45899</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45899</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45899</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45899</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45899</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45899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45899</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9044-2025</t>
        </is>
      </c>
      <c r="B71" s="1" t="n">
        <v>45713.6275</v>
      </c>
      <c r="C71" s="1" t="n">
        <v>45899</v>
      </c>
      <c r="D71" t="inlineStr">
        <is>
          <t>KALMAR LÄN</t>
        </is>
      </c>
      <c r="E71" t="inlineStr">
        <is>
          <t>BORGHOLM</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63075-2023</t>
        </is>
      </c>
      <c r="B72" s="1" t="n">
        <v>45273</v>
      </c>
      <c r="C72" s="1" t="n">
        <v>45899</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50129-2021</t>
        </is>
      </c>
      <c r="B73" s="1" t="n">
        <v>44456</v>
      </c>
      <c r="C73" s="1" t="n">
        <v>45899</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12481-2025</t>
        </is>
      </c>
      <c r="B74" s="1" t="n">
        <v>45730.57878472222</v>
      </c>
      <c r="C74" s="1" t="n">
        <v>45899</v>
      </c>
      <c r="D74" t="inlineStr">
        <is>
          <t>KALMAR LÄN</t>
        </is>
      </c>
      <c r="E74" t="inlineStr">
        <is>
          <t>BORGHOLM</t>
        </is>
      </c>
      <c r="G74" t="n">
        <v>7.2</v>
      </c>
      <c r="H74" t="n">
        <v>0</v>
      </c>
      <c r="I74" t="n">
        <v>0</v>
      </c>
      <c r="J74" t="n">
        <v>0</v>
      </c>
      <c r="K74" t="n">
        <v>0</v>
      </c>
      <c r="L74" t="n">
        <v>0</v>
      </c>
      <c r="M74" t="n">
        <v>0</v>
      </c>
      <c r="N74" t="n">
        <v>0</v>
      </c>
      <c r="O74" t="n">
        <v>0</v>
      </c>
      <c r="P74" t="n">
        <v>0</v>
      </c>
      <c r="Q74" t="n">
        <v>0</v>
      </c>
      <c r="R74" s="2" t="inlineStr"/>
    </row>
    <row r="75" ht="15" customHeight="1">
      <c r="A75" t="inlineStr">
        <is>
          <t>A 13043-2024</t>
        </is>
      </c>
      <c r="B75" s="1" t="n">
        <v>45385.60111111111</v>
      </c>
      <c r="C75" s="1" t="n">
        <v>45899</v>
      </c>
      <c r="D75" t="inlineStr">
        <is>
          <t>KALMAR LÄN</t>
        </is>
      </c>
      <c r="E75" t="inlineStr">
        <is>
          <t>BORGHOLM</t>
        </is>
      </c>
      <c r="G75" t="n">
        <v>0.4</v>
      </c>
      <c r="H75" t="n">
        <v>0</v>
      </c>
      <c r="I75" t="n">
        <v>0</v>
      </c>
      <c r="J75" t="n">
        <v>0</v>
      </c>
      <c r="K75" t="n">
        <v>0</v>
      </c>
      <c r="L75" t="n">
        <v>0</v>
      </c>
      <c r="M75" t="n">
        <v>0</v>
      </c>
      <c r="N75" t="n">
        <v>0</v>
      </c>
      <c r="O75" t="n">
        <v>0</v>
      </c>
      <c r="P75" t="n">
        <v>0</v>
      </c>
      <c r="Q75" t="n">
        <v>0</v>
      </c>
      <c r="R75" s="2" t="inlineStr"/>
    </row>
    <row r="76" ht="15" customHeight="1">
      <c r="A76" t="inlineStr">
        <is>
          <t>A 17978-2021</t>
        </is>
      </c>
      <c r="B76" s="1" t="n">
        <v>44301</v>
      </c>
      <c r="C76" s="1" t="n">
        <v>45899</v>
      </c>
      <c r="D76" t="inlineStr">
        <is>
          <t>KALMAR LÄN</t>
        </is>
      </c>
      <c r="E76" t="inlineStr">
        <is>
          <t>BORGHOLM</t>
        </is>
      </c>
      <c r="G76" t="n">
        <v>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45899</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22785-2025</t>
        </is>
      </c>
      <c r="B78" s="1" t="n">
        <v>45789.64186342592</v>
      </c>
      <c r="C78" s="1" t="n">
        <v>45899</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1757-2025</t>
        </is>
      </c>
      <c r="B79" s="1" t="n">
        <v>45671.42195601852</v>
      </c>
      <c r="C79" s="1" t="n">
        <v>45899</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45899</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17699-2025</t>
        </is>
      </c>
      <c r="B81" s="1" t="n">
        <v>45758.41846064815</v>
      </c>
      <c r="C81" s="1" t="n">
        <v>45899</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45899</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34780-2022</t>
        </is>
      </c>
      <c r="B83" s="1" t="n">
        <v>44795</v>
      </c>
      <c r="C83" s="1" t="n">
        <v>45899</v>
      </c>
      <c r="D83" t="inlineStr">
        <is>
          <t>KALMAR LÄN</t>
        </is>
      </c>
      <c r="E83" t="inlineStr">
        <is>
          <t>BORGHOLM</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45899</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45899</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45899</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20287-2025</t>
        </is>
      </c>
      <c r="B87" s="1" t="n">
        <v>45774.60741898148</v>
      </c>
      <c r="C87" s="1" t="n">
        <v>45899</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45899</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45899</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45899</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45899</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45899</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27366-2025</t>
        </is>
      </c>
      <c r="B93" s="1" t="n">
        <v>45812.64475694444</v>
      </c>
      <c r="C93" s="1" t="n">
        <v>45899</v>
      </c>
      <c r="D93" t="inlineStr">
        <is>
          <t>KALMAR LÄN</t>
        </is>
      </c>
      <c r="E93" t="inlineStr">
        <is>
          <t>BORGHOLM</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4159-2024</t>
        </is>
      </c>
      <c r="B94" s="1" t="n">
        <v>45323</v>
      </c>
      <c r="C94" s="1" t="n">
        <v>45899</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45899</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32919-2023</t>
        </is>
      </c>
      <c r="B96" s="1" t="n">
        <v>45125</v>
      </c>
      <c r="C96" s="1" t="n">
        <v>45899</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45899</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45899</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45899</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27326-2025</t>
        </is>
      </c>
      <c r="B100" s="1" t="n">
        <v>45812</v>
      </c>
      <c r="C100" s="1" t="n">
        <v>45899</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45899</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29656-2023</t>
        </is>
      </c>
      <c r="B102" s="1" t="n">
        <v>45107</v>
      </c>
      <c r="C102" s="1" t="n">
        <v>45899</v>
      </c>
      <c r="D102" t="inlineStr">
        <is>
          <t>KALMAR LÄN</t>
        </is>
      </c>
      <c r="E102" t="inlineStr">
        <is>
          <t>BORGHOLM</t>
        </is>
      </c>
      <c r="G102" t="n">
        <v>4.1</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45899</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4878-2021</t>
        </is>
      </c>
      <c r="B104" s="1" t="n">
        <v>44225</v>
      </c>
      <c r="C104" s="1" t="n">
        <v>45899</v>
      </c>
      <c r="D104" t="inlineStr">
        <is>
          <t>KALMAR LÄN</t>
        </is>
      </c>
      <c r="E104" t="inlineStr">
        <is>
          <t>BORGHOLM</t>
        </is>
      </c>
      <c r="G104" t="n">
        <v>3</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45899</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9034-2025</t>
        </is>
      </c>
      <c r="B106" s="1" t="n">
        <v>45713</v>
      </c>
      <c r="C106" s="1" t="n">
        <v>45899</v>
      </c>
      <c r="D106" t="inlineStr">
        <is>
          <t>KALMAR LÄN</t>
        </is>
      </c>
      <c r="E106" t="inlineStr">
        <is>
          <t>BORGHOLM</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45899</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45899</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13548-2025</t>
        </is>
      </c>
      <c r="B109" s="1" t="n">
        <v>45736.53827546296</v>
      </c>
      <c r="C109" s="1" t="n">
        <v>45899</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32921-2023</t>
        </is>
      </c>
      <c r="B110" s="1" t="n">
        <v>45125</v>
      </c>
      <c r="C110" s="1" t="n">
        <v>45899</v>
      </c>
      <c r="D110" t="inlineStr">
        <is>
          <t>KALMAR LÄN</t>
        </is>
      </c>
      <c r="E110" t="inlineStr">
        <is>
          <t>BORGHOLM</t>
        </is>
      </c>
      <c r="G110" t="n">
        <v>2.9</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45899</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31840-2021</t>
        </is>
      </c>
      <c r="B112" s="1" t="n">
        <v>44370</v>
      </c>
      <c r="C112" s="1" t="n">
        <v>45899</v>
      </c>
      <c r="D112" t="inlineStr">
        <is>
          <t>KALMAR LÄN</t>
        </is>
      </c>
      <c r="E112" t="inlineStr">
        <is>
          <t>BORGHOLM</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44678-2022</t>
        </is>
      </c>
      <c r="B113" s="1" t="n">
        <v>44840.65100694444</v>
      </c>
      <c r="C113" s="1" t="n">
        <v>45899</v>
      </c>
      <c r="D113" t="inlineStr">
        <is>
          <t>KALMAR LÄN</t>
        </is>
      </c>
      <c r="E113" t="inlineStr">
        <is>
          <t>BORGHOLM</t>
        </is>
      </c>
      <c r="G113" t="n">
        <v>2.4</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45899</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45899</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64303-2023</t>
        </is>
      </c>
      <c r="B116" s="1" t="n">
        <v>45280</v>
      </c>
      <c r="C116" s="1" t="n">
        <v>45899</v>
      </c>
      <c r="D116" t="inlineStr">
        <is>
          <t>KALMAR LÄN</t>
        </is>
      </c>
      <c r="E116" t="inlineStr">
        <is>
          <t>BORGHOLM</t>
        </is>
      </c>
      <c r="G116" t="n">
        <v>1.2</v>
      </c>
      <c r="H116" t="n">
        <v>0</v>
      </c>
      <c r="I116" t="n">
        <v>0</v>
      </c>
      <c r="J116" t="n">
        <v>0</v>
      </c>
      <c r="K116" t="n">
        <v>0</v>
      </c>
      <c r="L116" t="n">
        <v>0</v>
      </c>
      <c r="M116" t="n">
        <v>0</v>
      </c>
      <c r="N116" t="n">
        <v>0</v>
      </c>
      <c r="O116" t="n">
        <v>0</v>
      </c>
      <c r="P116" t="n">
        <v>0</v>
      </c>
      <c r="Q116" t="n">
        <v>0</v>
      </c>
      <c r="R116" s="2" t="inlineStr"/>
    </row>
    <row r="117" ht="15" customHeight="1">
      <c r="A117" t="inlineStr">
        <is>
          <t>A 44547-2021</t>
        </is>
      </c>
      <c r="B117" s="1" t="n">
        <v>44435</v>
      </c>
      <c r="C117" s="1" t="n">
        <v>45899</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45899</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45899</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61438-2023</t>
        </is>
      </c>
      <c r="B120" s="1" t="n">
        <v>45264</v>
      </c>
      <c r="C120" s="1" t="n">
        <v>45899</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13041-2024</t>
        </is>
      </c>
      <c r="B121" s="1" t="n">
        <v>45385.60065972222</v>
      </c>
      <c r="C121" s="1" t="n">
        <v>45899</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1614-2025</t>
        </is>
      </c>
      <c r="B122" s="1" t="n">
        <v>45670.60094907408</v>
      </c>
      <c r="C122" s="1" t="n">
        <v>45899</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63276-2023</t>
        </is>
      </c>
      <c r="B123" s="1" t="n">
        <v>45273.82195601852</v>
      </c>
      <c r="C123" s="1" t="n">
        <v>45899</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9028-2025</t>
        </is>
      </c>
      <c r="B124" s="1" t="n">
        <v>45713</v>
      </c>
      <c r="C124" s="1" t="n">
        <v>45899</v>
      </c>
      <c r="D124" t="inlineStr">
        <is>
          <t>KALMAR LÄN</t>
        </is>
      </c>
      <c r="E124" t="inlineStr">
        <is>
          <t>BORGHOLM</t>
        </is>
      </c>
      <c r="F124" t="inlineStr">
        <is>
          <t>Sveaskog</t>
        </is>
      </c>
      <c r="G124" t="n">
        <v>3</v>
      </c>
      <c r="H124" t="n">
        <v>0</v>
      </c>
      <c r="I124" t="n">
        <v>0</v>
      </c>
      <c r="J124" t="n">
        <v>0</v>
      </c>
      <c r="K124" t="n">
        <v>0</v>
      </c>
      <c r="L124" t="n">
        <v>0</v>
      </c>
      <c r="M124" t="n">
        <v>0</v>
      </c>
      <c r="N124" t="n">
        <v>0</v>
      </c>
      <c r="O124" t="n">
        <v>0</v>
      </c>
      <c r="P124" t="n">
        <v>0</v>
      </c>
      <c r="Q124" t="n">
        <v>0</v>
      </c>
      <c r="R124" s="2" t="inlineStr"/>
    </row>
    <row r="125">
      <c r="A125" t="inlineStr">
        <is>
          <t>A 9050-2025</t>
        </is>
      </c>
      <c r="B125" s="1" t="n">
        <v>45713.63512731482</v>
      </c>
      <c r="C125" s="1" t="n">
        <v>45899</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2025-08-30T08:31:13Z</dcterms:created>
  <dcterms:modified xmlns:dcterms="http://purl.org/dc/terms/" xmlns:xsi="http://www.w3.org/2001/XMLSchema-instance" xsi:type="dcterms:W3CDTF">2025-08-30T08:31:13Z</dcterms:modified>
</cp:coreProperties>
</file>