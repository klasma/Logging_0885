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46218</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46218</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46218</v>
      </c>
      <c r="F4" t="inlineStr">
        <is>
          <t>KALMAR LÄN</t>
        </is>
      </c>
      <c r="G4" t="inlineStr">
        <is>
          <t>BORGHOLM</t>
        </is>
      </c>
      <c r="I4" t="n">
        <v>13.5</v>
      </c>
      <c r="J4" t="n">
        <v>13</v>
      </c>
      <c r="K4" t="n">
        <v>6</v>
      </c>
      <c r="L4" t="n">
        <v>9</v>
      </c>
      <c r="M4" t="n">
        <v>1</v>
      </c>
      <c r="N4" t="n">
        <v>1</v>
      </c>
      <c r="O4" t="n">
        <v>0</v>
      </c>
      <c r="P4" t="n">
        <v>0</v>
      </c>
      <c r="Q4" t="n">
        <v>11</v>
      </c>
      <c r="R4" t="n">
        <v>2</v>
      </c>
      <c r="S4" t="n">
        <v>30</v>
      </c>
      <c r="T4" t="n">
        <v>45</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46218</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46218</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46218</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46218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46218</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46218</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46218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46218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46218</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s="2" t="inlineStr">
        <is>
          <t>Blåfotad fagerspindling
Brödmusseron
Gulsträngad fagerspindling
Skillerticka
Svartgrön spindling
Bittermusseron
Juvelspindling
Persiljespindling
Fransig jordstjärna
Murgröna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46218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32178-2022</t>
        </is>
      </c>
      <c r="B15" t="inlineStr">
        <is>
          <t>avverkningsanmälan</t>
        </is>
      </c>
      <c r="C15" t="inlineStr">
        <is>
          <t>Avverkning för att bevara och utveckla /försöksver</t>
        </is>
      </c>
      <c r="D15" s="1" t="n">
        <v>44781</v>
      </c>
      <c r="E15" s="1" t="n">
        <v>46218</v>
      </c>
      <c r="F15" t="inlineStr">
        <is>
          <t>KALMAR LÄN</t>
        </is>
      </c>
      <c r="G15" t="inlineStr">
        <is>
          <t>BORGHOLM</t>
        </is>
      </c>
      <c r="H15" t="inlineStr">
        <is>
          <t>Sveaskog</t>
        </is>
      </c>
      <c r="I15" t="n">
        <v>3.8</v>
      </c>
      <c r="J15" t="n">
        <v>4</v>
      </c>
      <c r="K15" t="n">
        <v>4</v>
      </c>
      <c r="L15" t="n">
        <v>3</v>
      </c>
      <c r="M15" t="n">
        <v>0</v>
      </c>
      <c r="N15" t="n">
        <v>1</v>
      </c>
      <c r="O15" t="n">
        <v>1</v>
      </c>
      <c r="P15" t="n">
        <v>0</v>
      </c>
      <c r="Q15" t="n">
        <v>5</v>
      </c>
      <c r="R15" t="n">
        <v>2</v>
      </c>
      <c r="S15" t="n">
        <v>10</v>
      </c>
      <c r="T15" t="n">
        <v>22</v>
      </c>
      <c r="U15" s="2" t="inlineStr">
        <is>
          <t>Järnek
Skogsalm
Fyrflikig jordstjärna
Grantaggsvamp
Grönsångare
Kalktallört
Kamjordstjärna
Skogsknipprot
Tvåblad
Kungsfågel</t>
        </is>
      </c>
      <c r="V15">
        <f>HYPERLINK("https://klasma.github.io/Logging_0885/artfynd/A 32178-2022 artfynd.xlsx", "A 32178-2022")</f>
        <v/>
      </c>
      <c r="W15">
        <f>HYPERLINK("https://klasma.github.io/Logging_0885/kartor/A 32178-2022 karta.png", "A 32178-2022")</f>
        <v/>
      </c>
      <c r="Y15">
        <f>HYPERLINK("https://klasma.github.io/Logging_0885/klagomål/A 32178-2022 FSC-klagomål.docx", "A 32178-2022")</f>
        <v/>
      </c>
      <c r="Z15">
        <f>HYPERLINK("https://klasma.github.io/Logging_0885/klagomålsmail/A 32178-2022 FSC-klagomål mail.docx", "A 32178-2022")</f>
        <v/>
      </c>
      <c r="AA15">
        <f>HYPERLINK("https://klasma.github.io/Logging_0885/tillsyn/A 32178-2022 tillsynsbegäran.docx", "A 32178-2022")</f>
        <v/>
      </c>
      <c r="AB15">
        <f>HYPERLINK("https://klasma.github.io/Logging_0885/tillsynsmail/A 32178-2022 tillsynsbegäran mail.docx", "A 32178-2022")</f>
        <v/>
      </c>
      <c r="AC15">
        <f>HYPERLINK("https://klasma.github.io/Logging_0885/fåglar/A 32178-2022 prioriterade fågelarter.docx", "A 32178-2022")</f>
        <v/>
      </c>
    </row>
    <row r="16" ht="15" customHeight="1">
      <c r="A16" t="inlineStr">
        <is>
          <t>A 29656-2023</t>
        </is>
      </c>
      <c r="B16" t="inlineStr">
        <is>
          <t>avverkningsanmälan</t>
        </is>
      </c>
      <c r="C16" t="inlineStr">
        <is>
          <t>Föryngringsavverkning</t>
        </is>
      </c>
      <c r="D16" s="1" t="n">
        <v>45107</v>
      </c>
      <c r="E16" s="1" t="n">
        <v>46218</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s="2" t="inlineStr">
        <is>
          <t>Blå halmlav
Klosterlav
Mörk kraterlav
Gammelekslav
Gul dropplav
Oxtungssvamp
Grå skärelav
Gulpudrad spiklav
Lönnlav
Tvåfläckig praktbagge</t>
        </is>
      </c>
      <c r="V16">
        <f>HYPERLINK("https://klasma.github.io/Logging_0885/artfynd/A 29656-2023 artfynd.xlsx", "A 29656-2023")</f>
        <v/>
      </c>
      <c r="W16">
        <f>HYPERLINK("https://klasma.github.io/Logging_0885/kartor/A 29656-2023 karta.png", "A 29656-2023")</f>
        <v/>
      </c>
      <c r="Y16">
        <f>HYPERLINK("https://klasma.github.io/Logging_0885/klagomål/A 29656-2023 FSC-klagomål.docx", "A 29656-2023")</f>
        <v/>
      </c>
      <c r="Z16">
        <f>HYPERLINK("https://klasma.github.io/Logging_0885/klagomålsmail/A 29656-2023 FSC-klagomål mail.docx", "A 29656-2023")</f>
        <v/>
      </c>
      <c r="AA16">
        <f>HYPERLINK("https://klasma.github.io/Logging_0885/tillsyn/A 29656-2023 tillsynsbegäran.docx", "A 29656-2023")</f>
        <v/>
      </c>
      <c r="AB16">
        <f>HYPERLINK("https://klasma.github.io/Logging_0885/tillsynsmail/A 29656-2023 tillsynsbegäran mail.docx", "A 29656-2023")</f>
        <v/>
      </c>
    </row>
    <row r="17" ht="15" customHeight="1">
      <c r="A17" t="inlineStr">
        <is>
          <t>S 2786-2023</t>
        </is>
      </c>
      <c r="B17" t="inlineStr">
        <is>
          <t>samrådsanmälan</t>
        </is>
      </c>
      <c r="C17" t="inlineStr">
        <is>
          <t>Annan skogsbruksåtgärd</t>
        </is>
      </c>
      <c r="D17" s="1" t="n">
        <v>45161</v>
      </c>
      <c r="E17" s="1" t="n">
        <v>46218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46218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46218</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46218</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46218</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46218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46218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46218</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s="2" t="inlineStr">
        <is>
          <t>Backklöver
Backtimjan
Jordtistel
Sårläka
Vårstarr
Krutbrännare
Nattviol
Sankt pers nycklar</t>
        </is>
      </c>
      <c r="V24">
        <f>HYPERLINK("https://klasma.github.io/Logging_0885/artfynd/A 12534-2022 artfynd.xlsx", "A 12534-2022")</f>
        <v/>
      </c>
      <c r="W24">
        <f>HYPERLINK("https://klasma.github.io/Logging_0885/kartor/A 12534-2022 karta.png", "A 12534-2022")</f>
        <v/>
      </c>
      <c r="Y24">
        <f>HYPERLINK("https://klasma.github.io/Logging_0885/klagomål/A 12534-2022 FSC-klagomål.docx", "A 12534-2022")</f>
        <v/>
      </c>
      <c r="Z24">
        <f>HYPERLINK("https://klasma.github.io/Logging_0885/klagomålsmail/A 12534-2022 FSC-klagomål mail.docx", "A 12534-2022")</f>
        <v/>
      </c>
      <c r="AA24">
        <f>HYPERLINK("https://klasma.github.io/Logging_0885/tillsyn/A 12534-2022 tillsynsbegäran.docx", "A 12534-2022")</f>
        <v/>
      </c>
      <c r="AB24">
        <f>HYPERLINK("https://klasma.github.io/Logging_0885/tillsynsmail/A 12534-2022 tillsynsbegäran mail.docx", "A 12534-2022")</f>
        <v/>
      </c>
    </row>
    <row r="25" ht="15" customHeight="1">
      <c r="A25" t="inlineStr">
        <is>
          <t>S 2741-2022</t>
        </is>
      </c>
      <c r="B25" t="inlineStr">
        <is>
          <t>samrådsanmälan</t>
        </is>
      </c>
      <c r="C25" t="inlineStr">
        <is>
          <t>Annan skogsbruksåtgärd</t>
        </is>
      </c>
      <c r="D25" s="1" t="n">
        <v>44704</v>
      </c>
      <c r="E25" s="1" t="n">
        <v>46218</v>
      </c>
      <c r="F25" t="inlineStr">
        <is>
          <t>KALMAR LÄN</t>
        </is>
      </c>
      <c r="G25" t="inlineStr">
        <is>
          <t>BORGHOLM</t>
        </is>
      </c>
      <c r="I25" t="n">
        <v>5.2</v>
      </c>
      <c r="J25" t="n">
        <v>1</v>
      </c>
      <c r="K25" t="n">
        <v>5</v>
      </c>
      <c r="L25" t="n">
        <v>1</v>
      </c>
      <c r="M25" t="n">
        <v>0</v>
      </c>
      <c r="N25" t="n">
        <v>2</v>
      </c>
      <c r="O25" t="n">
        <v>0</v>
      </c>
      <c r="P25" t="n">
        <v>0</v>
      </c>
      <c r="Q25" t="n">
        <v>3</v>
      </c>
      <c r="R25" t="n">
        <v>2</v>
      </c>
      <c r="S25" t="n">
        <v>8</v>
      </c>
      <c r="T25" t="n">
        <v>54</v>
      </c>
      <c r="U25" s="2" t="inlineStr">
        <is>
          <t>Almlav
Ask
Korskovall
Ekoxe
Slät lönnlav
Stor häxört
Underviol
Vitskivlav</t>
        </is>
      </c>
      <c r="V25">
        <f>HYPERLINK("https://klasma.github.io/Logging_0885/artfynd/S 2741-2022 artfynd.xlsx", "S 2741-2022")</f>
        <v/>
      </c>
      <c r="W25">
        <f>HYPERLINK("https://klasma.github.io/Logging_0885/kartor/S 2741-2022 karta.png", "S 2741-2022")</f>
        <v/>
      </c>
      <c r="Y25">
        <f>HYPERLINK("https://klasma.github.io/Logging_0885/klagomål/S 2741-2022 FSC-klagomål.docx", "S 2741-2022")</f>
        <v/>
      </c>
      <c r="Z25">
        <f>HYPERLINK("https://klasma.github.io/Logging_0885/klagomålsmail/S 2741-2022 FSC-klagomål mail.docx", "S 2741-2022")</f>
        <v/>
      </c>
      <c r="AA25">
        <f>HYPERLINK("https://klasma.github.io/Logging_0885/tillsyn/S 2741-2022 tillsynsbegäran.docx", "S 2741-2022")</f>
        <v/>
      </c>
      <c r="AB25">
        <f>HYPERLINK("https://klasma.github.io/Logging_0885/tillsynsmail/S 2741-2022 tillsynsbegäran mail.docx", "S 2741-2022")</f>
        <v/>
      </c>
    </row>
    <row r="26" ht="15" customHeight="1">
      <c r="A26" t="inlineStr">
        <is>
          <t>A 41640-2023</t>
        </is>
      </c>
      <c r="B26" t="inlineStr">
        <is>
          <t>avverkningsanmälan</t>
        </is>
      </c>
      <c r="C26" t="inlineStr">
        <is>
          <t>Föryngringsavverkning</t>
        </is>
      </c>
      <c r="D26" s="1" t="n">
        <v>45175</v>
      </c>
      <c r="E26" s="1" t="n">
        <v>46218</v>
      </c>
      <c r="F26" t="inlineStr">
        <is>
          <t>KALMAR LÄN</t>
        </is>
      </c>
      <c r="G26" t="inlineStr">
        <is>
          <t>BORGHOLM</t>
        </is>
      </c>
      <c r="I26" t="n">
        <v>5</v>
      </c>
      <c r="J26" t="n">
        <v>5</v>
      </c>
      <c r="K26" t="n">
        <v>2</v>
      </c>
      <c r="L26" t="n">
        <v>2</v>
      </c>
      <c r="M26" t="n">
        <v>0</v>
      </c>
      <c r="N26" t="n">
        <v>0</v>
      </c>
      <c r="O26" t="n">
        <v>0</v>
      </c>
      <c r="P26" t="n">
        <v>0</v>
      </c>
      <c r="Q26" t="n">
        <v>2</v>
      </c>
      <c r="R26" t="n">
        <v>0</v>
      </c>
      <c r="S26" t="n">
        <v>7</v>
      </c>
      <c r="T26" t="n">
        <v>7</v>
      </c>
      <c r="U26" s="2" t="inlineStr">
        <is>
          <t>Jordtistel
Sårläka
Flugblomster
Tvåblad
Blåsippa
Johannesnycklar
Vanliga ängsnycklar</t>
        </is>
      </c>
      <c r="V26">
        <f>HYPERLINK("https://klasma.github.io/Logging_0885/artfynd/A 41640-2023 artfynd.xlsx", "A 41640-2023")</f>
        <v/>
      </c>
      <c r="W26">
        <f>HYPERLINK("https://klasma.github.io/Logging_0885/kartor/A 41640-2023 karta.png", "A 41640-2023")</f>
        <v/>
      </c>
      <c r="Y26">
        <f>HYPERLINK("https://klasma.github.io/Logging_0885/klagomål/A 41640-2023 FSC-klagomål.docx", "A 41640-2023")</f>
        <v/>
      </c>
      <c r="Z26">
        <f>HYPERLINK("https://klasma.github.io/Logging_0885/klagomålsmail/A 41640-2023 FSC-klagomål mail.docx", "A 41640-2023")</f>
        <v/>
      </c>
      <c r="AA26">
        <f>HYPERLINK("https://klasma.github.io/Logging_0885/tillsyn/A 41640-2023 tillsynsbegäran.docx", "A 41640-2023")</f>
        <v/>
      </c>
      <c r="AB26">
        <f>HYPERLINK("https://klasma.github.io/Logging_0885/tillsynsmail/A 41640-2023 tillsynsbegäran mail.docx", "A 41640-2023")</f>
        <v/>
      </c>
    </row>
    <row r="27" ht="15" customHeight="1">
      <c r="A27" t="inlineStr">
        <is>
          <t>A 16171-2023</t>
        </is>
      </c>
      <c r="B27" t="inlineStr">
        <is>
          <t>avverkningsanmälan</t>
        </is>
      </c>
      <c r="C27" t="inlineStr">
        <is>
          <t>Föryngringsavverkning</t>
        </is>
      </c>
      <c r="D27" s="1" t="n">
        <v>45027</v>
      </c>
      <c r="E27" s="1" t="n">
        <v>46218</v>
      </c>
      <c r="F27" t="inlineStr">
        <is>
          <t>KALMAR LÄN</t>
        </is>
      </c>
      <c r="G27" t="inlineStr">
        <is>
          <t>BORGHOLM</t>
        </is>
      </c>
      <c r="I27" t="n">
        <v>12.2</v>
      </c>
      <c r="J27" t="n">
        <v>2</v>
      </c>
      <c r="K27" t="n">
        <v>1</v>
      </c>
      <c r="L27" t="n">
        <v>2</v>
      </c>
      <c r="M27" t="n">
        <v>0</v>
      </c>
      <c r="N27" t="n">
        <v>0</v>
      </c>
      <c r="O27" t="n">
        <v>0</v>
      </c>
      <c r="P27" t="n">
        <v>0</v>
      </c>
      <c r="Q27" t="n">
        <v>2</v>
      </c>
      <c r="R27" t="n">
        <v>0</v>
      </c>
      <c r="S27" t="n">
        <v>6</v>
      </c>
      <c r="T27" t="n">
        <v>7</v>
      </c>
      <c r="U27" s="2" t="inlineStr">
        <is>
          <t>Sårläka
Älg
Murgröna
Blåsippa
Rostticka
Bredarun</t>
        </is>
      </c>
      <c r="V27">
        <f>HYPERLINK("https://klasma.github.io/Logging_0885/artfynd/A 16171-2023 artfynd.xlsx", "A 16171-2023")</f>
        <v/>
      </c>
      <c r="W27">
        <f>HYPERLINK("https://klasma.github.io/Logging_0885/kartor/A 16171-2023 karta.png", "A 16171-2023")</f>
        <v/>
      </c>
      <c r="Y27">
        <f>HYPERLINK("https://klasma.github.io/Logging_0885/klagomål/A 16171-2023 FSC-klagomål.docx", "A 16171-2023")</f>
        <v/>
      </c>
      <c r="Z27">
        <f>HYPERLINK("https://klasma.github.io/Logging_0885/klagomålsmail/A 16171-2023 FSC-klagomål mail.docx", "A 16171-2023")</f>
        <v/>
      </c>
      <c r="AA27">
        <f>HYPERLINK("https://klasma.github.io/Logging_0885/tillsyn/A 16171-2023 tillsynsbegäran.docx", "A 16171-2023")</f>
        <v/>
      </c>
      <c r="AB27">
        <f>HYPERLINK("https://klasma.github.io/Logging_0885/tillsynsmail/A 16171-2023 tillsynsbegäran mail.docx", "A 16171-2023")</f>
        <v/>
      </c>
    </row>
    <row r="28" ht="15" customHeight="1">
      <c r="A28" t="inlineStr">
        <is>
          <t>A 46794-2025</t>
        </is>
      </c>
      <c r="B28" t="inlineStr">
        <is>
          <t>avverkningsanmälan</t>
        </is>
      </c>
      <c r="C28" t="inlineStr">
        <is>
          <t>Avverkning för annat ändamål</t>
        </is>
      </c>
      <c r="D28" s="1" t="n">
        <v>45926</v>
      </c>
      <c r="E28" s="1" t="n">
        <v>46218</v>
      </c>
      <c r="F28" t="inlineStr">
        <is>
          <t>KALMAR LÄN</t>
        </is>
      </c>
      <c r="G28" t="inlineStr">
        <is>
          <t>BORGHOLM</t>
        </is>
      </c>
      <c r="I28" t="n">
        <v>0.7</v>
      </c>
      <c r="J28" t="n">
        <v>2</v>
      </c>
      <c r="K28" t="n">
        <v>3</v>
      </c>
      <c r="L28" t="n">
        <v>2</v>
      </c>
      <c r="M28" t="n">
        <v>0</v>
      </c>
      <c r="N28" t="n">
        <v>0</v>
      </c>
      <c r="O28" t="n">
        <v>0</v>
      </c>
      <c r="P28" t="n">
        <v>0</v>
      </c>
      <c r="Q28" t="n">
        <v>2</v>
      </c>
      <c r="R28" t="n">
        <v>0</v>
      </c>
      <c r="S28" t="n">
        <v>6</v>
      </c>
      <c r="T28" t="n">
        <v>10</v>
      </c>
      <c r="U28" s="2" t="inlineStr">
        <is>
          <t>Mindre ekbock
Sårläka
Murgröna
Myskmadra
Vit skogslilja
Blåsippa</t>
        </is>
      </c>
      <c r="V28">
        <f>HYPERLINK("https://klasma.github.io/Logging_0885/artfynd/A 46794-2025 artfynd.xlsx", "A 46794-2025")</f>
        <v/>
      </c>
      <c r="W28">
        <f>HYPERLINK("https://klasma.github.io/Logging_0885/kartor/A 46794-2025 karta.png", "A 46794-2025")</f>
        <v/>
      </c>
      <c r="Y28">
        <f>HYPERLINK("https://klasma.github.io/Logging_0885/klagomål/A 46794-2025 FSC-klagomål.docx", "A 46794-2025")</f>
        <v/>
      </c>
      <c r="Z28">
        <f>HYPERLINK("https://klasma.github.io/Logging_0885/klagomålsmail/A 46794-2025 FSC-klagomål mail.docx", "A 46794-2025")</f>
        <v/>
      </c>
      <c r="AA28">
        <f>HYPERLINK("https://klasma.github.io/Logging_0885/tillsyn/A 46794-2025 tillsynsbegäran.docx", "A 46794-2025")</f>
        <v/>
      </c>
      <c r="AB28">
        <f>HYPERLINK("https://klasma.github.io/Logging_0885/tillsynsmail/A 46794-2025 tillsynsbegäran mail.docx", "A 46794-2025")</f>
        <v/>
      </c>
    </row>
    <row r="29" ht="15" customHeight="1">
      <c r="A29" t="inlineStr">
        <is>
          <t>A 27298-2026</t>
        </is>
      </c>
      <c r="B29" t="inlineStr">
        <is>
          <t>avverkningsanmälan</t>
        </is>
      </c>
      <c r="C29" t="inlineStr">
        <is>
          <t>Avverkning för att bevara och utveckla /försöksver</t>
        </is>
      </c>
      <c r="D29" s="1" t="n">
        <v>46188</v>
      </c>
      <c r="E29" s="1" t="n">
        <v>46218</v>
      </c>
      <c r="F29" t="inlineStr">
        <is>
          <t>KALMAR LÄN</t>
        </is>
      </c>
      <c r="G29" t="inlineStr">
        <is>
          <t>BORGHOLM</t>
        </is>
      </c>
      <c r="H29" t="inlineStr">
        <is>
          <t>Sveaskog</t>
        </is>
      </c>
      <c r="I29" t="n">
        <v>3.3</v>
      </c>
      <c r="J29" t="n">
        <v>0</v>
      </c>
      <c r="K29" t="n">
        <v>1</v>
      </c>
      <c r="L29" t="n">
        <v>5</v>
      </c>
      <c r="M29" t="n">
        <v>0</v>
      </c>
      <c r="N29" t="n">
        <v>0</v>
      </c>
      <c r="O29" t="n">
        <v>0</v>
      </c>
      <c r="P29" t="n">
        <v>0</v>
      </c>
      <c r="Q29" t="n">
        <v>5</v>
      </c>
      <c r="R29" t="n">
        <v>0</v>
      </c>
      <c r="S29" t="n">
        <v>6</v>
      </c>
      <c r="T29" t="n">
        <v>6</v>
      </c>
      <c r="U29" s="2" t="inlineStr">
        <is>
          <t>Grenplattnos
Jungfrulin
Skugglosta
Sårläka
Älg
Murgröna</t>
        </is>
      </c>
      <c r="V29">
        <f>HYPERLINK("https://klasma.github.io/Logging_0885/artfynd/A 27298-2026 artfynd.xlsx", "A 27298-2026")</f>
        <v/>
      </c>
      <c r="W29">
        <f>HYPERLINK("https://klasma.github.io/Logging_0885/kartor/A 27298-2026 karta.png", "A 27298-2026")</f>
        <v/>
      </c>
      <c r="Y29">
        <f>HYPERLINK("https://klasma.github.io/Logging_0885/klagomål/A 27298-2026 FSC-klagomål.docx", "A 27298-2026")</f>
        <v/>
      </c>
      <c r="Z29">
        <f>HYPERLINK("https://klasma.github.io/Logging_0885/klagomålsmail/A 27298-2026 FSC-klagomål mail.docx", "A 27298-2026")</f>
        <v/>
      </c>
      <c r="AA29">
        <f>HYPERLINK("https://klasma.github.io/Logging_0885/tillsyn/A 27298-2026 tillsynsbegäran.docx", "A 27298-2026")</f>
        <v/>
      </c>
      <c r="AB29">
        <f>HYPERLINK("https://klasma.github.io/Logging_0885/tillsynsmail/A 27298-2026 tillsynsbegäran mail.docx", "A 27298-2026")</f>
        <v/>
      </c>
    </row>
    <row r="30" ht="15" customHeight="1">
      <c r="A30" t="inlineStr">
        <is>
          <t>S 2737-2022</t>
        </is>
      </c>
      <c r="B30" t="inlineStr">
        <is>
          <t>samrådsanmälan</t>
        </is>
      </c>
      <c r="C30" t="inlineStr">
        <is>
          <t>Annan skogsbruksåtgärd</t>
        </is>
      </c>
      <c r="D30" s="1" t="n">
        <v>44704</v>
      </c>
      <c r="E30" s="1" t="n">
        <v>46218</v>
      </c>
      <c r="F30" t="inlineStr">
        <is>
          <t>KALMAR LÄN</t>
        </is>
      </c>
      <c r="G30" t="inlineStr">
        <is>
          <t>BORGHOLM</t>
        </is>
      </c>
      <c r="I30" t="n">
        <v>12.6</v>
      </c>
      <c r="J30" t="n">
        <v>1</v>
      </c>
      <c r="K30" t="n">
        <v>2</v>
      </c>
      <c r="L30" t="n">
        <v>1</v>
      </c>
      <c r="M30" t="n">
        <v>2</v>
      </c>
      <c r="N30" t="n">
        <v>1</v>
      </c>
      <c r="O30" t="n">
        <v>0</v>
      </c>
      <c r="P30" t="n">
        <v>0</v>
      </c>
      <c r="Q30" t="n">
        <v>4</v>
      </c>
      <c r="R30" t="n">
        <v>3</v>
      </c>
      <c r="S30" t="n">
        <v>6</v>
      </c>
      <c r="T30" t="n">
        <v>23</v>
      </c>
      <c r="U30" s="2" t="inlineStr">
        <is>
          <t>Ask
Mörk kraterlav
Skogskorn
Orangepudrad klotterlav
Ekoxe
Guldlockmossa</t>
        </is>
      </c>
      <c r="V30">
        <f>HYPERLINK("https://klasma.github.io/Logging_0885/artfynd/S 2737-2022 artfynd.xlsx", "S 2737-2022")</f>
        <v/>
      </c>
      <c r="W30">
        <f>HYPERLINK("https://klasma.github.io/Logging_0885/kartor/S 2737-2022 karta.png", "S 2737-2022")</f>
        <v/>
      </c>
      <c r="Y30">
        <f>HYPERLINK("https://klasma.github.io/Logging_0885/klagomål/S 2737-2022 FSC-klagomål.docx", "S 2737-2022")</f>
        <v/>
      </c>
      <c r="Z30">
        <f>HYPERLINK("https://klasma.github.io/Logging_0885/klagomålsmail/S 2737-2022 FSC-klagomål mail.docx", "S 2737-2022")</f>
        <v/>
      </c>
      <c r="AA30">
        <f>HYPERLINK("https://klasma.github.io/Logging_0885/tillsyn/S 2737-2022 tillsynsbegäran.docx", "S 2737-2022")</f>
        <v/>
      </c>
      <c r="AB30">
        <f>HYPERLINK("https://klasma.github.io/Logging_0885/tillsynsmail/S 2737-2022 tillsynsbegäran mail.docx", "S 2737-2022")</f>
        <v/>
      </c>
    </row>
    <row r="31" ht="15" customHeight="1">
      <c r="A31" t="inlineStr">
        <is>
          <t>S 2679-2024</t>
        </is>
      </c>
      <c r="B31" t="inlineStr">
        <is>
          <t>samrådsanmälan</t>
        </is>
      </c>
      <c r="C31" t="inlineStr">
        <is>
          <t>Annan skogsbruksåtgärd</t>
        </is>
      </c>
      <c r="D31" s="1" t="n">
        <v>45478</v>
      </c>
      <c r="E31" s="1" t="n">
        <v>46218</v>
      </c>
      <c r="F31" t="inlineStr">
        <is>
          <t>KALMAR LÄN</t>
        </is>
      </c>
      <c r="G31" t="inlineStr">
        <is>
          <t>BORGHOLM</t>
        </is>
      </c>
      <c r="I31" t="n">
        <v>0.3</v>
      </c>
      <c r="J31" t="n">
        <v>0</v>
      </c>
      <c r="K31" t="n">
        <v>2</v>
      </c>
      <c r="L31" t="n">
        <v>0</v>
      </c>
      <c r="M31" t="n">
        <v>1</v>
      </c>
      <c r="N31" t="n">
        <v>3</v>
      </c>
      <c r="O31" t="n">
        <v>0</v>
      </c>
      <c r="P31" t="n">
        <v>0</v>
      </c>
      <c r="Q31" t="n">
        <v>4</v>
      </c>
      <c r="R31" t="n">
        <v>4</v>
      </c>
      <c r="S31" t="n">
        <v>6</v>
      </c>
      <c r="T31" t="n">
        <v>14</v>
      </c>
      <c r="U31" s="2" t="inlineStr">
        <is>
          <t>Almlav
Ask
Skogsalm
Blek kraterlav
Slät lönnlav
Vitskivlav</t>
        </is>
      </c>
      <c r="V31">
        <f>HYPERLINK("https://klasma.github.io/Logging_0885/artfynd/S 2679-2024 artfynd.xlsx", "S 2679-2024")</f>
        <v/>
      </c>
      <c r="W31">
        <f>HYPERLINK("https://klasma.github.io/Logging_0885/kartor/S 2679-2024 karta.png", "S 2679-2024")</f>
        <v/>
      </c>
      <c r="Y31">
        <f>HYPERLINK("https://klasma.github.io/Logging_0885/klagomål/S 2679-2024 FSC-klagomål.docx", "S 2679-2024")</f>
        <v/>
      </c>
      <c r="Z31">
        <f>HYPERLINK("https://klasma.github.io/Logging_0885/klagomålsmail/S 2679-2024 FSC-klagomål mail.docx", "S 2679-2024")</f>
        <v/>
      </c>
      <c r="AA31">
        <f>HYPERLINK("https://klasma.github.io/Logging_0885/tillsyn/S 2679-2024 tillsynsbegäran.docx", "S 2679-2024")</f>
        <v/>
      </c>
      <c r="AB31">
        <f>HYPERLINK("https://klasma.github.io/Logging_0885/tillsynsmail/S 2679-2024 tillsynsbegäran mail.docx", "S 2679-2024")</f>
        <v/>
      </c>
    </row>
    <row r="32" ht="15" customHeight="1">
      <c r="A32" t="inlineStr">
        <is>
          <t>S 1728-2026</t>
        </is>
      </c>
      <c r="B32" t="inlineStr">
        <is>
          <t>samrådsanmälan</t>
        </is>
      </c>
      <c r="C32" t="inlineStr">
        <is>
          <t>Annan skogsbruksåtgärd</t>
        </is>
      </c>
      <c r="D32" s="1" t="n">
        <v>46188</v>
      </c>
      <c r="E32" s="1" t="n">
        <v>46218</v>
      </c>
      <c r="F32" t="inlineStr">
        <is>
          <t>KALMAR LÄN</t>
        </is>
      </c>
      <c r="G32" t="inlineStr">
        <is>
          <t>BORGHOLM</t>
        </is>
      </c>
      <c r="H32" t="inlineStr">
        <is>
          <t>Sveaskog</t>
        </is>
      </c>
      <c r="I32" t="n">
        <v>3.3</v>
      </c>
      <c r="J32" t="n">
        <v>0</v>
      </c>
      <c r="K32" t="n">
        <v>1</v>
      </c>
      <c r="L32" t="n">
        <v>5</v>
      </c>
      <c r="M32" t="n">
        <v>0</v>
      </c>
      <c r="N32" t="n">
        <v>0</v>
      </c>
      <c r="O32" t="n">
        <v>0</v>
      </c>
      <c r="P32" t="n">
        <v>0</v>
      </c>
      <c r="Q32" t="n">
        <v>5</v>
      </c>
      <c r="R32" t="n">
        <v>0</v>
      </c>
      <c r="S32" t="n">
        <v>6</v>
      </c>
      <c r="T32" t="n">
        <v>6</v>
      </c>
      <c r="U32" s="2" t="inlineStr">
        <is>
          <t>Grenplattnos
Jungfrulin
Skugglosta
Sårläka
Älg
Murgröna</t>
        </is>
      </c>
      <c r="V32">
        <f>HYPERLINK("https://klasma.github.io/Logging_0885/artfynd/S 1728-2026 artfynd.xlsx", "S 1728-2026")</f>
        <v/>
      </c>
      <c r="W32">
        <f>HYPERLINK("https://klasma.github.io/Logging_0885/kartor/S 1728-2026 karta.png", "S 1728-2026")</f>
        <v/>
      </c>
      <c r="Y32">
        <f>HYPERLINK("https://klasma.github.io/Logging_0885/klagomål/S 1728-2026 FSC-klagomål.docx", "S 1728-2026")</f>
        <v/>
      </c>
      <c r="Z32">
        <f>HYPERLINK("https://klasma.github.io/Logging_0885/klagomålsmail/S 1728-2026 FSC-klagomål mail.docx", "S 1728-2026")</f>
        <v/>
      </c>
      <c r="AA32">
        <f>HYPERLINK("https://klasma.github.io/Logging_0885/tillsyn/S 1728-2026 tillsynsbegäran.docx", "S 1728-2026")</f>
        <v/>
      </c>
      <c r="AB32">
        <f>HYPERLINK("https://klasma.github.io/Logging_0885/tillsynsmail/S 1728-2026 tillsynsbegäran mail.docx", "S 1728-2026")</f>
        <v/>
      </c>
    </row>
    <row r="33" ht="15" customHeight="1">
      <c r="A33" t="inlineStr">
        <is>
          <t>A 50720-2021</t>
        </is>
      </c>
      <c r="B33" t="inlineStr">
        <is>
          <t>avverkningsanmälan</t>
        </is>
      </c>
      <c r="C33" t="inlineStr">
        <is>
          <t>Avverkning för annat ändamål</t>
        </is>
      </c>
      <c r="D33" s="1" t="n">
        <v>44459</v>
      </c>
      <c r="E33" s="1" t="n">
        <v>46218</v>
      </c>
      <c r="F33" t="inlineStr">
        <is>
          <t>KALMAR LÄN</t>
        </is>
      </c>
      <c r="G33" t="inlineStr">
        <is>
          <t>BORGHOLM</t>
        </is>
      </c>
      <c r="I33" t="n">
        <v>1.7</v>
      </c>
      <c r="J33" t="n">
        <v>0</v>
      </c>
      <c r="K33" t="n">
        <v>1</v>
      </c>
      <c r="L33" t="n">
        <v>3</v>
      </c>
      <c r="M33" t="n">
        <v>1</v>
      </c>
      <c r="N33" t="n">
        <v>0</v>
      </c>
      <c r="O33" t="n">
        <v>0</v>
      </c>
      <c r="P33" t="n">
        <v>0</v>
      </c>
      <c r="Q33" t="n">
        <v>4</v>
      </c>
      <c r="R33" t="n">
        <v>1</v>
      </c>
      <c r="S33" t="n">
        <v>5</v>
      </c>
      <c r="T33" t="n">
        <v>5</v>
      </c>
      <c r="U33" s="2" t="inlineStr">
        <is>
          <t>Igelkott
Flentimotej
Grådådra
Sminkrot
Jordstjärnesläktet</t>
        </is>
      </c>
      <c r="V33">
        <f>HYPERLINK("https://klasma.github.io/Logging_0885/artfynd/A 50720-2021 artfynd.xlsx", "A 50720-2021")</f>
        <v/>
      </c>
      <c r="W33">
        <f>HYPERLINK("https://klasma.github.io/Logging_0885/kartor/A 50720-2021 karta.png", "A 50720-2021")</f>
        <v/>
      </c>
      <c r="Y33">
        <f>HYPERLINK("https://klasma.github.io/Logging_0885/klagomål/A 50720-2021 FSC-klagomål.docx", "A 50720-2021")</f>
        <v/>
      </c>
      <c r="Z33">
        <f>HYPERLINK("https://klasma.github.io/Logging_0885/klagomålsmail/A 50720-2021 FSC-klagomål mail.docx", "A 50720-2021")</f>
        <v/>
      </c>
      <c r="AA33">
        <f>HYPERLINK("https://klasma.github.io/Logging_0885/tillsyn/A 50720-2021 tillsynsbegäran.docx", "A 50720-2021")</f>
        <v/>
      </c>
      <c r="AB33">
        <f>HYPERLINK("https://klasma.github.io/Logging_0885/tillsynsmail/A 50720-2021 tillsynsbegäran mail.docx", "A 50720-2021")</f>
        <v/>
      </c>
    </row>
    <row r="34" ht="15" customHeight="1">
      <c r="A34" t="inlineStr">
        <is>
          <t>A 56983-2021</t>
        </is>
      </c>
      <c r="B34" t="inlineStr">
        <is>
          <t>avverkningsanmälan</t>
        </is>
      </c>
      <c r="C34" t="inlineStr">
        <is>
          <t>Föryngringsavverkning</t>
        </is>
      </c>
      <c r="D34" s="1" t="n">
        <v>44482</v>
      </c>
      <c r="E34" s="1" t="n">
        <v>46218</v>
      </c>
      <c r="F34" t="inlineStr">
        <is>
          <t>KALMAR LÄN</t>
        </is>
      </c>
      <c r="G34" t="inlineStr">
        <is>
          <t>BORGHOLM</t>
        </is>
      </c>
      <c r="I34" t="n">
        <v>1.2</v>
      </c>
      <c r="J34" t="n">
        <v>2</v>
      </c>
      <c r="K34" t="n">
        <v>0</v>
      </c>
      <c r="L34" t="n">
        <v>3</v>
      </c>
      <c r="M34" t="n">
        <v>0</v>
      </c>
      <c r="N34" t="n">
        <v>0</v>
      </c>
      <c r="O34" t="n">
        <v>0</v>
      </c>
      <c r="P34" t="n">
        <v>0</v>
      </c>
      <c r="Q34" t="n">
        <v>3</v>
      </c>
      <c r="R34" t="n">
        <v>0</v>
      </c>
      <c r="S34" t="n">
        <v>4</v>
      </c>
      <c r="T34" t="n">
        <v>4</v>
      </c>
      <c r="U34" s="2" t="inlineStr">
        <is>
          <t>Entita
Slät fjällav
Sårläka
Blåsippa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7960-2023</t>
        </is>
      </c>
      <c r="B35" t="inlineStr">
        <is>
          <t>avverkningsanmälan</t>
        </is>
      </c>
      <c r="C35" t="inlineStr">
        <is>
          <t>Föryngringsavverkning</t>
        </is>
      </c>
      <c r="D35" s="1" t="n">
        <v>44973</v>
      </c>
      <c r="E35" s="1" t="n">
        <v>46218</v>
      </c>
      <c r="F35" t="inlineStr">
        <is>
          <t>KALMAR LÄN</t>
        </is>
      </c>
      <c r="G35" t="inlineStr">
        <is>
          <t>BORGHOLM</t>
        </is>
      </c>
      <c r="I35" t="n">
        <v>2.1</v>
      </c>
      <c r="J35" t="n">
        <v>0</v>
      </c>
      <c r="K35" t="n">
        <v>1</v>
      </c>
      <c r="L35" t="n">
        <v>2</v>
      </c>
      <c r="M35" t="n">
        <v>0</v>
      </c>
      <c r="N35" t="n">
        <v>0</v>
      </c>
      <c r="O35" t="n">
        <v>1</v>
      </c>
      <c r="P35" t="n">
        <v>0</v>
      </c>
      <c r="Q35" t="n">
        <v>3</v>
      </c>
      <c r="R35" t="n">
        <v>1</v>
      </c>
      <c r="S35" t="n">
        <v>4</v>
      </c>
      <c r="T35" t="n">
        <v>4</v>
      </c>
      <c r="U35" s="2" t="inlineStr">
        <is>
          <t>Vresalm
Pilfotsspindling
Vippärt
Strävlosta</t>
        </is>
      </c>
      <c r="V35">
        <f>HYPERLINK("https://klasma.github.io/Logging_0885/artfynd/A 7960-2023 artfynd.xlsx", "A 7960-2023")</f>
        <v/>
      </c>
      <c r="W35">
        <f>HYPERLINK("https://klasma.github.io/Logging_0885/kartor/A 7960-2023 karta.png", "A 7960-2023")</f>
        <v/>
      </c>
      <c r="Y35">
        <f>HYPERLINK("https://klasma.github.io/Logging_0885/klagomål/A 7960-2023 FSC-klagomål.docx", "A 7960-2023")</f>
        <v/>
      </c>
      <c r="Z35">
        <f>HYPERLINK("https://klasma.github.io/Logging_0885/klagomålsmail/A 7960-2023 FSC-klagomål mail.docx", "A 7960-2023")</f>
        <v/>
      </c>
      <c r="AA35">
        <f>HYPERLINK("https://klasma.github.io/Logging_0885/tillsyn/A 7960-2023 tillsynsbegäran.docx", "A 7960-2023")</f>
        <v/>
      </c>
      <c r="AB35">
        <f>HYPERLINK("https://klasma.github.io/Logging_0885/tillsynsmail/A 7960-2023 tillsynsbegäran mail.docx", "A 7960-2023")</f>
        <v/>
      </c>
    </row>
    <row r="36" ht="15" customHeight="1">
      <c r="A36" t="inlineStr">
        <is>
          <t>A 4164-2023</t>
        </is>
      </c>
      <c r="B36" t="inlineStr">
        <is>
          <t>avverkningsanmälan</t>
        </is>
      </c>
      <c r="C36" t="inlineStr">
        <is>
          <t>Föryngringsavverkning</t>
        </is>
      </c>
      <c r="D36" s="1" t="n">
        <v>44953</v>
      </c>
      <c r="E36" s="1" t="n">
        <v>46218</v>
      </c>
      <c r="F36" t="inlineStr">
        <is>
          <t>KALMAR LÄN</t>
        </is>
      </c>
      <c r="G36" t="inlineStr">
        <is>
          <t>BORGHOLM</t>
        </is>
      </c>
      <c r="I36" t="n">
        <v>3.3</v>
      </c>
      <c r="J36" t="n">
        <v>1</v>
      </c>
      <c r="K36" t="n">
        <v>1</v>
      </c>
      <c r="L36" t="n">
        <v>2</v>
      </c>
      <c r="M36" t="n">
        <v>0</v>
      </c>
      <c r="N36" t="n">
        <v>0</v>
      </c>
      <c r="O36" t="n">
        <v>0</v>
      </c>
      <c r="P36" t="n">
        <v>0</v>
      </c>
      <c r="Q36" t="n">
        <v>2</v>
      </c>
      <c r="R36" t="n">
        <v>0</v>
      </c>
      <c r="S36" t="n">
        <v>4</v>
      </c>
      <c r="T36" t="n">
        <v>5</v>
      </c>
      <c r="U36" s="2" t="inlineStr">
        <is>
          <t>Crepis tectorum subsp. tectorum
Kösa
Murgröna
Blåsippa</t>
        </is>
      </c>
      <c r="V36">
        <f>HYPERLINK("https://klasma.github.io/Logging_0885/artfynd/A 4164-2023 artfynd.xlsx", "A 4164-2023")</f>
        <v/>
      </c>
      <c r="W36">
        <f>HYPERLINK("https://klasma.github.io/Logging_0885/kartor/A 4164-2023 karta.png", "A 4164-2023")</f>
        <v/>
      </c>
      <c r="Y36">
        <f>HYPERLINK("https://klasma.github.io/Logging_0885/klagomål/A 4164-2023 FSC-klagomål.docx", "A 4164-2023")</f>
        <v/>
      </c>
      <c r="Z36">
        <f>HYPERLINK("https://klasma.github.io/Logging_0885/klagomålsmail/A 4164-2023 FSC-klagomål mail.docx", "A 4164-2023")</f>
        <v/>
      </c>
      <c r="AA36">
        <f>HYPERLINK("https://klasma.github.io/Logging_0885/tillsyn/A 4164-2023 tillsynsbegäran.docx", "A 4164-2023")</f>
        <v/>
      </c>
      <c r="AB36">
        <f>HYPERLINK("https://klasma.github.io/Logging_0885/tillsynsmail/A 4164-2023 tillsynsbegäran mail.docx", "A 4164-2023")</f>
        <v/>
      </c>
    </row>
    <row r="37" ht="15" customHeight="1">
      <c r="A37" t="inlineStr">
        <is>
          <t>A 13556-2025</t>
        </is>
      </c>
      <c r="B37" t="inlineStr">
        <is>
          <t>avverkningsanmälan</t>
        </is>
      </c>
      <c r="C37" t="inlineStr">
        <is>
          <t>Föryngringsavverkning</t>
        </is>
      </c>
      <c r="D37" s="1" t="n">
        <v>45736</v>
      </c>
      <c r="E37" s="1" t="n">
        <v>46218</v>
      </c>
      <c r="F37" t="inlineStr">
        <is>
          <t>KALMAR LÄN</t>
        </is>
      </c>
      <c r="G37" t="inlineStr">
        <is>
          <t>BORGHOLM</t>
        </is>
      </c>
      <c r="I37" t="n">
        <v>2.3</v>
      </c>
      <c r="J37" t="n">
        <v>2</v>
      </c>
      <c r="K37" t="n">
        <v>1</v>
      </c>
      <c r="L37" t="n">
        <v>1</v>
      </c>
      <c r="M37" t="n">
        <v>0</v>
      </c>
      <c r="N37" t="n">
        <v>1</v>
      </c>
      <c r="O37" t="n">
        <v>0</v>
      </c>
      <c r="P37" t="n">
        <v>0</v>
      </c>
      <c r="Q37" t="n">
        <v>2</v>
      </c>
      <c r="R37" t="n">
        <v>1</v>
      </c>
      <c r="S37" t="n">
        <v>4</v>
      </c>
      <c r="T37" t="n">
        <v>4</v>
      </c>
      <c r="U37" s="2" t="inlineStr">
        <is>
          <t>Ask
Sårläka
Tvåblad
Nattviol</t>
        </is>
      </c>
      <c r="V37">
        <f>HYPERLINK("https://klasma.github.io/Logging_0885/artfynd/A 13556-2025 artfynd.xlsx", "A 13556-2025")</f>
        <v/>
      </c>
      <c r="W37">
        <f>HYPERLINK("https://klasma.github.io/Logging_0885/kartor/A 13556-2025 karta.png", "A 13556-2025")</f>
        <v/>
      </c>
      <c r="Y37">
        <f>HYPERLINK("https://klasma.github.io/Logging_0885/klagomål/A 13556-2025 FSC-klagomål.docx", "A 13556-2025")</f>
        <v/>
      </c>
      <c r="Z37">
        <f>HYPERLINK("https://klasma.github.io/Logging_0885/klagomålsmail/A 13556-2025 FSC-klagomål mail.docx", "A 13556-2025")</f>
        <v/>
      </c>
      <c r="AA37">
        <f>HYPERLINK("https://klasma.github.io/Logging_0885/tillsyn/A 13556-2025 tillsynsbegäran.docx", "A 13556-2025")</f>
        <v/>
      </c>
      <c r="AB37">
        <f>HYPERLINK("https://klasma.github.io/Logging_0885/tillsynsmail/A 13556-2025 tillsynsbegäran mail.docx", "A 13556-2025")</f>
        <v/>
      </c>
    </row>
    <row r="38" ht="15" customHeight="1">
      <c r="A38" t="inlineStr">
        <is>
          <t>A 21797-2024</t>
        </is>
      </c>
      <c r="B38" t="inlineStr">
        <is>
          <t>avverkningsanmälan</t>
        </is>
      </c>
      <c r="C38" t="inlineStr">
        <is>
          <t>Föryngringsavverkning</t>
        </is>
      </c>
      <c r="D38" s="1" t="n">
        <v>45442</v>
      </c>
      <c r="E38" s="1" t="n">
        <v>46218</v>
      </c>
      <c r="F38" t="inlineStr">
        <is>
          <t>KALMAR LÄN</t>
        </is>
      </c>
      <c r="G38" t="inlineStr">
        <is>
          <t>BORGHOLM</t>
        </is>
      </c>
      <c r="I38" t="n">
        <v>1.4</v>
      </c>
      <c r="J38" t="n">
        <v>2</v>
      </c>
      <c r="K38" t="n">
        <v>2</v>
      </c>
      <c r="L38" t="n">
        <v>1</v>
      </c>
      <c r="M38" t="n">
        <v>0</v>
      </c>
      <c r="N38" t="n">
        <v>0</v>
      </c>
      <c r="O38" t="n">
        <v>0</v>
      </c>
      <c r="P38" t="n">
        <v>0</v>
      </c>
      <c r="Q38" t="n">
        <v>1</v>
      </c>
      <c r="R38" t="n">
        <v>0</v>
      </c>
      <c r="S38" t="n">
        <v>4</v>
      </c>
      <c r="T38" t="n">
        <v>9</v>
      </c>
      <c r="U38" s="2" t="inlineStr">
        <is>
          <t>Sydlig kantmusseron
Murgröna
Skogsknipprot
Revlummer</t>
        </is>
      </c>
      <c r="V38">
        <f>HYPERLINK("https://klasma.github.io/Logging_0885/artfynd/A 21797-2024 artfynd.xlsx", "A 21797-2024")</f>
        <v/>
      </c>
      <c r="W38">
        <f>HYPERLINK("https://klasma.github.io/Logging_0885/kartor/A 21797-2024 karta.png", "A 21797-2024")</f>
        <v/>
      </c>
      <c r="Y38">
        <f>HYPERLINK("https://klasma.github.io/Logging_0885/klagomål/A 21797-2024 FSC-klagomål.docx", "A 21797-2024")</f>
        <v/>
      </c>
      <c r="Z38">
        <f>HYPERLINK("https://klasma.github.io/Logging_0885/klagomålsmail/A 21797-2024 FSC-klagomål mail.docx", "A 21797-2024")</f>
        <v/>
      </c>
      <c r="AA38">
        <f>HYPERLINK("https://klasma.github.io/Logging_0885/tillsyn/A 21797-2024 tillsynsbegäran.docx", "A 21797-2024")</f>
        <v/>
      </c>
      <c r="AB38">
        <f>HYPERLINK("https://klasma.github.io/Logging_0885/tillsynsmail/A 21797-2024 tillsynsbegäran mail.docx", "A 21797-2024")</f>
        <v/>
      </c>
    </row>
    <row r="39" ht="15" customHeight="1">
      <c r="A39" t="inlineStr">
        <is>
          <t>A 27290-2026</t>
        </is>
      </c>
      <c r="B39" t="inlineStr">
        <is>
          <t>avverkningsanmälan</t>
        </is>
      </c>
      <c r="C39" t="inlineStr">
        <is>
          <t>Avverkning för att bevara och utveckla /försöksver</t>
        </is>
      </c>
      <c r="D39" s="1" t="n">
        <v>46188</v>
      </c>
      <c r="E39" s="1" t="n">
        <v>46218</v>
      </c>
      <c r="F39" t="inlineStr">
        <is>
          <t>KALMAR LÄN</t>
        </is>
      </c>
      <c r="G39" t="inlineStr">
        <is>
          <t>BORGHOLM</t>
        </is>
      </c>
      <c r="H39" t="inlineStr">
        <is>
          <t>Sveaskog</t>
        </is>
      </c>
      <c r="I39" t="n">
        <v>4.1</v>
      </c>
      <c r="J39" t="n">
        <v>2</v>
      </c>
      <c r="K39" t="n">
        <v>1</v>
      </c>
      <c r="L39" t="n">
        <v>0</v>
      </c>
      <c r="M39" t="n">
        <v>1</v>
      </c>
      <c r="N39" t="n">
        <v>1</v>
      </c>
      <c r="O39" t="n">
        <v>0</v>
      </c>
      <c r="P39" t="n">
        <v>0</v>
      </c>
      <c r="Q39" t="n">
        <v>2</v>
      </c>
      <c r="R39" t="n">
        <v>2</v>
      </c>
      <c r="S39" t="n">
        <v>4</v>
      </c>
      <c r="T39" t="n">
        <v>4</v>
      </c>
      <c r="U39" s="2" t="inlineStr">
        <is>
          <t>Ask
Gotlandsmåra
Skogsknipprot
Havsörn</t>
        </is>
      </c>
      <c r="V39">
        <f>HYPERLINK("https://klasma.github.io/Logging_0885/artfynd/A 27290-2026 artfynd.xlsx", "A 27290-2026")</f>
        <v/>
      </c>
      <c r="W39">
        <f>HYPERLINK("https://klasma.github.io/Logging_0885/kartor/A 27290-2026 karta.png", "A 27290-2026")</f>
        <v/>
      </c>
      <c r="Y39">
        <f>HYPERLINK("https://klasma.github.io/Logging_0885/klagomål/A 27290-2026 FSC-klagomål.docx", "A 27290-2026")</f>
        <v/>
      </c>
      <c r="Z39">
        <f>HYPERLINK("https://klasma.github.io/Logging_0885/klagomålsmail/A 27290-2026 FSC-klagomål mail.docx", "A 27290-2026")</f>
        <v/>
      </c>
      <c r="AA39">
        <f>HYPERLINK("https://klasma.github.io/Logging_0885/tillsyn/A 27290-2026 tillsynsbegäran.docx", "A 27290-2026")</f>
        <v/>
      </c>
      <c r="AB39">
        <f>HYPERLINK("https://klasma.github.io/Logging_0885/tillsynsmail/A 27290-2026 tillsynsbegäran mail.docx", "A 27290-2026")</f>
        <v/>
      </c>
      <c r="AC39">
        <f>HYPERLINK("https://klasma.github.io/Logging_0885/fåglar/A 27290-2026 prioriterade fågelarter.docx", "A 27290-2026")</f>
        <v/>
      </c>
    </row>
    <row r="40" ht="15" customHeight="1">
      <c r="A40" t="inlineStr">
        <is>
          <t>S 2742-2022</t>
        </is>
      </c>
      <c r="B40" t="inlineStr">
        <is>
          <t>samrådsanmälan</t>
        </is>
      </c>
      <c r="C40" t="inlineStr">
        <is>
          <t>Annan skogsbruksåtgärd</t>
        </is>
      </c>
      <c r="D40" s="1" t="n">
        <v>44704</v>
      </c>
      <c r="E40" s="1" t="n">
        <v>46218</v>
      </c>
      <c r="F40" t="inlineStr">
        <is>
          <t>KALMAR LÄN</t>
        </is>
      </c>
      <c r="G40" t="inlineStr">
        <is>
          <t>BORGHOLM</t>
        </is>
      </c>
      <c r="I40" t="n">
        <v>3.1</v>
      </c>
      <c r="J40" t="n">
        <v>1</v>
      </c>
      <c r="K40" t="n">
        <v>1</v>
      </c>
      <c r="L40" t="n">
        <v>1</v>
      </c>
      <c r="M40" t="n">
        <v>0</v>
      </c>
      <c r="N40" t="n">
        <v>2</v>
      </c>
      <c r="O40" t="n">
        <v>0</v>
      </c>
      <c r="P40" t="n">
        <v>0</v>
      </c>
      <c r="Q40" t="n">
        <v>3</v>
      </c>
      <c r="R40" t="n">
        <v>2</v>
      </c>
      <c r="S40" t="n">
        <v>4</v>
      </c>
      <c r="T40" t="n">
        <v>14</v>
      </c>
      <c r="U40" s="2" t="inlineStr">
        <is>
          <t>Ask
Skogsalm
Vårärt
Ekoxe</t>
        </is>
      </c>
      <c r="V40">
        <f>HYPERLINK("https://klasma.github.io/Logging_0885/artfynd/S 2742-2022 artfynd.xlsx", "S 2742-2022")</f>
        <v/>
      </c>
      <c r="W40">
        <f>HYPERLINK("https://klasma.github.io/Logging_0885/kartor/S 2742-2022 karta.png", "S 2742-2022")</f>
        <v/>
      </c>
      <c r="Y40">
        <f>HYPERLINK("https://klasma.github.io/Logging_0885/klagomål/S 2742-2022 FSC-klagomål.docx", "S 2742-2022")</f>
        <v/>
      </c>
      <c r="Z40">
        <f>HYPERLINK("https://klasma.github.io/Logging_0885/klagomålsmail/S 2742-2022 FSC-klagomål mail.docx", "S 2742-2022")</f>
        <v/>
      </c>
      <c r="AA40">
        <f>HYPERLINK("https://klasma.github.io/Logging_0885/tillsyn/S 2742-2022 tillsynsbegäran.docx", "S 2742-2022")</f>
        <v/>
      </c>
      <c r="AB40">
        <f>HYPERLINK("https://klasma.github.io/Logging_0885/tillsynsmail/S 2742-2022 tillsynsbegäran mail.docx", "S 2742-2022")</f>
        <v/>
      </c>
    </row>
    <row r="41" ht="15" customHeight="1">
      <c r="A41" t="inlineStr">
        <is>
          <t>A 32640-2022</t>
        </is>
      </c>
      <c r="B41" t="inlineStr">
        <is>
          <t>avverkningsanmälan</t>
        </is>
      </c>
      <c r="C41" t="inlineStr">
        <is>
          <t>Avverkning för att bevara och utveckla /försöksver</t>
        </is>
      </c>
      <c r="D41" s="1" t="n">
        <v>44783</v>
      </c>
      <c r="E41" s="1" t="n">
        <v>46218</v>
      </c>
      <c r="F41" t="inlineStr">
        <is>
          <t>KALMAR LÄN</t>
        </is>
      </c>
      <c r="G41" t="inlineStr">
        <is>
          <t>BORGHOLM</t>
        </is>
      </c>
      <c r="H41" t="inlineStr">
        <is>
          <t>Sveaskog</t>
        </is>
      </c>
      <c r="I41" t="n">
        <v>1.2</v>
      </c>
      <c r="J41" t="n">
        <v>0</v>
      </c>
      <c r="K41" t="n">
        <v>3</v>
      </c>
      <c r="L41" t="n">
        <v>0</v>
      </c>
      <c r="M41" t="n">
        <v>0</v>
      </c>
      <c r="N41" t="n">
        <v>0</v>
      </c>
      <c r="O41" t="n">
        <v>0</v>
      </c>
      <c r="P41" t="n">
        <v>0</v>
      </c>
      <c r="Q41" t="n">
        <v>0</v>
      </c>
      <c r="R41" t="n">
        <v>0</v>
      </c>
      <c r="S41" t="n">
        <v>3</v>
      </c>
      <c r="T41" t="n">
        <v>3</v>
      </c>
      <c r="U41" s="2" t="inlineStr">
        <is>
          <t>Kornknutmossa
Murgröna
Svart trolldruva</t>
        </is>
      </c>
      <c r="V41">
        <f>HYPERLINK("https://klasma.github.io/Logging_0885/artfynd/A 32640-2022 artfynd.xlsx", "A 32640-2022")</f>
        <v/>
      </c>
      <c r="W41">
        <f>HYPERLINK("https://klasma.github.io/Logging_0885/kartor/A 32640-2022 karta.png", "A 32640-2022")</f>
        <v/>
      </c>
      <c r="Y41">
        <f>HYPERLINK("https://klasma.github.io/Logging_0885/klagomål/A 32640-2022 FSC-klagomål.docx", "A 32640-2022")</f>
        <v/>
      </c>
      <c r="Z41">
        <f>HYPERLINK("https://klasma.github.io/Logging_0885/klagomålsmail/A 32640-2022 FSC-klagomål mail.docx", "A 32640-2022")</f>
        <v/>
      </c>
      <c r="AA41">
        <f>HYPERLINK("https://klasma.github.io/Logging_0885/tillsyn/A 32640-2022 tillsynsbegäran.docx", "A 32640-2022")</f>
        <v/>
      </c>
      <c r="AB41">
        <f>HYPERLINK("https://klasma.github.io/Logging_0885/tillsynsmail/A 32640-2022 tillsynsbegäran mail.docx", "A 32640-2022")</f>
        <v/>
      </c>
    </row>
    <row r="42" ht="15" customHeight="1">
      <c r="A42" t="inlineStr">
        <is>
          <t>A 38860-2025</t>
        </is>
      </c>
      <c r="B42" t="inlineStr">
        <is>
          <t>avverkningsanmälan</t>
        </is>
      </c>
      <c r="C42" t="inlineStr">
        <is>
          <t>Föryngringsavverkning</t>
        </is>
      </c>
      <c r="D42" s="1" t="n">
        <v>45887</v>
      </c>
      <c r="E42" s="1" t="n">
        <v>46218</v>
      </c>
      <c r="F42" t="inlineStr">
        <is>
          <t>KALMAR LÄN</t>
        </is>
      </c>
      <c r="G42" t="inlineStr">
        <is>
          <t>BORGHOLM</t>
        </is>
      </c>
      <c r="I42" t="n">
        <v>5.6</v>
      </c>
      <c r="J42" t="n">
        <v>2</v>
      </c>
      <c r="K42" t="n">
        <v>1</v>
      </c>
      <c r="L42" t="n">
        <v>0</v>
      </c>
      <c r="M42" t="n">
        <v>0</v>
      </c>
      <c r="N42" t="n">
        <v>1</v>
      </c>
      <c r="O42" t="n">
        <v>0</v>
      </c>
      <c r="P42" t="n">
        <v>0</v>
      </c>
      <c r="Q42" t="n">
        <v>1</v>
      </c>
      <c r="R42" t="n">
        <v>1</v>
      </c>
      <c r="S42" t="n">
        <v>3</v>
      </c>
      <c r="T42" t="n">
        <v>3</v>
      </c>
      <c r="U42" s="2" t="inlineStr">
        <is>
          <t>Ask
Skogsknipprot
Revlummer</t>
        </is>
      </c>
      <c r="V42">
        <f>HYPERLINK("https://klasma.github.io/Logging_0885/artfynd/A 38860-2025 artfynd.xlsx", "A 38860-2025")</f>
        <v/>
      </c>
      <c r="W42">
        <f>HYPERLINK("https://klasma.github.io/Logging_0885/kartor/A 38860-2025 karta.png", "A 38860-2025")</f>
        <v/>
      </c>
      <c r="Y42">
        <f>HYPERLINK("https://klasma.github.io/Logging_0885/klagomål/A 38860-2025 FSC-klagomål.docx", "A 38860-2025")</f>
        <v/>
      </c>
      <c r="Z42">
        <f>HYPERLINK("https://klasma.github.io/Logging_0885/klagomålsmail/A 38860-2025 FSC-klagomål mail.docx", "A 38860-2025")</f>
        <v/>
      </c>
      <c r="AA42">
        <f>HYPERLINK("https://klasma.github.io/Logging_0885/tillsyn/A 38860-2025 tillsynsbegäran.docx", "A 38860-2025")</f>
        <v/>
      </c>
      <c r="AB42">
        <f>HYPERLINK("https://klasma.github.io/Logging_0885/tillsynsmail/A 38860-2025 tillsynsbegäran mail.docx", "A 38860-2025")</f>
        <v/>
      </c>
    </row>
    <row r="43" ht="15" customHeight="1">
      <c r="A43" t="inlineStr">
        <is>
          <t>A 43542-2025</t>
        </is>
      </c>
      <c r="B43" t="inlineStr">
        <is>
          <t>avverkningsanmälan</t>
        </is>
      </c>
      <c r="C43" t="inlineStr">
        <is>
          <t>Föryngringsavverkning</t>
        </is>
      </c>
      <c r="D43" s="1" t="n">
        <v>45911</v>
      </c>
      <c r="E43" s="1" t="n">
        <v>46218</v>
      </c>
      <c r="F43" t="inlineStr">
        <is>
          <t>KALMAR LÄN</t>
        </is>
      </c>
      <c r="G43" t="inlineStr">
        <is>
          <t>BORGHOLM</t>
        </is>
      </c>
      <c r="I43" t="n">
        <v>2.4</v>
      </c>
      <c r="J43" t="n">
        <v>0</v>
      </c>
      <c r="K43" t="n">
        <v>1</v>
      </c>
      <c r="L43" t="n">
        <v>2</v>
      </c>
      <c r="M43" t="n">
        <v>0</v>
      </c>
      <c r="N43" t="n">
        <v>0</v>
      </c>
      <c r="O43" t="n">
        <v>0</v>
      </c>
      <c r="P43" t="n">
        <v>0</v>
      </c>
      <c r="Q43" t="n">
        <v>2</v>
      </c>
      <c r="R43" t="n">
        <v>0</v>
      </c>
      <c r="S43" t="n">
        <v>3</v>
      </c>
      <c r="T43" t="n">
        <v>3</v>
      </c>
      <c r="U43" s="2" t="inlineStr">
        <is>
          <t>Vårärt
Ängsskära
Underviol</t>
        </is>
      </c>
      <c r="V43">
        <f>HYPERLINK("https://klasma.github.io/Logging_0885/artfynd/A 43542-2025 artfynd.xlsx", "A 43542-2025")</f>
        <v/>
      </c>
      <c r="W43">
        <f>HYPERLINK("https://klasma.github.io/Logging_0885/kartor/A 43542-2025 karta.png", "A 43542-2025")</f>
        <v/>
      </c>
      <c r="Y43">
        <f>HYPERLINK("https://klasma.github.io/Logging_0885/klagomål/A 43542-2025 FSC-klagomål.docx", "A 43542-2025")</f>
        <v/>
      </c>
      <c r="Z43">
        <f>HYPERLINK("https://klasma.github.io/Logging_0885/klagomålsmail/A 43542-2025 FSC-klagomål mail.docx", "A 43542-2025")</f>
        <v/>
      </c>
      <c r="AA43">
        <f>HYPERLINK("https://klasma.github.io/Logging_0885/tillsyn/A 43542-2025 tillsynsbegäran.docx", "A 43542-2025")</f>
        <v/>
      </c>
      <c r="AB43">
        <f>HYPERLINK("https://klasma.github.io/Logging_0885/tillsynsmail/A 43542-2025 tillsynsbegäran mail.docx", "A 43542-2025")</f>
        <v/>
      </c>
    </row>
    <row r="44" ht="15" customHeight="1">
      <c r="A44" t="inlineStr">
        <is>
          <t>A 24048-2025</t>
        </is>
      </c>
      <c r="B44" t="inlineStr">
        <is>
          <t>avverkningsanmälan</t>
        </is>
      </c>
      <c r="C44" t="inlineStr">
        <is>
          <t>Föryngringsavverkning</t>
        </is>
      </c>
      <c r="D44" s="1" t="n">
        <v>45796</v>
      </c>
      <c r="E44" s="1" t="n">
        <v>46218</v>
      </c>
      <c r="F44" t="inlineStr">
        <is>
          <t>KALMAR LÄN</t>
        </is>
      </c>
      <c r="G44" t="inlineStr">
        <is>
          <t>BORGHOLM</t>
        </is>
      </c>
      <c r="I44" t="n">
        <v>2</v>
      </c>
      <c r="J44" t="n">
        <v>1</v>
      </c>
      <c r="K44" t="n">
        <v>0</v>
      </c>
      <c r="L44" t="n">
        <v>2</v>
      </c>
      <c r="M44" t="n">
        <v>0</v>
      </c>
      <c r="N44" t="n">
        <v>0</v>
      </c>
      <c r="O44" t="n">
        <v>0</v>
      </c>
      <c r="P44" t="n">
        <v>0</v>
      </c>
      <c r="Q44" t="n">
        <v>2</v>
      </c>
      <c r="R44" t="n">
        <v>0</v>
      </c>
      <c r="S44" t="n">
        <v>3</v>
      </c>
      <c r="T44" t="n">
        <v>5</v>
      </c>
      <c r="U44" s="2" t="inlineStr">
        <is>
          <t>Loppstarr
Ängsstarr
Kärrknipprot</t>
        </is>
      </c>
      <c r="V44">
        <f>HYPERLINK("https://klasma.github.io/Logging_0885/artfynd/A 24048-2025 artfynd.xlsx", "A 24048-2025")</f>
        <v/>
      </c>
      <c r="W44">
        <f>HYPERLINK("https://klasma.github.io/Logging_0885/kartor/A 24048-2025 karta.png", "A 24048-2025")</f>
        <v/>
      </c>
      <c r="Y44">
        <f>HYPERLINK("https://klasma.github.io/Logging_0885/klagomål/A 24048-2025 FSC-klagomål.docx", "A 24048-2025")</f>
        <v/>
      </c>
      <c r="Z44">
        <f>HYPERLINK("https://klasma.github.io/Logging_0885/klagomålsmail/A 24048-2025 FSC-klagomål mail.docx", "A 24048-2025")</f>
        <v/>
      </c>
      <c r="AA44">
        <f>HYPERLINK("https://klasma.github.io/Logging_0885/tillsyn/A 24048-2025 tillsynsbegäran.docx", "A 24048-2025")</f>
        <v/>
      </c>
      <c r="AB44">
        <f>HYPERLINK("https://klasma.github.io/Logging_0885/tillsynsmail/A 24048-2025 tillsynsbegäran mail.docx", "A 24048-2025")</f>
        <v/>
      </c>
    </row>
    <row r="45" ht="15" customHeight="1">
      <c r="A45" t="inlineStr">
        <is>
          <t>A 32174-2022</t>
        </is>
      </c>
      <c r="B45" t="inlineStr">
        <is>
          <t>avverkningsanmälan</t>
        </is>
      </c>
      <c r="C45" t="inlineStr">
        <is>
          <t>Avverkning för att bevara och utveckla /försöksver</t>
        </is>
      </c>
      <c r="D45" s="1" t="n">
        <v>44781</v>
      </c>
      <c r="E45" s="1" t="n">
        <v>46218</v>
      </c>
      <c r="F45" t="inlineStr">
        <is>
          <t>KALMAR LÄN</t>
        </is>
      </c>
      <c r="G45" t="inlineStr">
        <is>
          <t>BORGHOLM</t>
        </is>
      </c>
      <c r="H45" t="inlineStr">
        <is>
          <t>Sveaskog</t>
        </is>
      </c>
      <c r="I45" t="n">
        <v>1.6</v>
      </c>
      <c r="J45" t="n">
        <v>2</v>
      </c>
      <c r="K45" t="n">
        <v>2</v>
      </c>
      <c r="L45" t="n">
        <v>1</v>
      </c>
      <c r="M45" t="n">
        <v>0</v>
      </c>
      <c r="N45" t="n">
        <v>0</v>
      </c>
      <c r="O45" t="n">
        <v>0</v>
      </c>
      <c r="P45" t="n">
        <v>0</v>
      </c>
      <c r="Q45" t="n">
        <v>1</v>
      </c>
      <c r="R45" t="n">
        <v>0</v>
      </c>
      <c r="S45" t="n">
        <v>3</v>
      </c>
      <c r="T45" t="n">
        <v>3</v>
      </c>
      <c r="U45" s="2" t="inlineStr">
        <is>
          <t>Backklöver
Tvåblad
Vit skogslilja</t>
        </is>
      </c>
      <c r="V45">
        <f>HYPERLINK("https://klasma.github.io/Logging_0885/artfynd/A 32174-2022 artfynd.xlsx", "A 32174-2022")</f>
        <v/>
      </c>
      <c r="W45">
        <f>HYPERLINK("https://klasma.github.io/Logging_0885/kartor/A 32174-2022 karta.png", "A 32174-2022")</f>
        <v/>
      </c>
      <c r="Y45">
        <f>HYPERLINK("https://klasma.github.io/Logging_0885/klagomål/A 32174-2022 FSC-klagomål.docx", "A 32174-2022")</f>
        <v/>
      </c>
      <c r="Z45">
        <f>HYPERLINK("https://klasma.github.io/Logging_0885/klagomålsmail/A 32174-2022 FSC-klagomål mail.docx", "A 32174-2022")</f>
        <v/>
      </c>
      <c r="AA45">
        <f>HYPERLINK("https://klasma.github.io/Logging_0885/tillsyn/A 32174-2022 tillsynsbegäran.docx", "A 32174-2022")</f>
        <v/>
      </c>
      <c r="AB45">
        <f>HYPERLINK("https://klasma.github.io/Logging_0885/tillsynsmail/A 32174-2022 tillsynsbegäran mail.docx", "A 32174-2022")</f>
        <v/>
      </c>
    </row>
    <row r="46" ht="15" customHeight="1">
      <c r="A46" t="inlineStr">
        <is>
          <t>A 43756-2022</t>
        </is>
      </c>
      <c r="B46" t="inlineStr">
        <is>
          <t>avverkningsanmälan</t>
        </is>
      </c>
      <c r="C46" t="inlineStr">
        <is>
          <t>Föryngringsavverkning</t>
        </is>
      </c>
      <c r="D46" s="1" t="n">
        <v>44837</v>
      </c>
      <c r="E46" s="1" t="n">
        <v>46218</v>
      </c>
      <c r="F46" t="inlineStr">
        <is>
          <t>KALMAR LÄN</t>
        </is>
      </c>
      <c r="G46" t="inlineStr">
        <is>
          <t>BORGHOLM</t>
        </is>
      </c>
      <c r="I46" t="n">
        <v>2.2</v>
      </c>
      <c r="J46" t="n">
        <v>2</v>
      </c>
      <c r="K46" t="n">
        <v>1</v>
      </c>
      <c r="L46" t="n">
        <v>0</v>
      </c>
      <c r="M46" t="n">
        <v>0</v>
      </c>
      <c r="N46" t="n">
        <v>0</v>
      </c>
      <c r="O46" t="n">
        <v>0</v>
      </c>
      <c r="P46" t="n">
        <v>0</v>
      </c>
      <c r="Q46" t="n">
        <v>0</v>
      </c>
      <c r="R46" t="n">
        <v>0</v>
      </c>
      <c r="S46" t="n">
        <v>3</v>
      </c>
      <c r="T46" t="n">
        <v>5</v>
      </c>
      <c r="U46" s="2" t="inlineStr">
        <is>
          <t>Murgröna
Blåsippa
Gullviva</t>
        </is>
      </c>
      <c r="V46">
        <f>HYPERLINK("https://klasma.github.io/Logging_0885/artfynd/A 43756-2022 artfynd.xlsx", "A 43756-2022")</f>
        <v/>
      </c>
      <c r="W46">
        <f>HYPERLINK("https://klasma.github.io/Logging_0885/kartor/A 43756-2022 karta.png", "A 43756-2022")</f>
        <v/>
      </c>
      <c r="Y46">
        <f>HYPERLINK("https://klasma.github.io/Logging_0885/klagomål/A 43756-2022 FSC-klagomål.docx", "A 43756-2022")</f>
        <v/>
      </c>
      <c r="Z46">
        <f>HYPERLINK("https://klasma.github.io/Logging_0885/klagomålsmail/A 43756-2022 FSC-klagomål mail.docx", "A 43756-2022")</f>
        <v/>
      </c>
      <c r="AA46">
        <f>HYPERLINK("https://klasma.github.io/Logging_0885/tillsyn/A 43756-2022 tillsynsbegäran.docx", "A 43756-2022")</f>
        <v/>
      </c>
      <c r="AB46">
        <f>HYPERLINK("https://klasma.github.io/Logging_0885/tillsynsmail/A 43756-2022 tillsynsbegäran mail.docx", "A 43756-2022")</f>
        <v/>
      </c>
    </row>
    <row r="47" ht="15" customHeight="1">
      <c r="A47" t="inlineStr">
        <is>
          <t>A 26849-2026</t>
        </is>
      </c>
      <c r="B47" t="inlineStr">
        <is>
          <t>avverkningsanmälan</t>
        </is>
      </c>
      <c r="C47" t="inlineStr">
        <is>
          <t>Föryngringsavverkning</t>
        </is>
      </c>
      <c r="D47" s="1" t="n">
        <v>46185</v>
      </c>
      <c r="E47" s="1" t="n">
        <v>46218</v>
      </c>
      <c r="F47" t="inlineStr">
        <is>
          <t>KALMAR LÄN</t>
        </is>
      </c>
      <c r="G47" t="inlineStr">
        <is>
          <t>BORGHOLM</t>
        </is>
      </c>
      <c r="H47" t="inlineStr">
        <is>
          <t>Sveaskog</t>
        </is>
      </c>
      <c r="I47" t="n">
        <v>8.1</v>
      </c>
      <c r="J47" t="n">
        <v>2</v>
      </c>
      <c r="K47" t="n">
        <v>3</v>
      </c>
      <c r="L47" t="n">
        <v>0</v>
      </c>
      <c r="M47" t="n">
        <v>0</v>
      </c>
      <c r="N47" t="n">
        <v>0</v>
      </c>
      <c r="O47" t="n">
        <v>0</v>
      </c>
      <c r="P47" t="n">
        <v>0</v>
      </c>
      <c r="Q47" t="n">
        <v>0</v>
      </c>
      <c r="R47" t="n">
        <v>0</v>
      </c>
      <c r="S47" t="n">
        <v>3</v>
      </c>
      <c r="T47" t="n">
        <v>3</v>
      </c>
      <c r="U47" s="2" t="inlineStr">
        <is>
          <t>Myskmadra
Purpurknipprot
Vit skogslilja</t>
        </is>
      </c>
      <c r="V47">
        <f>HYPERLINK("https://klasma.github.io/Logging_0885/artfynd/A 26849-2026 artfynd.xlsx", "A 26849-2026")</f>
        <v/>
      </c>
      <c r="W47">
        <f>HYPERLINK("https://klasma.github.io/Logging_0885/kartor/A 26849-2026 karta.png", "A 26849-2026")</f>
        <v/>
      </c>
      <c r="Y47">
        <f>HYPERLINK("https://klasma.github.io/Logging_0885/klagomål/A 26849-2026 FSC-klagomål.docx", "A 26849-2026")</f>
        <v/>
      </c>
      <c r="Z47">
        <f>HYPERLINK("https://klasma.github.io/Logging_0885/klagomålsmail/A 26849-2026 FSC-klagomål mail.docx", "A 26849-2026")</f>
        <v/>
      </c>
      <c r="AA47">
        <f>HYPERLINK("https://klasma.github.io/Logging_0885/tillsyn/A 26849-2026 tillsynsbegäran.docx", "A 26849-2026")</f>
        <v/>
      </c>
      <c r="AB47">
        <f>HYPERLINK("https://klasma.github.io/Logging_0885/tillsynsmail/A 26849-2026 tillsynsbegäran mail.docx", "A 26849-2026")</f>
        <v/>
      </c>
    </row>
    <row r="48" ht="15" customHeight="1">
      <c r="A48" t="inlineStr">
        <is>
          <t>A 27283-2026</t>
        </is>
      </c>
      <c r="B48" t="inlineStr">
        <is>
          <t>avverkningsanmälan</t>
        </is>
      </c>
      <c r="C48" t="inlineStr">
        <is>
          <t>Avverkning för att bevara och utveckla /försöksver</t>
        </is>
      </c>
      <c r="D48" s="1" t="n">
        <v>46188</v>
      </c>
      <c r="E48" s="1" t="n">
        <v>46218</v>
      </c>
      <c r="F48" t="inlineStr">
        <is>
          <t>KALMAR LÄN</t>
        </is>
      </c>
      <c r="G48" t="inlineStr">
        <is>
          <t>BORGHOLM</t>
        </is>
      </c>
      <c r="H48" t="inlineStr">
        <is>
          <t>Sveaskog</t>
        </is>
      </c>
      <c r="I48" t="n">
        <v>2</v>
      </c>
      <c r="J48" t="n">
        <v>1</v>
      </c>
      <c r="K48" t="n">
        <v>1</v>
      </c>
      <c r="L48" t="n">
        <v>1</v>
      </c>
      <c r="M48" t="n">
        <v>0</v>
      </c>
      <c r="N48" t="n">
        <v>1</v>
      </c>
      <c r="O48" t="n">
        <v>0</v>
      </c>
      <c r="P48" t="n">
        <v>0</v>
      </c>
      <c r="Q48" t="n">
        <v>2</v>
      </c>
      <c r="R48" t="n">
        <v>1</v>
      </c>
      <c r="S48" t="n">
        <v>3</v>
      </c>
      <c r="T48" t="n">
        <v>3</v>
      </c>
      <c r="U48" s="2" t="inlineStr">
        <is>
          <t>Ask
Mindre poppelglasvinge
Skogsknipprot</t>
        </is>
      </c>
      <c r="V48">
        <f>HYPERLINK("https://klasma.github.io/Logging_0885/artfynd/A 27283-2026 artfynd.xlsx", "A 27283-2026")</f>
        <v/>
      </c>
      <c r="W48">
        <f>HYPERLINK("https://klasma.github.io/Logging_0885/kartor/A 27283-2026 karta.png", "A 27283-2026")</f>
        <v/>
      </c>
      <c r="Y48">
        <f>HYPERLINK("https://klasma.github.io/Logging_0885/klagomål/A 27283-2026 FSC-klagomål.docx", "A 27283-2026")</f>
        <v/>
      </c>
      <c r="Z48">
        <f>HYPERLINK("https://klasma.github.io/Logging_0885/klagomålsmail/A 27283-2026 FSC-klagomål mail.docx", "A 27283-2026")</f>
        <v/>
      </c>
      <c r="AA48">
        <f>HYPERLINK("https://klasma.github.io/Logging_0885/tillsyn/A 27283-2026 tillsynsbegäran.docx", "A 27283-2026")</f>
        <v/>
      </c>
      <c r="AB48">
        <f>HYPERLINK("https://klasma.github.io/Logging_0885/tillsynsmail/A 27283-2026 tillsynsbegäran mail.docx", "A 27283-2026")</f>
        <v/>
      </c>
    </row>
    <row r="49" ht="15" customHeight="1">
      <c r="A49" t="inlineStr">
        <is>
          <t>A 15285-2026</t>
        </is>
      </c>
      <c r="B49" t="inlineStr">
        <is>
          <t>avverkningsanmälan</t>
        </is>
      </c>
      <c r="C49" t="inlineStr">
        <is>
          <t>Avverkning för att bevara och utveckla /försöksver</t>
        </is>
      </c>
      <c r="D49" s="1" t="n">
        <v>46105</v>
      </c>
      <c r="E49" s="1" t="n">
        <v>46218</v>
      </c>
      <c r="F49" t="inlineStr">
        <is>
          <t>KALMAR LÄN</t>
        </is>
      </c>
      <c r="G49" t="inlineStr">
        <is>
          <t>BORGHOLM</t>
        </is>
      </c>
      <c r="H49" t="inlineStr">
        <is>
          <t>Sveaskog</t>
        </is>
      </c>
      <c r="I49" t="n">
        <v>1.7</v>
      </c>
      <c r="J49" t="n">
        <v>3</v>
      </c>
      <c r="K49" t="n">
        <v>0</v>
      </c>
      <c r="L49" t="n">
        <v>1</v>
      </c>
      <c r="M49" t="n">
        <v>0</v>
      </c>
      <c r="N49" t="n">
        <v>0</v>
      </c>
      <c r="O49" t="n">
        <v>0</v>
      </c>
      <c r="P49" t="n">
        <v>0</v>
      </c>
      <c r="Q49" t="n">
        <v>1</v>
      </c>
      <c r="R49" t="n">
        <v>0</v>
      </c>
      <c r="S49" t="n">
        <v>3</v>
      </c>
      <c r="T49" t="n">
        <v>3</v>
      </c>
      <c r="U49" s="2" t="inlineStr">
        <is>
          <t>Talltita
Havsörn
Kungsfågel</t>
        </is>
      </c>
      <c r="V49">
        <f>HYPERLINK("https://klasma.github.io/Logging_0885/artfynd/A 15285-2026 artfynd.xlsx", "A 15285-2026")</f>
        <v/>
      </c>
      <c r="W49">
        <f>HYPERLINK("https://klasma.github.io/Logging_0885/kartor/A 15285-2026 karta.png", "A 15285-2026")</f>
        <v/>
      </c>
      <c r="Y49">
        <f>HYPERLINK("https://klasma.github.io/Logging_0885/klagomål/A 15285-2026 FSC-klagomål.docx", "A 15285-2026")</f>
        <v/>
      </c>
      <c r="Z49">
        <f>HYPERLINK("https://klasma.github.io/Logging_0885/klagomålsmail/A 15285-2026 FSC-klagomål mail.docx", "A 15285-2026")</f>
        <v/>
      </c>
      <c r="AA49">
        <f>HYPERLINK("https://klasma.github.io/Logging_0885/tillsyn/A 15285-2026 tillsynsbegäran.docx", "A 15285-2026")</f>
        <v/>
      </c>
      <c r="AB49">
        <f>HYPERLINK("https://klasma.github.io/Logging_0885/tillsynsmail/A 15285-2026 tillsynsbegäran mail.docx", "A 15285-2026")</f>
        <v/>
      </c>
      <c r="AC49">
        <f>HYPERLINK("https://klasma.github.io/Logging_0885/fåglar/A 15285-2026 prioriterade fågelarter.docx", "A 15285-2026")</f>
        <v/>
      </c>
    </row>
    <row r="50" ht="15" customHeight="1">
      <c r="A50" t="inlineStr">
        <is>
          <t>S 2740-2022</t>
        </is>
      </c>
      <c r="B50" t="inlineStr">
        <is>
          <t>samrådsanmälan</t>
        </is>
      </c>
      <c r="C50" t="inlineStr">
        <is>
          <t>Annan skogsbruksåtgärd</t>
        </is>
      </c>
      <c r="D50" s="1" t="n">
        <v>44704</v>
      </c>
      <c r="E50" s="1" t="n">
        <v>46218</v>
      </c>
      <c r="F50" t="inlineStr">
        <is>
          <t>KALMAR LÄN</t>
        </is>
      </c>
      <c r="G50" t="inlineStr">
        <is>
          <t>BORGHOLM</t>
        </is>
      </c>
      <c r="I50" t="n">
        <v>4.4</v>
      </c>
      <c r="J50" t="n">
        <v>2</v>
      </c>
      <c r="K50" t="n">
        <v>1</v>
      </c>
      <c r="L50" t="n">
        <v>0</v>
      </c>
      <c r="M50" t="n">
        <v>0</v>
      </c>
      <c r="N50" t="n">
        <v>1</v>
      </c>
      <c r="O50" t="n">
        <v>0</v>
      </c>
      <c r="P50" t="n">
        <v>0</v>
      </c>
      <c r="Q50" t="n">
        <v>1</v>
      </c>
      <c r="R50" t="n">
        <v>1</v>
      </c>
      <c r="S50" t="n">
        <v>3</v>
      </c>
      <c r="T50" t="n">
        <v>16</v>
      </c>
      <c r="U50" s="2" t="inlineStr">
        <is>
          <t>Ask
Ekoxe
Vanlig padda</t>
        </is>
      </c>
      <c r="V50">
        <f>HYPERLINK("https://klasma.github.io/Logging_0885/artfynd/S 2740-2022 artfynd.xlsx", "S 2740-2022")</f>
        <v/>
      </c>
      <c r="W50">
        <f>HYPERLINK("https://klasma.github.io/Logging_0885/kartor/S 2740-2022 karta.png", "S 2740-2022")</f>
        <v/>
      </c>
      <c r="Y50">
        <f>HYPERLINK("https://klasma.github.io/Logging_0885/klagomål/S 2740-2022 FSC-klagomål.docx", "S 2740-2022")</f>
        <v/>
      </c>
      <c r="Z50">
        <f>HYPERLINK("https://klasma.github.io/Logging_0885/klagomålsmail/S 2740-2022 FSC-klagomål mail.docx", "S 2740-2022")</f>
        <v/>
      </c>
      <c r="AA50">
        <f>HYPERLINK("https://klasma.github.io/Logging_0885/tillsyn/S 2740-2022 tillsynsbegäran.docx", "S 2740-2022")</f>
        <v/>
      </c>
      <c r="AB50">
        <f>HYPERLINK("https://klasma.github.io/Logging_0885/tillsynsmail/S 2740-2022 tillsynsbegäran mail.docx", "S 2740-2022")</f>
        <v/>
      </c>
    </row>
    <row r="51" ht="15" customHeight="1">
      <c r="A51" t="inlineStr">
        <is>
          <t>S 846-2026</t>
        </is>
      </c>
      <c r="B51" t="inlineStr">
        <is>
          <t>samrådsanmälan</t>
        </is>
      </c>
      <c r="C51" t="inlineStr">
        <is>
          <t>Annan skogsbruksåtgärd</t>
        </is>
      </c>
      <c r="D51" s="1" t="n">
        <v>46105</v>
      </c>
      <c r="E51" s="1" t="n">
        <v>46218</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s="2" t="inlineStr">
        <is>
          <t>Talltita
Havsörn
Kungsfågel</t>
        </is>
      </c>
      <c r="V51">
        <f>HYPERLINK("https://klasma.github.io/Logging_0885/artfynd/S 846-2026 artfynd.xlsx", "S 846-2026")</f>
        <v/>
      </c>
      <c r="W51">
        <f>HYPERLINK("https://klasma.github.io/Logging_0885/kartor/S 846-2026 karta.png", "S 846-2026")</f>
        <v/>
      </c>
      <c r="Y51">
        <f>HYPERLINK("https://klasma.github.io/Logging_0885/klagomål/S 846-2026 FSC-klagomål.docx", "S 846-2026")</f>
        <v/>
      </c>
      <c r="Z51">
        <f>HYPERLINK("https://klasma.github.io/Logging_0885/klagomålsmail/S 846-2026 FSC-klagomål mail.docx", "S 846-2026")</f>
        <v/>
      </c>
      <c r="AA51">
        <f>HYPERLINK("https://klasma.github.io/Logging_0885/tillsyn/S 846-2026 tillsynsbegäran.docx", "S 846-2026")</f>
        <v/>
      </c>
      <c r="AB51">
        <f>HYPERLINK("https://klasma.github.io/Logging_0885/tillsynsmail/S 846-2026 tillsynsbegäran mail.docx", "S 846-2026")</f>
        <v/>
      </c>
      <c r="AC51">
        <f>HYPERLINK("https://klasma.github.io/Logging_0885/fåglar/S 846-2026 prioriterade fågelarter.docx", "S 846-2026")</f>
        <v/>
      </c>
    </row>
    <row r="52" ht="15" customHeight="1">
      <c r="A52" t="inlineStr">
        <is>
          <t>S 1726-2026</t>
        </is>
      </c>
      <c r="B52" t="inlineStr">
        <is>
          <t>samrådsanmälan</t>
        </is>
      </c>
      <c r="C52" t="inlineStr">
        <is>
          <t>Annan skogsbruksåtgärd</t>
        </is>
      </c>
      <c r="D52" s="1" t="n">
        <v>46188</v>
      </c>
      <c r="E52" s="1" t="n">
        <v>46218</v>
      </c>
      <c r="F52" t="inlineStr">
        <is>
          <t>KALMAR LÄN</t>
        </is>
      </c>
      <c r="G52" t="inlineStr">
        <is>
          <t>BORGHOLM</t>
        </is>
      </c>
      <c r="H52" t="inlineStr">
        <is>
          <t>Sveaskog</t>
        </is>
      </c>
      <c r="I52" t="n">
        <v>2</v>
      </c>
      <c r="J52" t="n">
        <v>1</v>
      </c>
      <c r="K52" t="n">
        <v>1</v>
      </c>
      <c r="L52" t="n">
        <v>1</v>
      </c>
      <c r="M52" t="n">
        <v>0</v>
      </c>
      <c r="N52" t="n">
        <v>1</v>
      </c>
      <c r="O52" t="n">
        <v>0</v>
      </c>
      <c r="P52" t="n">
        <v>0</v>
      </c>
      <c r="Q52" t="n">
        <v>2</v>
      </c>
      <c r="R52" t="n">
        <v>1</v>
      </c>
      <c r="S52" t="n">
        <v>3</v>
      </c>
      <c r="T52" t="n">
        <v>3</v>
      </c>
      <c r="U52" s="2" t="inlineStr">
        <is>
          <t>Ask
Mindre poppelglasvinge
Skogsknipprot</t>
        </is>
      </c>
      <c r="V52">
        <f>HYPERLINK("https://klasma.github.io/Logging_0885/artfynd/S 1726-2026 artfynd.xlsx", "S 1726-2026")</f>
        <v/>
      </c>
      <c r="W52">
        <f>HYPERLINK("https://klasma.github.io/Logging_0885/kartor/S 1726-2026 karta.png", "S 1726-2026")</f>
        <v/>
      </c>
      <c r="Y52">
        <f>HYPERLINK("https://klasma.github.io/Logging_0885/klagomål/S 1726-2026 FSC-klagomål.docx", "S 1726-2026")</f>
        <v/>
      </c>
      <c r="Z52">
        <f>HYPERLINK("https://klasma.github.io/Logging_0885/klagomålsmail/S 1726-2026 FSC-klagomål mail.docx", "S 1726-2026")</f>
        <v/>
      </c>
      <c r="AA52">
        <f>HYPERLINK("https://klasma.github.io/Logging_0885/tillsyn/S 1726-2026 tillsynsbegäran.docx", "S 1726-2026")</f>
        <v/>
      </c>
      <c r="AB52">
        <f>HYPERLINK("https://klasma.github.io/Logging_0885/tillsynsmail/S 1726-2026 tillsynsbegäran mail.docx", "S 1726-2026")</f>
        <v/>
      </c>
    </row>
    <row r="53" ht="15" customHeight="1">
      <c r="A53" t="inlineStr">
        <is>
          <t>A 10348-2022</t>
        </is>
      </c>
      <c r="B53" t="inlineStr">
        <is>
          <t>avverkningsanmälan</t>
        </is>
      </c>
      <c r="C53" t="inlineStr">
        <is>
          <t>Föryngringsavverkning</t>
        </is>
      </c>
      <c r="D53" s="1" t="n">
        <v>44623</v>
      </c>
      <c r="E53" s="1" t="n">
        <v>46218</v>
      </c>
      <c r="F53" t="inlineStr">
        <is>
          <t>KALMAR LÄN</t>
        </is>
      </c>
      <c r="G53" t="inlineStr">
        <is>
          <t>BORGHOLM</t>
        </is>
      </c>
      <c r="I53" t="n">
        <v>0.4</v>
      </c>
      <c r="J53" t="n">
        <v>0</v>
      </c>
      <c r="K53" t="n">
        <v>0</v>
      </c>
      <c r="L53" t="n">
        <v>2</v>
      </c>
      <c r="M53" t="n">
        <v>0</v>
      </c>
      <c r="N53" t="n">
        <v>0</v>
      </c>
      <c r="O53" t="n">
        <v>0</v>
      </c>
      <c r="P53" t="n">
        <v>0</v>
      </c>
      <c r="Q53" t="n">
        <v>2</v>
      </c>
      <c r="R53" t="n">
        <v>0</v>
      </c>
      <c r="S53" t="n">
        <v>2</v>
      </c>
      <c r="T53" t="n">
        <v>5</v>
      </c>
      <c r="U53" s="2" t="inlineStr">
        <is>
          <t>Dvärgjordstjärna
Stjälkröksvamp</t>
        </is>
      </c>
      <c r="V53">
        <f>HYPERLINK("https://klasma.github.io/Logging_0885/artfynd/A 10348-2022 artfynd.xlsx", "A 10348-2022")</f>
        <v/>
      </c>
      <c r="W53">
        <f>HYPERLINK("https://klasma.github.io/Logging_0885/kartor/A 10348-2022 karta.png", "A 10348-2022")</f>
        <v/>
      </c>
      <c r="Y53">
        <f>HYPERLINK("https://klasma.github.io/Logging_0885/klagomål/A 10348-2022 FSC-klagomål.docx", "A 10348-2022")</f>
        <v/>
      </c>
      <c r="Z53">
        <f>HYPERLINK("https://klasma.github.io/Logging_0885/klagomålsmail/A 10348-2022 FSC-klagomål mail.docx", "A 10348-2022")</f>
        <v/>
      </c>
      <c r="AA53">
        <f>HYPERLINK("https://klasma.github.io/Logging_0885/tillsyn/A 10348-2022 tillsynsbegäran.docx", "A 10348-2022")</f>
        <v/>
      </c>
      <c r="AB53">
        <f>HYPERLINK("https://klasma.github.io/Logging_0885/tillsynsmail/A 10348-2022 tillsynsbegäran mail.docx", "A 10348-2022")</f>
        <v/>
      </c>
    </row>
    <row r="54" ht="15" customHeight="1">
      <c r="A54" t="inlineStr">
        <is>
          <t>A 17699-2025</t>
        </is>
      </c>
      <c r="B54" t="inlineStr">
        <is>
          <t>avverkningsanmälan</t>
        </is>
      </c>
      <c r="C54" t="inlineStr">
        <is>
          <t>Föryngringsavverkning</t>
        </is>
      </c>
      <c r="D54" s="1" t="n">
        <v>45758</v>
      </c>
      <c r="E54" s="1" t="n">
        <v>46218</v>
      </c>
      <c r="F54" t="inlineStr">
        <is>
          <t>KALMAR LÄN</t>
        </is>
      </c>
      <c r="G54" t="inlineStr">
        <is>
          <t>BORGHOLM</t>
        </is>
      </c>
      <c r="I54" t="n">
        <v>0.7</v>
      </c>
      <c r="J54" t="n">
        <v>0</v>
      </c>
      <c r="K54" t="n">
        <v>0</v>
      </c>
      <c r="L54" t="n">
        <v>2</v>
      </c>
      <c r="M54" t="n">
        <v>0</v>
      </c>
      <c r="N54" t="n">
        <v>0</v>
      </c>
      <c r="O54" t="n">
        <v>0</v>
      </c>
      <c r="P54" t="n">
        <v>0</v>
      </c>
      <c r="Q54" t="n">
        <v>2</v>
      </c>
      <c r="R54" t="n">
        <v>0</v>
      </c>
      <c r="S54" t="n">
        <v>2</v>
      </c>
      <c r="T54" t="n">
        <v>2</v>
      </c>
      <c r="U54" s="2" t="inlineStr">
        <is>
          <t>Backtimjan
Klibbveronika</t>
        </is>
      </c>
      <c r="V54">
        <f>HYPERLINK("https://klasma.github.io/Logging_0885/artfynd/A 17699-2025 artfynd.xlsx", "A 17699-2025")</f>
        <v/>
      </c>
      <c r="W54">
        <f>HYPERLINK("https://klasma.github.io/Logging_0885/kartor/A 17699-2025 karta.png", "A 17699-2025")</f>
        <v/>
      </c>
      <c r="Y54">
        <f>HYPERLINK("https://klasma.github.io/Logging_0885/klagomål/A 17699-2025 FSC-klagomål.docx", "A 17699-2025")</f>
        <v/>
      </c>
      <c r="Z54">
        <f>HYPERLINK("https://klasma.github.io/Logging_0885/klagomålsmail/A 17699-2025 FSC-klagomål mail.docx", "A 17699-2025")</f>
        <v/>
      </c>
      <c r="AA54">
        <f>HYPERLINK("https://klasma.github.io/Logging_0885/tillsyn/A 17699-2025 tillsynsbegäran.docx", "A 17699-2025")</f>
        <v/>
      </c>
      <c r="AB54">
        <f>HYPERLINK("https://klasma.github.io/Logging_0885/tillsynsmail/A 17699-2025 tillsynsbegäran mail.docx", "A 17699-2025")</f>
        <v/>
      </c>
    </row>
    <row r="55" ht="15" customHeight="1">
      <c r="A55" t="inlineStr">
        <is>
          <t>A 21908-2022</t>
        </is>
      </c>
      <c r="B55" t="inlineStr">
        <is>
          <t>avverkningsanmälan</t>
        </is>
      </c>
      <c r="C55" t="inlineStr">
        <is>
          <t>Föryngringsavverkning</t>
        </is>
      </c>
      <c r="D55" s="1" t="n">
        <v>44711</v>
      </c>
      <c r="E55" s="1" t="n">
        <v>46218</v>
      </c>
      <c r="F55" t="inlineStr">
        <is>
          <t>KALMAR LÄN</t>
        </is>
      </c>
      <c r="G55" t="inlineStr">
        <is>
          <t>BORGHOLM</t>
        </is>
      </c>
      <c r="I55" t="n">
        <v>4.7</v>
      </c>
      <c r="J55" t="n">
        <v>1</v>
      </c>
      <c r="K55" t="n">
        <v>2</v>
      </c>
      <c r="L55" t="n">
        <v>0</v>
      </c>
      <c r="M55" t="n">
        <v>0</v>
      </c>
      <c r="N55" t="n">
        <v>0</v>
      </c>
      <c r="O55" t="n">
        <v>0</v>
      </c>
      <c r="P55" t="n">
        <v>0</v>
      </c>
      <c r="Q55" t="n">
        <v>0</v>
      </c>
      <c r="R55" t="n">
        <v>0</v>
      </c>
      <c r="S55" t="n">
        <v>2</v>
      </c>
      <c r="T55" t="n">
        <v>2</v>
      </c>
      <c r="U55" s="2" t="inlineStr">
        <is>
          <t>Myskmadra
Skogsknipprot</t>
        </is>
      </c>
      <c r="V55">
        <f>HYPERLINK("https://klasma.github.io/Logging_0885/artfynd/A 21908-2022 artfynd.xlsx", "A 21908-2022")</f>
        <v/>
      </c>
      <c r="W55">
        <f>HYPERLINK("https://klasma.github.io/Logging_0885/kartor/A 21908-2022 karta.png", "A 21908-2022")</f>
        <v/>
      </c>
      <c r="Y55">
        <f>HYPERLINK("https://klasma.github.io/Logging_0885/klagomål/A 21908-2022 FSC-klagomål.docx", "A 21908-2022")</f>
        <v/>
      </c>
      <c r="Z55">
        <f>HYPERLINK("https://klasma.github.io/Logging_0885/klagomålsmail/A 21908-2022 FSC-klagomål mail.docx", "A 21908-2022")</f>
        <v/>
      </c>
      <c r="AA55">
        <f>HYPERLINK("https://klasma.github.io/Logging_0885/tillsyn/A 21908-2022 tillsynsbegäran.docx", "A 21908-2022")</f>
        <v/>
      </c>
      <c r="AB55">
        <f>HYPERLINK("https://klasma.github.io/Logging_0885/tillsynsmail/A 21908-2022 tillsynsbegäran mail.docx", "A 21908-2022")</f>
        <v/>
      </c>
    </row>
    <row r="56" ht="15" customHeight="1">
      <c r="A56" t="inlineStr">
        <is>
          <t>A 24166-2022</t>
        </is>
      </c>
      <c r="B56" t="inlineStr">
        <is>
          <t>avverkningsanmälan</t>
        </is>
      </c>
      <c r="C56" t="inlineStr">
        <is>
          <t>Avverkning för annat ändamål</t>
        </is>
      </c>
      <c r="D56" s="1" t="n">
        <v>44725</v>
      </c>
      <c r="E56" s="1" t="n">
        <v>46218</v>
      </c>
      <c r="F56" t="inlineStr">
        <is>
          <t>KALMAR LÄN</t>
        </is>
      </c>
      <c r="G56" t="inlineStr">
        <is>
          <t>BORGHOLM</t>
        </is>
      </c>
      <c r="I56" t="n">
        <v>10.7</v>
      </c>
      <c r="J56" t="n">
        <v>0</v>
      </c>
      <c r="K56" t="n">
        <v>0</v>
      </c>
      <c r="L56" t="n">
        <v>1</v>
      </c>
      <c r="M56" t="n">
        <v>1</v>
      </c>
      <c r="N56" t="n">
        <v>0</v>
      </c>
      <c r="O56" t="n">
        <v>0</v>
      </c>
      <c r="P56" t="n">
        <v>0</v>
      </c>
      <c r="Q56" t="n">
        <v>2</v>
      </c>
      <c r="R56" t="n">
        <v>1</v>
      </c>
      <c r="S56" t="n">
        <v>2</v>
      </c>
      <c r="T56" t="n">
        <v>2</v>
      </c>
      <c r="U56" s="2" t="inlineStr">
        <is>
          <t>Plattsäv
Jungfrulin</t>
        </is>
      </c>
      <c r="V56">
        <f>HYPERLINK("https://klasma.github.io/Logging_0885/artfynd/A 24166-2022 artfynd.xlsx", "A 24166-2022")</f>
        <v/>
      </c>
      <c r="W56">
        <f>HYPERLINK("https://klasma.github.io/Logging_0885/kartor/A 24166-2022 karta.png", "A 24166-2022")</f>
        <v/>
      </c>
      <c r="Y56">
        <f>HYPERLINK("https://klasma.github.io/Logging_0885/klagomål/A 24166-2022 FSC-klagomål.docx", "A 24166-2022")</f>
        <v/>
      </c>
      <c r="Z56">
        <f>HYPERLINK("https://klasma.github.io/Logging_0885/klagomålsmail/A 24166-2022 FSC-klagomål mail.docx", "A 24166-2022")</f>
        <v/>
      </c>
      <c r="AA56">
        <f>HYPERLINK("https://klasma.github.io/Logging_0885/tillsyn/A 24166-2022 tillsynsbegäran.docx", "A 24166-2022")</f>
        <v/>
      </c>
      <c r="AB56">
        <f>HYPERLINK("https://klasma.github.io/Logging_0885/tillsynsmail/A 24166-2022 tillsynsbegäran mail.docx", "A 24166-2022")</f>
        <v/>
      </c>
    </row>
    <row r="57" ht="15" customHeight="1">
      <c r="A57" t="inlineStr">
        <is>
          <t>A 44678-2022</t>
        </is>
      </c>
      <c r="B57" t="inlineStr">
        <is>
          <t>avverkningsanmälan</t>
        </is>
      </c>
      <c r="C57" t="inlineStr">
        <is>
          <t>Föryngringsavverkning</t>
        </is>
      </c>
      <c r="D57" s="1" t="n">
        <v>44840</v>
      </c>
      <c r="E57" s="1" t="n">
        <v>46218</v>
      </c>
      <c r="F57" t="inlineStr">
        <is>
          <t>KALMAR LÄN</t>
        </is>
      </c>
      <c r="G57" t="inlineStr">
        <is>
          <t>BORGHOLM</t>
        </is>
      </c>
      <c r="I57" t="n">
        <v>2.4</v>
      </c>
      <c r="J57" t="n">
        <v>1</v>
      </c>
      <c r="K57" t="n">
        <v>1</v>
      </c>
      <c r="L57" t="n">
        <v>0</v>
      </c>
      <c r="M57" t="n">
        <v>0</v>
      </c>
      <c r="N57" t="n">
        <v>1</v>
      </c>
      <c r="O57" t="n">
        <v>0</v>
      </c>
      <c r="P57" t="n">
        <v>0</v>
      </c>
      <c r="Q57" t="n">
        <v>1</v>
      </c>
      <c r="R57" t="n">
        <v>1</v>
      </c>
      <c r="S57" t="n">
        <v>2</v>
      </c>
      <c r="T57" t="n">
        <v>2</v>
      </c>
      <c r="U57" s="2" t="inlineStr">
        <is>
          <t>Ask
Skogsknipprot</t>
        </is>
      </c>
      <c r="V57">
        <f>HYPERLINK("https://klasma.github.io/Logging_0885/artfynd/A 44678-2022 artfynd.xlsx", "A 44678-2022")</f>
        <v/>
      </c>
      <c r="W57">
        <f>HYPERLINK("https://klasma.github.io/Logging_0885/kartor/A 44678-2022 karta.png", "A 44678-2022")</f>
        <v/>
      </c>
      <c r="Y57">
        <f>HYPERLINK("https://klasma.github.io/Logging_0885/klagomål/A 44678-2022 FSC-klagomål.docx", "A 44678-2022")</f>
        <v/>
      </c>
      <c r="Z57">
        <f>HYPERLINK("https://klasma.github.io/Logging_0885/klagomålsmail/A 44678-2022 FSC-klagomål mail.docx", "A 44678-2022")</f>
        <v/>
      </c>
      <c r="AA57">
        <f>HYPERLINK("https://klasma.github.io/Logging_0885/tillsyn/A 44678-2022 tillsynsbegäran.docx", "A 44678-2022")</f>
        <v/>
      </c>
      <c r="AB57">
        <f>HYPERLINK("https://klasma.github.io/Logging_0885/tillsynsmail/A 44678-2022 tillsynsbegäran mail.docx", "A 44678-2022")</f>
        <v/>
      </c>
    </row>
    <row r="58" ht="15" customHeight="1">
      <c r="A58" t="inlineStr">
        <is>
          <t>A 60141-2025</t>
        </is>
      </c>
      <c r="B58" t="inlineStr">
        <is>
          <t>avverkningsanmälan</t>
        </is>
      </c>
      <c r="C58" t="inlineStr">
        <is>
          <t>Föryngringsavverkning</t>
        </is>
      </c>
      <c r="D58" s="1" t="n">
        <v>45994</v>
      </c>
      <c r="E58" s="1" t="n">
        <v>46218</v>
      </c>
      <c r="F58" t="inlineStr">
        <is>
          <t>KALMAR LÄN</t>
        </is>
      </c>
      <c r="G58" t="inlineStr">
        <is>
          <t>BORGHOLM</t>
        </is>
      </c>
      <c r="I58" t="n">
        <v>0.7</v>
      </c>
      <c r="J58" t="n">
        <v>1</v>
      </c>
      <c r="K58" t="n">
        <v>1</v>
      </c>
      <c r="L58" t="n">
        <v>0</v>
      </c>
      <c r="M58" t="n">
        <v>0</v>
      </c>
      <c r="N58" t="n">
        <v>0</v>
      </c>
      <c r="O58" t="n">
        <v>0</v>
      </c>
      <c r="P58" t="n">
        <v>0</v>
      </c>
      <c r="Q58" t="n">
        <v>0</v>
      </c>
      <c r="R58" t="n">
        <v>0</v>
      </c>
      <c r="S58" t="n">
        <v>2</v>
      </c>
      <c r="T58" t="n">
        <v>3</v>
      </c>
      <c r="U58" s="2" t="inlineStr">
        <is>
          <t>Strävlosta
Långbensgroda</t>
        </is>
      </c>
      <c r="V58">
        <f>HYPERLINK("https://klasma.github.io/Logging_0885/artfynd/A 60141-2025 artfynd.xlsx", "A 60141-2025")</f>
        <v/>
      </c>
      <c r="W58">
        <f>HYPERLINK("https://klasma.github.io/Logging_0885/kartor/A 60141-2025 karta.png", "A 60141-2025")</f>
        <v/>
      </c>
      <c r="Y58">
        <f>HYPERLINK("https://klasma.github.io/Logging_0885/klagomål/A 60141-2025 FSC-klagomål.docx", "A 60141-2025")</f>
        <v/>
      </c>
      <c r="Z58">
        <f>HYPERLINK("https://klasma.github.io/Logging_0885/klagomålsmail/A 60141-2025 FSC-klagomål mail.docx", "A 60141-2025")</f>
        <v/>
      </c>
      <c r="AA58">
        <f>HYPERLINK("https://klasma.github.io/Logging_0885/tillsyn/A 60141-2025 tillsynsbegäran.docx", "A 60141-2025")</f>
        <v/>
      </c>
      <c r="AB58">
        <f>HYPERLINK("https://klasma.github.io/Logging_0885/tillsynsmail/A 60141-2025 tillsynsbegäran mail.docx", "A 60141-2025")</f>
        <v/>
      </c>
    </row>
    <row r="59" ht="15" customHeight="1">
      <c r="A59" t="inlineStr">
        <is>
          <t>A 60140-2025</t>
        </is>
      </c>
      <c r="B59" t="inlineStr">
        <is>
          <t>avverkningsanmälan</t>
        </is>
      </c>
      <c r="C59" t="inlineStr">
        <is>
          <t>Föryngringsavverkning</t>
        </is>
      </c>
      <c r="D59" s="1" t="n">
        <v>45994</v>
      </c>
      <c r="E59" s="1" t="n">
        <v>46218</v>
      </c>
      <c r="F59" t="inlineStr">
        <is>
          <t>KALMAR LÄN</t>
        </is>
      </c>
      <c r="G59" t="inlineStr">
        <is>
          <t>BORGHOLM</t>
        </is>
      </c>
      <c r="I59" t="n">
        <v>0.8</v>
      </c>
      <c r="J59" t="n">
        <v>1</v>
      </c>
      <c r="K59" t="n">
        <v>2</v>
      </c>
      <c r="L59" t="n">
        <v>0</v>
      </c>
      <c r="M59" t="n">
        <v>0</v>
      </c>
      <c r="N59" t="n">
        <v>0</v>
      </c>
      <c r="O59" t="n">
        <v>0</v>
      </c>
      <c r="P59" t="n">
        <v>0</v>
      </c>
      <c r="Q59" t="n">
        <v>0</v>
      </c>
      <c r="R59" t="n">
        <v>0</v>
      </c>
      <c r="S59" t="n">
        <v>2</v>
      </c>
      <c r="T59" t="n">
        <v>5</v>
      </c>
      <c r="U59" s="2" t="inlineStr">
        <is>
          <t>Skogsknipprot
Strävlosta</t>
        </is>
      </c>
      <c r="V59">
        <f>HYPERLINK("https://klasma.github.io/Logging_0885/artfynd/A 60140-2025 artfynd.xlsx", "A 60140-2025")</f>
        <v/>
      </c>
      <c r="W59">
        <f>HYPERLINK("https://klasma.github.io/Logging_0885/kartor/A 60140-2025 karta.png", "A 60140-2025")</f>
        <v/>
      </c>
      <c r="Y59">
        <f>HYPERLINK("https://klasma.github.io/Logging_0885/klagomål/A 60140-2025 FSC-klagomål.docx", "A 60140-2025")</f>
        <v/>
      </c>
      <c r="Z59">
        <f>HYPERLINK("https://klasma.github.io/Logging_0885/klagomålsmail/A 60140-2025 FSC-klagomål mail.docx", "A 60140-2025")</f>
        <v/>
      </c>
      <c r="AA59">
        <f>HYPERLINK("https://klasma.github.io/Logging_0885/tillsyn/A 60140-2025 tillsynsbegäran.docx", "A 60140-2025")</f>
        <v/>
      </c>
      <c r="AB59">
        <f>HYPERLINK("https://klasma.github.io/Logging_0885/tillsynsmail/A 60140-2025 tillsynsbegäran mail.docx", "A 60140-2025")</f>
        <v/>
      </c>
    </row>
    <row r="60" ht="15" customHeight="1">
      <c r="A60" t="inlineStr">
        <is>
          <t>A 50129-2021</t>
        </is>
      </c>
      <c r="B60" t="inlineStr">
        <is>
          <t>avverkningsanmälan</t>
        </is>
      </c>
      <c r="C60" t="inlineStr">
        <is>
          <t>Avverkning för annat ändamål</t>
        </is>
      </c>
      <c r="D60" s="1" t="n">
        <v>44456</v>
      </c>
      <c r="E60" s="1" t="n">
        <v>46218</v>
      </c>
      <c r="F60" t="inlineStr">
        <is>
          <t>KALMAR LÄN</t>
        </is>
      </c>
      <c r="G60" t="inlineStr">
        <is>
          <t>BORGHOLM</t>
        </is>
      </c>
      <c r="I60" t="n">
        <v>1.6</v>
      </c>
      <c r="J60" t="n">
        <v>1</v>
      </c>
      <c r="K60" t="n">
        <v>1</v>
      </c>
      <c r="L60" t="n">
        <v>0</v>
      </c>
      <c r="M60" t="n">
        <v>0</v>
      </c>
      <c r="N60" t="n">
        <v>0</v>
      </c>
      <c r="O60" t="n">
        <v>0</v>
      </c>
      <c r="P60" t="n">
        <v>0</v>
      </c>
      <c r="Q60" t="n">
        <v>0</v>
      </c>
      <c r="R60" t="n">
        <v>0</v>
      </c>
      <c r="S60" t="n">
        <v>2</v>
      </c>
      <c r="T60" t="n">
        <v>2</v>
      </c>
      <c r="U60" s="2" t="inlineStr">
        <is>
          <t>Murgröna
Blåsippa</t>
        </is>
      </c>
      <c r="V60">
        <f>HYPERLINK("https://klasma.github.io/Logging_0885/artfynd/A 50129-2021 artfynd.xlsx", "A 50129-2021")</f>
        <v/>
      </c>
      <c r="W60">
        <f>HYPERLINK("https://klasma.github.io/Logging_0885/kartor/A 50129-2021 karta.png", "A 50129-2021")</f>
        <v/>
      </c>
      <c r="Y60">
        <f>HYPERLINK("https://klasma.github.io/Logging_0885/klagomål/A 50129-2021 FSC-klagomål.docx", "A 50129-2021")</f>
        <v/>
      </c>
      <c r="Z60">
        <f>HYPERLINK("https://klasma.github.io/Logging_0885/klagomålsmail/A 50129-2021 FSC-klagomål mail.docx", "A 50129-2021")</f>
        <v/>
      </c>
      <c r="AA60">
        <f>HYPERLINK("https://klasma.github.io/Logging_0885/tillsyn/A 50129-2021 tillsynsbegäran.docx", "A 50129-2021")</f>
        <v/>
      </c>
      <c r="AB60">
        <f>HYPERLINK("https://klasma.github.io/Logging_0885/tillsynsmail/A 50129-2021 tillsynsbegäran mail.docx", "A 50129-2021")</f>
        <v/>
      </c>
    </row>
    <row r="61" ht="15" customHeight="1">
      <c r="A61" t="inlineStr">
        <is>
          <t>A 29411-2026</t>
        </is>
      </c>
      <c r="B61" t="inlineStr">
        <is>
          <t>avverkningsanmälan</t>
        </is>
      </c>
      <c r="C61" t="inlineStr">
        <is>
          <t>Avverkning för att bevara och utveckla /försöksver</t>
        </is>
      </c>
      <c r="D61" s="1" t="n">
        <v>46203</v>
      </c>
      <c r="E61" s="1" t="n">
        <v>46218</v>
      </c>
      <c r="F61" t="inlineStr">
        <is>
          <t>KALMAR LÄN</t>
        </is>
      </c>
      <c r="G61" t="inlineStr">
        <is>
          <t>BORGHOLM</t>
        </is>
      </c>
      <c r="H61" t="inlineStr">
        <is>
          <t>Sveaskog</t>
        </is>
      </c>
      <c r="I61" t="n">
        <v>0.6</v>
      </c>
      <c r="J61" t="n">
        <v>1</v>
      </c>
      <c r="K61" t="n">
        <v>1</v>
      </c>
      <c r="L61" t="n">
        <v>0</v>
      </c>
      <c r="M61" t="n">
        <v>1</v>
      </c>
      <c r="N61" t="n">
        <v>0</v>
      </c>
      <c r="O61" t="n">
        <v>0</v>
      </c>
      <c r="P61" t="n">
        <v>0</v>
      </c>
      <c r="Q61" t="n">
        <v>1</v>
      </c>
      <c r="R61" t="n">
        <v>1</v>
      </c>
      <c r="S61" t="n">
        <v>2</v>
      </c>
      <c r="T61" t="n">
        <v>2</v>
      </c>
      <c r="U61" s="2" t="inlineStr">
        <is>
          <t>Bredbrämad bastardsvärmare
Ekoxe</t>
        </is>
      </c>
      <c r="V61">
        <f>HYPERLINK("https://klasma.github.io/Logging_0885/artfynd/A 29411-2026 artfynd.xlsx", "A 29411-2026")</f>
        <v/>
      </c>
      <c r="W61">
        <f>HYPERLINK("https://klasma.github.io/Logging_0885/kartor/A 29411-2026 karta.png", "A 29411-2026")</f>
        <v/>
      </c>
      <c r="Y61">
        <f>HYPERLINK("https://klasma.github.io/Logging_0885/klagomål/A 29411-2026 FSC-klagomål.docx", "A 29411-2026")</f>
        <v/>
      </c>
      <c r="Z61">
        <f>HYPERLINK("https://klasma.github.io/Logging_0885/klagomålsmail/A 29411-2026 FSC-klagomål mail.docx", "A 29411-2026")</f>
        <v/>
      </c>
      <c r="AA61">
        <f>HYPERLINK("https://klasma.github.io/Logging_0885/tillsyn/A 29411-2026 tillsynsbegäran.docx", "A 29411-2026")</f>
        <v/>
      </c>
      <c r="AB61">
        <f>HYPERLINK("https://klasma.github.io/Logging_0885/tillsynsmail/A 29411-2026 tillsynsbegäran mail.docx", "A 29411-2026")</f>
        <v/>
      </c>
    </row>
    <row r="62" ht="15" customHeight="1">
      <c r="A62" t="inlineStr">
        <is>
          <t>A 9253-2026</t>
        </is>
      </c>
      <c r="B62" t="inlineStr">
        <is>
          <t>avverkningsanmälan</t>
        </is>
      </c>
      <c r="C62" t="inlineStr">
        <is>
          <t>Föryngringsavverkning</t>
        </is>
      </c>
      <c r="D62" s="1" t="n">
        <v>46070</v>
      </c>
      <c r="E62" s="1" t="n">
        <v>46218</v>
      </c>
      <c r="F62" t="inlineStr">
        <is>
          <t>KALMAR LÄN</t>
        </is>
      </c>
      <c r="G62" t="inlineStr">
        <is>
          <t>BORGHOLM</t>
        </is>
      </c>
      <c r="I62" t="n">
        <v>1.1</v>
      </c>
      <c r="J62" t="n">
        <v>1</v>
      </c>
      <c r="K62" t="n">
        <v>1</v>
      </c>
      <c r="L62" t="n">
        <v>0</v>
      </c>
      <c r="M62" t="n">
        <v>0</v>
      </c>
      <c r="N62" t="n">
        <v>0</v>
      </c>
      <c r="O62" t="n">
        <v>0</v>
      </c>
      <c r="P62" t="n">
        <v>0</v>
      </c>
      <c r="Q62" t="n">
        <v>0</v>
      </c>
      <c r="R62" t="n">
        <v>0</v>
      </c>
      <c r="S62" t="n">
        <v>2</v>
      </c>
      <c r="T62" t="n">
        <v>2</v>
      </c>
      <c r="U62" s="2" t="inlineStr">
        <is>
          <t>Murgröna
Gullviva</t>
        </is>
      </c>
      <c r="V62">
        <f>HYPERLINK("https://klasma.github.io/Logging_0885/artfynd/A 9253-2026 artfynd.xlsx", "A 9253-2026")</f>
        <v/>
      </c>
      <c r="W62">
        <f>HYPERLINK("https://klasma.github.io/Logging_0885/kartor/A 9253-2026 karta.png", "A 9253-2026")</f>
        <v/>
      </c>
      <c r="Y62">
        <f>HYPERLINK("https://klasma.github.io/Logging_0885/klagomål/A 9253-2026 FSC-klagomål.docx", "A 9253-2026")</f>
        <v/>
      </c>
      <c r="Z62">
        <f>HYPERLINK("https://klasma.github.io/Logging_0885/klagomålsmail/A 9253-2026 FSC-klagomål mail.docx", "A 9253-2026")</f>
        <v/>
      </c>
      <c r="AA62">
        <f>HYPERLINK("https://klasma.github.io/Logging_0885/tillsyn/A 9253-2026 tillsynsbegäran.docx", "A 9253-2026")</f>
        <v/>
      </c>
      <c r="AB62">
        <f>HYPERLINK("https://klasma.github.io/Logging_0885/tillsynsmail/A 9253-2026 tillsynsbegäran mail.docx", "A 9253-2026")</f>
        <v/>
      </c>
    </row>
    <row r="63" ht="15" customHeight="1">
      <c r="A63" t="inlineStr">
        <is>
          <t>A 24322-2026</t>
        </is>
      </c>
      <c r="B63" t="inlineStr">
        <is>
          <t>avverkningsanmälan</t>
        </is>
      </c>
      <c r="C63" t="inlineStr">
        <is>
          <t>Föryngringsavverkning</t>
        </is>
      </c>
      <c r="D63" s="1" t="n">
        <v>46169</v>
      </c>
      <c r="E63" s="1" t="n">
        <v>46218</v>
      </c>
      <c r="F63" t="inlineStr">
        <is>
          <t>KALMAR LÄN</t>
        </is>
      </c>
      <c r="G63" t="inlineStr">
        <is>
          <t>BORGHOLM</t>
        </is>
      </c>
      <c r="H63" t="inlineStr">
        <is>
          <t>Sveaskog</t>
        </is>
      </c>
      <c r="I63" t="n">
        <v>5.5</v>
      </c>
      <c r="J63" t="n">
        <v>2</v>
      </c>
      <c r="K63" t="n">
        <v>2</v>
      </c>
      <c r="L63" t="n">
        <v>0</v>
      </c>
      <c r="M63" t="n">
        <v>0</v>
      </c>
      <c r="N63" t="n">
        <v>0</v>
      </c>
      <c r="O63" t="n">
        <v>0</v>
      </c>
      <c r="P63" t="n">
        <v>0</v>
      </c>
      <c r="Q63" t="n">
        <v>0</v>
      </c>
      <c r="R63" t="n">
        <v>0</v>
      </c>
      <c r="S63" t="n">
        <v>2</v>
      </c>
      <c r="T63" t="n">
        <v>2</v>
      </c>
      <c r="U63" s="2" t="inlineStr">
        <is>
          <t>Purpurknipprot
Skogsknipprot</t>
        </is>
      </c>
      <c r="V63">
        <f>HYPERLINK("https://klasma.github.io/Logging_0885/artfynd/A 24322-2026 artfynd.xlsx", "A 24322-2026")</f>
        <v/>
      </c>
      <c r="W63">
        <f>HYPERLINK("https://klasma.github.io/Logging_0885/kartor/A 24322-2026 karta.png", "A 24322-2026")</f>
        <v/>
      </c>
      <c r="Y63">
        <f>HYPERLINK("https://klasma.github.io/Logging_0885/klagomål/A 24322-2026 FSC-klagomål.docx", "A 24322-2026")</f>
        <v/>
      </c>
      <c r="Z63">
        <f>HYPERLINK("https://klasma.github.io/Logging_0885/klagomålsmail/A 24322-2026 FSC-klagomål mail.docx", "A 24322-2026")</f>
        <v/>
      </c>
      <c r="AA63">
        <f>HYPERLINK("https://klasma.github.io/Logging_0885/tillsyn/A 24322-2026 tillsynsbegäran.docx", "A 24322-2026")</f>
        <v/>
      </c>
      <c r="AB63">
        <f>HYPERLINK("https://klasma.github.io/Logging_0885/tillsynsmail/A 24322-2026 tillsynsbegäran mail.docx", "A 24322-2026")</f>
        <v/>
      </c>
    </row>
    <row r="64" ht="15" customHeight="1">
      <c r="A64" t="inlineStr">
        <is>
          <t>A 29434-2026</t>
        </is>
      </c>
      <c r="B64" t="inlineStr">
        <is>
          <t>avverkningsanmälan</t>
        </is>
      </c>
      <c r="C64" t="inlineStr">
        <is>
          <t>Avverkning för att bevara och utveckla /försöksver</t>
        </is>
      </c>
      <c r="D64" s="1" t="n">
        <v>46203</v>
      </c>
      <c r="E64" s="1" t="n">
        <v>46218</v>
      </c>
      <c r="F64" t="inlineStr">
        <is>
          <t>KALMAR LÄN</t>
        </is>
      </c>
      <c r="G64" t="inlineStr">
        <is>
          <t>BORGHOLM</t>
        </is>
      </c>
      <c r="H64" t="inlineStr">
        <is>
          <t>Sveaskog</t>
        </is>
      </c>
      <c r="I64" t="n">
        <v>2.1</v>
      </c>
      <c r="J64" t="n">
        <v>0</v>
      </c>
      <c r="K64" t="n">
        <v>0</v>
      </c>
      <c r="L64" t="n">
        <v>0</v>
      </c>
      <c r="M64" t="n">
        <v>2</v>
      </c>
      <c r="N64" t="n">
        <v>0</v>
      </c>
      <c r="O64" t="n">
        <v>0</v>
      </c>
      <c r="P64" t="n">
        <v>0</v>
      </c>
      <c r="Q64" t="n">
        <v>2</v>
      </c>
      <c r="R64" t="n">
        <v>2</v>
      </c>
      <c r="S64" t="n">
        <v>2</v>
      </c>
      <c r="T64" t="n">
        <v>2</v>
      </c>
      <c r="U64" s="2" t="inlineStr">
        <is>
          <t>Bredbrämad bastardsvärmare
Purpurmusseron</t>
        </is>
      </c>
      <c r="V64">
        <f>HYPERLINK("https://klasma.github.io/Logging_0885/artfynd/A 29434-2026 artfynd.xlsx", "A 29434-2026")</f>
        <v/>
      </c>
      <c r="W64">
        <f>HYPERLINK("https://klasma.github.io/Logging_0885/kartor/A 29434-2026 karta.png", "A 29434-2026")</f>
        <v/>
      </c>
      <c r="Y64">
        <f>HYPERLINK("https://klasma.github.io/Logging_0885/klagomål/A 29434-2026 FSC-klagomål.docx", "A 29434-2026")</f>
        <v/>
      </c>
      <c r="Z64">
        <f>HYPERLINK("https://klasma.github.io/Logging_0885/klagomålsmail/A 29434-2026 FSC-klagomål mail.docx", "A 29434-2026")</f>
        <v/>
      </c>
      <c r="AA64">
        <f>HYPERLINK("https://klasma.github.io/Logging_0885/tillsyn/A 29434-2026 tillsynsbegäran.docx", "A 29434-2026")</f>
        <v/>
      </c>
      <c r="AB64">
        <f>HYPERLINK("https://klasma.github.io/Logging_0885/tillsynsmail/A 29434-2026 tillsynsbegäran mail.docx", "A 29434-2026")</f>
        <v/>
      </c>
    </row>
    <row r="65" ht="15" customHeight="1">
      <c r="A65" t="inlineStr">
        <is>
          <t>S 6144-2022</t>
        </is>
      </c>
      <c r="B65" t="inlineStr">
        <is>
          <t>samrådsanmälan</t>
        </is>
      </c>
      <c r="C65" t="inlineStr">
        <is>
          <t>Annan skogsbruksåtgärd</t>
        </is>
      </c>
      <c r="D65" s="1" t="n">
        <v>44865</v>
      </c>
      <c r="E65" s="1" t="n">
        <v>46218</v>
      </c>
      <c r="F65" t="inlineStr">
        <is>
          <t>KALMAR LÄN</t>
        </is>
      </c>
      <c r="G65" t="inlineStr">
        <is>
          <t>BORGHOLM</t>
        </is>
      </c>
      <c r="I65" t="n">
        <v>2</v>
      </c>
      <c r="J65" t="n">
        <v>1</v>
      </c>
      <c r="K65" t="n">
        <v>0</v>
      </c>
      <c r="L65" t="n">
        <v>1</v>
      </c>
      <c r="M65" t="n">
        <v>0</v>
      </c>
      <c r="N65" t="n">
        <v>0</v>
      </c>
      <c r="O65" t="n">
        <v>0</v>
      </c>
      <c r="P65" t="n">
        <v>0</v>
      </c>
      <c r="Q65" t="n">
        <v>1</v>
      </c>
      <c r="R65" t="n">
        <v>0</v>
      </c>
      <c r="S65" t="n">
        <v>2</v>
      </c>
      <c r="T65" t="n">
        <v>3</v>
      </c>
      <c r="U65" s="2" t="inlineStr">
        <is>
          <t>Oxtungssvamp
Fläcknycklar</t>
        </is>
      </c>
      <c r="V65">
        <f>HYPERLINK("https://klasma.github.io/Logging_0885/artfynd/S 6144-2022 artfynd.xlsx", "S 6144-2022")</f>
        <v/>
      </c>
      <c r="W65">
        <f>HYPERLINK("https://klasma.github.io/Logging_0885/kartor/S 6144-2022 karta.png", "S 6144-2022")</f>
        <v/>
      </c>
      <c r="Y65">
        <f>HYPERLINK("https://klasma.github.io/Logging_0885/klagomål/S 6144-2022 FSC-klagomål.docx", "S 6144-2022")</f>
        <v/>
      </c>
      <c r="Z65">
        <f>HYPERLINK("https://klasma.github.io/Logging_0885/klagomålsmail/S 6144-2022 FSC-klagomål mail.docx", "S 6144-2022")</f>
        <v/>
      </c>
      <c r="AA65">
        <f>HYPERLINK("https://klasma.github.io/Logging_0885/tillsyn/S 6144-2022 tillsynsbegäran.docx", "S 6144-2022")</f>
        <v/>
      </c>
      <c r="AB65">
        <f>HYPERLINK("https://klasma.github.io/Logging_0885/tillsynsmail/S 6144-2022 tillsynsbegäran mail.docx", "S 6144-2022")</f>
        <v/>
      </c>
    </row>
    <row r="66" ht="15" customHeight="1">
      <c r="A66" t="inlineStr">
        <is>
          <t>S 1650-2022</t>
        </is>
      </c>
      <c r="B66" t="inlineStr">
        <is>
          <t>samrådsanmälan</t>
        </is>
      </c>
      <c r="C66" t="inlineStr">
        <is>
          <t>Åtgärd i nyckelbiotop</t>
        </is>
      </c>
      <c r="D66" s="1" t="n">
        <v>44649</v>
      </c>
      <c r="E66" s="1" t="n">
        <v>46218</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Y66">
        <f>HYPERLINK("https://klasma.github.io/Logging_0885/klagomål/S 1650-2022 FSC-klagomål.docx", "S 1650-2022")</f>
        <v/>
      </c>
      <c r="Z66">
        <f>HYPERLINK("https://klasma.github.io/Logging_0885/klagomålsmail/S 1650-2022 FSC-klagomål mail.docx", "S 1650-2022")</f>
        <v/>
      </c>
      <c r="AA66">
        <f>HYPERLINK("https://klasma.github.io/Logging_0885/tillsyn/S 1650-2022 tillsynsbegäran.docx", "S 1650-2022")</f>
        <v/>
      </c>
      <c r="AB66">
        <f>HYPERLINK("https://klasma.github.io/Logging_0885/tillsynsmail/S 1650-2022 tillsynsbegäran mail.docx", "S 1650-2022")</f>
        <v/>
      </c>
    </row>
    <row r="67" ht="15" customHeight="1">
      <c r="A67" t="inlineStr">
        <is>
          <t>S 1886-2026</t>
        </is>
      </c>
      <c r="B67" t="inlineStr">
        <is>
          <t>samrådsanmälan</t>
        </is>
      </c>
      <c r="C67" t="inlineStr">
        <is>
          <t>Annan skogsbruksåtgärd</t>
        </is>
      </c>
      <c r="D67" s="1" t="n">
        <v>46203</v>
      </c>
      <c r="E67" s="1" t="n">
        <v>46218</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s="2" t="inlineStr">
        <is>
          <t>Bredbrämad bastardsvärmare
Ekoxe</t>
        </is>
      </c>
      <c r="V67">
        <f>HYPERLINK("https://klasma.github.io/Logging_0885/artfynd/S 1886-2026 artfynd.xlsx", "S 1886-2026")</f>
        <v/>
      </c>
      <c r="W67">
        <f>HYPERLINK("https://klasma.github.io/Logging_0885/kartor/S 1886-2026 karta.png", "S 1886-2026")</f>
        <v/>
      </c>
      <c r="Y67">
        <f>HYPERLINK("https://klasma.github.io/Logging_0885/klagomål/S 1886-2026 FSC-klagomål.docx", "S 1886-2026")</f>
        <v/>
      </c>
      <c r="Z67">
        <f>HYPERLINK("https://klasma.github.io/Logging_0885/klagomålsmail/S 1886-2026 FSC-klagomål mail.docx", "S 1886-2026")</f>
        <v/>
      </c>
      <c r="AA67">
        <f>HYPERLINK("https://klasma.github.io/Logging_0885/tillsyn/S 1886-2026 tillsynsbegäran.docx", "S 1886-2026")</f>
        <v/>
      </c>
      <c r="AB67">
        <f>HYPERLINK("https://klasma.github.io/Logging_0885/tillsynsmail/S 1886-2026 tillsynsbegäran mail.docx", "S 1886-2026")</f>
        <v/>
      </c>
    </row>
    <row r="68" ht="15" customHeight="1">
      <c r="A68" t="inlineStr">
        <is>
          <t>S 1892-2026</t>
        </is>
      </c>
      <c r="B68" t="inlineStr">
        <is>
          <t>samrådsanmälan</t>
        </is>
      </c>
      <c r="C68" t="inlineStr">
        <is>
          <t>Annan skogsbruksåtgärd</t>
        </is>
      </c>
      <c r="D68" s="1" t="n">
        <v>46203</v>
      </c>
      <c r="E68" s="1" t="n">
        <v>46218</v>
      </c>
      <c r="F68" t="inlineStr">
        <is>
          <t>KALMAR LÄN</t>
        </is>
      </c>
      <c r="G68" t="inlineStr">
        <is>
          <t>BORGHOLM</t>
        </is>
      </c>
      <c r="H68" t="inlineStr">
        <is>
          <t>Sveaskog</t>
        </is>
      </c>
      <c r="I68" t="n">
        <v>2.1</v>
      </c>
      <c r="J68" t="n">
        <v>0</v>
      </c>
      <c r="K68" t="n">
        <v>0</v>
      </c>
      <c r="L68" t="n">
        <v>0</v>
      </c>
      <c r="M68" t="n">
        <v>2</v>
      </c>
      <c r="N68" t="n">
        <v>0</v>
      </c>
      <c r="O68" t="n">
        <v>0</v>
      </c>
      <c r="P68" t="n">
        <v>0</v>
      </c>
      <c r="Q68" t="n">
        <v>2</v>
      </c>
      <c r="R68" t="n">
        <v>2</v>
      </c>
      <c r="S68" t="n">
        <v>2</v>
      </c>
      <c r="T68" t="n">
        <v>2</v>
      </c>
      <c r="U68" s="2" t="inlineStr">
        <is>
          <t>Bredbrämad bastardsvärmare
Purpurmusseron</t>
        </is>
      </c>
      <c r="V68">
        <f>HYPERLINK("https://klasma.github.io/Logging_0885/artfynd/S 1892-2026 artfynd.xlsx", "S 1892-2026")</f>
        <v/>
      </c>
      <c r="W68">
        <f>HYPERLINK("https://klasma.github.io/Logging_0885/kartor/S 1892-2026 karta.png", "S 1892-2026")</f>
        <v/>
      </c>
      <c r="Y68">
        <f>HYPERLINK("https://klasma.github.io/Logging_0885/klagomål/S 1892-2026 FSC-klagomål.docx", "S 1892-2026")</f>
        <v/>
      </c>
      <c r="Z68">
        <f>HYPERLINK("https://klasma.github.io/Logging_0885/klagomålsmail/S 1892-2026 FSC-klagomål mail.docx", "S 1892-2026")</f>
        <v/>
      </c>
      <c r="AA68">
        <f>HYPERLINK("https://klasma.github.io/Logging_0885/tillsyn/S 1892-2026 tillsynsbegäran.docx", "S 1892-2026")</f>
        <v/>
      </c>
      <c r="AB68">
        <f>HYPERLINK("https://klasma.github.io/Logging_0885/tillsynsmail/S 1892-2026 tillsynsbegäran mail.docx", "S 1892-2026")</f>
        <v/>
      </c>
    </row>
    <row r="69" ht="15" customHeight="1">
      <c r="A69" t="inlineStr">
        <is>
          <t>A 31295-2022</t>
        </is>
      </c>
      <c r="B69" t="inlineStr">
        <is>
          <t>avverkningsanmälan</t>
        </is>
      </c>
      <c r="C69" t="inlineStr">
        <is>
          <t>Avverkning för att bevara och utveckla /försöksver</t>
        </is>
      </c>
      <c r="D69" s="1" t="n">
        <v>44772</v>
      </c>
      <c r="E69" s="1" t="n">
        <v>46218</v>
      </c>
      <c r="F69" t="inlineStr">
        <is>
          <t>KALMAR LÄN</t>
        </is>
      </c>
      <c r="G69" t="inlineStr">
        <is>
          <t>BORGHOLM</t>
        </is>
      </c>
      <c r="H69" t="inlineStr">
        <is>
          <t>Sveaskog</t>
        </is>
      </c>
      <c r="I69" t="n">
        <v>6.1</v>
      </c>
      <c r="J69" t="n">
        <v>0</v>
      </c>
      <c r="K69" t="n">
        <v>0</v>
      </c>
      <c r="L69" t="n">
        <v>0</v>
      </c>
      <c r="M69" t="n">
        <v>1</v>
      </c>
      <c r="N69" t="n">
        <v>0</v>
      </c>
      <c r="O69" t="n">
        <v>0</v>
      </c>
      <c r="P69" t="n">
        <v>0</v>
      </c>
      <c r="Q69" t="n">
        <v>1</v>
      </c>
      <c r="R69" t="n">
        <v>1</v>
      </c>
      <c r="S69" t="n">
        <v>1</v>
      </c>
      <c r="T69" t="n">
        <v>2</v>
      </c>
      <c r="U69" s="2" t="inlineStr">
        <is>
          <t>Skärrande gräshoppa</t>
        </is>
      </c>
      <c r="V69">
        <f>HYPERLINK("https://klasma.github.io/Logging_0885/artfynd/A 31295-2022 artfynd.xlsx", "A 31295-2022")</f>
        <v/>
      </c>
      <c r="W69">
        <f>HYPERLINK("https://klasma.github.io/Logging_0885/kartor/A 31295-2022 karta.png", "A 31295-2022")</f>
        <v/>
      </c>
      <c r="Y69">
        <f>HYPERLINK("https://klasma.github.io/Logging_0885/klagomål/A 31295-2022 FSC-klagomål.docx", "A 31295-2022")</f>
        <v/>
      </c>
      <c r="Z69">
        <f>HYPERLINK("https://klasma.github.io/Logging_0885/klagomålsmail/A 31295-2022 FSC-klagomål mail.docx", "A 31295-2022")</f>
        <v/>
      </c>
      <c r="AA69">
        <f>HYPERLINK("https://klasma.github.io/Logging_0885/tillsyn/A 31295-2022 tillsynsbegäran.docx", "A 31295-2022")</f>
        <v/>
      </c>
      <c r="AB69">
        <f>HYPERLINK("https://klasma.github.io/Logging_0885/tillsynsmail/A 31295-2022 tillsynsbegäran mail.docx", "A 31295-2022")</f>
        <v/>
      </c>
    </row>
    <row r="70" ht="15" customHeight="1">
      <c r="A70" t="inlineStr">
        <is>
          <t>A 32180-2022</t>
        </is>
      </c>
      <c r="B70" t="inlineStr">
        <is>
          <t>avverkningsanmälan</t>
        </is>
      </c>
      <c r="C70" t="inlineStr">
        <is>
          <t>Avverkning för att bevara och utveckla /försöksver</t>
        </is>
      </c>
      <c r="D70" s="1" t="n">
        <v>44781</v>
      </c>
      <c r="E70" s="1" t="n">
        <v>46218</v>
      </c>
      <c r="F70" t="inlineStr">
        <is>
          <t>KALMAR LÄN</t>
        </is>
      </c>
      <c r="G70" t="inlineStr">
        <is>
          <t>BORGHOLM</t>
        </is>
      </c>
      <c r="H70" t="inlineStr">
        <is>
          <t>Sveaskog</t>
        </is>
      </c>
      <c r="I70" t="n">
        <v>0.9</v>
      </c>
      <c r="J70" t="n">
        <v>0</v>
      </c>
      <c r="K70" t="n">
        <v>0</v>
      </c>
      <c r="L70" t="n">
        <v>1</v>
      </c>
      <c r="M70" t="n">
        <v>0</v>
      </c>
      <c r="N70" t="n">
        <v>0</v>
      </c>
      <c r="O70" t="n">
        <v>0</v>
      </c>
      <c r="P70" t="n">
        <v>0</v>
      </c>
      <c r="Q70" t="n">
        <v>1</v>
      </c>
      <c r="R70" t="n">
        <v>0</v>
      </c>
      <c r="S70" t="n">
        <v>1</v>
      </c>
      <c r="T70" t="n">
        <v>1</v>
      </c>
      <c r="U70" s="2" t="inlineStr">
        <is>
          <t>Fyrflikig jordstjärna</t>
        </is>
      </c>
      <c r="V70">
        <f>HYPERLINK("https://klasma.github.io/Logging_0885/artfynd/A 32180-2022 artfynd.xlsx", "A 32180-2022")</f>
        <v/>
      </c>
      <c r="W70">
        <f>HYPERLINK("https://klasma.github.io/Logging_0885/kartor/A 32180-2022 karta.png", "A 32180-2022")</f>
        <v/>
      </c>
      <c r="Y70">
        <f>HYPERLINK("https://klasma.github.io/Logging_0885/klagomål/A 32180-2022 FSC-klagomål.docx", "A 32180-2022")</f>
        <v/>
      </c>
      <c r="Z70">
        <f>HYPERLINK("https://klasma.github.io/Logging_0885/klagomålsmail/A 32180-2022 FSC-klagomål mail.docx", "A 32180-2022")</f>
        <v/>
      </c>
      <c r="AA70">
        <f>HYPERLINK("https://klasma.github.io/Logging_0885/tillsyn/A 32180-2022 tillsynsbegäran.docx", "A 32180-2022")</f>
        <v/>
      </c>
      <c r="AB70">
        <f>HYPERLINK("https://klasma.github.io/Logging_0885/tillsynsmail/A 32180-2022 tillsynsbegäran mail.docx", "A 32180-2022")</f>
        <v/>
      </c>
    </row>
    <row r="71" ht="15" customHeight="1">
      <c r="A71" t="inlineStr">
        <is>
          <t>A 42785-2021</t>
        </is>
      </c>
      <c r="B71" t="inlineStr">
        <is>
          <t>avverkningsanmälan</t>
        </is>
      </c>
      <c r="C71" t="inlineStr">
        <is>
          <t>Föryngringsavverkning</t>
        </is>
      </c>
      <c r="D71" s="1" t="n">
        <v>44428</v>
      </c>
      <c r="E71" s="1" t="n">
        <v>46218</v>
      </c>
      <c r="F71" t="inlineStr">
        <is>
          <t>KALMAR LÄN</t>
        </is>
      </c>
      <c r="G71" t="inlineStr">
        <is>
          <t>BORGHOLM</t>
        </is>
      </c>
      <c r="I71" t="n">
        <v>2.8</v>
      </c>
      <c r="J71" t="n">
        <v>1</v>
      </c>
      <c r="K71" t="n">
        <v>0</v>
      </c>
      <c r="L71" t="n">
        <v>1</v>
      </c>
      <c r="M71" t="n">
        <v>0</v>
      </c>
      <c r="N71" t="n">
        <v>0</v>
      </c>
      <c r="O71" t="n">
        <v>0</v>
      </c>
      <c r="P71" t="n">
        <v>0</v>
      </c>
      <c r="Q71" t="n">
        <v>1</v>
      </c>
      <c r="R71" t="n">
        <v>0</v>
      </c>
      <c r="S71" t="n">
        <v>1</v>
      </c>
      <c r="T71" t="n">
        <v>1</v>
      </c>
      <c r="U71" s="2" t="inlineStr">
        <is>
          <t>Grönsångare</t>
        </is>
      </c>
      <c r="V71">
        <f>HYPERLINK("https://klasma.github.io/Logging_0885/artfynd/A 42785-2021 artfynd.xlsx", "A 42785-2021")</f>
        <v/>
      </c>
      <c r="W71">
        <f>HYPERLINK("https://klasma.github.io/Logging_0885/kartor/A 42785-2021 karta.png", "A 42785-2021")</f>
        <v/>
      </c>
      <c r="Y71">
        <f>HYPERLINK("https://klasma.github.io/Logging_0885/klagomål/A 42785-2021 FSC-klagomål.docx", "A 42785-2021")</f>
        <v/>
      </c>
      <c r="Z71">
        <f>HYPERLINK("https://klasma.github.io/Logging_0885/klagomålsmail/A 42785-2021 FSC-klagomål mail.docx", "A 42785-2021")</f>
        <v/>
      </c>
      <c r="AA71">
        <f>HYPERLINK("https://klasma.github.io/Logging_0885/tillsyn/A 42785-2021 tillsynsbegäran.docx", "A 42785-2021")</f>
        <v/>
      </c>
      <c r="AB71">
        <f>HYPERLINK("https://klasma.github.io/Logging_0885/tillsynsmail/A 42785-2021 tillsynsbegäran mail.docx", "A 42785-2021")</f>
        <v/>
      </c>
      <c r="AC71">
        <f>HYPERLINK("https://klasma.github.io/Logging_0885/fåglar/A 42785-2021 prioriterade fågelarter.docx", "A 42785-2021")</f>
        <v/>
      </c>
    </row>
    <row r="72" ht="15" customHeight="1">
      <c r="A72" t="inlineStr">
        <is>
          <t>A 24701-2023</t>
        </is>
      </c>
      <c r="B72" t="inlineStr">
        <is>
          <t>avverkningsanmälan</t>
        </is>
      </c>
      <c r="C72" t="inlineStr">
        <is>
          <t>Föryngringsavverkning</t>
        </is>
      </c>
      <c r="D72" s="1" t="n">
        <v>45084</v>
      </c>
      <c r="E72" s="1" t="n">
        <v>46218</v>
      </c>
      <c r="F72" t="inlineStr">
        <is>
          <t>KALMAR LÄN</t>
        </is>
      </c>
      <c r="G72" t="inlineStr">
        <is>
          <t>BORGHOLM</t>
        </is>
      </c>
      <c r="I72" t="n">
        <v>3</v>
      </c>
      <c r="J72" t="n">
        <v>0</v>
      </c>
      <c r="K72" t="n">
        <v>0</v>
      </c>
      <c r="L72" t="n">
        <v>0</v>
      </c>
      <c r="M72" t="n">
        <v>0</v>
      </c>
      <c r="N72" t="n">
        <v>1</v>
      </c>
      <c r="O72" t="n">
        <v>0</v>
      </c>
      <c r="P72" t="n">
        <v>0</v>
      </c>
      <c r="Q72" t="n">
        <v>1</v>
      </c>
      <c r="R72" t="n">
        <v>1</v>
      </c>
      <c r="S72" t="n">
        <v>1</v>
      </c>
      <c r="T72" t="n">
        <v>3</v>
      </c>
      <c r="U72" s="2" t="inlineStr">
        <is>
          <t>Ask</t>
        </is>
      </c>
      <c r="V72">
        <f>HYPERLINK("https://klasma.github.io/Logging_0885/artfynd/A 24701-2023 artfynd.xlsx", "A 24701-2023")</f>
        <v/>
      </c>
      <c r="W72">
        <f>HYPERLINK("https://klasma.github.io/Logging_0885/kartor/A 24701-2023 karta.png", "A 24701-2023")</f>
        <v/>
      </c>
      <c r="Y72">
        <f>HYPERLINK("https://klasma.github.io/Logging_0885/klagomål/A 24701-2023 FSC-klagomål.docx", "A 24701-2023")</f>
        <v/>
      </c>
      <c r="Z72">
        <f>HYPERLINK("https://klasma.github.io/Logging_0885/klagomålsmail/A 24701-2023 FSC-klagomål mail.docx", "A 24701-2023")</f>
        <v/>
      </c>
      <c r="AA72">
        <f>HYPERLINK("https://klasma.github.io/Logging_0885/tillsyn/A 24701-2023 tillsynsbegäran.docx", "A 24701-2023")</f>
        <v/>
      </c>
      <c r="AB72">
        <f>HYPERLINK("https://klasma.github.io/Logging_0885/tillsynsmail/A 24701-2023 tillsynsbegäran mail.docx", "A 24701-2023")</f>
        <v/>
      </c>
    </row>
    <row r="73" ht="15" customHeight="1">
      <c r="A73" t="inlineStr">
        <is>
          <t>A 24704-2023</t>
        </is>
      </c>
      <c r="B73" t="inlineStr">
        <is>
          <t>avverkningsanmälan</t>
        </is>
      </c>
      <c r="C73" t="inlineStr">
        <is>
          <t>Föryngringsavverkning</t>
        </is>
      </c>
      <c r="D73" s="1" t="n">
        <v>45084</v>
      </c>
      <c r="E73" s="1" t="n">
        <v>46218</v>
      </c>
      <c r="F73" t="inlineStr">
        <is>
          <t>KALMAR LÄN</t>
        </is>
      </c>
      <c r="G73" t="inlineStr">
        <is>
          <t>BORGHOLM</t>
        </is>
      </c>
      <c r="I73" t="n">
        <v>3.5</v>
      </c>
      <c r="J73" t="n">
        <v>0</v>
      </c>
      <c r="K73" t="n">
        <v>0</v>
      </c>
      <c r="L73" t="n">
        <v>0</v>
      </c>
      <c r="M73" t="n">
        <v>0</v>
      </c>
      <c r="N73" t="n">
        <v>1</v>
      </c>
      <c r="O73" t="n">
        <v>0</v>
      </c>
      <c r="P73" t="n">
        <v>0</v>
      </c>
      <c r="Q73" t="n">
        <v>1</v>
      </c>
      <c r="R73" t="n">
        <v>1</v>
      </c>
      <c r="S73" t="n">
        <v>1</v>
      </c>
      <c r="T73" t="n">
        <v>2</v>
      </c>
      <c r="U73" s="2" t="inlineStr">
        <is>
          <t>Ask</t>
        </is>
      </c>
      <c r="V73">
        <f>HYPERLINK("https://klasma.github.io/Logging_0885/artfynd/A 24704-2023 artfynd.xlsx", "A 24704-2023")</f>
        <v/>
      </c>
      <c r="W73">
        <f>HYPERLINK("https://klasma.github.io/Logging_0885/kartor/A 24704-2023 karta.png", "A 24704-2023")</f>
        <v/>
      </c>
      <c r="Y73">
        <f>HYPERLINK("https://klasma.github.io/Logging_0885/klagomål/A 24704-2023 FSC-klagomål.docx", "A 24704-2023")</f>
        <v/>
      </c>
      <c r="Z73">
        <f>HYPERLINK("https://klasma.github.io/Logging_0885/klagomålsmail/A 24704-2023 FSC-klagomål mail.docx", "A 24704-2023")</f>
        <v/>
      </c>
      <c r="AA73">
        <f>HYPERLINK("https://klasma.github.io/Logging_0885/tillsyn/A 24704-2023 tillsynsbegäran.docx", "A 24704-2023")</f>
        <v/>
      </c>
      <c r="AB73">
        <f>HYPERLINK("https://klasma.github.io/Logging_0885/tillsynsmail/A 24704-2023 tillsynsbegäran mail.docx", "A 24704-2023")</f>
        <v/>
      </c>
    </row>
    <row r="74" ht="15" customHeight="1">
      <c r="A74" t="inlineStr">
        <is>
          <t>A 41831-2025</t>
        </is>
      </c>
      <c r="B74" t="inlineStr">
        <is>
          <t>avverkningsanmälan</t>
        </is>
      </c>
      <c r="C74" t="inlineStr">
        <is>
          <t>Föryngringsavverkning</t>
        </is>
      </c>
      <c r="D74" s="1" t="n">
        <v>45902</v>
      </c>
      <c r="E74" s="1" t="n">
        <v>46218</v>
      </c>
      <c r="F74" t="inlineStr">
        <is>
          <t>KALMAR LÄN</t>
        </is>
      </c>
      <c r="G74" t="inlineStr">
        <is>
          <t>BORGHOLM</t>
        </is>
      </c>
      <c r="I74" t="n">
        <v>1.5</v>
      </c>
      <c r="J74" t="n">
        <v>1</v>
      </c>
      <c r="K74" t="n">
        <v>1</v>
      </c>
      <c r="L74" t="n">
        <v>0</v>
      </c>
      <c r="M74" t="n">
        <v>0</v>
      </c>
      <c r="N74" t="n">
        <v>0</v>
      </c>
      <c r="O74" t="n">
        <v>0</v>
      </c>
      <c r="P74" t="n">
        <v>0</v>
      </c>
      <c r="Q74" t="n">
        <v>0</v>
      </c>
      <c r="R74" t="n">
        <v>0</v>
      </c>
      <c r="S74" t="n">
        <v>1</v>
      </c>
      <c r="T74" t="n">
        <v>1</v>
      </c>
      <c r="U74" s="2" t="inlineStr">
        <is>
          <t>Skogsknipprot</t>
        </is>
      </c>
      <c r="V74">
        <f>HYPERLINK("https://klasma.github.io/Logging_0885/artfynd/A 41831-2025 artfynd.xlsx", "A 41831-2025")</f>
        <v/>
      </c>
      <c r="W74">
        <f>HYPERLINK("https://klasma.github.io/Logging_0885/kartor/A 41831-2025 karta.png", "A 41831-2025")</f>
        <v/>
      </c>
      <c r="Y74">
        <f>HYPERLINK("https://klasma.github.io/Logging_0885/klagomål/A 41831-2025 FSC-klagomål.docx", "A 41831-2025")</f>
        <v/>
      </c>
      <c r="Z74">
        <f>HYPERLINK("https://klasma.github.io/Logging_0885/klagomålsmail/A 41831-2025 FSC-klagomål mail.docx", "A 41831-2025")</f>
        <v/>
      </c>
      <c r="AA74">
        <f>HYPERLINK("https://klasma.github.io/Logging_0885/tillsyn/A 41831-2025 tillsynsbegäran.docx", "A 41831-2025")</f>
        <v/>
      </c>
      <c r="AB74">
        <f>HYPERLINK("https://klasma.github.io/Logging_0885/tillsynsmail/A 41831-2025 tillsynsbegäran mail.docx", "A 41831-2025")</f>
        <v/>
      </c>
    </row>
    <row r="75" ht="15" customHeight="1">
      <c r="A75" t="inlineStr">
        <is>
          <t>A 20878-2024</t>
        </is>
      </c>
      <c r="B75" t="inlineStr">
        <is>
          <t>avverkningsanmälan</t>
        </is>
      </c>
      <c r="C75" t="inlineStr">
        <is>
          <t>Föryngringsavverkning</t>
        </is>
      </c>
      <c r="D75" s="1" t="n">
        <v>45439</v>
      </c>
      <c r="E75" s="1" t="n">
        <v>46218</v>
      </c>
      <c r="F75" t="inlineStr">
        <is>
          <t>KALMAR LÄN</t>
        </is>
      </c>
      <c r="G75" t="inlineStr">
        <is>
          <t>BORGHOLM</t>
        </is>
      </c>
      <c r="I75" t="n">
        <v>1.9</v>
      </c>
      <c r="J75" t="n">
        <v>1</v>
      </c>
      <c r="K75" t="n">
        <v>0</v>
      </c>
      <c r="L75" t="n">
        <v>0</v>
      </c>
      <c r="M75" t="n">
        <v>0</v>
      </c>
      <c r="N75" t="n">
        <v>0</v>
      </c>
      <c r="O75" t="n">
        <v>0</v>
      </c>
      <c r="P75" t="n">
        <v>0</v>
      </c>
      <c r="Q75" t="n">
        <v>0</v>
      </c>
      <c r="R75" t="n">
        <v>0</v>
      </c>
      <c r="S75" t="n">
        <v>1</v>
      </c>
      <c r="T75" t="n">
        <v>2</v>
      </c>
      <c r="U75" s="2" t="inlineStr">
        <is>
          <t>Fläcknycklar</t>
        </is>
      </c>
      <c r="V75">
        <f>HYPERLINK("https://klasma.github.io/Logging_0885/artfynd/A 20878-2024 artfynd.xlsx", "A 20878-2024")</f>
        <v/>
      </c>
      <c r="W75">
        <f>HYPERLINK("https://klasma.github.io/Logging_0885/kartor/A 20878-2024 karta.png", "A 20878-2024")</f>
        <v/>
      </c>
      <c r="Y75">
        <f>HYPERLINK("https://klasma.github.io/Logging_0885/klagomål/A 20878-2024 FSC-klagomål.docx", "A 20878-2024")</f>
        <v/>
      </c>
      <c r="Z75">
        <f>HYPERLINK("https://klasma.github.io/Logging_0885/klagomålsmail/A 20878-2024 FSC-klagomål mail.docx", "A 20878-2024")</f>
        <v/>
      </c>
      <c r="AA75">
        <f>HYPERLINK("https://klasma.github.io/Logging_0885/tillsyn/A 20878-2024 tillsynsbegäran.docx", "A 20878-2024")</f>
        <v/>
      </c>
      <c r="AB75">
        <f>HYPERLINK("https://klasma.github.io/Logging_0885/tillsynsmail/A 20878-2024 tillsynsbegäran mail.docx", "A 20878-2024")</f>
        <v/>
      </c>
    </row>
    <row r="76" ht="15" customHeight="1">
      <c r="A76" t="inlineStr">
        <is>
          <t>A 9745-2023</t>
        </is>
      </c>
      <c r="B76" t="inlineStr">
        <is>
          <t>avverkningsanmälan</t>
        </is>
      </c>
      <c r="C76" t="inlineStr">
        <is>
          <t>Föryngringsavverkning</t>
        </is>
      </c>
      <c r="D76" s="1" t="n">
        <v>44984</v>
      </c>
      <c r="E76" s="1" t="n">
        <v>46218</v>
      </c>
      <c r="F76" t="inlineStr">
        <is>
          <t>KALMAR LÄN</t>
        </is>
      </c>
      <c r="G76" t="inlineStr">
        <is>
          <t>BORGHOLM</t>
        </is>
      </c>
      <c r="I76" t="n">
        <v>1.2</v>
      </c>
      <c r="J76" t="n">
        <v>1</v>
      </c>
      <c r="K76" t="n">
        <v>1</v>
      </c>
      <c r="L76" t="n">
        <v>0</v>
      </c>
      <c r="M76" t="n">
        <v>0</v>
      </c>
      <c r="N76" t="n">
        <v>0</v>
      </c>
      <c r="O76" t="n">
        <v>0</v>
      </c>
      <c r="P76" t="n">
        <v>0</v>
      </c>
      <c r="Q76" t="n">
        <v>0</v>
      </c>
      <c r="R76" t="n">
        <v>0</v>
      </c>
      <c r="S76" t="n">
        <v>1</v>
      </c>
      <c r="T76" t="n">
        <v>2</v>
      </c>
      <c r="U76" s="2" t="inlineStr">
        <is>
          <t>Skogsknipprot</t>
        </is>
      </c>
      <c r="V76">
        <f>HYPERLINK("https://klasma.github.io/Logging_0885/artfynd/A 9745-2023 artfynd.xlsx", "A 9745-2023")</f>
        <v/>
      </c>
      <c r="W76">
        <f>HYPERLINK("https://klasma.github.io/Logging_0885/kartor/A 9745-2023 karta.png", "A 9745-2023")</f>
        <v/>
      </c>
      <c r="Y76">
        <f>HYPERLINK("https://klasma.github.io/Logging_0885/klagomål/A 9745-2023 FSC-klagomål.docx", "A 9745-2023")</f>
        <v/>
      </c>
      <c r="Z76">
        <f>HYPERLINK("https://klasma.github.io/Logging_0885/klagomålsmail/A 9745-2023 FSC-klagomål mail.docx", "A 9745-2023")</f>
        <v/>
      </c>
      <c r="AA76">
        <f>HYPERLINK("https://klasma.github.io/Logging_0885/tillsyn/A 9745-2023 tillsynsbegäran.docx", "A 9745-2023")</f>
        <v/>
      </c>
      <c r="AB76">
        <f>HYPERLINK("https://klasma.github.io/Logging_0885/tillsynsmail/A 9745-2023 tillsynsbegäran mail.docx", "A 9745-2023")</f>
        <v/>
      </c>
    </row>
    <row r="77" ht="15" customHeight="1">
      <c r="A77" t="inlineStr">
        <is>
          <t>A 63276-2023</t>
        </is>
      </c>
      <c r="B77" t="inlineStr">
        <is>
          <t>avverkningsanmälan</t>
        </is>
      </c>
      <c r="C77" t="inlineStr">
        <is>
          <t>Föryngringsavverkning</t>
        </is>
      </c>
      <c r="D77" s="1" t="n">
        <v>45273</v>
      </c>
      <c r="E77" s="1" t="n">
        <v>46218</v>
      </c>
      <c r="F77" t="inlineStr">
        <is>
          <t>KALMAR LÄN</t>
        </is>
      </c>
      <c r="G77" t="inlineStr">
        <is>
          <t>BORGHOLM</t>
        </is>
      </c>
      <c r="I77" t="n">
        <v>5</v>
      </c>
      <c r="J77" t="n">
        <v>0</v>
      </c>
      <c r="K77" t="n">
        <v>0</v>
      </c>
      <c r="L77" t="n">
        <v>0</v>
      </c>
      <c r="M77" t="n">
        <v>1</v>
      </c>
      <c r="N77" t="n">
        <v>0</v>
      </c>
      <c r="O77" t="n">
        <v>0</v>
      </c>
      <c r="P77" t="n">
        <v>0</v>
      </c>
      <c r="Q77" t="n">
        <v>1</v>
      </c>
      <c r="R77" t="n">
        <v>1</v>
      </c>
      <c r="S77" t="n">
        <v>1</v>
      </c>
      <c r="T77" t="n">
        <v>1</v>
      </c>
      <c r="U77" s="2" t="inlineStr">
        <is>
          <t>Elaphomyces barrioi</t>
        </is>
      </c>
      <c r="V77">
        <f>HYPERLINK("https://klasma.github.io/Logging_0885/artfynd/A 63276-2023 artfynd.xlsx", "A 63276-2023")</f>
        <v/>
      </c>
      <c r="W77">
        <f>HYPERLINK("https://klasma.github.io/Logging_0885/kartor/A 63276-2023 karta.png", "A 63276-2023")</f>
        <v/>
      </c>
      <c r="Y77">
        <f>HYPERLINK("https://klasma.github.io/Logging_0885/klagomål/A 63276-2023 FSC-klagomål.docx", "A 63276-2023")</f>
        <v/>
      </c>
      <c r="Z77">
        <f>HYPERLINK("https://klasma.github.io/Logging_0885/klagomålsmail/A 63276-2023 FSC-klagomål mail.docx", "A 63276-2023")</f>
        <v/>
      </c>
      <c r="AA77">
        <f>HYPERLINK("https://klasma.github.io/Logging_0885/tillsyn/A 63276-2023 tillsynsbegäran.docx", "A 63276-2023")</f>
        <v/>
      </c>
      <c r="AB77">
        <f>HYPERLINK("https://klasma.github.io/Logging_0885/tillsynsmail/A 63276-2023 tillsynsbegäran mail.docx", "A 63276-2023")</f>
        <v/>
      </c>
    </row>
    <row r="78" ht="15" customHeight="1">
      <c r="A78" t="inlineStr">
        <is>
          <t>A 28785-2025</t>
        </is>
      </c>
      <c r="B78" t="inlineStr">
        <is>
          <t>avverkningsanmälan</t>
        </is>
      </c>
      <c r="C78" t="inlineStr">
        <is>
          <t>Avverkning för att bevara och utveckla /försöksver</t>
        </is>
      </c>
      <c r="D78" s="1" t="n">
        <v>45820</v>
      </c>
      <c r="E78" s="1" t="n">
        <v>46218</v>
      </c>
      <c r="F78" t="inlineStr">
        <is>
          <t>KALMAR LÄN</t>
        </is>
      </c>
      <c r="G78" t="inlineStr">
        <is>
          <t>BORGHOLM</t>
        </is>
      </c>
      <c r="H78" t="inlineStr">
        <is>
          <t>Sveaskog</t>
        </is>
      </c>
      <c r="I78" t="n">
        <v>2.3</v>
      </c>
      <c r="J78" t="n">
        <v>1</v>
      </c>
      <c r="K78" t="n">
        <v>0</v>
      </c>
      <c r="L78" t="n">
        <v>0</v>
      </c>
      <c r="M78" t="n">
        <v>0</v>
      </c>
      <c r="N78" t="n">
        <v>0</v>
      </c>
      <c r="O78" t="n">
        <v>0</v>
      </c>
      <c r="P78" t="n">
        <v>0</v>
      </c>
      <c r="Q78" t="n">
        <v>0</v>
      </c>
      <c r="R78" t="n">
        <v>0</v>
      </c>
      <c r="S78" t="n">
        <v>1</v>
      </c>
      <c r="T78" t="n">
        <v>1</v>
      </c>
      <c r="U78" s="2" t="inlineStr">
        <is>
          <t>Havsörn</t>
        </is>
      </c>
      <c r="V78">
        <f>HYPERLINK("https://klasma.github.io/Logging_0885/artfynd/A 28785-2025 artfynd.xlsx", "A 28785-2025")</f>
        <v/>
      </c>
      <c r="W78">
        <f>HYPERLINK("https://klasma.github.io/Logging_0885/kartor/A 28785-2025 karta.png", "A 28785-2025")</f>
        <v/>
      </c>
      <c r="Y78">
        <f>HYPERLINK("https://klasma.github.io/Logging_0885/klagomål/A 28785-2025 FSC-klagomål.docx", "A 28785-2025")</f>
        <v/>
      </c>
      <c r="Z78">
        <f>HYPERLINK("https://klasma.github.io/Logging_0885/klagomålsmail/A 28785-2025 FSC-klagomål mail.docx", "A 28785-2025")</f>
        <v/>
      </c>
      <c r="AA78">
        <f>HYPERLINK("https://klasma.github.io/Logging_0885/tillsyn/A 28785-2025 tillsynsbegäran.docx", "A 28785-2025")</f>
        <v/>
      </c>
      <c r="AB78">
        <f>HYPERLINK("https://klasma.github.io/Logging_0885/tillsynsmail/A 28785-2025 tillsynsbegäran mail.docx", "A 28785-2025")</f>
        <v/>
      </c>
      <c r="AC78">
        <f>HYPERLINK("https://klasma.github.io/Logging_0885/fåglar/A 28785-2025 prioriterade fågelarter.docx", "A 28785-2025")</f>
        <v/>
      </c>
    </row>
    <row r="79" ht="15" customHeight="1">
      <c r="A79" t="inlineStr">
        <is>
          <t>A 28782-2025</t>
        </is>
      </c>
      <c r="B79" t="inlineStr">
        <is>
          <t>avverkningsanmälan</t>
        </is>
      </c>
      <c r="C79" t="inlineStr">
        <is>
          <t>Avverkning för att bevara och utveckla /försöksver</t>
        </is>
      </c>
      <c r="D79" s="1" t="n">
        <v>45820</v>
      </c>
      <c r="E79" s="1" t="n">
        <v>46218</v>
      </c>
      <c r="F79" t="inlineStr">
        <is>
          <t>KALMAR LÄN</t>
        </is>
      </c>
      <c r="G79" t="inlineStr">
        <is>
          <t>BORGHOLM</t>
        </is>
      </c>
      <c r="H79" t="inlineStr">
        <is>
          <t>Sveaskog</t>
        </is>
      </c>
      <c r="I79" t="n">
        <v>0.8</v>
      </c>
      <c r="J79" t="n">
        <v>1</v>
      </c>
      <c r="K79" t="n">
        <v>0</v>
      </c>
      <c r="L79" t="n">
        <v>0</v>
      </c>
      <c r="M79" t="n">
        <v>0</v>
      </c>
      <c r="N79" t="n">
        <v>0</v>
      </c>
      <c r="O79" t="n">
        <v>0</v>
      </c>
      <c r="P79" t="n">
        <v>0</v>
      </c>
      <c r="Q79" t="n">
        <v>0</v>
      </c>
      <c r="R79" t="n">
        <v>0</v>
      </c>
      <c r="S79" t="n">
        <v>1</v>
      </c>
      <c r="T79" t="n">
        <v>1</v>
      </c>
      <c r="U79" s="2" t="inlineStr">
        <is>
          <t>Havsörn</t>
        </is>
      </c>
      <c r="V79">
        <f>HYPERLINK("https://klasma.github.io/Logging_0885/artfynd/A 28782-2025 artfynd.xlsx", "A 28782-2025")</f>
        <v/>
      </c>
      <c r="W79">
        <f>HYPERLINK("https://klasma.github.io/Logging_0885/kartor/A 28782-2025 karta.png", "A 28782-2025")</f>
        <v/>
      </c>
      <c r="Y79">
        <f>HYPERLINK("https://klasma.github.io/Logging_0885/klagomål/A 28782-2025 FSC-klagomål.docx", "A 28782-2025")</f>
        <v/>
      </c>
      <c r="Z79">
        <f>HYPERLINK("https://klasma.github.io/Logging_0885/klagomålsmail/A 28782-2025 FSC-klagomål mail.docx", "A 28782-2025")</f>
        <v/>
      </c>
      <c r="AA79">
        <f>HYPERLINK("https://klasma.github.io/Logging_0885/tillsyn/A 28782-2025 tillsynsbegäran.docx", "A 28782-2025")</f>
        <v/>
      </c>
      <c r="AB79">
        <f>HYPERLINK("https://klasma.github.io/Logging_0885/tillsynsmail/A 28782-2025 tillsynsbegäran mail.docx", "A 28782-2025")</f>
        <v/>
      </c>
      <c r="AC79">
        <f>HYPERLINK("https://klasma.github.io/Logging_0885/fåglar/A 28782-2025 prioriterade fågelarter.docx", "A 28782-2025")</f>
        <v/>
      </c>
    </row>
    <row r="80" ht="15" customHeight="1">
      <c r="A80" t="inlineStr">
        <is>
          <t>A 31720-2022</t>
        </is>
      </c>
      <c r="B80" t="inlineStr">
        <is>
          <t>avverkningsanmälan</t>
        </is>
      </c>
      <c r="C80" t="inlineStr">
        <is>
          <t>Föryngringsavverkning</t>
        </is>
      </c>
      <c r="D80" s="1" t="n">
        <v>44776</v>
      </c>
      <c r="E80" s="1" t="n">
        <v>46218</v>
      </c>
      <c r="F80" t="inlineStr">
        <is>
          <t>KALMAR LÄN</t>
        </is>
      </c>
      <c r="G80" t="inlineStr">
        <is>
          <t>BORGHOLM</t>
        </is>
      </c>
      <c r="H80" t="inlineStr">
        <is>
          <t>Sveaskog</t>
        </is>
      </c>
      <c r="I80" t="n">
        <v>4.5</v>
      </c>
      <c r="J80" t="n">
        <v>1</v>
      </c>
      <c r="K80" t="n">
        <v>1</v>
      </c>
      <c r="L80" t="n">
        <v>0</v>
      </c>
      <c r="M80" t="n">
        <v>0</v>
      </c>
      <c r="N80" t="n">
        <v>0</v>
      </c>
      <c r="O80" t="n">
        <v>0</v>
      </c>
      <c r="P80" t="n">
        <v>0</v>
      </c>
      <c r="Q80" t="n">
        <v>0</v>
      </c>
      <c r="R80" t="n">
        <v>0</v>
      </c>
      <c r="S80" t="n">
        <v>1</v>
      </c>
      <c r="T80" t="n">
        <v>1</v>
      </c>
      <c r="U80" s="2" t="inlineStr">
        <is>
          <t>Tvåblad</t>
        </is>
      </c>
      <c r="V80">
        <f>HYPERLINK("https://klasma.github.io/Logging_0885/artfynd/A 31720-2022 artfynd.xlsx", "A 31720-2022")</f>
        <v/>
      </c>
      <c r="W80">
        <f>HYPERLINK("https://klasma.github.io/Logging_0885/kartor/A 31720-2022 karta.png", "A 31720-2022")</f>
        <v/>
      </c>
      <c r="Y80">
        <f>HYPERLINK("https://klasma.github.io/Logging_0885/klagomål/A 31720-2022 FSC-klagomål.docx", "A 31720-2022")</f>
        <v/>
      </c>
      <c r="Z80">
        <f>HYPERLINK("https://klasma.github.io/Logging_0885/klagomålsmail/A 31720-2022 FSC-klagomål mail.docx", "A 31720-2022")</f>
        <v/>
      </c>
      <c r="AA80">
        <f>HYPERLINK("https://klasma.github.io/Logging_0885/tillsyn/A 31720-2022 tillsynsbegäran.docx", "A 31720-2022")</f>
        <v/>
      </c>
      <c r="AB80">
        <f>HYPERLINK("https://klasma.github.io/Logging_0885/tillsynsmail/A 31720-2022 tillsynsbegäran mail.docx", "A 31720-2022")</f>
        <v/>
      </c>
    </row>
    <row r="81" ht="15" customHeight="1">
      <c r="A81" t="inlineStr">
        <is>
          <t>A 19867-2024</t>
        </is>
      </c>
      <c r="B81" t="inlineStr">
        <is>
          <t>avverkningsanmälan</t>
        </is>
      </c>
      <c r="C81" t="inlineStr">
        <is>
          <t>Föryngringsavverkning</t>
        </is>
      </c>
      <c r="D81" s="1" t="n">
        <v>45433</v>
      </c>
      <c r="E81" s="1" t="n">
        <v>46218</v>
      </c>
      <c r="F81" t="inlineStr">
        <is>
          <t>KALMAR LÄN</t>
        </is>
      </c>
      <c r="G81" t="inlineStr">
        <is>
          <t>BORGHOLM</t>
        </is>
      </c>
      <c r="I81" t="n">
        <v>3.9</v>
      </c>
      <c r="J81" t="n">
        <v>0</v>
      </c>
      <c r="K81" t="n">
        <v>0</v>
      </c>
      <c r="L81" t="n">
        <v>1</v>
      </c>
      <c r="M81" t="n">
        <v>0</v>
      </c>
      <c r="N81" t="n">
        <v>0</v>
      </c>
      <c r="O81" t="n">
        <v>0</v>
      </c>
      <c r="P81" t="n">
        <v>0</v>
      </c>
      <c r="Q81" t="n">
        <v>1</v>
      </c>
      <c r="R81" t="n">
        <v>0</v>
      </c>
      <c r="S81" t="n">
        <v>1</v>
      </c>
      <c r="T81" t="n">
        <v>1</v>
      </c>
      <c r="U81" s="2" t="inlineStr">
        <is>
          <t>Åkerkulla</t>
        </is>
      </c>
      <c r="V81">
        <f>HYPERLINK("https://klasma.github.io/Logging_0885/artfynd/A 19867-2024 artfynd.xlsx", "A 19867-2024")</f>
        <v/>
      </c>
      <c r="W81">
        <f>HYPERLINK("https://klasma.github.io/Logging_0885/kartor/A 19867-2024 karta.png", "A 19867-2024")</f>
        <v/>
      </c>
      <c r="Y81">
        <f>HYPERLINK("https://klasma.github.io/Logging_0885/klagomål/A 19867-2024 FSC-klagomål.docx", "A 19867-2024")</f>
        <v/>
      </c>
      <c r="Z81">
        <f>HYPERLINK("https://klasma.github.io/Logging_0885/klagomålsmail/A 19867-2024 FSC-klagomål mail.docx", "A 19867-2024")</f>
        <v/>
      </c>
      <c r="AA81">
        <f>HYPERLINK("https://klasma.github.io/Logging_0885/tillsyn/A 19867-2024 tillsynsbegäran.docx", "A 19867-2024")</f>
        <v/>
      </c>
      <c r="AB81">
        <f>HYPERLINK("https://klasma.github.io/Logging_0885/tillsynsmail/A 19867-2024 tillsynsbegäran mail.docx", "A 19867-2024")</f>
        <v/>
      </c>
    </row>
    <row r="82" ht="15" customHeight="1">
      <c r="A82" t="inlineStr">
        <is>
          <t>A 26840-2026</t>
        </is>
      </c>
      <c r="B82" t="inlineStr">
        <is>
          <t>avverkningsanmälan</t>
        </is>
      </c>
      <c r="C82" t="inlineStr">
        <is>
          <t>Avverkning för att bevara och utveckla /försöksver</t>
        </is>
      </c>
      <c r="D82" s="1" t="n">
        <v>46185</v>
      </c>
      <c r="E82" s="1" t="n">
        <v>46218</v>
      </c>
      <c r="F82" t="inlineStr">
        <is>
          <t>KALMAR LÄN</t>
        </is>
      </c>
      <c r="G82" t="inlineStr">
        <is>
          <t>BORGHOLM</t>
        </is>
      </c>
      <c r="H82" t="inlineStr">
        <is>
          <t>Sveaskog</t>
        </is>
      </c>
      <c r="I82" t="n">
        <v>1.4</v>
      </c>
      <c r="J82" t="n">
        <v>0</v>
      </c>
      <c r="K82" t="n">
        <v>0</v>
      </c>
      <c r="L82" t="n">
        <v>0</v>
      </c>
      <c r="M82" t="n">
        <v>0</v>
      </c>
      <c r="N82" t="n">
        <v>1</v>
      </c>
      <c r="O82" t="n">
        <v>0</v>
      </c>
      <c r="P82" t="n">
        <v>0</v>
      </c>
      <c r="Q82" t="n">
        <v>1</v>
      </c>
      <c r="R82" t="n">
        <v>1</v>
      </c>
      <c r="S82" t="n">
        <v>1</v>
      </c>
      <c r="T82" t="n">
        <v>3</v>
      </c>
      <c r="U82" s="2" t="inlineStr">
        <is>
          <t>Ask</t>
        </is>
      </c>
      <c r="V82">
        <f>HYPERLINK("https://klasma.github.io/Logging_0885/artfynd/A 26840-2026 artfynd.xlsx", "A 26840-2026")</f>
        <v/>
      </c>
      <c r="W82">
        <f>HYPERLINK("https://klasma.github.io/Logging_0885/kartor/A 26840-2026 karta.png", "A 26840-2026")</f>
        <v/>
      </c>
      <c r="Y82">
        <f>HYPERLINK("https://klasma.github.io/Logging_0885/klagomål/A 26840-2026 FSC-klagomål.docx", "A 26840-2026")</f>
        <v/>
      </c>
      <c r="Z82">
        <f>HYPERLINK("https://klasma.github.io/Logging_0885/klagomålsmail/A 26840-2026 FSC-klagomål mail.docx", "A 26840-2026")</f>
        <v/>
      </c>
      <c r="AA82">
        <f>HYPERLINK("https://klasma.github.io/Logging_0885/tillsyn/A 26840-2026 tillsynsbegäran.docx", "A 26840-2026")</f>
        <v/>
      </c>
      <c r="AB82">
        <f>HYPERLINK("https://klasma.github.io/Logging_0885/tillsynsmail/A 26840-2026 tillsynsbegäran mail.docx", "A 26840-2026")</f>
        <v/>
      </c>
    </row>
    <row r="83" ht="15" customHeight="1">
      <c r="A83" t="inlineStr">
        <is>
          <t>A 28430-2026</t>
        </is>
      </c>
      <c r="B83" t="inlineStr">
        <is>
          <t>avverkningsanmälan</t>
        </is>
      </c>
      <c r="C83" t="inlineStr">
        <is>
          <t>Avverkning för att bevara och utveckla /försöksver</t>
        </is>
      </c>
      <c r="D83" s="1" t="n">
        <v>46197</v>
      </c>
      <c r="E83" s="1" t="n">
        <v>46218</v>
      </c>
      <c r="F83" t="inlineStr">
        <is>
          <t>KALMAR LÄN</t>
        </is>
      </c>
      <c r="G83" t="inlineStr">
        <is>
          <t>BORGHOLM</t>
        </is>
      </c>
      <c r="H83" t="inlineStr">
        <is>
          <t>Sveaskog</t>
        </is>
      </c>
      <c r="I83" t="n">
        <v>1.8</v>
      </c>
      <c r="J83" t="n">
        <v>0</v>
      </c>
      <c r="K83" t="n">
        <v>0</v>
      </c>
      <c r="L83" t="n">
        <v>1</v>
      </c>
      <c r="M83" t="n">
        <v>0</v>
      </c>
      <c r="N83" t="n">
        <v>0</v>
      </c>
      <c r="O83" t="n">
        <v>0</v>
      </c>
      <c r="P83" t="n">
        <v>0</v>
      </c>
      <c r="Q83" t="n">
        <v>1</v>
      </c>
      <c r="R83" t="n">
        <v>0</v>
      </c>
      <c r="S83" t="n">
        <v>1</v>
      </c>
      <c r="T83" t="n">
        <v>2</v>
      </c>
      <c r="U83" s="2" t="inlineStr">
        <is>
          <t>Oxtungssvamp</t>
        </is>
      </c>
      <c r="V83">
        <f>HYPERLINK("https://klasma.github.io/Logging_0885/artfynd/A 28430-2026 artfynd.xlsx", "A 28430-2026")</f>
        <v/>
      </c>
      <c r="W83">
        <f>HYPERLINK("https://klasma.github.io/Logging_0885/kartor/A 28430-2026 karta.png", "A 28430-2026")</f>
        <v/>
      </c>
      <c r="Y83">
        <f>HYPERLINK("https://klasma.github.io/Logging_0885/klagomål/A 28430-2026 FSC-klagomål.docx", "A 28430-2026")</f>
        <v/>
      </c>
      <c r="Z83">
        <f>HYPERLINK("https://klasma.github.io/Logging_0885/klagomålsmail/A 28430-2026 FSC-klagomål mail.docx", "A 28430-2026")</f>
        <v/>
      </c>
      <c r="AA83">
        <f>HYPERLINK("https://klasma.github.io/Logging_0885/tillsyn/A 28430-2026 tillsynsbegäran.docx", "A 28430-2026")</f>
        <v/>
      </c>
      <c r="AB83">
        <f>HYPERLINK("https://klasma.github.io/Logging_0885/tillsynsmail/A 28430-2026 tillsynsbegäran mail.docx", "A 28430-2026")</f>
        <v/>
      </c>
    </row>
    <row r="84" ht="15" customHeight="1">
      <c r="A84" t="inlineStr">
        <is>
          <t>A 28374-2026</t>
        </is>
      </c>
      <c r="B84" t="inlineStr">
        <is>
          <t>avverkningsanmälan</t>
        </is>
      </c>
      <c r="C84" t="inlineStr">
        <is>
          <t>Avverkning för att bevara och utveckla /försöksver</t>
        </is>
      </c>
      <c r="D84" s="1" t="n">
        <v>46196</v>
      </c>
      <c r="E84" s="1" t="n">
        <v>46218</v>
      </c>
      <c r="F84" t="inlineStr">
        <is>
          <t>KALMAR LÄN</t>
        </is>
      </c>
      <c r="G84" t="inlineStr">
        <is>
          <t>BORGHOLM</t>
        </is>
      </c>
      <c r="H84" t="inlineStr">
        <is>
          <t>Sveaskog</t>
        </is>
      </c>
      <c r="I84" t="n">
        <v>2</v>
      </c>
      <c r="J84" t="n">
        <v>0</v>
      </c>
      <c r="K84" t="n">
        <v>0</v>
      </c>
      <c r="L84" t="n">
        <v>0</v>
      </c>
      <c r="M84" t="n">
        <v>1</v>
      </c>
      <c r="N84" t="n">
        <v>0</v>
      </c>
      <c r="O84" t="n">
        <v>0</v>
      </c>
      <c r="P84" t="n">
        <v>0</v>
      </c>
      <c r="Q84" t="n">
        <v>1</v>
      </c>
      <c r="R84" t="n">
        <v>1</v>
      </c>
      <c r="S84" t="n">
        <v>1</v>
      </c>
      <c r="T84" t="n">
        <v>1</v>
      </c>
      <c r="U84" s="2" t="inlineStr">
        <is>
          <t>Purpurmusseron</t>
        </is>
      </c>
      <c r="V84">
        <f>HYPERLINK("https://klasma.github.io/Logging_0885/artfynd/A 28374-2026 artfynd.xlsx", "A 28374-2026")</f>
        <v/>
      </c>
      <c r="W84">
        <f>HYPERLINK("https://klasma.github.io/Logging_0885/kartor/A 28374-2026 karta.png", "A 28374-2026")</f>
        <v/>
      </c>
      <c r="Y84">
        <f>HYPERLINK("https://klasma.github.io/Logging_0885/klagomål/A 28374-2026 FSC-klagomål.docx", "A 28374-2026")</f>
        <v/>
      </c>
      <c r="Z84">
        <f>HYPERLINK("https://klasma.github.io/Logging_0885/klagomålsmail/A 28374-2026 FSC-klagomål mail.docx", "A 28374-2026")</f>
        <v/>
      </c>
      <c r="AA84">
        <f>HYPERLINK("https://klasma.github.io/Logging_0885/tillsyn/A 28374-2026 tillsynsbegäran.docx", "A 28374-2026")</f>
        <v/>
      </c>
      <c r="AB84">
        <f>HYPERLINK("https://klasma.github.io/Logging_0885/tillsynsmail/A 28374-2026 tillsynsbegäran mail.docx", "A 28374-2026")</f>
        <v/>
      </c>
    </row>
    <row r="85" ht="15" customHeight="1">
      <c r="A85" t="inlineStr">
        <is>
          <t>A 3302-2026</t>
        </is>
      </c>
      <c r="B85" t="inlineStr">
        <is>
          <t>avverkningsanmälan</t>
        </is>
      </c>
      <c r="C85" t="inlineStr">
        <is>
          <t>Avverkning för annat ändamål</t>
        </is>
      </c>
      <c r="D85" s="1" t="n">
        <v>46041</v>
      </c>
      <c r="E85" s="1" t="n">
        <v>46218</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s="2" t="inlineStr">
        <is>
          <t>Blåsippa</t>
        </is>
      </c>
      <c r="V85">
        <f>HYPERLINK("https://klasma.github.io/Logging_0885/artfynd/A 3302-2026 artfynd.xlsx", "A 3302-2026")</f>
        <v/>
      </c>
      <c r="W85">
        <f>HYPERLINK("https://klasma.github.io/Logging_0885/kartor/A 3302-2026 karta.png", "A 3302-2026")</f>
        <v/>
      </c>
      <c r="Y85">
        <f>HYPERLINK("https://klasma.github.io/Logging_0885/klagomål/A 3302-2026 FSC-klagomål.docx", "A 3302-2026")</f>
        <v/>
      </c>
      <c r="Z85">
        <f>HYPERLINK("https://klasma.github.io/Logging_0885/klagomålsmail/A 3302-2026 FSC-klagomål mail.docx", "A 3302-2026")</f>
        <v/>
      </c>
      <c r="AA85">
        <f>HYPERLINK("https://klasma.github.io/Logging_0885/tillsyn/A 3302-2026 tillsynsbegäran.docx", "A 3302-2026")</f>
        <v/>
      </c>
      <c r="AB85">
        <f>HYPERLINK("https://klasma.github.io/Logging_0885/tillsynsmail/A 3302-2026 tillsynsbegäran mail.docx", "A 3302-2026")</f>
        <v/>
      </c>
    </row>
    <row r="86" ht="15" customHeight="1">
      <c r="A86" t="inlineStr">
        <is>
          <t>A 13043-2024</t>
        </is>
      </c>
      <c r="B86" t="inlineStr">
        <is>
          <t>avverkningsanmälan</t>
        </is>
      </c>
      <c r="C86" t="inlineStr">
        <is>
          <t>Föryngringsavverkning</t>
        </is>
      </c>
      <c r="D86" s="1" t="n">
        <v>45385</v>
      </c>
      <c r="E86" s="1" t="n">
        <v>46218</v>
      </c>
      <c r="F86" t="inlineStr">
        <is>
          <t>KALMAR LÄN</t>
        </is>
      </c>
      <c r="G86" t="inlineStr">
        <is>
          <t>BORGHOLM</t>
        </is>
      </c>
      <c r="I86" t="n">
        <v>0.4</v>
      </c>
      <c r="J86" t="n">
        <v>1</v>
      </c>
      <c r="K86" t="n">
        <v>1</v>
      </c>
      <c r="L86" t="n">
        <v>0</v>
      </c>
      <c r="M86" t="n">
        <v>0</v>
      </c>
      <c r="N86" t="n">
        <v>0</v>
      </c>
      <c r="O86" t="n">
        <v>0</v>
      </c>
      <c r="P86" t="n">
        <v>0</v>
      </c>
      <c r="Q86" t="n">
        <v>0</v>
      </c>
      <c r="R86" t="n">
        <v>0</v>
      </c>
      <c r="S86" t="n">
        <v>1</v>
      </c>
      <c r="T86" t="n">
        <v>1</v>
      </c>
      <c r="U86" s="2" t="inlineStr">
        <is>
          <t>Ekoxe</t>
        </is>
      </c>
      <c r="V86">
        <f>HYPERLINK("https://klasma.github.io/Logging_0885/artfynd/A 13043-2024 artfynd.xlsx", "A 13043-2024")</f>
        <v/>
      </c>
      <c r="W86">
        <f>HYPERLINK("https://klasma.github.io/Logging_0885/kartor/A 13043-2024 karta.png", "A 13043-2024")</f>
        <v/>
      </c>
      <c r="Y86">
        <f>HYPERLINK("https://klasma.github.io/Logging_0885/klagomål/A 13043-2024 FSC-klagomål.docx", "A 13043-2024")</f>
        <v/>
      </c>
      <c r="Z86">
        <f>HYPERLINK("https://klasma.github.io/Logging_0885/klagomålsmail/A 13043-2024 FSC-klagomål mail.docx", "A 13043-2024")</f>
        <v/>
      </c>
      <c r="AA86">
        <f>HYPERLINK("https://klasma.github.io/Logging_0885/tillsyn/A 13043-2024 tillsynsbegäran.docx", "A 13043-2024")</f>
        <v/>
      </c>
      <c r="AB86">
        <f>HYPERLINK("https://klasma.github.io/Logging_0885/tillsynsmail/A 13043-2024 tillsynsbegäran mail.docx", "A 13043-2024")</f>
        <v/>
      </c>
    </row>
    <row r="87" ht="15" customHeight="1">
      <c r="A87" t="inlineStr">
        <is>
          <t>A 7481-2026</t>
        </is>
      </c>
      <c r="B87" t="inlineStr">
        <is>
          <t>avverkningsanmälan</t>
        </is>
      </c>
      <c r="C87" t="inlineStr">
        <is>
          <t>Föryngringsavverkning</t>
        </is>
      </c>
      <c r="D87" s="1" t="n">
        <v>46059</v>
      </c>
      <c r="E87" s="1" t="n">
        <v>46218</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s="2" t="inlineStr">
        <is>
          <t>Fläcknycklar</t>
        </is>
      </c>
      <c r="V87">
        <f>HYPERLINK("https://klasma.github.io/Logging_0885/artfynd/A 7481-2026 artfynd.xlsx", "A 7481-2026")</f>
        <v/>
      </c>
      <c r="W87">
        <f>HYPERLINK("https://klasma.github.io/Logging_0885/kartor/A 7481-2026 karta.png", "A 7481-2026")</f>
        <v/>
      </c>
      <c r="Y87">
        <f>HYPERLINK("https://klasma.github.io/Logging_0885/klagomål/A 7481-2026 FSC-klagomål.docx", "A 7481-2026")</f>
        <v/>
      </c>
      <c r="Z87">
        <f>HYPERLINK("https://klasma.github.io/Logging_0885/klagomålsmail/A 7481-2026 FSC-klagomål mail.docx", "A 7481-2026")</f>
        <v/>
      </c>
      <c r="AA87">
        <f>HYPERLINK("https://klasma.github.io/Logging_0885/tillsyn/A 7481-2026 tillsynsbegäran.docx", "A 7481-2026")</f>
        <v/>
      </c>
      <c r="AB87">
        <f>HYPERLINK("https://klasma.github.io/Logging_0885/tillsynsmail/A 7481-2026 tillsynsbegäran mail.docx", "A 7481-2026")</f>
        <v/>
      </c>
    </row>
    <row r="88" ht="15" customHeight="1">
      <c r="A88" t="inlineStr">
        <is>
          <t>A 9905-2026</t>
        </is>
      </c>
      <c r="B88" t="inlineStr">
        <is>
          <t>avverkningsanmälan</t>
        </is>
      </c>
      <c r="C88" t="inlineStr">
        <is>
          <t>Föryngringsavverkning</t>
        </is>
      </c>
      <c r="D88" s="1" t="n">
        <v>46073</v>
      </c>
      <c r="E88" s="1" t="n">
        <v>46218</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s="2" t="inlineStr">
        <is>
          <t>Ask</t>
        </is>
      </c>
      <c r="V88">
        <f>HYPERLINK("https://klasma.github.io/Logging_0885/artfynd/A 9905-2026 artfynd.xlsx", "A 9905-2026")</f>
        <v/>
      </c>
      <c r="W88">
        <f>HYPERLINK("https://klasma.github.io/Logging_0885/kartor/A 9905-2026 karta.png", "A 9905-2026")</f>
        <v/>
      </c>
      <c r="Y88">
        <f>HYPERLINK("https://klasma.github.io/Logging_0885/klagomål/A 9905-2026 FSC-klagomål.docx", "A 9905-2026")</f>
        <v/>
      </c>
      <c r="Z88">
        <f>HYPERLINK("https://klasma.github.io/Logging_0885/klagomålsmail/A 9905-2026 FSC-klagomål mail.docx", "A 9905-2026")</f>
        <v/>
      </c>
      <c r="AA88">
        <f>HYPERLINK("https://klasma.github.io/Logging_0885/tillsyn/A 9905-2026 tillsynsbegäran.docx", "A 9905-2026")</f>
        <v/>
      </c>
      <c r="AB88">
        <f>HYPERLINK("https://klasma.github.io/Logging_0885/tillsynsmail/A 9905-2026 tillsynsbegäran mail.docx", "A 9905-2026")</f>
        <v/>
      </c>
    </row>
    <row r="89" ht="15" customHeight="1">
      <c r="A89" t="inlineStr">
        <is>
          <t>S 2390-2023</t>
        </is>
      </c>
      <c r="B89" t="inlineStr">
        <is>
          <t>samrådsanmälan</t>
        </is>
      </c>
      <c r="C89" t="inlineStr">
        <is>
          <t>Annan skogsbruksåtgärd</t>
        </is>
      </c>
      <c r="D89" s="1" t="n">
        <v>45111</v>
      </c>
      <c r="E89" s="1" t="n">
        <v>46218</v>
      </c>
      <c r="F89" t="inlineStr">
        <is>
          <t>KALMAR LÄN</t>
        </is>
      </c>
      <c r="G89" t="inlineStr">
        <is>
          <t>BORGHOLM</t>
        </is>
      </c>
      <c r="I89" t="n">
        <v>2.7</v>
      </c>
      <c r="J89" t="n">
        <v>1</v>
      </c>
      <c r="K89" t="n">
        <v>0</v>
      </c>
      <c r="L89" t="n">
        <v>1</v>
      </c>
      <c r="M89" t="n">
        <v>0</v>
      </c>
      <c r="N89" t="n">
        <v>0</v>
      </c>
      <c r="O89" t="n">
        <v>0</v>
      </c>
      <c r="P89" t="n">
        <v>0</v>
      </c>
      <c r="Q89" t="n">
        <v>1</v>
      </c>
      <c r="R89" t="n">
        <v>0</v>
      </c>
      <c r="S89" t="n">
        <v>1</v>
      </c>
      <c r="T89" t="n">
        <v>1</v>
      </c>
      <c r="U89" s="2" t="inlineStr">
        <is>
          <t>Entita</t>
        </is>
      </c>
      <c r="V89">
        <f>HYPERLINK("https://klasma.github.io/Logging_0885/artfynd/S 2390-2023 artfynd.xlsx", "S 2390-2023")</f>
        <v/>
      </c>
      <c r="W89">
        <f>HYPERLINK("https://klasma.github.io/Logging_0885/kartor/S 2390-2023 karta.png", "S 2390-2023")</f>
        <v/>
      </c>
      <c r="Y89">
        <f>HYPERLINK("https://klasma.github.io/Logging_0885/klagomål/S 2390-2023 FSC-klagomål.docx", "S 2390-2023")</f>
        <v/>
      </c>
      <c r="Z89">
        <f>HYPERLINK("https://klasma.github.io/Logging_0885/klagomålsmail/S 2390-2023 FSC-klagomål mail.docx", "S 2390-2023")</f>
        <v/>
      </c>
      <c r="AA89">
        <f>HYPERLINK("https://klasma.github.io/Logging_0885/tillsyn/S 2390-2023 tillsynsbegäran.docx", "S 2390-2023")</f>
        <v/>
      </c>
      <c r="AB89">
        <f>HYPERLINK("https://klasma.github.io/Logging_0885/tillsynsmail/S 2390-2023 tillsynsbegäran mail.docx", "S 2390-2023")</f>
        <v/>
      </c>
      <c r="AC89">
        <f>HYPERLINK("https://klasma.github.io/Logging_0885/fåglar/S 2390-2023 prioriterade fågelarter.docx", "S 2390-2023")</f>
        <v/>
      </c>
    </row>
    <row r="90" ht="15" customHeight="1">
      <c r="A90" t="inlineStr">
        <is>
          <t>S 2489-2025</t>
        </is>
      </c>
      <c r="B90" t="inlineStr">
        <is>
          <t>samrådsanmälan</t>
        </is>
      </c>
      <c r="C90" t="inlineStr">
        <is>
          <t>Annan skogsbruksåtgärd</t>
        </is>
      </c>
      <c r="D90" s="1" t="n">
        <v>45903</v>
      </c>
      <c r="E90" s="1" t="n">
        <v>46218</v>
      </c>
      <c r="F90" t="inlineStr">
        <is>
          <t>KALMAR LÄN</t>
        </is>
      </c>
      <c r="G90" t="inlineStr">
        <is>
          <t>BORGHOLM</t>
        </is>
      </c>
      <c r="I90" t="n">
        <v>7.7</v>
      </c>
      <c r="J90" t="n">
        <v>0</v>
      </c>
      <c r="K90" t="n">
        <v>0</v>
      </c>
      <c r="L90" t="n">
        <v>1</v>
      </c>
      <c r="M90" t="n">
        <v>0</v>
      </c>
      <c r="N90" t="n">
        <v>0</v>
      </c>
      <c r="O90" t="n">
        <v>0</v>
      </c>
      <c r="P90" t="n">
        <v>0</v>
      </c>
      <c r="Q90" t="n">
        <v>1</v>
      </c>
      <c r="R90" t="n">
        <v>0</v>
      </c>
      <c r="S90" t="n">
        <v>1</v>
      </c>
      <c r="T90" t="n">
        <v>1</v>
      </c>
      <c r="U90" s="2" t="inlineStr">
        <is>
          <t>Backtimjan</t>
        </is>
      </c>
      <c r="V90">
        <f>HYPERLINK("https://klasma.github.io/Logging_0885/artfynd/S 2489-2025 artfynd.xlsx", "S 2489-2025")</f>
        <v/>
      </c>
      <c r="W90">
        <f>HYPERLINK("https://klasma.github.io/Logging_0885/kartor/S 2489-2025 karta.png", "S 2489-2025")</f>
        <v/>
      </c>
      <c r="Y90">
        <f>HYPERLINK("https://klasma.github.io/Logging_0885/klagomål/S 2489-2025 FSC-klagomål.docx", "S 2489-2025")</f>
        <v/>
      </c>
      <c r="Z90">
        <f>HYPERLINK("https://klasma.github.io/Logging_0885/klagomålsmail/S 2489-2025 FSC-klagomål mail.docx", "S 2489-2025")</f>
        <v/>
      </c>
      <c r="AA90">
        <f>HYPERLINK("https://klasma.github.io/Logging_0885/tillsyn/S 2489-2025 tillsynsbegäran.docx", "S 2489-2025")</f>
        <v/>
      </c>
      <c r="AB90">
        <f>HYPERLINK("https://klasma.github.io/Logging_0885/tillsynsmail/S 2489-2025 tillsynsbegäran mail.docx", "S 2489-2025")</f>
        <v/>
      </c>
    </row>
    <row r="91" ht="15" customHeight="1">
      <c r="A91" t="inlineStr">
        <is>
          <t>S 1706-2026</t>
        </is>
      </c>
      <c r="B91" t="inlineStr">
        <is>
          <t>samrådsanmälan</t>
        </is>
      </c>
      <c r="C91" t="inlineStr">
        <is>
          <t>Annan skogsbruksåtgärd</t>
        </is>
      </c>
      <c r="D91" s="1" t="n">
        <v>46185</v>
      </c>
      <c r="E91" s="1" t="n">
        <v>46218</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s="2" t="inlineStr">
        <is>
          <t>Ask</t>
        </is>
      </c>
      <c r="V91">
        <f>HYPERLINK("https://klasma.github.io/Logging_0885/artfynd/S 1706-2026 artfynd.xlsx", "S 1706-2026")</f>
        <v/>
      </c>
      <c r="W91">
        <f>HYPERLINK("https://klasma.github.io/Logging_0885/kartor/S 1706-2026 karta.png", "S 1706-2026")</f>
        <v/>
      </c>
      <c r="Y91">
        <f>HYPERLINK("https://klasma.github.io/Logging_0885/klagomål/S 1706-2026 FSC-klagomål.docx", "S 1706-2026")</f>
        <v/>
      </c>
      <c r="Z91">
        <f>HYPERLINK("https://klasma.github.io/Logging_0885/klagomålsmail/S 1706-2026 FSC-klagomål mail.docx", "S 1706-2026")</f>
        <v/>
      </c>
      <c r="AA91">
        <f>HYPERLINK("https://klasma.github.io/Logging_0885/tillsyn/S 1706-2026 tillsynsbegäran.docx", "S 1706-2026")</f>
        <v/>
      </c>
      <c r="AB91">
        <f>HYPERLINK("https://klasma.github.io/Logging_0885/tillsynsmail/S 1706-2026 tillsynsbegäran mail.docx", "S 1706-2026")</f>
        <v/>
      </c>
    </row>
    <row r="92" ht="15" customHeight="1">
      <c r="A92" t="inlineStr">
        <is>
          <t>S 1803-2026</t>
        </is>
      </c>
      <c r="B92" t="inlineStr">
        <is>
          <t>samrådsanmälan</t>
        </is>
      </c>
      <c r="C92" t="inlineStr">
        <is>
          <t>Annan skogsbruksåtgärd</t>
        </is>
      </c>
      <c r="D92" s="1" t="n">
        <v>46196</v>
      </c>
      <c r="E92" s="1" t="n">
        <v>46218</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s="2" t="inlineStr">
        <is>
          <t>Purpurmusseron</t>
        </is>
      </c>
      <c r="V92">
        <f>HYPERLINK("https://klasma.github.io/Logging_0885/artfynd/S 1803-2026 artfynd.xlsx", "S 1803-2026")</f>
        <v/>
      </c>
      <c r="W92">
        <f>HYPERLINK("https://klasma.github.io/Logging_0885/kartor/S 1803-2026 karta.png", "S 1803-2026")</f>
        <v/>
      </c>
      <c r="Y92">
        <f>HYPERLINK("https://klasma.github.io/Logging_0885/klagomål/S 1803-2026 FSC-klagomål.docx", "S 1803-2026")</f>
        <v/>
      </c>
      <c r="Z92">
        <f>HYPERLINK("https://klasma.github.io/Logging_0885/klagomålsmail/S 1803-2026 FSC-klagomål mail.docx", "S 1803-2026")</f>
        <v/>
      </c>
      <c r="AA92">
        <f>HYPERLINK("https://klasma.github.io/Logging_0885/tillsyn/S 1803-2026 tillsynsbegäran.docx", "S 1803-2026")</f>
        <v/>
      </c>
      <c r="AB92">
        <f>HYPERLINK("https://klasma.github.io/Logging_0885/tillsynsmail/S 1803-2026 tillsynsbegäran mail.docx", "S 1803-2026")</f>
        <v/>
      </c>
    </row>
    <row r="93" ht="15" customHeight="1">
      <c r="A93" t="inlineStr">
        <is>
          <t>S 1813-2026</t>
        </is>
      </c>
      <c r="B93" t="inlineStr">
        <is>
          <t>samrådsanmälan</t>
        </is>
      </c>
      <c r="C93" t="inlineStr">
        <is>
          <t>Annan skogsbruksåtgärd</t>
        </is>
      </c>
      <c r="D93" s="1" t="n">
        <v>46197</v>
      </c>
      <c r="E93" s="1" t="n">
        <v>46218</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s="2" t="inlineStr">
        <is>
          <t>Oxtungssvamp</t>
        </is>
      </c>
      <c r="V93">
        <f>HYPERLINK("https://klasma.github.io/Logging_0885/artfynd/S 1813-2026 artfynd.xlsx", "S 1813-2026")</f>
        <v/>
      </c>
      <c r="W93">
        <f>HYPERLINK("https://klasma.github.io/Logging_0885/kartor/S 1813-2026 karta.png", "S 1813-2026")</f>
        <v/>
      </c>
      <c r="Y93">
        <f>HYPERLINK("https://klasma.github.io/Logging_0885/klagomål/S 1813-2026 FSC-klagomål.docx", "S 1813-2026")</f>
        <v/>
      </c>
      <c r="Z93">
        <f>HYPERLINK("https://klasma.github.io/Logging_0885/klagomålsmail/S 1813-2026 FSC-klagomål mail.docx", "S 1813-2026")</f>
        <v/>
      </c>
      <c r="AA93">
        <f>HYPERLINK("https://klasma.github.io/Logging_0885/tillsyn/S 1813-2026 tillsynsbegäran.docx", "S 1813-2026")</f>
        <v/>
      </c>
      <c r="AB93">
        <f>HYPERLINK("https://klasma.github.io/Logging_0885/tillsynsmail/S 1813-2026 tillsynsbegäran mail.docx", "S 1813-2026")</f>
        <v/>
      </c>
    </row>
    <row r="94" ht="15" customHeight="1">
      <c r="A94" t="inlineStr">
        <is>
          <t>A 42761-2021</t>
        </is>
      </c>
      <c r="B94" t="inlineStr">
        <is>
          <t>avverkningsanmälan</t>
        </is>
      </c>
      <c r="C94" t="inlineStr">
        <is>
          <t>Avverkning för annat ändamål</t>
        </is>
      </c>
      <c r="D94" s="1" t="n">
        <v>44428</v>
      </c>
      <c r="E94" s="1" t="n">
        <v>46218</v>
      </c>
      <c r="F94" t="inlineStr">
        <is>
          <t>KALMAR LÄN</t>
        </is>
      </c>
      <c r="G94" t="inlineStr">
        <is>
          <t>BORGHOLM</t>
        </is>
      </c>
      <c r="I94" t="n">
        <v>1.5</v>
      </c>
      <c r="J94" t="n">
        <v>0</v>
      </c>
      <c r="K94" t="n">
        <v>0</v>
      </c>
      <c r="L94" t="n">
        <v>0</v>
      </c>
      <c r="M94" t="n">
        <v>0</v>
      </c>
      <c r="N94" t="n">
        <v>0</v>
      </c>
      <c r="O94" t="n">
        <v>0</v>
      </c>
      <c r="P94" t="n">
        <v>0</v>
      </c>
      <c r="Q94" t="n">
        <v>0</v>
      </c>
      <c r="R94" t="n">
        <v>0</v>
      </c>
      <c r="S94" t="n">
        <v>0</v>
      </c>
      <c r="T94" t="n">
        <v>0</v>
      </c>
      <c r="U94" s="2" t="inlineStr"/>
    </row>
    <row r="95" ht="15" customHeight="1">
      <c r="A95" t="inlineStr">
        <is>
          <t>A 32665-2022</t>
        </is>
      </c>
      <c r="B95" t="inlineStr">
        <is>
          <t>avverkningsanmälan</t>
        </is>
      </c>
      <c r="C95" t="inlineStr">
        <is>
          <t>Avverkning för att bevara och utveckla /försöksver</t>
        </is>
      </c>
      <c r="D95" s="1" t="n">
        <v>44783</v>
      </c>
      <c r="E95" s="1" t="n">
        <v>46218</v>
      </c>
      <c r="F95" t="inlineStr">
        <is>
          <t>KALMAR LÄN</t>
        </is>
      </c>
      <c r="G95" t="inlineStr">
        <is>
          <t>BORGHOLM</t>
        </is>
      </c>
      <c r="H95" t="inlineStr">
        <is>
          <t>Sveaskog</t>
        </is>
      </c>
      <c r="I95" t="n">
        <v>4.2</v>
      </c>
      <c r="J95" t="n">
        <v>0</v>
      </c>
      <c r="K95" t="n">
        <v>0</v>
      </c>
      <c r="L95" t="n">
        <v>0</v>
      </c>
      <c r="M95" t="n">
        <v>0</v>
      </c>
      <c r="N95" t="n">
        <v>0</v>
      </c>
      <c r="O95" t="n">
        <v>0</v>
      </c>
      <c r="P95" t="n">
        <v>0</v>
      </c>
      <c r="Q95" t="n">
        <v>0</v>
      </c>
      <c r="R95" t="n">
        <v>0</v>
      </c>
      <c r="S95" t="n">
        <v>0</v>
      </c>
      <c r="T95" t="n">
        <v>0</v>
      </c>
      <c r="U95" s="2" t="inlineStr"/>
    </row>
    <row r="96" ht="15" customHeight="1">
      <c r="A96" t="inlineStr">
        <is>
          <t>A 28345-2022</t>
        </is>
      </c>
      <c r="B96" t="inlineStr">
        <is>
          <t>avverkningsanmälan</t>
        </is>
      </c>
      <c r="C96" t="inlineStr">
        <is>
          <t>Föryngringsavverkning</t>
        </is>
      </c>
      <c r="D96" s="1" t="n">
        <v>44747</v>
      </c>
      <c r="E96" s="1" t="n">
        <v>46218</v>
      </c>
      <c r="F96" t="inlineStr">
        <is>
          <t>KALMAR LÄN</t>
        </is>
      </c>
      <c r="G96" t="inlineStr">
        <is>
          <t>BORGHOLM</t>
        </is>
      </c>
      <c r="I96" t="n">
        <v>1.5</v>
      </c>
      <c r="J96" t="n">
        <v>0</v>
      </c>
      <c r="K96" t="n">
        <v>0</v>
      </c>
      <c r="L96" t="n">
        <v>0</v>
      </c>
      <c r="M96" t="n">
        <v>0</v>
      </c>
      <c r="N96" t="n">
        <v>0</v>
      </c>
      <c r="O96" t="n">
        <v>0</v>
      </c>
      <c r="P96" t="n">
        <v>0</v>
      </c>
      <c r="Q96" t="n">
        <v>0</v>
      </c>
      <c r="R96" t="n">
        <v>0</v>
      </c>
      <c r="S96" t="n">
        <v>0</v>
      </c>
      <c r="T96" t="n">
        <v>0</v>
      </c>
      <c r="U96" s="2" t="inlineStr"/>
    </row>
    <row r="97" ht="15" customHeight="1">
      <c r="A97" t="inlineStr">
        <is>
          <t>A 44681-2022</t>
        </is>
      </c>
      <c r="B97" t="inlineStr">
        <is>
          <t>avverkningsanmälan</t>
        </is>
      </c>
      <c r="C97" t="inlineStr">
        <is>
          <t>Föryngringsavverkning</t>
        </is>
      </c>
      <c r="D97" s="1" t="n">
        <v>44840</v>
      </c>
      <c r="E97" s="1" t="n">
        <v>46218</v>
      </c>
      <c r="F97" t="inlineStr">
        <is>
          <t>KALMAR LÄN</t>
        </is>
      </c>
      <c r="G97" t="inlineStr">
        <is>
          <t>BORGHOLM</t>
        </is>
      </c>
      <c r="I97" t="n">
        <v>0.5</v>
      </c>
      <c r="J97" t="n">
        <v>0</v>
      </c>
      <c r="K97" t="n">
        <v>0</v>
      </c>
      <c r="L97" t="n">
        <v>0</v>
      </c>
      <c r="M97" t="n">
        <v>0</v>
      </c>
      <c r="N97" t="n">
        <v>0</v>
      </c>
      <c r="O97" t="n">
        <v>0</v>
      </c>
      <c r="P97" t="n">
        <v>0</v>
      </c>
      <c r="Q97" t="n">
        <v>0</v>
      </c>
      <c r="R97" t="n">
        <v>0</v>
      </c>
      <c r="S97" t="n">
        <v>0</v>
      </c>
      <c r="T97" t="n">
        <v>0</v>
      </c>
      <c r="U97" s="2" t="inlineStr"/>
    </row>
    <row r="98" ht="15" customHeight="1">
      <c r="A98" t="inlineStr">
        <is>
          <t>A 32608-2022</t>
        </is>
      </c>
      <c r="B98" t="inlineStr">
        <is>
          <t>avverkningsanmälan</t>
        </is>
      </c>
      <c r="C98" t="inlineStr">
        <is>
          <t>Avverkning för att bevara och utveckla /försöksver</t>
        </is>
      </c>
      <c r="D98" s="1" t="n">
        <v>44783</v>
      </c>
      <c r="E98" s="1" t="n">
        <v>46218</v>
      </c>
      <c r="F98" t="inlineStr">
        <is>
          <t>KALMAR LÄN</t>
        </is>
      </c>
      <c r="G98" t="inlineStr">
        <is>
          <t>BORGHOLM</t>
        </is>
      </c>
      <c r="H98" t="inlineStr">
        <is>
          <t>Sveaskog</t>
        </is>
      </c>
      <c r="I98" t="n">
        <v>1.6</v>
      </c>
      <c r="J98" t="n">
        <v>0</v>
      </c>
      <c r="K98" t="n">
        <v>0</v>
      </c>
      <c r="L98" t="n">
        <v>0</v>
      </c>
      <c r="M98" t="n">
        <v>0</v>
      </c>
      <c r="N98" t="n">
        <v>0</v>
      </c>
      <c r="O98" t="n">
        <v>0</v>
      </c>
      <c r="P98" t="n">
        <v>0</v>
      </c>
      <c r="Q98" t="n">
        <v>0</v>
      </c>
      <c r="R98" t="n">
        <v>0</v>
      </c>
      <c r="S98" t="n">
        <v>0</v>
      </c>
      <c r="T98" t="n">
        <v>0</v>
      </c>
      <c r="U98" s="2" t="inlineStr"/>
    </row>
    <row r="99" ht="15" customHeight="1">
      <c r="A99" t="inlineStr">
        <is>
          <t>A 61828-2021</t>
        </is>
      </c>
      <c r="B99" t="inlineStr">
        <is>
          <t>avverkningsanmälan</t>
        </is>
      </c>
      <c r="C99" t="inlineStr">
        <is>
          <t>Föryngringsavverkning</t>
        </is>
      </c>
      <c r="D99" s="1" t="n">
        <v>44501</v>
      </c>
      <c r="E99" s="1" t="n">
        <v>46218</v>
      </c>
      <c r="F99" t="inlineStr">
        <is>
          <t>KALMAR LÄN</t>
        </is>
      </c>
      <c r="G99" t="inlineStr">
        <is>
          <t>BORGHOLM</t>
        </is>
      </c>
      <c r="I99" t="n">
        <v>0.5</v>
      </c>
      <c r="J99" t="n">
        <v>0</v>
      </c>
      <c r="K99" t="n">
        <v>0</v>
      </c>
      <c r="L99" t="n">
        <v>0</v>
      </c>
      <c r="M99" t="n">
        <v>0</v>
      </c>
      <c r="N99" t="n">
        <v>0</v>
      </c>
      <c r="O99" t="n">
        <v>0</v>
      </c>
      <c r="P99" t="n">
        <v>0</v>
      </c>
      <c r="Q99" t="n">
        <v>0</v>
      </c>
      <c r="R99" t="n">
        <v>0</v>
      </c>
      <c r="S99" t="n">
        <v>0</v>
      </c>
      <c r="T99" t="n">
        <v>0</v>
      </c>
      <c r="U99" s="2" t="inlineStr"/>
    </row>
    <row r="100" ht="15" customHeight="1">
      <c r="A100" t="inlineStr">
        <is>
          <t>A 56188-2021</t>
        </is>
      </c>
      <c r="B100" t="inlineStr">
        <is>
          <t>avverkningsanmälan</t>
        </is>
      </c>
      <c r="C100" t="inlineStr">
        <is>
          <t>Föryngringsavverkning</t>
        </is>
      </c>
      <c r="D100" s="1" t="n">
        <v>44477</v>
      </c>
      <c r="E100" s="1" t="n">
        <v>46218</v>
      </c>
      <c r="F100" t="inlineStr">
        <is>
          <t>KALMAR LÄN</t>
        </is>
      </c>
      <c r="G100" t="inlineStr">
        <is>
          <t>BORGHOLM</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27437-2022</t>
        </is>
      </c>
      <c r="B101" t="inlineStr">
        <is>
          <t>avverkningsanmälan</t>
        </is>
      </c>
      <c r="C101" t="inlineStr">
        <is>
          <t>Föryngringsavverkning</t>
        </is>
      </c>
      <c r="D101" s="1" t="n">
        <v>44742</v>
      </c>
      <c r="E101" s="1" t="n">
        <v>46218</v>
      </c>
      <c r="F101" t="inlineStr">
        <is>
          <t>KALMAR LÄN</t>
        </is>
      </c>
      <c r="G101" t="inlineStr">
        <is>
          <t>BORGHOLM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62631-2021</t>
        </is>
      </c>
      <c r="B102" t="inlineStr">
        <is>
          <t>avverkningsanmälan</t>
        </is>
      </c>
      <c r="C102" t="inlineStr">
        <is>
          <t>Föryngringsavverkning</t>
        </is>
      </c>
      <c r="D102" s="1" t="n">
        <v>44503</v>
      </c>
      <c r="E102" s="1" t="n">
        <v>46218</v>
      </c>
      <c r="F102" t="inlineStr">
        <is>
          <t>KALMAR LÄN</t>
        </is>
      </c>
      <c r="G102" t="inlineStr">
        <is>
          <t>BORGHOLM</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3878-2023</t>
        </is>
      </c>
      <c r="B103" t="inlineStr">
        <is>
          <t>avverkningsanmälan</t>
        </is>
      </c>
      <c r="C103" t="inlineStr">
        <is>
          <t>Föryngringsavverkning</t>
        </is>
      </c>
      <c r="D103" s="1" t="n">
        <v>44951</v>
      </c>
      <c r="E103" s="1" t="n">
        <v>46218</v>
      </c>
      <c r="F103" t="inlineStr">
        <is>
          <t>KALMAR LÄN</t>
        </is>
      </c>
      <c r="G103" t="inlineStr">
        <is>
          <t>BORGHOLM</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12937-2022</t>
        </is>
      </c>
      <c r="B104" t="inlineStr">
        <is>
          <t>avverkningsanmälan</t>
        </is>
      </c>
      <c r="C104" t="inlineStr">
        <is>
          <t>Föryngringsavverkning</t>
        </is>
      </c>
      <c r="D104" s="1" t="n">
        <v>44642</v>
      </c>
      <c r="E104" s="1" t="n">
        <v>46218</v>
      </c>
      <c r="F104" t="inlineStr">
        <is>
          <t>KALMAR LÄN</t>
        </is>
      </c>
      <c r="G104" t="inlineStr">
        <is>
          <t>BORGHOLM</t>
        </is>
      </c>
      <c r="H104" t="inlineStr">
        <is>
          <t>Sveaskog</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41950-2025</t>
        </is>
      </c>
      <c r="B105" t="inlineStr">
        <is>
          <t>avverkningsanmälan</t>
        </is>
      </c>
      <c r="C105" t="inlineStr">
        <is>
          <t>Föryngringsavverkning</t>
        </is>
      </c>
      <c r="D105" s="1" t="n">
        <v>45903</v>
      </c>
      <c r="E105" s="1" t="n">
        <v>46218</v>
      </c>
      <c r="F105" t="inlineStr">
        <is>
          <t>KALMAR LÄN</t>
        </is>
      </c>
      <c r="G105" t="inlineStr">
        <is>
          <t>BORGHOLM</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9076-2025</t>
        </is>
      </c>
      <c r="B106" t="inlineStr">
        <is>
          <t>avverkningsanmälan</t>
        </is>
      </c>
      <c r="C106" t="inlineStr">
        <is>
          <t>Föryngringsavverkning</t>
        </is>
      </c>
      <c r="D106" s="1" t="n">
        <v>45713</v>
      </c>
      <c r="E106" s="1" t="n">
        <v>46218</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1757-2025</t>
        </is>
      </c>
      <c r="B107" t="inlineStr">
        <is>
          <t>avverkningsanmälan</t>
        </is>
      </c>
      <c r="C107" t="inlineStr">
        <is>
          <t>Föryngringsavverkning</t>
        </is>
      </c>
      <c r="D107" s="1" t="n">
        <v>45671</v>
      </c>
      <c r="E107" s="1" t="n">
        <v>46218</v>
      </c>
      <c r="F107" t="inlineStr">
        <is>
          <t>KALMAR LÄN</t>
        </is>
      </c>
      <c r="G107" t="inlineStr">
        <is>
          <t>BORGHOLM</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20287-2025</t>
        </is>
      </c>
      <c r="B108" t="inlineStr">
        <is>
          <t>avverkningsanmälan</t>
        </is>
      </c>
      <c r="C108" t="inlineStr">
        <is>
          <t>Avverkning för att bevara och utveckla /försöksver</t>
        </is>
      </c>
      <c r="D108" s="1" t="n">
        <v>45774</v>
      </c>
      <c r="E108" s="1" t="n">
        <v>46218</v>
      </c>
      <c r="F108" t="inlineStr">
        <is>
          <t>KALMAR LÄN</t>
        </is>
      </c>
      <c r="G108" t="inlineStr">
        <is>
          <t>BORGHOLM</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45869-2025</t>
        </is>
      </c>
      <c r="B109" t="inlineStr">
        <is>
          <t>avverkningsanmälan</t>
        </is>
      </c>
      <c r="C109" t="inlineStr">
        <is>
          <t>Föryngringsavverkning</t>
        </is>
      </c>
      <c r="D109" s="1" t="n">
        <v>45923</v>
      </c>
      <c r="E109" s="1" t="n">
        <v>46218</v>
      </c>
      <c r="F109" t="inlineStr">
        <is>
          <t>KALMAR LÄN</t>
        </is>
      </c>
      <c r="G109" t="inlineStr">
        <is>
          <t>BORGHOLM</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26160-2024</t>
        </is>
      </c>
      <c r="B110" t="inlineStr">
        <is>
          <t>avverkningsanmälan</t>
        </is>
      </c>
      <c r="C110" t="inlineStr">
        <is>
          <t>Avverkning för annat ändamål</t>
        </is>
      </c>
      <c r="D110" s="1" t="n">
        <v>45468</v>
      </c>
      <c r="E110" s="1" t="n">
        <v>46218</v>
      </c>
      <c r="F110" t="inlineStr">
        <is>
          <t>KALMAR LÄN</t>
        </is>
      </c>
      <c r="G110" t="inlineStr">
        <is>
          <t>BORGHOLM</t>
        </is>
      </c>
      <c r="I110" t="n">
        <v>0.4</v>
      </c>
      <c r="J110" t="n">
        <v>0</v>
      </c>
      <c r="K110" t="n">
        <v>0</v>
      </c>
      <c r="L110" t="n">
        <v>0</v>
      </c>
      <c r="M110" t="n">
        <v>0</v>
      </c>
      <c r="N110" t="n">
        <v>0</v>
      </c>
      <c r="O110" t="n">
        <v>0</v>
      </c>
      <c r="P110" t="n">
        <v>0</v>
      </c>
      <c r="Q110" t="n">
        <v>0</v>
      </c>
      <c r="R110" t="n">
        <v>0</v>
      </c>
      <c r="S110" t="n">
        <v>0</v>
      </c>
      <c r="T110" t="n">
        <v>0</v>
      </c>
      <c r="U110" s="2" t="inlineStr"/>
      <c r="W110">
        <f>HYPERLINK("https://klasma.github.io/Logging_0885/kartor/A 26160-2024 karta.png", "A 26160-2024")</f>
        <v/>
      </c>
      <c r="Y110">
        <f>HYPERLINK("https://klasma.github.io/Logging_0885/klagomål/A 26160-2024 FSC-klagomål.docx", "A 26160-2024")</f>
        <v/>
      </c>
      <c r="Z110">
        <f>HYPERLINK("https://klasma.github.io/Logging_0885/klagomålsmail/A 26160-2024 FSC-klagomål mail.docx", "A 26160-2024")</f>
        <v/>
      </c>
      <c r="AA110">
        <f>HYPERLINK("https://klasma.github.io/Logging_0885/tillsyn/A 26160-2024 tillsynsbegäran.docx", "A 26160-2024")</f>
        <v/>
      </c>
      <c r="AB110">
        <f>HYPERLINK("https://klasma.github.io/Logging_0885/tillsynsmail/A 26160-2024 tillsynsbegäran mail.docx", "A 26160-2024")</f>
        <v/>
      </c>
    </row>
    <row r="111" ht="15" customHeight="1">
      <c r="A111" t="inlineStr">
        <is>
          <t>A 46845-2025</t>
        </is>
      </c>
      <c r="B111" t="inlineStr">
        <is>
          <t>avverkningsanmälan</t>
        </is>
      </c>
      <c r="C111" t="inlineStr">
        <is>
          <t>Avverkning för annat ändamål</t>
        </is>
      </c>
      <c r="D111" s="1" t="n">
        <v>45928</v>
      </c>
      <c r="E111" s="1" t="n">
        <v>46218</v>
      </c>
      <c r="F111" t="inlineStr">
        <is>
          <t>KALMAR LÄN</t>
        </is>
      </c>
      <c r="G111" t="inlineStr">
        <is>
          <t>BORGHOLM</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64303-2023</t>
        </is>
      </c>
      <c r="B112" t="inlineStr">
        <is>
          <t>avverkningsanmälan</t>
        </is>
      </c>
      <c r="C112" t="inlineStr">
        <is>
          <t>Avverkning för annat ändamål</t>
        </is>
      </c>
      <c r="D112" s="1" t="n">
        <v>45280</v>
      </c>
      <c r="E112" s="1" t="n">
        <v>46218</v>
      </c>
      <c r="F112" t="inlineStr">
        <is>
          <t>KALMAR LÄN</t>
        </is>
      </c>
      <c r="G112" t="inlineStr">
        <is>
          <t>BORGHOLM</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63075-2023</t>
        </is>
      </c>
      <c r="B113" t="inlineStr">
        <is>
          <t>avverkningsanmälan</t>
        </is>
      </c>
      <c r="C113" t="inlineStr">
        <is>
          <t>Avverkning för annat ändamål</t>
        </is>
      </c>
      <c r="D113" s="1" t="n">
        <v>45273</v>
      </c>
      <c r="E113" s="1" t="n">
        <v>46218</v>
      </c>
      <c r="F113" t="inlineStr">
        <is>
          <t>KALMAR LÄN</t>
        </is>
      </c>
      <c r="G113" t="inlineStr">
        <is>
          <t>BORGHOLM</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9050-2025</t>
        </is>
      </c>
      <c r="B114" t="inlineStr">
        <is>
          <t>avverkningsanmälan</t>
        </is>
      </c>
      <c r="C114" t="inlineStr">
        <is>
          <t>Avverkning för att bevara och utveckla /försöksver</t>
        </is>
      </c>
      <c r="D114" s="1" t="n">
        <v>45713</v>
      </c>
      <c r="E114" s="1" t="n">
        <v>46218</v>
      </c>
      <c r="F114" t="inlineStr">
        <is>
          <t>KALMAR LÄN</t>
        </is>
      </c>
      <c r="G114" t="inlineStr">
        <is>
          <t>BORGHOLM</t>
        </is>
      </c>
      <c r="H114" t="inlineStr">
        <is>
          <t>Sveaskog</t>
        </is>
      </c>
      <c r="I114" t="n">
        <v>2.5</v>
      </c>
      <c r="J114" t="n">
        <v>0</v>
      </c>
      <c r="K114" t="n">
        <v>0</v>
      </c>
      <c r="L114" t="n">
        <v>0</v>
      </c>
      <c r="M114" t="n">
        <v>0</v>
      </c>
      <c r="N114" t="n">
        <v>0</v>
      </c>
      <c r="O114" t="n">
        <v>0</v>
      </c>
      <c r="P114" t="n">
        <v>0</v>
      </c>
      <c r="Q114" t="n">
        <v>0</v>
      </c>
      <c r="R114" t="n">
        <v>0</v>
      </c>
      <c r="S114" t="n">
        <v>0</v>
      </c>
      <c r="T114" t="n">
        <v>0</v>
      </c>
      <c r="U114" s="2" t="inlineStr"/>
    </row>
    <row r="115" ht="15" customHeight="1">
      <c r="A115" t="inlineStr">
        <is>
          <t>A 55367-2024</t>
        </is>
      </c>
      <c r="B115" t="inlineStr">
        <is>
          <t>avverkningsanmälan</t>
        </is>
      </c>
      <c r="C115" t="inlineStr">
        <is>
          <t>Föryngringsavverkning</t>
        </is>
      </c>
      <c r="D115" s="1" t="n">
        <v>45621</v>
      </c>
      <c r="E115" s="1" t="n">
        <v>46218</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43603-2024</t>
        </is>
      </c>
      <c r="B116" t="inlineStr">
        <is>
          <t>avverkningsanmälan</t>
        </is>
      </c>
      <c r="C116" t="inlineStr">
        <is>
          <t>Föryngringsavverkning</t>
        </is>
      </c>
      <c r="D116" s="1" t="n">
        <v>45569</v>
      </c>
      <c r="E116" s="1" t="n">
        <v>46218</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s="2" t="inlineStr"/>
    </row>
    <row r="117" ht="15" customHeight="1">
      <c r="A117" t="inlineStr">
        <is>
          <t>A 22785-2025</t>
        </is>
      </c>
      <c r="B117" t="inlineStr">
        <is>
          <t>avverkningsanmälan</t>
        </is>
      </c>
      <c r="C117" t="inlineStr">
        <is>
          <t>Föryngringsavverkning</t>
        </is>
      </c>
      <c r="D117" s="1" t="n">
        <v>45789</v>
      </c>
      <c r="E117" s="1" t="n">
        <v>46218</v>
      </c>
      <c r="F117" t="inlineStr">
        <is>
          <t>KALMAR LÄN</t>
        </is>
      </c>
      <c r="G117" t="inlineStr">
        <is>
          <t>BORGHOLM</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4159-2024</t>
        </is>
      </c>
      <c r="B118" t="inlineStr">
        <is>
          <t>avverkningsanmälan</t>
        </is>
      </c>
      <c r="C118" t="inlineStr">
        <is>
          <t>Föryngringsavverkning</t>
        </is>
      </c>
      <c r="D118" s="1" t="n">
        <v>45323</v>
      </c>
      <c r="E118" s="1" t="n">
        <v>46218</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40339-2023</t>
        </is>
      </c>
      <c r="B119" t="inlineStr">
        <is>
          <t>avverkningsanmälan</t>
        </is>
      </c>
      <c r="C119" t="inlineStr">
        <is>
          <t>Föryngringsavverkning</t>
        </is>
      </c>
      <c r="D119" s="1" t="n">
        <v>45169</v>
      </c>
      <c r="E119" s="1" t="n">
        <v>46218</v>
      </c>
      <c r="F119" t="inlineStr">
        <is>
          <t>KALMAR LÄN</t>
        </is>
      </c>
      <c r="G119" t="inlineStr">
        <is>
          <t>BORGHOLM</t>
        </is>
      </c>
      <c r="I119" t="n">
        <v>3.8</v>
      </c>
      <c r="J119" t="n">
        <v>0</v>
      </c>
      <c r="K119" t="n">
        <v>0</v>
      </c>
      <c r="L119" t="n">
        <v>0</v>
      </c>
      <c r="M119" t="n">
        <v>0</v>
      </c>
      <c r="N119" t="n">
        <v>0</v>
      </c>
      <c r="O119" t="n">
        <v>0</v>
      </c>
      <c r="P119" t="n">
        <v>0</v>
      </c>
      <c r="Q119" t="n">
        <v>0</v>
      </c>
      <c r="R119" t="n">
        <v>0</v>
      </c>
      <c r="S119" t="n">
        <v>0</v>
      </c>
      <c r="T119" t="n">
        <v>0</v>
      </c>
      <c r="U119" s="2" t="inlineStr"/>
    </row>
    <row r="120" ht="15" customHeight="1">
      <c r="A120" t="inlineStr">
        <is>
          <t>A 32921-2023</t>
        </is>
      </c>
      <c r="B120" t="inlineStr">
        <is>
          <t>avverkningsanmälan</t>
        </is>
      </c>
      <c r="C120" t="inlineStr">
        <is>
          <t>Föryngringsavverkning</t>
        </is>
      </c>
      <c r="D120" s="1" t="n">
        <v>45125</v>
      </c>
      <c r="E120" s="1" t="n">
        <v>46218</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26190-2025</t>
        </is>
      </c>
      <c r="B121" t="inlineStr">
        <is>
          <t>avverkningsanmälan</t>
        </is>
      </c>
      <c r="C121" t="inlineStr">
        <is>
          <t>Föryngringsavverkning</t>
        </is>
      </c>
      <c r="D121" s="1" t="n">
        <v>45805</v>
      </c>
      <c r="E121" s="1" t="n">
        <v>46218</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31699-2022</t>
        </is>
      </c>
      <c r="B122" t="inlineStr">
        <is>
          <t>avverkningsanmälan</t>
        </is>
      </c>
      <c r="C122" t="inlineStr">
        <is>
          <t>Föryngringsavverkning</t>
        </is>
      </c>
      <c r="D122" s="1" t="n">
        <v>44776</v>
      </c>
      <c r="E122" s="1" t="n">
        <v>46218</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1614-2025</t>
        </is>
      </c>
      <c r="B123" t="inlineStr">
        <is>
          <t>avverkningsanmälan</t>
        </is>
      </c>
      <c r="C123" t="inlineStr">
        <is>
          <t>Föryngringsavverkning</t>
        </is>
      </c>
      <c r="D123" s="1" t="n">
        <v>45670</v>
      </c>
      <c r="E123" s="1" t="n">
        <v>46218</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32919-2023</t>
        </is>
      </c>
      <c r="B124" t="inlineStr">
        <is>
          <t>avverkningsanmälan</t>
        </is>
      </c>
      <c r="C124" t="inlineStr">
        <is>
          <t>Föryngringsavverkning</t>
        </is>
      </c>
      <c r="D124" s="1" t="n">
        <v>45125</v>
      </c>
      <c r="E124" s="1" t="n">
        <v>46218</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s="2" t="inlineStr"/>
    </row>
    <row r="125" ht="15" customHeight="1">
      <c r="A125" t="inlineStr">
        <is>
          <t>A 44547-2021</t>
        </is>
      </c>
      <c r="B125" t="inlineStr">
        <is>
          <t>avverkningsanmälan</t>
        </is>
      </c>
      <c r="C125" t="inlineStr">
        <is>
          <t>Avverkning för annat ändamål</t>
        </is>
      </c>
      <c r="D125" s="1" t="n">
        <v>44435</v>
      </c>
      <c r="E125" s="1" t="n">
        <v>46218</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5175-2024</t>
        </is>
      </c>
      <c r="B126" t="inlineStr">
        <is>
          <t>avverkningsanmälan</t>
        </is>
      </c>
      <c r="C126" t="inlineStr">
        <is>
          <t>Föryngringsavverkning</t>
        </is>
      </c>
      <c r="D126" s="1" t="n">
        <v>45330</v>
      </c>
      <c r="E126" s="1" t="n">
        <v>46218</v>
      </c>
      <c r="F126" t="inlineStr">
        <is>
          <t>KALMAR LÄN</t>
        </is>
      </c>
      <c r="G126" t="inlineStr">
        <is>
          <t>BORGHOLM</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36269-2025</t>
        </is>
      </c>
      <c r="B127" t="inlineStr">
        <is>
          <t>avverkningsanmälan</t>
        </is>
      </c>
      <c r="C127" t="inlineStr">
        <is>
          <t>Föryngringsavverkning</t>
        </is>
      </c>
      <c r="D127" s="1" t="n">
        <v>45867</v>
      </c>
      <c r="E127" s="1" t="n">
        <v>46218</v>
      </c>
      <c r="F127" t="inlineStr">
        <is>
          <t>KALMAR LÄN</t>
        </is>
      </c>
      <c r="G127" t="inlineStr">
        <is>
          <t>BORGHOLM</t>
        </is>
      </c>
      <c r="H127" t="inlineStr">
        <is>
          <t>Sveaskog</t>
        </is>
      </c>
      <c r="I127" t="n">
        <v>3.3</v>
      </c>
      <c r="J127" t="n">
        <v>0</v>
      </c>
      <c r="K127" t="n">
        <v>0</v>
      </c>
      <c r="L127" t="n">
        <v>0</v>
      </c>
      <c r="M127" t="n">
        <v>0</v>
      </c>
      <c r="N127" t="n">
        <v>0</v>
      </c>
      <c r="O127" t="n">
        <v>0</v>
      </c>
      <c r="P127" t="n">
        <v>0</v>
      </c>
      <c r="Q127" t="n">
        <v>0</v>
      </c>
      <c r="R127" t="n">
        <v>0</v>
      </c>
      <c r="S127" t="n">
        <v>0</v>
      </c>
      <c r="T127" t="n">
        <v>0</v>
      </c>
      <c r="U127" s="2" t="inlineStr"/>
    </row>
    <row r="128" ht="15" customHeight="1">
      <c r="A128" t="inlineStr">
        <is>
          <t>A 34951-2022</t>
        </is>
      </c>
      <c r="B128" t="inlineStr">
        <is>
          <t>avverkningsanmälan</t>
        </is>
      </c>
      <c r="C128" t="inlineStr">
        <is>
          <t>Avverkning för att bevara och utveckla /försöksver</t>
        </is>
      </c>
      <c r="D128" s="1" t="n">
        <v>44796</v>
      </c>
      <c r="E128" s="1" t="n">
        <v>46218</v>
      </c>
      <c r="F128" t="inlineStr">
        <is>
          <t>KALMAR LÄN</t>
        </is>
      </c>
      <c r="G128" t="inlineStr">
        <is>
          <t>BORGHOLM</t>
        </is>
      </c>
      <c r="H128" t="inlineStr">
        <is>
          <t>Sveaskog</t>
        </is>
      </c>
      <c r="I128" t="n">
        <v>4.6</v>
      </c>
      <c r="J128" t="n">
        <v>0</v>
      </c>
      <c r="K128" t="n">
        <v>0</v>
      </c>
      <c r="L128" t="n">
        <v>0</v>
      </c>
      <c r="M128" t="n">
        <v>0</v>
      </c>
      <c r="N128" t="n">
        <v>0</v>
      </c>
      <c r="O128" t="n">
        <v>0</v>
      </c>
      <c r="P128" t="n">
        <v>0</v>
      </c>
      <c r="Q128" t="n">
        <v>0</v>
      </c>
      <c r="R128" t="n">
        <v>0</v>
      </c>
      <c r="S128" t="n">
        <v>0</v>
      </c>
      <c r="T128" t="n">
        <v>0</v>
      </c>
      <c r="U128" s="2" t="inlineStr"/>
    </row>
    <row r="129" ht="15" customHeight="1">
      <c r="A129" t="inlineStr">
        <is>
          <t>A 13383-2023</t>
        </is>
      </c>
      <c r="B129" t="inlineStr">
        <is>
          <t>avverkningsanmälan</t>
        </is>
      </c>
      <c r="C129" t="inlineStr">
        <is>
          <t>Föryngringsavverkning</t>
        </is>
      </c>
      <c r="D129" s="1" t="n">
        <v>45005</v>
      </c>
      <c r="E129" s="1" t="n">
        <v>46218</v>
      </c>
      <c r="F129" t="inlineStr">
        <is>
          <t>KALMAR LÄN</t>
        </is>
      </c>
      <c r="G129" t="inlineStr">
        <is>
          <t>BORGHOLM</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61438-2023</t>
        </is>
      </c>
      <c r="B130" t="inlineStr">
        <is>
          <t>avverkningsanmälan</t>
        </is>
      </c>
      <c r="C130" t="inlineStr">
        <is>
          <t>Avverkning för annat ändamål</t>
        </is>
      </c>
      <c r="D130" s="1" t="n">
        <v>45264</v>
      </c>
      <c r="E130" s="1" t="n">
        <v>46218</v>
      </c>
      <c r="F130" t="inlineStr">
        <is>
          <t>KALMAR LÄN</t>
        </is>
      </c>
      <c r="G130" t="inlineStr">
        <is>
          <t>BORGHOLM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13041-2024</t>
        </is>
      </c>
      <c r="B131" t="inlineStr">
        <is>
          <t>avverkningsanmälan</t>
        </is>
      </c>
      <c r="C131" t="inlineStr">
        <is>
          <t>Föryngringsavverkning</t>
        </is>
      </c>
      <c r="D131" s="1" t="n">
        <v>45385</v>
      </c>
      <c r="E131" s="1" t="n">
        <v>46218</v>
      </c>
      <c r="F131" t="inlineStr">
        <is>
          <t>KALMAR LÄN</t>
        </is>
      </c>
      <c r="G131" t="inlineStr">
        <is>
          <t>BORGHOLM</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53050-2021</t>
        </is>
      </c>
      <c r="B132" t="inlineStr">
        <is>
          <t>avverkningsanmälan</t>
        </is>
      </c>
      <c r="C132" t="inlineStr">
        <is>
          <t>Föryngringsavverkning</t>
        </is>
      </c>
      <c r="D132" s="1" t="n">
        <v>44467</v>
      </c>
      <c r="E132" s="1" t="n">
        <v>46218</v>
      </c>
      <c r="F132" t="inlineStr">
        <is>
          <t>KALMAR LÄN</t>
        </is>
      </c>
      <c r="G132" t="inlineStr">
        <is>
          <t>BORGHOLM</t>
        </is>
      </c>
      <c r="I132" t="n">
        <v>3.6</v>
      </c>
      <c r="J132" t="n">
        <v>0</v>
      </c>
      <c r="K132" t="n">
        <v>0</v>
      </c>
      <c r="L132" t="n">
        <v>0</v>
      </c>
      <c r="M132" t="n">
        <v>0</v>
      </c>
      <c r="N132" t="n">
        <v>0</v>
      </c>
      <c r="O132" t="n">
        <v>0</v>
      </c>
      <c r="P132" t="n">
        <v>0</v>
      </c>
      <c r="Q132" t="n">
        <v>0</v>
      </c>
      <c r="R132" t="n">
        <v>0</v>
      </c>
      <c r="S132" t="n">
        <v>0</v>
      </c>
      <c r="T132" t="n">
        <v>0</v>
      </c>
      <c r="U132" s="2" t="inlineStr"/>
    </row>
    <row r="133" ht="15" customHeight="1">
      <c r="A133" t="inlineStr">
        <is>
          <t>A 4165-2023</t>
        </is>
      </c>
      <c r="B133" t="inlineStr">
        <is>
          <t>avverkningsanmälan</t>
        </is>
      </c>
      <c r="C133" t="inlineStr">
        <is>
          <t>Föryngringsavverkning</t>
        </is>
      </c>
      <c r="D133" s="1" t="n">
        <v>44953</v>
      </c>
      <c r="E133" s="1" t="n">
        <v>46218</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28411-2026</t>
        </is>
      </c>
      <c r="B134" t="inlineStr">
        <is>
          <t>avverkningsanmälan</t>
        </is>
      </c>
      <c r="C134" t="inlineStr">
        <is>
          <t>Avverkning för att bevara och utveckla /försöksver</t>
        </is>
      </c>
      <c r="D134" s="1" t="n">
        <v>46197</v>
      </c>
      <c r="E134" s="1" t="n">
        <v>46218</v>
      </c>
      <c r="F134" t="inlineStr">
        <is>
          <t>KALMAR LÄN</t>
        </is>
      </c>
      <c r="G134" t="inlineStr">
        <is>
          <t>BORGHOLM</t>
        </is>
      </c>
      <c r="H134" t="inlineStr">
        <is>
          <t>Sveaskog</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28381-2026</t>
        </is>
      </c>
      <c r="B135" t="inlineStr">
        <is>
          <t>avverkningsanmälan</t>
        </is>
      </c>
      <c r="C135" t="inlineStr">
        <is>
          <t>Avverkning för att bevara och utveckla /försöksver</t>
        </is>
      </c>
      <c r="D135" s="1" t="n">
        <v>46196</v>
      </c>
      <c r="E135" s="1" t="n">
        <v>46218</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28380-2026</t>
        </is>
      </c>
      <c r="B136" t="inlineStr">
        <is>
          <t>avverkningsanmälan</t>
        </is>
      </c>
      <c r="C136" t="inlineStr">
        <is>
          <t>Avverkning för att bevara och utveckla /försöksver</t>
        </is>
      </c>
      <c r="D136" s="1" t="n">
        <v>46196</v>
      </c>
      <c r="E136" s="1" t="n">
        <v>46218</v>
      </c>
      <c r="F136" t="inlineStr">
        <is>
          <t>KALMAR LÄN</t>
        </is>
      </c>
      <c r="G136" t="inlineStr">
        <is>
          <t>BORGHOLM</t>
        </is>
      </c>
      <c r="H136" t="inlineStr">
        <is>
          <t>Sveaskog</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27357-2025</t>
        </is>
      </c>
      <c r="B137" t="inlineStr">
        <is>
          <t>avverkningsanmälan</t>
        </is>
      </c>
      <c r="C137" t="inlineStr">
        <is>
          <t>Avverkning för att bevara och utveckla /försöksver</t>
        </is>
      </c>
      <c r="D137" s="1" t="n">
        <v>45812</v>
      </c>
      <c r="E137" s="1" t="n">
        <v>46218</v>
      </c>
      <c r="F137" t="inlineStr">
        <is>
          <t>KALMAR LÄN</t>
        </is>
      </c>
      <c r="G137" t="inlineStr">
        <is>
          <t>BORGHOLM</t>
        </is>
      </c>
      <c r="H137" t="inlineStr">
        <is>
          <t>Sveaskog</t>
        </is>
      </c>
      <c r="I137" t="n">
        <v>4.5</v>
      </c>
      <c r="J137" t="n">
        <v>0</v>
      </c>
      <c r="K137" t="n">
        <v>0</v>
      </c>
      <c r="L137" t="n">
        <v>0</v>
      </c>
      <c r="M137" t="n">
        <v>0</v>
      </c>
      <c r="N137" t="n">
        <v>0</v>
      </c>
      <c r="O137" t="n">
        <v>0</v>
      </c>
      <c r="P137" t="n">
        <v>0</v>
      </c>
      <c r="Q137" t="n">
        <v>0</v>
      </c>
      <c r="R137" t="n">
        <v>0</v>
      </c>
      <c r="S137" t="n">
        <v>0</v>
      </c>
      <c r="T137" t="n">
        <v>0</v>
      </c>
      <c r="U137" s="2" t="inlineStr"/>
    </row>
    <row r="138" ht="15" customHeight="1">
      <c r="A138" t="inlineStr">
        <is>
          <t>A 29431-2026</t>
        </is>
      </c>
      <c r="B138" t="inlineStr">
        <is>
          <t>avverkningsanmälan</t>
        </is>
      </c>
      <c r="C138" t="inlineStr">
        <is>
          <t>Avverkning för att bevara och utveckla /försöksver</t>
        </is>
      </c>
      <c r="D138" s="1" t="n">
        <v>46203</v>
      </c>
      <c r="E138" s="1" t="n">
        <v>46218</v>
      </c>
      <c r="F138" t="inlineStr">
        <is>
          <t>KALMAR LÄN</t>
        </is>
      </c>
      <c r="G138" t="inlineStr">
        <is>
          <t>BORGHOLM</t>
        </is>
      </c>
      <c r="H138" t="inlineStr">
        <is>
          <t>Sveaskog</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7669-2024</t>
        </is>
      </c>
      <c r="B139" t="inlineStr">
        <is>
          <t>avverkningsanmälan</t>
        </is>
      </c>
      <c r="C139" t="inlineStr">
        <is>
          <t>Föryngringsavverkning</t>
        </is>
      </c>
      <c r="D139" s="1" t="n">
        <v>45348</v>
      </c>
      <c r="E139" s="1" t="n">
        <v>46218</v>
      </c>
      <c r="F139" t="inlineStr">
        <is>
          <t>KALMAR LÄN</t>
        </is>
      </c>
      <c r="G139" t="inlineStr">
        <is>
          <t>BORGHOLM</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29410-2026</t>
        </is>
      </c>
      <c r="B140" t="inlineStr">
        <is>
          <t>avverkningsanmälan</t>
        </is>
      </c>
      <c r="C140" t="inlineStr">
        <is>
          <t>Avverkning för att bevara och utveckla /försöksver</t>
        </is>
      </c>
      <c r="D140" s="1" t="n">
        <v>46203</v>
      </c>
      <c r="E140" s="1" t="n">
        <v>46218</v>
      </c>
      <c r="F140" t="inlineStr">
        <is>
          <t>KALMAR LÄN</t>
        </is>
      </c>
      <c r="G140" t="inlineStr">
        <is>
          <t>BORGHOLM</t>
        </is>
      </c>
      <c r="H140" t="inlineStr">
        <is>
          <t>Sveaskog</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34780-2022</t>
        </is>
      </c>
      <c r="B141" t="inlineStr">
        <is>
          <t>avverkningsanmälan</t>
        </is>
      </c>
      <c r="C141" t="inlineStr">
        <is>
          <t>Föryngringsavverkning</t>
        </is>
      </c>
      <c r="D141" s="1" t="n">
        <v>44795</v>
      </c>
      <c r="E141" s="1" t="n">
        <v>46218</v>
      </c>
      <c r="F141" t="inlineStr">
        <is>
          <t>KALMAR LÄN</t>
        </is>
      </c>
      <c r="G141" t="inlineStr">
        <is>
          <t>BORGHOLM</t>
        </is>
      </c>
      <c r="H141" t="inlineStr">
        <is>
          <t>Sveaskog</t>
        </is>
      </c>
      <c r="I141" t="n">
        <v>6.7</v>
      </c>
      <c r="J141" t="n">
        <v>0</v>
      </c>
      <c r="K141" t="n">
        <v>0</v>
      </c>
      <c r="L141" t="n">
        <v>0</v>
      </c>
      <c r="M141" t="n">
        <v>0</v>
      </c>
      <c r="N141" t="n">
        <v>0</v>
      </c>
      <c r="O141" t="n">
        <v>0</v>
      </c>
      <c r="P141" t="n">
        <v>0</v>
      </c>
      <c r="Q141" t="n">
        <v>0</v>
      </c>
      <c r="R141" t="n">
        <v>0</v>
      </c>
      <c r="S141" t="n">
        <v>0</v>
      </c>
      <c r="T141" t="n">
        <v>0</v>
      </c>
      <c r="U141" s="2" t="inlineStr"/>
    </row>
    <row r="142" ht="15" customHeight="1">
      <c r="A142" t="inlineStr">
        <is>
          <t>A 29413-2026</t>
        </is>
      </c>
      <c r="B142" t="inlineStr">
        <is>
          <t>avverkningsanmälan</t>
        </is>
      </c>
      <c r="C142" t="inlineStr">
        <is>
          <t>Avverkning för att bevara och utveckla /försöksver</t>
        </is>
      </c>
      <c r="D142" s="1" t="n">
        <v>46203</v>
      </c>
      <c r="E142" s="1" t="n">
        <v>46218</v>
      </c>
      <c r="F142" t="inlineStr">
        <is>
          <t>KALMAR LÄN</t>
        </is>
      </c>
      <c r="G142" t="inlineStr">
        <is>
          <t>BORGHOLM</t>
        </is>
      </c>
      <c r="H142" t="inlineStr">
        <is>
          <t>Sveaskog</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29414-2026</t>
        </is>
      </c>
      <c r="B143" t="inlineStr">
        <is>
          <t>avverkningsanmälan</t>
        </is>
      </c>
      <c r="C143" t="inlineStr">
        <is>
          <t>Avverkning för att bevara och utveckla /försöksver</t>
        </is>
      </c>
      <c r="D143" s="1" t="n">
        <v>46203</v>
      </c>
      <c r="E143" s="1" t="n">
        <v>46218</v>
      </c>
      <c r="F143" t="inlineStr">
        <is>
          <t>KALMAR LÄN</t>
        </is>
      </c>
      <c r="G143" t="inlineStr">
        <is>
          <t>BORGHOLM</t>
        </is>
      </c>
      <c r="H143" t="inlineStr">
        <is>
          <t>Sveaskog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9104-2026</t>
        </is>
      </c>
      <c r="B144" t="inlineStr">
        <is>
          <t>avverkningsanmälan</t>
        </is>
      </c>
      <c r="C144" t="inlineStr">
        <is>
          <t>Avverkning för annat ändamål</t>
        </is>
      </c>
      <c r="D144" s="1" t="n">
        <v>46069</v>
      </c>
      <c r="E144" s="1" t="n">
        <v>46218</v>
      </c>
      <c r="F144" t="inlineStr">
        <is>
          <t>KALMAR LÄN</t>
        </is>
      </c>
      <c r="G144" t="inlineStr">
        <is>
          <t>BORGHOLM</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9259-2026</t>
        </is>
      </c>
      <c r="B145" t="inlineStr">
        <is>
          <t>avverkningsanmälan</t>
        </is>
      </c>
      <c r="C145" t="inlineStr">
        <is>
          <t>Föryngringsavverkning</t>
        </is>
      </c>
      <c r="D145" s="1" t="n">
        <v>46070</v>
      </c>
      <c r="E145" s="1" t="n">
        <v>46218</v>
      </c>
      <c r="F145" t="inlineStr">
        <is>
          <t>KALMAR LÄN</t>
        </is>
      </c>
      <c r="G145" t="inlineStr">
        <is>
          <t>BORGHOLM</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24323-2026</t>
        </is>
      </c>
      <c r="B146" t="inlineStr">
        <is>
          <t>avverkningsanmälan</t>
        </is>
      </c>
      <c r="C146" t="inlineStr">
        <is>
          <t>Föryngringsavverkning</t>
        </is>
      </c>
      <c r="D146" s="1" t="n">
        <v>46169</v>
      </c>
      <c r="E146" s="1" t="n">
        <v>46218</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24345-2026</t>
        </is>
      </c>
      <c r="B147" t="inlineStr">
        <is>
          <t>avverkningsanmälan</t>
        </is>
      </c>
      <c r="C147" t="inlineStr">
        <is>
          <t>Avverkning för att bevara och utveckla /försöksver</t>
        </is>
      </c>
      <c r="D147" s="1" t="n">
        <v>46169</v>
      </c>
      <c r="E147" s="1" t="n">
        <v>46218</v>
      </c>
      <c r="F147" t="inlineStr">
        <is>
          <t>KALMAR LÄN</t>
        </is>
      </c>
      <c r="G147" t="inlineStr">
        <is>
          <t>BORGHOLM</t>
        </is>
      </c>
      <c r="H147" t="inlineStr">
        <is>
          <t>Sveaskog</t>
        </is>
      </c>
      <c r="I147" t="n">
        <v>7.3</v>
      </c>
      <c r="J147" t="n">
        <v>0</v>
      </c>
      <c r="K147" t="n">
        <v>0</v>
      </c>
      <c r="L147" t="n">
        <v>0</v>
      </c>
      <c r="M147" t="n">
        <v>0</v>
      </c>
      <c r="N147" t="n">
        <v>0</v>
      </c>
      <c r="O147" t="n">
        <v>0</v>
      </c>
      <c r="P147" t="n">
        <v>0</v>
      </c>
      <c r="Q147" t="n">
        <v>0</v>
      </c>
      <c r="R147" t="n">
        <v>0</v>
      </c>
      <c r="S147" t="n">
        <v>0</v>
      </c>
      <c r="T147" t="n">
        <v>0</v>
      </c>
      <c r="U147" s="2" t="inlineStr"/>
    </row>
    <row r="148" ht="15" customHeight="1">
      <c r="A148" t="inlineStr">
        <is>
          <t>A 24338-2026</t>
        </is>
      </c>
      <c r="B148" t="inlineStr">
        <is>
          <t>avverkningsanmälan</t>
        </is>
      </c>
      <c r="C148" t="inlineStr">
        <is>
          <t>Avverkning för att bevara och utveckla /försöksver</t>
        </is>
      </c>
      <c r="D148" s="1" t="n">
        <v>46169</v>
      </c>
      <c r="E148" s="1" t="n">
        <v>46218</v>
      </c>
      <c r="F148" t="inlineStr">
        <is>
          <t>KALMAR LÄN</t>
        </is>
      </c>
      <c r="G148" t="inlineStr">
        <is>
          <t>BORGHOLM</t>
        </is>
      </c>
      <c r="H148" t="inlineStr">
        <is>
          <t>Sveaskog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15272-2026</t>
        </is>
      </c>
      <c r="B149" t="inlineStr">
        <is>
          <t>avverkningsanmälan</t>
        </is>
      </c>
      <c r="C149" t="inlineStr">
        <is>
          <t>Avverkning för att bevara och utveckla /försöksver</t>
        </is>
      </c>
      <c r="D149" s="1" t="n">
        <v>46105</v>
      </c>
      <c r="E149" s="1" t="n">
        <v>46218</v>
      </c>
      <c r="F149" t="inlineStr">
        <is>
          <t>KALMAR LÄN</t>
        </is>
      </c>
      <c r="G149" t="inlineStr">
        <is>
          <t>BORGHOLM</t>
        </is>
      </c>
      <c r="H149" t="inlineStr">
        <is>
          <t>Sveaskog</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15279-2026</t>
        </is>
      </c>
      <c r="B150" t="inlineStr">
        <is>
          <t>avverkningsanmälan</t>
        </is>
      </c>
      <c r="C150" t="inlineStr">
        <is>
          <t>Avverkning för att bevara och utveckla /försöksver</t>
        </is>
      </c>
      <c r="D150" s="1" t="n">
        <v>46105</v>
      </c>
      <c r="E150" s="1" t="n">
        <v>46218</v>
      </c>
      <c r="F150" t="inlineStr">
        <is>
          <t>KALMAR LÄN</t>
        </is>
      </c>
      <c r="G150" t="inlineStr">
        <is>
          <t>BORGHOLM</t>
        </is>
      </c>
      <c r="H150" t="inlineStr">
        <is>
          <t>Sveaskog</t>
        </is>
      </c>
      <c r="I150" t="n">
        <v>4.6</v>
      </c>
      <c r="J150" t="n">
        <v>0</v>
      </c>
      <c r="K150" t="n">
        <v>0</v>
      </c>
      <c r="L150" t="n">
        <v>0</v>
      </c>
      <c r="M150" t="n">
        <v>0</v>
      </c>
      <c r="N150" t="n">
        <v>0</v>
      </c>
      <c r="O150" t="n">
        <v>0</v>
      </c>
      <c r="P150" t="n">
        <v>0</v>
      </c>
      <c r="Q150" t="n">
        <v>0</v>
      </c>
      <c r="R150" t="n">
        <v>0</v>
      </c>
      <c r="S150" t="n">
        <v>0</v>
      </c>
      <c r="T150" t="n">
        <v>0</v>
      </c>
      <c r="U150" s="2" t="inlineStr"/>
    </row>
    <row r="151" ht="15" customHeight="1">
      <c r="A151" t="inlineStr">
        <is>
          <t>A 15264-2026</t>
        </is>
      </c>
      <c r="B151" t="inlineStr">
        <is>
          <t>avverkningsanmälan</t>
        </is>
      </c>
      <c r="C151" t="inlineStr">
        <is>
          <t>Avverkning för att bevara och utveckla /försöksver</t>
        </is>
      </c>
      <c r="D151" s="1" t="n">
        <v>46105</v>
      </c>
      <c r="E151" s="1" t="n">
        <v>46218</v>
      </c>
      <c r="F151" t="inlineStr">
        <is>
          <t>KALMAR LÄN</t>
        </is>
      </c>
      <c r="G151" t="inlineStr">
        <is>
          <t>BORGHOLM</t>
        </is>
      </c>
      <c r="H151" t="inlineStr">
        <is>
          <t>Sveaskog</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S 4035-2022</t>
        </is>
      </c>
      <c r="B152" t="inlineStr">
        <is>
          <t>samrådsanmälan</t>
        </is>
      </c>
      <c r="C152" t="inlineStr">
        <is>
          <t>Annan skogsbruksåtgärd</t>
        </is>
      </c>
      <c r="D152" s="1" t="n">
        <v>44756</v>
      </c>
      <c r="E152" s="1" t="n">
        <v>46218</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S 605-2025</t>
        </is>
      </c>
      <c r="B153" t="inlineStr">
        <is>
          <t>samrådsanmälan</t>
        </is>
      </c>
      <c r="C153" t="inlineStr">
        <is>
          <t>Annan skogsbruksåtgärd</t>
        </is>
      </c>
      <c r="D153" s="1" t="n">
        <v>45713</v>
      </c>
      <c r="E153" s="1" t="n">
        <v>46218</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S 1762-2025</t>
        </is>
      </c>
      <c r="B154" t="inlineStr">
        <is>
          <t>samrådsanmälan</t>
        </is>
      </c>
      <c r="C154" t="inlineStr">
        <is>
          <t>Annan skogsbruksåtgärd</t>
        </is>
      </c>
      <c r="D154" s="1" t="n">
        <v>45812</v>
      </c>
      <c r="E154" s="1" t="n">
        <v>46218</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1760-2025</t>
        </is>
      </c>
      <c r="B155" t="inlineStr">
        <is>
          <t>samrådsanmälan</t>
        </is>
      </c>
      <c r="C155" t="inlineStr">
        <is>
          <t>Annan skogsbruksåtgärd</t>
        </is>
      </c>
      <c r="D155" s="1" t="n">
        <v>45812</v>
      </c>
      <c r="E155" s="1" t="n">
        <v>46218</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S 1123-2025</t>
        </is>
      </c>
      <c r="B156" t="inlineStr">
        <is>
          <t>samrådsanmälan</t>
        </is>
      </c>
      <c r="C156" t="inlineStr">
        <is>
          <t>Annan skogsbruksåtgärd</t>
        </is>
      </c>
      <c r="D156" s="1" t="n">
        <v>45754</v>
      </c>
      <c r="E156" s="1" t="n">
        <v>46218</v>
      </c>
      <c r="F156" t="inlineStr">
        <is>
          <t>KALMAR LÄN</t>
        </is>
      </c>
      <c r="G156" t="inlineStr">
        <is>
          <t>BORGHOLM</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S 842-2026</t>
        </is>
      </c>
      <c r="B157" t="inlineStr">
        <is>
          <t>samrådsanmälan</t>
        </is>
      </c>
      <c r="C157" t="inlineStr">
        <is>
          <t>Annan skogsbruksåtgärd</t>
        </is>
      </c>
      <c r="D157" s="1" t="n">
        <v>46105</v>
      </c>
      <c r="E157" s="1" t="n">
        <v>46218</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S 843-2026</t>
        </is>
      </c>
      <c r="B158" t="inlineStr">
        <is>
          <t>samrådsanmälan</t>
        </is>
      </c>
      <c r="C158" t="inlineStr">
        <is>
          <t>Annan skogsbruksåtgärd</t>
        </is>
      </c>
      <c r="D158" s="1" t="n">
        <v>46105</v>
      </c>
      <c r="E158" s="1" t="n">
        <v>46218</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S 1806-2026</t>
        </is>
      </c>
      <c r="B159" t="inlineStr">
        <is>
          <t>samrådsanmälan</t>
        </is>
      </c>
      <c r="C159" t="inlineStr">
        <is>
          <t>Annan skogsbruksåtgärd</t>
        </is>
      </c>
      <c r="D159" s="1" t="n">
        <v>46196</v>
      </c>
      <c r="E159" s="1" t="n">
        <v>46218</v>
      </c>
      <c r="F159" t="inlineStr">
        <is>
          <t>KALMAR LÄN</t>
        </is>
      </c>
      <c r="G159" t="inlineStr">
        <is>
          <t>BORGHOLM</t>
        </is>
      </c>
      <c r="H159" t="inlineStr">
        <is>
          <t>Sveaskog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S 1812-2026</t>
        </is>
      </c>
      <c r="B160" t="inlineStr">
        <is>
          <t>samrådsanmälan</t>
        </is>
      </c>
      <c r="C160" t="inlineStr">
        <is>
          <t>Annan skogsbruksåtgärd</t>
        </is>
      </c>
      <c r="D160" s="1" t="n">
        <v>46197</v>
      </c>
      <c r="E160" s="1" t="n">
        <v>46218</v>
      </c>
      <c r="F160" t="inlineStr">
        <is>
          <t>KALMAR LÄN</t>
        </is>
      </c>
      <c r="G160" t="inlineStr">
        <is>
          <t>BORGHOLM</t>
        </is>
      </c>
      <c r="H160" t="inlineStr">
        <is>
          <t>Sveaskog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46218</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1885-2026</t>
        </is>
      </c>
      <c r="B162" t="inlineStr">
        <is>
          <t>samrådsanmälan</t>
        </is>
      </c>
      <c r="C162" t="inlineStr">
        <is>
          <t>Annan skogsbruksåtgärd</t>
        </is>
      </c>
      <c r="D162" s="1" t="n">
        <v>46203</v>
      </c>
      <c r="E162" s="1" t="n">
        <v>46218</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S 1887-2026</t>
        </is>
      </c>
      <c r="B163" t="inlineStr">
        <is>
          <t>samrådsanmälan</t>
        </is>
      </c>
      <c r="C163" t="inlineStr">
        <is>
          <t>Annan skogsbruksåtgärd</t>
        </is>
      </c>
      <c r="D163" s="1" t="n">
        <v>46203</v>
      </c>
      <c r="E163" s="1" t="n">
        <v>46218</v>
      </c>
      <c r="F163" t="inlineStr">
        <is>
          <t>KALMAR LÄN</t>
        </is>
      </c>
      <c r="G163" t="inlineStr">
        <is>
          <t>BORGHOLM</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S 1888-2026</t>
        </is>
      </c>
      <c r="B164" t="inlineStr">
        <is>
          <t>samrådsanmälan</t>
        </is>
      </c>
      <c r="C164" t="inlineStr">
        <is>
          <t>Annan skogsbruksåtgärd</t>
        </is>
      </c>
      <c r="D164" s="1" t="n">
        <v>46203</v>
      </c>
      <c r="E164" s="1" t="n">
        <v>46218</v>
      </c>
      <c r="F164" t="inlineStr">
        <is>
          <t>KALMAR LÄN</t>
        </is>
      </c>
      <c r="G164" t="inlineStr">
        <is>
          <t>BORGHOLM</t>
        </is>
      </c>
      <c r="H164" t="inlineStr">
        <is>
          <t>Sveaskog</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S 1891-2026</t>
        </is>
      </c>
      <c r="B165" t="inlineStr">
        <is>
          <t>samrådsanmälan</t>
        </is>
      </c>
      <c r="C165" t="inlineStr">
        <is>
          <t>Annan skogsbruksåtgärd</t>
        </is>
      </c>
      <c r="D165" s="1" t="n">
        <v>46203</v>
      </c>
      <c r="E165" s="1" t="n">
        <v>46218</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S 1556-2026</t>
        </is>
      </c>
      <c r="B166" t="inlineStr">
        <is>
          <t>samrådsanmälan</t>
        </is>
      </c>
      <c r="C166" t="inlineStr">
        <is>
          <t>Annan skogsbruksåtgärd</t>
        </is>
      </c>
      <c r="D166" s="1" t="n">
        <v>46169</v>
      </c>
      <c r="E166" s="1" t="n">
        <v>46218</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c r="A167" t="inlineStr">
        <is>
          <t>S 1557-2026</t>
        </is>
      </c>
      <c r="B167" t="inlineStr">
        <is>
          <t>samrådsanmälan</t>
        </is>
      </c>
      <c r="C167" t="inlineStr">
        <is>
          <t>Annan skogsbruksåtgärd</t>
        </is>
      </c>
      <c r="D167" s="1" t="n">
        <v>46169</v>
      </c>
      <c r="E167" s="1" t="n">
        <v>46218</v>
      </c>
      <c r="F167" t="inlineStr">
        <is>
          <t>KALMAR LÄN</t>
        </is>
      </c>
      <c r="G167" t="inlineStr">
        <is>
          <t>BORGHOLM</t>
        </is>
      </c>
      <c r="H167" t="inlineStr">
        <is>
          <t>Sveaskog</t>
        </is>
      </c>
      <c r="I167" t="n">
        <v>7.3</v>
      </c>
      <c r="J167" t="n">
        <v>0</v>
      </c>
      <c r="K167" t="n">
        <v>0</v>
      </c>
      <c r="L167" t="n">
        <v>0</v>
      </c>
      <c r="M167" t="n">
        <v>0</v>
      </c>
      <c r="N167" t="n">
        <v>0</v>
      </c>
      <c r="O167" t="n">
        <v>0</v>
      </c>
      <c r="P167" t="n">
        <v>0</v>
      </c>
      <c r="Q167" t="n">
        <v>0</v>
      </c>
      <c r="R167" t="n">
        <v>0</v>
      </c>
      <c r="S167" t="n">
        <v>0</v>
      </c>
      <c r="T167" t="n">
        <v>0</v>
      </c>
      <c r="U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2026-07-15T01:23:31Z</dcterms:created>
  <dcterms:modified xmlns:dcterms="http://purl.org/dc/terms/" xmlns:xsi="http://www.w3.org/2001/XMLSchema-instance" xsi:type="dcterms:W3CDTF">2026-07-15T01:23:32Z</dcterms:modified>
</cp:coreProperties>
</file>