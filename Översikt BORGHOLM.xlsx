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46100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46100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46100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46100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46100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46100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46100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46100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46100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46100</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46100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46100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46100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46100</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46100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46100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46100</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44008-2022</t>
        </is>
      </c>
      <c r="B19" s="1" t="n">
        <v>44838</v>
      </c>
      <c r="C19" s="1" t="n">
        <v>46100</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44008-2022 artfynd.xlsx", "A 44008-2022")</f>
        <v/>
      </c>
      <c r="T19">
        <f>HYPERLINK("https://klasma.github.io/Logging_0885/kartor/A 44008-2022 karta.png", "A 44008-2022")</f>
        <v/>
      </c>
      <c r="V19">
        <f>HYPERLINK("https://klasma.github.io/Logging_0885/klagomål/A 44008-2022 FSC-klagomål.docx", "A 44008-2022")</f>
        <v/>
      </c>
      <c r="W19">
        <f>HYPERLINK("https://klasma.github.io/Logging_0885/klagomålsmail/A 44008-2022 FSC-klagomål mail.docx", "A 44008-2022")</f>
        <v/>
      </c>
      <c r="X19">
        <f>HYPERLINK("https://klasma.github.io/Logging_0885/tillsyn/A 44008-2022 tillsynsbegäran.docx", "A 44008-2022")</f>
        <v/>
      </c>
      <c r="Y19">
        <f>HYPERLINK("https://klasma.github.io/Logging_0885/tillsynsmail/A 44008-2022 tillsynsbegäran mail.docx", "A 44008-2022")</f>
        <v/>
      </c>
      <c r="Z19">
        <f>HYPERLINK("https://klasma.github.io/Logging_0885/fåglar/A 44008-2022 prioriterade fågelarter.docx", "A 44008-2022")</f>
        <v/>
      </c>
    </row>
    <row r="20" ht="15" customHeight="1">
      <c r="A20" t="inlineStr">
        <is>
          <t>A 38860-2025</t>
        </is>
      </c>
      <c r="B20" s="1" t="n">
        <v>45887.5609375</v>
      </c>
      <c r="C20" s="1" t="n">
        <v>46100</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4164-2023</t>
        </is>
      </c>
      <c r="B21" s="1" t="n">
        <v>44953</v>
      </c>
      <c r="C21" s="1" t="n">
        <v>46100</v>
      </c>
      <c r="D21" t="inlineStr">
        <is>
          <t>KALMAR LÄN</t>
        </is>
      </c>
      <c r="E21" t="inlineStr">
        <is>
          <t>BORGHOLM</t>
        </is>
      </c>
      <c r="G21" t="n">
        <v>3.3</v>
      </c>
      <c r="H21" t="n">
        <v>1</v>
      </c>
      <c r="I21" t="n">
        <v>1</v>
      </c>
      <c r="J21" t="n">
        <v>0</v>
      </c>
      <c r="K21" t="n">
        <v>0</v>
      </c>
      <c r="L21" t="n">
        <v>0</v>
      </c>
      <c r="M21" t="n">
        <v>0</v>
      </c>
      <c r="N21" t="n">
        <v>0</v>
      </c>
      <c r="O21" t="n">
        <v>0</v>
      </c>
      <c r="P21" t="n">
        <v>0</v>
      </c>
      <c r="Q21" t="n">
        <v>2</v>
      </c>
      <c r="R21" s="2" t="inlineStr">
        <is>
          <t>Murgröna
Blåsippa</t>
        </is>
      </c>
      <c r="S21">
        <f>HYPERLINK("https://klasma.github.io/Logging_0885/artfynd/A 4164-2023 artfynd.xlsx", "A 4164-2023")</f>
        <v/>
      </c>
      <c r="T21">
        <f>HYPERLINK("https://klasma.github.io/Logging_0885/kartor/A 4164-2023 karta.png", "A 4164-2023")</f>
        <v/>
      </c>
      <c r="V21">
        <f>HYPERLINK("https://klasma.github.io/Logging_0885/klagomål/A 4164-2023 FSC-klagomål.docx", "A 4164-2023")</f>
        <v/>
      </c>
      <c r="W21">
        <f>HYPERLINK("https://klasma.github.io/Logging_0885/klagomålsmail/A 4164-2023 FSC-klagomål mail.docx", "A 4164-2023")</f>
        <v/>
      </c>
      <c r="X21">
        <f>HYPERLINK("https://klasma.github.io/Logging_0885/tillsyn/A 4164-2023 tillsynsbegäran.docx", "A 4164-2023")</f>
        <v/>
      </c>
      <c r="Y21">
        <f>HYPERLINK("https://klasma.github.io/Logging_0885/tillsynsmail/A 4164-2023 tillsynsbegäran mail.docx", "A 4164-2023")</f>
        <v/>
      </c>
    </row>
    <row r="22" ht="15" customHeight="1">
      <c r="A22" t="inlineStr">
        <is>
          <t>A 13556-2025</t>
        </is>
      </c>
      <c r="B22" s="1" t="n">
        <v>45736.54759259259</v>
      </c>
      <c r="C22" s="1" t="n">
        <v>46100</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34944-2022</t>
        </is>
      </c>
      <c r="B23" s="1" t="n">
        <v>44796</v>
      </c>
      <c r="C23" s="1" t="n">
        <v>46100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32174-2022</t>
        </is>
      </c>
      <c r="B24" s="1" t="n">
        <v>44781</v>
      </c>
      <c r="C24" s="1" t="n">
        <v>46100</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46100</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28779-2025</t>
        </is>
      </c>
      <c r="B26" s="1" t="n">
        <v>45820.44920138889</v>
      </c>
      <c r="C26" s="1" t="n">
        <v>46100</v>
      </c>
      <c r="D26" t="inlineStr">
        <is>
          <t>KALMAR LÄN</t>
        </is>
      </c>
      <c r="E26" t="inlineStr">
        <is>
          <t>BORGHOLM</t>
        </is>
      </c>
      <c r="F26" t="inlineStr">
        <is>
          <t>Sveaskog</t>
        </is>
      </c>
      <c r="G26" t="n">
        <v>4.1</v>
      </c>
      <c r="H26" t="n">
        <v>2</v>
      </c>
      <c r="I26" t="n">
        <v>1</v>
      </c>
      <c r="J26" t="n">
        <v>1</v>
      </c>
      <c r="K26" t="n">
        <v>0</v>
      </c>
      <c r="L26" t="n">
        <v>0</v>
      </c>
      <c r="M26" t="n">
        <v>0</v>
      </c>
      <c r="N26" t="n">
        <v>0</v>
      </c>
      <c r="O26" t="n">
        <v>1</v>
      </c>
      <c r="P26" t="n">
        <v>0</v>
      </c>
      <c r="Q26" t="n">
        <v>2</v>
      </c>
      <c r="R26" s="2" t="inlineStr">
        <is>
          <t>Havsörn
Skogsknipprot</t>
        </is>
      </c>
      <c r="S26">
        <f>HYPERLINK("https://klasma.github.io/Logging_0885/artfynd/A 28779-2025 artfynd.xlsx", "A 28779-2025")</f>
        <v/>
      </c>
      <c r="T26">
        <f>HYPERLINK("https://klasma.github.io/Logging_0885/kartor/A 28779-2025 karta.png", "A 28779-2025")</f>
        <v/>
      </c>
      <c r="V26">
        <f>HYPERLINK("https://klasma.github.io/Logging_0885/klagomål/A 28779-2025 FSC-klagomål.docx", "A 28779-2025")</f>
        <v/>
      </c>
      <c r="W26">
        <f>HYPERLINK("https://klasma.github.io/Logging_0885/klagomålsmail/A 28779-2025 FSC-klagomål mail.docx", "A 28779-2025")</f>
        <v/>
      </c>
      <c r="X26">
        <f>HYPERLINK("https://klasma.github.io/Logging_0885/tillsyn/A 28779-2025 tillsynsbegäran.docx", "A 28779-2025")</f>
        <v/>
      </c>
      <c r="Y26">
        <f>HYPERLINK("https://klasma.github.io/Logging_0885/tillsynsmail/A 28779-2025 tillsynsbegäran mail.docx", "A 28779-2025")</f>
        <v/>
      </c>
      <c r="Z26">
        <f>HYPERLINK("https://klasma.github.io/Logging_0885/fåglar/A 28779-2025 prioriterade fågelarter.docx", "A 28779-2025")</f>
        <v/>
      </c>
    </row>
    <row r="27" ht="15" customHeight="1">
      <c r="A27" t="inlineStr">
        <is>
          <t>A 60140-2025</t>
        </is>
      </c>
      <c r="B27" s="1" t="n">
        <v>45994.36274305556</v>
      </c>
      <c r="C27" s="1" t="n">
        <v>46100</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9253-2026</t>
        </is>
      </c>
      <c r="B28" s="1" t="n">
        <v>46070.51003472223</v>
      </c>
      <c r="C28" s="1" t="n">
        <v>46100</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31790-2021</t>
        </is>
      </c>
      <c r="B29" s="1" t="n">
        <v>44370</v>
      </c>
      <c r="C29" s="1" t="n">
        <v>46100</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46100</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46100</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46100</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9745-2023</t>
        </is>
      </c>
      <c r="B33" s="1" t="n">
        <v>44984</v>
      </c>
      <c r="C33" s="1" t="n">
        <v>46100</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43603-2024</t>
        </is>
      </c>
      <c r="B34" s="1" t="n">
        <v>45569.44700231482</v>
      </c>
      <c r="C34" s="1" t="n">
        <v>46100</v>
      </c>
      <c r="D34" t="inlineStr">
        <is>
          <t>KALMAR LÄN</t>
        </is>
      </c>
      <c r="E34" t="inlineStr">
        <is>
          <t>BORGHOLM</t>
        </is>
      </c>
      <c r="G34" t="n">
        <v>3.8</v>
      </c>
      <c r="H34" t="n">
        <v>1</v>
      </c>
      <c r="I34" t="n">
        <v>0</v>
      </c>
      <c r="J34" t="n">
        <v>0</v>
      </c>
      <c r="K34" t="n">
        <v>1</v>
      </c>
      <c r="L34" t="n">
        <v>0</v>
      </c>
      <c r="M34" t="n">
        <v>0</v>
      </c>
      <c r="N34" t="n">
        <v>0</v>
      </c>
      <c r="O34" t="n">
        <v>1</v>
      </c>
      <c r="P34" t="n">
        <v>1</v>
      </c>
      <c r="Q34" t="n">
        <v>1</v>
      </c>
      <c r="R34" s="2" t="inlineStr">
        <is>
          <t>Väddnätfjäril</t>
        </is>
      </c>
      <c r="S34">
        <f>HYPERLINK("https://klasma.github.io/Logging_0885/artfynd/A 43603-2024 artfynd.xlsx", "A 43603-2024")</f>
        <v/>
      </c>
      <c r="T34">
        <f>HYPERLINK("https://klasma.github.io/Logging_0885/kartor/A 43603-2024 karta.png", "A 43603-2024")</f>
        <v/>
      </c>
      <c r="V34">
        <f>HYPERLINK("https://klasma.github.io/Logging_0885/klagomål/A 43603-2024 FSC-klagomål.docx", "A 43603-2024")</f>
        <v/>
      </c>
      <c r="W34">
        <f>HYPERLINK("https://klasma.github.io/Logging_0885/klagomålsmail/A 43603-2024 FSC-klagomål mail.docx", "A 43603-2024")</f>
        <v/>
      </c>
      <c r="X34">
        <f>HYPERLINK("https://klasma.github.io/Logging_0885/tillsyn/A 43603-2024 tillsynsbegäran.docx", "A 43603-2024")</f>
        <v/>
      </c>
      <c r="Y34">
        <f>HYPERLINK("https://klasma.github.io/Logging_0885/tillsynsmail/A 43603-2024 tillsynsbegäran mail.docx", "A 43603-2024")</f>
        <v/>
      </c>
    </row>
    <row r="35" ht="15" customHeight="1">
      <c r="A35" t="inlineStr">
        <is>
          <t>A 14789-2021</t>
        </is>
      </c>
      <c r="B35" s="1" t="n">
        <v>44280</v>
      </c>
      <c r="C35" s="1" t="n">
        <v>46100</v>
      </c>
      <c r="D35" t="inlineStr">
        <is>
          <t>KALMAR LÄN</t>
        </is>
      </c>
      <c r="E35" t="inlineStr">
        <is>
          <t>BORGHOLM</t>
        </is>
      </c>
      <c r="G35" t="n">
        <v>1</v>
      </c>
      <c r="H35" t="n">
        <v>1</v>
      </c>
      <c r="I35" t="n">
        <v>1</v>
      </c>
      <c r="J35" t="n">
        <v>0</v>
      </c>
      <c r="K35" t="n">
        <v>0</v>
      </c>
      <c r="L35" t="n">
        <v>0</v>
      </c>
      <c r="M35" t="n">
        <v>0</v>
      </c>
      <c r="N35" t="n">
        <v>0</v>
      </c>
      <c r="O35" t="n">
        <v>0</v>
      </c>
      <c r="P35" t="n">
        <v>0</v>
      </c>
      <c r="Q35" t="n">
        <v>1</v>
      </c>
      <c r="R35" s="2" t="inlineStr">
        <is>
          <t>Skogsknipprot</t>
        </is>
      </c>
      <c r="S35">
        <f>HYPERLINK("https://klasma.github.io/Logging_0885/artfynd/A 14789-2021 artfynd.xlsx", "A 14789-2021")</f>
        <v/>
      </c>
      <c r="T35">
        <f>HYPERLINK("https://klasma.github.io/Logging_0885/kartor/A 14789-2021 karta.png", "A 14789-2021")</f>
        <v/>
      </c>
      <c r="V35">
        <f>HYPERLINK("https://klasma.github.io/Logging_0885/klagomål/A 14789-2021 FSC-klagomål.docx", "A 14789-2021")</f>
        <v/>
      </c>
      <c r="W35">
        <f>HYPERLINK("https://klasma.github.io/Logging_0885/klagomålsmail/A 14789-2021 FSC-klagomål mail.docx", "A 14789-2021")</f>
        <v/>
      </c>
      <c r="X35">
        <f>HYPERLINK("https://klasma.github.io/Logging_0885/tillsyn/A 14789-2021 tillsynsbegäran.docx", "A 14789-2021")</f>
        <v/>
      </c>
      <c r="Y35">
        <f>HYPERLINK("https://klasma.github.io/Logging_0885/tillsynsmail/A 14789-2021 tillsynsbegäran mail.docx", "A 14789-2021")</f>
        <v/>
      </c>
    </row>
    <row r="36" ht="15" customHeight="1">
      <c r="A36" t="inlineStr">
        <is>
          <t>A 24048-2025</t>
        </is>
      </c>
      <c r="B36" s="1" t="n">
        <v>45796.4959375</v>
      </c>
      <c r="C36" s="1" t="n">
        <v>46100</v>
      </c>
      <c r="D36" t="inlineStr">
        <is>
          <t>KALMAR LÄN</t>
        </is>
      </c>
      <c r="E36" t="inlineStr">
        <is>
          <t>BORGHOLM</t>
        </is>
      </c>
      <c r="G36" t="n">
        <v>2</v>
      </c>
      <c r="H36" t="n">
        <v>0</v>
      </c>
      <c r="I36" t="n">
        <v>0</v>
      </c>
      <c r="J36" t="n">
        <v>1</v>
      </c>
      <c r="K36" t="n">
        <v>0</v>
      </c>
      <c r="L36" t="n">
        <v>0</v>
      </c>
      <c r="M36" t="n">
        <v>0</v>
      </c>
      <c r="N36" t="n">
        <v>0</v>
      </c>
      <c r="O36" t="n">
        <v>1</v>
      </c>
      <c r="P36" t="n">
        <v>0</v>
      </c>
      <c r="Q36" t="n">
        <v>1</v>
      </c>
      <c r="R36" s="2" t="inlineStr">
        <is>
          <t>Loppstarr</t>
        </is>
      </c>
      <c r="S36">
        <f>HYPERLINK("https://klasma.github.io/Logging_0885/artfynd/A 24048-2025 artfynd.xlsx", "A 24048-2025")</f>
        <v/>
      </c>
      <c r="T36">
        <f>HYPERLINK("https://klasma.github.io/Logging_0885/kartor/A 24048-2025 karta.png", "A 24048-2025")</f>
        <v/>
      </c>
      <c r="V36">
        <f>HYPERLINK("https://klasma.github.io/Logging_0885/klagomål/A 24048-2025 FSC-klagomål.docx", "A 24048-2025")</f>
        <v/>
      </c>
      <c r="W36">
        <f>HYPERLINK("https://klasma.github.io/Logging_0885/klagomålsmail/A 24048-2025 FSC-klagomål mail.docx", "A 24048-2025")</f>
        <v/>
      </c>
      <c r="X36">
        <f>HYPERLINK("https://klasma.github.io/Logging_0885/tillsyn/A 24048-2025 tillsynsbegäran.docx", "A 24048-2025")</f>
        <v/>
      </c>
      <c r="Y36">
        <f>HYPERLINK("https://klasma.github.io/Logging_0885/tillsynsmail/A 24048-2025 tillsynsbegäran mail.docx", "A 24048-2025")</f>
        <v/>
      </c>
    </row>
    <row r="37" ht="15" customHeight="1">
      <c r="A37" t="inlineStr">
        <is>
          <t>A 41640-2023</t>
        </is>
      </c>
      <c r="B37" s="1" t="n">
        <v>45175</v>
      </c>
      <c r="C37" s="1" t="n">
        <v>46100</v>
      </c>
      <c r="D37" t="inlineStr">
        <is>
          <t>KALMAR LÄN</t>
        </is>
      </c>
      <c r="E37" t="inlineStr">
        <is>
          <t>BORGHOLM</t>
        </is>
      </c>
      <c r="G37" t="n">
        <v>5</v>
      </c>
      <c r="H37" t="n">
        <v>1</v>
      </c>
      <c r="I37" t="n">
        <v>0</v>
      </c>
      <c r="J37" t="n">
        <v>0</v>
      </c>
      <c r="K37" t="n">
        <v>0</v>
      </c>
      <c r="L37" t="n">
        <v>0</v>
      </c>
      <c r="M37" t="n">
        <v>0</v>
      </c>
      <c r="N37" t="n">
        <v>0</v>
      </c>
      <c r="O37" t="n">
        <v>0</v>
      </c>
      <c r="P37" t="n">
        <v>0</v>
      </c>
      <c r="Q37" t="n">
        <v>1</v>
      </c>
      <c r="R37" s="2" t="inlineStr">
        <is>
          <t>Johannesnycklar</t>
        </is>
      </c>
      <c r="S37">
        <f>HYPERLINK("https://klasma.github.io/Logging_0885/artfynd/A 41640-2023 artfynd.xlsx", "A 41640-2023")</f>
        <v/>
      </c>
      <c r="T37">
        <f>HYPERLINK("https://klasma.github.io/Logging_0885/kartor/A 41640-2023 karta.png", "A 41640-2023")</f>
        <v/>
      </c>
      <c r="V37">
        <f>HYPERLINK("https://klasma.github.io/Logging_0885/klagomål/A 41640-2023 FSC-klagomål.docx", "A 41640-2023")</f>
        <v/>
      </c>
      <c r="W37">
        <f>HYPERLINK("https://klasma.github.io/Logging_0885/klagomålsmail/A 41640-2023 FSC-klagomål mail.docx", "A 41640-2023")</f>
        <v/>
      </c>
      <c r="X37">
        <f>HYPERLINK("https://klasma.github.io/Logging_0885/tillsyn/A 41640-2023 tillsynsbegäran.docx", "A 41640-2023")</f>
        <v/>
      </c>
      <c r="Y37">
        <f>HYPERLINK("https://klasma.github.io/Logging_0885/tillsynsmail/A 41640-2023 tillsynsbegäran mail.docx", "A 41640-2023")</f>
        <v/>
      </c>
    </row>
    <row r="38" ht="15" customHeight="1">
      <c r="A38" t="inlineStr">
        <is>
          <t>A 28785-2025</t>
        </is>
      </c>
      <c r="B38" s="1" t="n">
        <v>45820.46159722222</v>
      </c>
      <c r="C38" s="1" t="n">
        <v>46100</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24704-2023</t>
        </is>
      </c>
      <c r="B39" s="1" t="n">
        <v>45084</v>
      </c>
      <c r="C39" s="1" t="n">
        <v>46100</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29962-2025</t>
        </is>
      </c>
      <c r="B40" s="1" t="n">
        <v>45826.48184027777</v>
      </c>
      <c r="C40" s="1" t="n">
        <v>46100</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34885-2025</t>
        </is>
      </c>
      <c r="B41" s="1" t="n">
        <v>45849.47128472223</v>
      </c>
      <c r="C41" s="1" t="n">
        <v>46100</v>
      </c>
      <c r="D41" t="inlineStr">
        <is>
          <t>KALMAR LÄN</t>
        </is>
      </c>
      <c r="E41" t="inlineStr">
        <is>
          <t>BORGHOLM</t>
        </is>
      </c>
      <c r="G41" t="n">
        <v>4.4</v>
      </c>
      <c r="H41" t="n">
        <v>0</v>
      </c>
      <c r="I41" t="n">
        <v>0</v>
      </c>
      <c r="J41" t="n">
        <v>1</v>
      </c>
      <c r="K41" t="n">
        <v>0</v>
      </c>
      <c r="L41" t="n">
        <v>0</v>
      </c>
      <c r="M41" t="n">
        <v>0</v>
      </c>
      <c r="N41" t="n">
        <v>0</v>
      </c>
      <c r="O41" t="n">
        <v>1</v>
      </c>
      <c r="P41" t="n">
        <v>0</v>
      </c>
      <c r="Q41" t="n">
        <v>1</v>
      </c>
      <c r="R41" s="2" t="inlineStr">
        <is>
          <t>Backfryle</t>
        </is>
      </c>
      <c r="S41">
        <f>HYPERLINK("https://klasma.github.io/Logging_0885/artfynd/A 34885-2025 artfynd.xlsx", "A 34885-2025")</f>
        <v/>
      </c>
      <c r="T41">
        <f>HYPERLINK("https://klasma.github.io/Logging_0885/kartor/A 34885-2025 karta.png", "A 34885-2025")</f>
        <v/>
      </c>
      <c r="V41">
        <f>HYPERLINK("https://klasma.github.io/Logging_0885/klagomål/A 34885-2025 FSC-klagomål.docx", "A 34885-2025")</f>
        <v/>
      </c>
      <c r="W41">
        <f>HYPERLINK("https://klasma.github.io/Logging_0885/klagomålsmail/A 34885-2025 FSC-klagomål mail.docx", "A 34885-2025")</f>
        <v/>
      </c>
      <c r="X41">
        <f>HYPERLINK("https://klasma.github.io/Logging_0885/tillsyn/A 34885-2025 tillsynsbegäran.docx", "A 34885-2025")</f>
        <v/>
      </c>
      <c r="Y41">
        <f>HYPERLINK("https://klasma.github.io/Logging_0885/tillsynsmail/A 34885-2025 tillsynsbegäran mail.docx", "A 34885-2025")</f>
        <v/>
      </c>
    </row>
    <row r="42" ht="15" customHeight="1">
      <c r="A42" t="inlineStr">
        <is>
          <t>A 45693-2025</t>
        </is>
      </c>
      <c r="B42" s="1" t="n">
        <v>45923</v>
      </c>
      <c r="C42" s="1" t="n">
        <v>46100</v>
      </c>
      <c r="D42" t="inlineStr">
        <is>
          <t>KALMAR LÄN</t>
        </is>
      </c>
      <c r="E42" t="inlineStr">
        <is>
          <t>BORGHOLM</t>
        </is>
      </c>
      <c r="G42" t="n">
        <v>4.8</v>
      </c>
      <c r="H42" t="n">
        <v>0</v>
      </c>
      <c r="I42" t="n">
        <v>0</v>
      </c>
      <c r="J42" t="n">
        <v>1</v>
      </c>
      <c r="K42" t="n">
        <v>0</v>
      </c>
      <c r="L42" t="n">
        <v>0</v>
      </c>
      <c r="M42" t="n">
        <v>0</v>
      </c>
      <c r="N42" t="n">
        <v>0</v>
      </c>
      <c r="O42" t="n">
        <v>1</v>
      </c>
      <c r="P42" t="n">
        <v>0</v>
      </c>
      <c r="Q42" t="n">
        <v>1</v>
      </c>
      <c r="R42" s="2" t="inlineStr">
        <is>
          <t>Stjälkröksvamp</t>
        </is>
      </c>
      <c r="S42">
        <f>HYPERLINK("https://klasma.github.io/Logging_0885/artfynd/A 45693-2025 artfynd.xlsx", "A 45693-2025")</f>
        <v/>
      </c>
      <c r="T42">
        <f>HYPERLINK("https://klasma.github.io/Logging_0885/kartor/A 45693-2025 karta.png", "A 45693-2025")</f>
        <v/>
      </c>
      <c r="V42">
        <f>HYPERLINK("https://klasma.github.io/Logging_0885/klagomål/A 45693-2025 FSC-klagomål.docx", "A 45693-2025")</f>
        <v/>
      </c>
      <c r="W42">
        <f>HYPERLINK("https://klasma.github.io/Logging_0885/klagomålsmail/A 45693-2025 FSC-klagomål mail.docx", "A 45693-2025")</f>
        <v/>
      </c>
      <c r="X42">
        <f>HYPERLINK("https://klasma.github.io/Logging_0885/tillsyn/A 45693-2025 tillsynsbegäran.docx", "A 45693-2025")</f>
        <v/>
      </c>
      <c r="Y42">
        <f>HYPERLINK("https://klasma.github.io/Logging_0885/tillsynsmail/A 45693-2025 tillsynsbegäran mail.docx", "A 45693-2025")</f>
        <v/>
      </c>
    </row>
    <row r="43" ht="15" customHeight="1">
      <c r="A43" t="inlineStr">
        <is>
          <t>A 3302-2026</t>
        </is>
      </c>
      <c r="B43" s="1" t="n">
        <v>46041</v>
      </c>
      <c r="C43" s="1" t="n">
        <v>46100</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46100</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46100</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46100</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46100</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46100</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46100</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46100</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46100</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46100</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32180-2022</t>
        </is>
      </c>
      <c r="B53" s="1" t="n">
        <v>44781</v>
      </c>
      <c r="C53" s="1" t="n">
        <v>46100</v>
      </c>
      <c r="D53" t="inlineStr">
        <is>
          <t>KALMAR LÄN</t>
        </is>
      </c>
      <c r="E53" t="inlineStr">
        <is>
          <t>BORGHOLM</t>
        </is>
      </c>
      <c r="F53" t="inlineStr">
        <is>
          <t>Sveaskog</t>
        </is>
      </c>
      <c r="G53" t="n">
        <v>0.9</v>
      </c>
      <c r="H53" t="n">
        <v>0</v>
      </c>
      <c r="I53" t="n">
        <v>0</v>
      </c>
      <c r="J53" t="n">
        <v>0</v>
      </c>
      <c r="K53" t="n">
        <v>0</v>
      </c>
      <c r="L53" t="n">
        <v>0</v>
      </c>
      <c r="M53" t="n">
        <v>0</v>
      </c>
      <c r="N53" t="n">
        <v>0</v>
      </c>
      <c r="O53" t="n">
        <v>0</v>
      </c>
      <c r="P53" t="n">
        <v>0</v>
      </c>
      <c r="Q53" t="n">
        <v>0</v>
      </c>
      <c r="R53" s="2" t="inlineStr"/>
    </row>
    <row r="54" ht="15" customHeight="1">
      <c r="A54" t="inlineStr">
        <is>
          <t>A 27437-2022</t>
        </is>
      </c>
      <c r="B54" s="1" t="n">
        <v>44742.55567129629</v>
      </c>
      <c r="C54" s="1" t="n">
        <v>46100</v>
      </c>
      <c r="D54" t="inlineStr">
        <is>
          <t>KALMAR LÄN</t>
        </is>
      </c>
      <c r="E54" t="inlineStr">
        <is>
          <t>BORGHOLM</t>
        </is>
      </c>
      <c r="G54" t="n">
        <v>0.6</v>
      </c>
      <c r="H54" t="n">
        <v>0</v>
      </c>
      <c r="I54" t="n">
        <v>0</v>
      </c>
      <c r="J54" t="n">
        <v>0</v>
      </c>
      <c r="K54" t="n">
        <v>0</v>
      </c>
      <c r="L54" t="n">
        <v>0</v>
      </c>
      <c r="M54" t="n">
        <v>0</v>
      </c>
      <c r="N54" t="n">
        <v>0</v>
      </c>
      <c r="O54" t="n">
        <v>0</v>
      </c>
      <c r="P54" t="n">
        <v>0</v>
      </c>
      <c r="Q54" t="n">
        <v>0</v>
      </c>
      <c r="R54" s="2" t="inlineStr"/>
    </row>
    <row r="55" ht="15" customHeight="1">
      <c r="A55" t="inlineStr">
        <is>
          <t>A 62631-2021</t>
        </is>
      </c>
      <c r="B55" s="1" t="n">
        <v>44503</v>
      </c>
      <c r="C55" s="1" t="n">
        <v>46100</v>
      </c>
      <c r="D55" t="inlineStr">
        <is>
          <t>KALMAR LÄN</t>
        </is>
      </c>
      <c r="E55" t="inlineStr">
        <is>
          <t>BORGHOLM</t>
        </is>
      </c>
      <c r="G55" t="n">
        <v>1</v>
      </c>
      <c r="H55" t="n">
        <v>0</v>
      </c>
      <c r="I55" t="n">
        <v>0</v>
      </c>
      <c r="J55" t="n">
        <v>0</v>
      </c>
      <c r="K55" t="n">
        <v>0</v>
      </c>
      <c r="L55" t="n">
        <v>0</v>
      </c>
      <c r="M55" t="n">
        <v>0</v>
      </c>
      <c r="N55" t="n">
        <v>0</v>
      </c>
      <c r="O55" t="n">
        <v>0</v>
      </c>
      <c r="P55" t="n">
        <v>0</v>
      </c>
      <c r="Q55" t="n">
        <v>0</v>
      </c>
      <c r="R55" s="2" t="inlineStr"/>
    </row>
    <row r="56" ht="15" customHeight="1">
      <c r="A56" t="inlineStr">
        <is>
          <t>A 3878-2023</t>
        </is>
      </c>
      <c r="B56" s="1" t="n">
        <v>44951</v>
      </c>
      <c r="C56" s="1" t="n">
        <v>46100</v>
      </c>
      <c r="D56" t="inlineStr">
        <is>
          <t>KALMAR LÄN</t>
        </is>
      </c>
      <c r="E56" t="inlineStr">
        <is>
          <t>BORGHOLM</t>
        </is>
      </c>
      <c r="G56" t="n">
        <v>1.7</v>
      </c>
      <c r="H56" t="n">
        <v>0</v>
      </c>
      <c r="I56" t="n">
        <v>0</v>
      </c>
      <c r="J56" t="n">
        <v>0</v>
      </c>
      <c r="K56" t="n">
        <v>0</v>
      </c>
      <c r="L56" t="n">
        <v>0</v>
      </c>
      <c r="M56" t="n">
        <v>0</v>
      </c>
      <c r="N56" t="n">
        <v>0</v>
      </c>
      <c r="O56" t="n">
        <v>0</v>
      </c>
      <c r="P56" t="n">
        <v>0</v>
      </c>
      <c r="Q56" t="n">
        <v>0</v>
      </c>
      <c r="R56" s="2" t="inlineStr"/>
    </row>
    <row r="57" ht="15" customHeight="1">
      <c r="A57" t="inlineStr">
        <is>
          <t>A 12937-2022</t>
        </is>
      </c>
      <c r="B57" s="1" t="n">
        <v>44642</v>
      </c>
      <c r="C57" s="1" t="n">
        <v>46100</v>
      </c>
      <c r="D57" t="inlineStr">
        <is>
          <t>KALMAR LÄN</t>
        </is>
      </c>
      <c r="E57" t="inlineStr">
        <is>
          <t>BORGHOLM</t>
        </is>
      </c>
      <c r="F57" t="inlineStr">
        <is>
          <t>Sveaskog</t>
        </is>
      </c>
      <c r="G57" t="n">
        <v>1.8</v>
      </c>
      <c r="H57" t="n">
        <v>0</v>
      </c>
      <c r="I57" t="n">
        <v>0</v>
      </c>
      <c r="J57" t="n">
        <v>0</v>
      </c>
      <c r="K57" t="n">
        <v>0</v>
      </c>
      <c r="L57" t="n">
        <v>0</v>
      </c>
      <c r="M57" t="n">
        <v>0</v>
      </c>
      <c r="N57" t="n">
        <v>0</v>
      </c>
      <c r="O57" t="n">
        <v>0</v>
      </c>
      <c r="P57" t="n">
        <v>0</v>
      </c>
      <c r="Q57" t="n">
        <v>0</v>
      </c>
      <c r="R57" s="2" t="inlineStr"/>
    </row>
    <row r="58" ht="15" customHeight="1">
      <c r="A58" t="inlineStr">
        <is>
          <t>A 9034-2025</t>
        </is>
      </c>
      <c r="B58" s="1" t="n">
        <v>45713</v>
      </c>
      <c r="C58" s="1" t="n">
        <v>46100</v>
      </c>
      <c r="D58" t="inlineStr">
        <is>
          <t>KALMAR LÄN</t>
        </is>
      </c>
      <c r="E58" t="inlineStr">
        <is>
          <t>BORGHOLM</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9076-2025</t>
        </is>
      </c>
      <c r="B59" s="1" t="n">
        <v>45713.6596875</v>
      </c>
      <c r="C59" s="1" t="n">
        <v>46100</v>
      </c>
      <c r="D59" t="inlineStr">
        <is>
          <t>KALMAR LÄN</t>
        </is>
      </c>
      <c r="E59" t="inlineStr">
        <is>
          <t>BORGHOLM</t>
        </is>
      </c>
      <c r="F59" t="inlineStr">
        <is>
          <t>Sveaskog</t>
        </is>
      </c>
      <c r="G59" t="n">
        <v>4.2</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46100</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1757-2025</t>
        </is>
      </c>
      <c r="B61" s="1" t="n">
        <v>45671.42195601852</v>
      </c>
      <c r="C61" s="1" t="n">
        <v>46100</v>
      </c>
      <c r="D61" t="inlineStr">
        <is>
          <t>KALMAR LÄN</t>
        </is>
      </c>
      <c r="E61" t="inlineStr">
        <is>
          <t>BORGHOLM</t>
        </is>
      </c>
      <c r="G61" t="n">
        <v>1.4</v>
      </c>
      <c r="H61" t="n">
        <v>0</v>
      </c>
      <c r="I61" t="n">
        <v>0</v>
      </c>
      <c r="J61" t="n">
        <v>0</v>
      </c>
      <c r="K61" t="n">
        <v>0</v>
      </c>
      <c r="L61" t="n">
        <v>0</v>
      </c>
      <c r="M61" t="n">
        <v>0</v>
      </c>
      <c r="N61" t="n">
        <v>0</v>
      </c>
      <c r="O61" t="n">
        <v>0</v>
      </c>
      <c r="P61" t="n">
        <v>0</v>
      </c>
      <c r="Q61" t="n">
        <v>0</v>
      </c>
      <c r="R61" s="2" t="inlineStr"/>
    </row>
    <row r="62" ht="15" customHeight="1">
      <c r="A62" t="inlineStr">
        <is>
          <t>A 7960-2023</t>
        </is>
      </c>
      <c r="B62" s="1" t="n">
        <v>44973</v>
      </c>
      <c r="C62" s="1" t="n">
        <v>46100</v>
      </c>
      <c r="D62" t="inlineStr">
        <is>
          <t>KALMAR LÄN</t>
        </is>
      </c>
      <c r="E62" t="inlineStr">
        <is>
          <t>BORGHOLM</t>
        </is>
      </c>
      <c r="G62" t="n">
        <v>2.1</v>
      </c>
      <c r="H62" t="n">
        <v>0</v>
      </c>
      <c r="I62" t="n">
        <v>0</v>
      </c>
      <c r="J62" t="n">
        <v>0</v>
      </c>
      <c r="K62" t="n">
        <v>0</v>
      </c>
      <c r="L62" t="n">
        <v>0</v>
      </c>
      <c r="M62" t="n">
        <v>0</v>
      </c>
      <c r="N62" t="n">
        <v>0</v>
      </c>
      <c r="O62" t="n">
        <v>0</v>
      </c>
      <c r="P62" t="n">
        <v>0</v>
      </c>
      <c r="Q62" t="n">
        <v>0</v>
      </c>
      <c r="R62" s="2" t="inlineStr"/>
    </row>
    <row r="63" ht="15" customHeight="1">
      <c r="A63" t="inlineStr">
        <is>
          <t>A 9044-2025</t>
        </is>
      </c>
      <c r="B63" s="1" t="n">
        <v>45713.6275</v>
      </c>
      <c r="C63" s="1" t="n">
        <v>46100</v>
      </c>
      <c r="D63" t="inlineStr">
        <is>
          <t>KALMAR LÄN</t>
        </is>
      </c>
      <c r="E63" t="inlineStr">
        <is>
          <t>BORGHOLM</t>
        </is>
      </c>
      <c r="F63" t="inlineStr">
        <is>
          <t>Sveaskog</t>
        </is>
      </c>
      <c r="G63" t="n">
        <v>4</v>
      </c>
      <c r="H63" t="n">
        <v>0</v>
      </c>
      <c r="I63" t="n">
        <v>0</v>
      </c>
      <c r="J63" t="n">
        <v>0</v>
      </c>
      <c r="K63" t="n">
        <v>0</v>
      </c>
      <c r="L63" t="n">
        <v>0</v>
      </c>
      <c r="M63" t="n">
        <v>0</v>
      </c>
      <c r="N63" t="n">
        <v>0</v>
      </c>
      <c r="O63" t="n">
        <v>0</v>
      </c>
      <c r="P63" t="n">
        <v>0</v>
      </c>
      <c r="Q63" t="n">
        <v>0</v>
      </c>
      <c r="R63" s="2" t="inlineStr"/>
    </row>
    <row r="64" ht="15" customHeight="1">
      <c r="A64" t="inlineStr">
        <is>
          <t>A 13548-2025</t>
        </is>
      </c>
      <c r="B64" s="1" t="n">
        <v>45736.53827546296</v>
      </c>
      <c r="C64" s="1" t="n">
        <v>46100</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20878-2024</t>
        </is>
      </c>
      <c r="B65" s="1" t="n">
        <v>45439.44748842593</v>
      </c>
      <c r="C65" s="1" t="n">
        <v>46100</v>
      </c>
      <c r="D65" t="inlineStr">
        <is>
          <t>KALMAR LÄN</t>
        </is>
      </c>
      <c r="E65" t="inlineStr">
        <is>
          <t>BORGHOLM</t>
        </is>
      </c>
      <c r="G65" t="n">
        <v>1.9</v>
      </c>
      <c r="H65" t="n">
        <v>0</v>
      </c>
      <c r="I65" t="n">
        <v>0</v>
      </c>
      <c r="J65" t="n">
        <v>0</v>
      </c>
      <c r="K65" t="n">
        <v>0</v>
      </c>
      <c r="L65" t="n">
        <v>0</v>
      </c>
      <c r="M65" t="n">
        <v>0</v>
      </c>
      <c r="N65" t="n">
        <v>0</v>
      </c>
      <c r="O65" t="n">
        <v>0</v>
      </c>
      <c r="P65" t="n">
        <v>0</v>
      </c>
      <c r="Q65" t="n">
        <v>0</v>
      </c>
      <c r="R65" s="2" t="inlineStr"/>
    </row>
    <row r="66" ht="15" customHeight="1">
      <c r="A66" t="inlineStr">
        <is>
          <t>A 29656-2023</t>
        </is>
      </c>
      <c r="B66" s="1" t="n">
        <v>45107</v>
      </c>
      <c r="C66" s="1" t="n">
        <v>46100</v>
      </c>
      <c r="D66" t="inlineStr">
        <is>
          <t>KALMAR LÄN</t>
        </is>
      </c>
      <c r="E66" t="inlineStr">
        <is>
          <t>BORGHOLM</t>
        </is>
      </c>
      <c r="G66" t="n">
        <v>4.1</v>
      </c>
      <c r="H66" t="n">
        <v>0</v>
      </c>
      <c r="I66" t="n">
        <v>0</v>
      </c>
      <c r="J66" t="n">
        <v>0</v>
      </c>
      <c r="K66" t="n">
        <v>0</v>
      </c>
      <c r="L66" t="n">
        <v>0</v>
      </c>
      <c r="M66" t="n">
        <v>0</v>
      </c>
      <c r="N66" t="n">
        <v>0</v>
      </c>
      <c r="O66" t="n">
        <v>0</v>
      </c>
      <c r="P66" t="n">
        <v>0</v>
      </c>
      <c r="Q66" t="n">
        <v>0</v>
      </c>
      <c r="R66" s="2" t="inlineStr"/>
    </row>
    <row r="67" ht="15" customHeight="1">
      <c r="A67" t="inlineStr">
        <is>
          <t>A 17699-2025</t>
        </is>
      </c>
      <c r="B67" s="1" t="n">
        <v>45758.41846064815</v>
      </c>
      <c r="C67" s="1" t="n">
        <v>46100</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20287-2025</t>
        </is>
      </c>
      <c r="B68" s="1" t="n">
        <v>45774.60741898148</v>
      </c>
      <c r="C68" s="1" t="n">
        <v>46100</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26160-2024</t>
        </is>
      </c>
      <c r="B69" s="1" t="n">
        <v>45468</v>
      </c>
      <c r="C69" s="1" t="n">
        <v>46100</v>
      </c>
      <c r="D69" t="inlineStr">
        <is>
          <t>KALMAR LÄN</t>
        </is>
      </c>
      <c r="E69" t="inlineStr">
        <is>
          <t>BORGHOLM</t>
        </is>
      </c>
      <c r="G69" t="n">
        <v>0.4</v>
      </c>
      <c r="H69" t="n">
        <v>0</v>
      </c>
      <c r="I69" t="n">
        <v>0</v>
      </c>
      <c r="J69" t="n">
        <v>0</v>
      </c>
      <c r="K69" t="n">
        <v>0</v>
      </c>
      <c r="L69" t="n">
        <v>0</v>
      </c>
      <c r="M69" t="n">
        <v>0</v>
      </c>
      <c r="N69" t="n">
        <v>0</v>
      </c>
      <c r="O69" t="n">
        <v>0</v>
      </c>
      <c r="P69" t="n">
        <v>0</v>
      </c>
      <c r="Q69" t="n">
        <v>0</v>
      </c>
      <c r="R69" s="2" t="inlineStr"/>
      <c r="T69">
        <f>HYPERLINK("https://klasma.github.io/Logging_0885/kartor/A 26160-2024 karta.png", "A 26160-2024")</f>
        <v/>
      </c>
      <c r="V69">
        <f>HYPERLINK("https://klasma.github.io/Logging_0885/klagomål/A 26160-2024 FSC-klagomål.docx", "A 26160-2024")</f>
        <v/>
      </c>
      <c r="W69">
        <f>HYPERLINK("https://klasma.github.io/Logging_0885/klagomålsmail/A 26160-2024 FSC-klagomål mail.docx", "A 26160-2024")</f>
        <v/>
      </c>
      <c r="X69">
        <f>HYPERLINK("https://klasma.github.io/Logging_0885/tillsyn/A 26160-2024 tillsynsbegäran.docx", "A 26160-2024")</f>
        <v/>
      </c>
      <c r="Y69">
        <f>HYPERLINK("https://klasma.github.io/Logging_0885/tillsynsmail/A 26160-2024 tillsynsbegäran mail.docx", "A 26160-2024")</f>
        <v/>
      </c>
    </row>
    <row r="70" ht="15" customHeight="1">
      <c r="A70" t="inlineStr">
        <is>
          <t>A 9050-2025</t>
        </is>
      </c>
      <c r="B70" s="1" t="n">
        <v>45713.63512731482</v>
      </c>
      <c r="C70" s="1" t="n">
        <v>46100</v>
      </c>
      <c r="D70" t="inlineStr">
        <is>
          <t>KALMAR LÄN</t>
        </is>
      </c>
      <c r="E70" t="inlineStr">
        <is>
          <t>BORGHOLM</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64303-2023</t>
        </is>
      </c>
      <c r="B71" s="1" t="n">
        <v>45280</v>
      </c>
      <c r="C71" s="1" t="n">
        <v>46100</v>
      </c>
      <c r="D71" t="inlineStr">
        <is>
          <t>KALMAR LÄN</t>
        </is>
      </c>
      <c r="E71" t="inlineStr">
        <is>
          <t>BORGHOLM</t>
        </is>
      </c>
      <c r="G71" t="n">
        <v>1.2</v>
      </c>
      <c r="H71" t="n">
        <v>0</v>
      </c>
      <c r="I71" t="n">
        <v>0</v>
      </c>
      <c r="J71" t="n">
        <v>0</v>
      </c>
      <c r="K71" t="n">
        <v>0</v>
      </c>
      <c r="L71" t="n">
        <v>0</v>
      </c>
      <c r="M71" t="n">
        <v>0</v>
      </c>
      <c r="N71" t="n">
        <v>0</v>
      </c>
      <c r="O71" t="n">
        <v>0</v>
      </c>
      <c r="P71" t="n">
        <v>0</v>
      </c>
      <c r="Q71" t="n">
        <v>0</v>
      </c>
      <c r="R71" s="2" t="inlineStr"/>
    </row>
    <row r="72" ht="15" customHeight="1">
      <c r="A72" t="inlineStr">
        <is>
          <t>A 63075-2023</t>
        </is>
      </c>
      <c r="B72" s="1" t="n">
        <v>45273</v>
      </c>
      <c r="C72" s="1" t="n">
        <v>46100</v>
      </c>
      <c r="D72" t="inlineStr">
        <is>
          <t>KALMAR LÄN</t>
        </is>
      </c>
      <c r="E72" t="inlineStr">
        <is>
          <t>BORGHOLM</t>
        </is>
      </c>
      <c r="G72" t="n">
        <v>1.1</v>
      </c>
      <c r="H72" t="n">
        <v>0</v>
      </c>
      <c r="I72" t="n">
        <v>0</v>
      </c>
      <c r="J72" t="n">
        <v>0</v>
      </c>
      <c r="K72" t="n">
        <v>0</v>
      </c>
      <c r="L72" t="n">
        <v>0</v>
      </c>
      <c r="M72" t="n">
        <v>0</v>
      </c>
      <c r="N72" t="n">
        <v>0</v>
      </c>
      <c r="O72" t="n">
        <v>0</v>
      </c>
      <c r="P72" t="n">
        <v>0</v>
      </c>
      <c r="Q72" t="n">
        <v>0</v>
      </c>
      <c r="R72" s="2" t="inlineStr"/>
    </row>
    <row r="73" ht="15" customHeight="1">
      <c r="A73" t="inlineStr">
        <is>
          <t>A 7669-2024</t>
        </is>
      </c>
      <c r="B73" s="1" t="n">
        <v>45348.82498842593</v>
      </c>
      <c r="C73" s="1" t="n">
        <v>46100</v>
      </c>
      <c r="D73" t="inlineStr">
        <is>
          <t>KALMAR LÄN</t>
        </is>
      </c>
      <c r="E73" t="inlineStr">
        <is>
          <t>BORGHOLM</t>
        </is>
      </c>
      <c r="G73" t="n">
        <v>2.3</v>
      </c>
      <c r="H73" t="n">
        <v>0</v>
      </c>
      <c r="I73" t="n">
        <v>0</v>
      </c>
      <c r="J73" t="n">
        <v>0</v>
      </c>
      <c r="K73" t="n">
        <v>0</v>
      </c>
      <c r="L73" t="n">
        <v>0</v>
      </c>
      <c r="M73" t="n">
        <v>0</v>
      </c>
      <c r="N73" t="n">
        <v>0</v>
      </c>
      <c r="O73" t="n">
        <v>0</v>
      </c>
      <c r="P73" t="n">
        <v>0</v>
      </c>
      <c r="Q73" t="n">
        <v>0</v>
      </c>
      <c r="R73" s="2" t="inlineStr"/>
    </row>
    <row r="74" ht="15" customHeight="1">
      <c r="A74" t="inlineStr">
        <is>
          <t>A 21908-2022</t>
        </is>
      </c>
      <c r="B74" s="1" t="n">
        <v>44711</v>
      </c>
      <c r="C74" s="1" t="n">
        <v>46100</v>
      </c>
      <c r="D74" t="inlineStr">
        <is>
          <t>KALMAR LÄN</t>
        </is>
      </c>
      <c r="E74" t="inlineStr">
        <is>
          <t>BORGHOLM</t>
        </is>
      </c>
      <c r="G74" t="n">
        <v>4.7</v>
      </c>
      <c r="H74" t="n">
        <v>0</v>
      </c>
      <c r="I74" t="n">
        <v>0</v>
      </c>
      <c r="J74" t="n">
        <v>0</v>
      </c>
      <c r="K74" t="n">
        <v>0</v>
      </c>
      <c r="L74" t="n">
        <v>0</v>
      </c>
      <c r="M74" t="n">
        <v>0</v>
      </c>
      <c r="N74" t="n">
        <v>0</v>
      </c>
      <c r="O74" t="n">
        <v>0</v>
      </c>
      <c r="P74" t="n">
        <v>0</v>
      </c>
      <c r="Q74" t="n">
        <v>0</v>
      </c>
      <c r="R74" s="2" t="inlineStr"/>
    </row>
    <row r="75" ht="15" customHeight="1">
      <c r="A75" t="inlineStr">
        <is>
          <t>A 55367-2024</t>
        </is>
      </c>
      <c r="B75" s="1" t="n">
        <v>45621.87075231481</v>
      </c>
      <c r="C75" s="1" t="n">
        <v>46100</v>
      </c>
      <c r="D75" t="inlineStr">
        <is>
          <t>KALMAR LÄN</t>
        </is>
      </c>
      <c r="E75" t="inlineStr">
        <is>
          <t>BORGHOLM</t>
        </is>
      </c>
      <c r="G75" t="n">
        <v>0.7</v>
      </c>
      <c r="H75" t="n">
        <v>0</v>
      </c>
      <c r="I75" t="n">
        <v>0</v>
      </c>
      <c r="J75" t="n">
        <v>0</v>
      </c>
      <c r="K75" t="n">
        <v>0</v>
      </c>
      <c r="L75" t="n">
        <v>0</v>
      </c>
      <c r="M75" t="n">
        <v>0</v>
      </c>
      <c r="N75" t="n">
        <v>0</v>
      </c>
      <c r="O75" t="n">
        <v>0</v>
      </c>
      <c r="P75" t="n">
        <v>0</v>
      </c>
      <c r="Q75" t="n">
        <v>0</v>
      </c>
      <c r="R75" s="2" t="inlineStr"/>
    </row>
    <row r="76" ht="15" customHeight="1">
      <c r="A76" t="inlineStr">
        <is>
          <t>A 17978-2021</t>
        </is>
      </c>
      <c r="B76" s="1" t="n">
        <v>44301</v>
      </c>
      <c r="C76" s="1" t="n">
        <v>46100</v>
      </c>
      <c r="D76" t="inlineStr">
        <is>
          <t>KALMAR LÄN</t>
        </is>
      </c>
      <c r="E76" t="inlineStr">
        <is>
          <t>BORGHOLM</t>
        </is>
      </c>
      <c r="G76" t="n">
        <v>6</v>
      </c>
      <c r="H76" t="n">
        <v>0</v>
      </c>
      <c r="I76" t="n">
        <v>0</v>
      </c>
      <c r="J76" t="n">
        <v>0</v>
      </c>
      <c r="K76" t="n">
        <v>0</v>
      </c>
      <c r="L76" t="n">
        <v>0</v>
      </c>
      <c r="M76" t="n">
        <v>0</v>
      </c>
      <c r="N76" t="n">
        <v>0</v>
      </c>
      <c r="O76" t="n">
        <v>0</v>
      </c>
      <c r="P76" t="n">
        <v>0</v>
      </c>
      <c r="Q76" t="n">
        <v>0</v>
      </c>
      <c r="R76" s="2" t="inlineStr"/>
    </row>
    <row r="77" ht="15" customHeight="1">
      <c r="A77" t="inlineStr">
        <is>
          <t>A 22785-2025</t>
        </is>
      </c>
      <c r="B77" s="1" t="n">
        <v>45789.64186342592</v>
      </c>
      <c r="C77" s="1" t="n">
        <v>46100</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31840-2021</t>
        </is>
      </c>
      <c r="B78" s="1" t="n">
        <v>44370</v>
      </c>
      <c r="C78" s="1" t="n">
        <v>46100</v>
      </c>
      <c r="D78" t="inlineStr">
        <is>
          <t>KALMAR LÄN</t>
        </is>
      </c>
      <c r="E78" t="inlineStr">
        <is>
          <t>BORGHOLM</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46100</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46100</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41831-2025</t>
        </is>
      </c>
      <c r="B81" s="1" t="n">
        <v>45902.67887731481</v>
      </c>
      <c r="C81" s="1" t="n">
        <v>46100</v>
      </c>
      <c r="D81" t="inlineStr">
        <is>
          <t>KALMAR LÄN</t>
        </is>
      </c>
      <c r="E81" t="inlineStr">
        <is>
          <t>BORGHOLM</t>
        </is>
      </c>
      <c r="G81" t="n">
        <v>1.5</v>
      </c>
      <c r="H81" t="n">
        <v>0</v>
      </c>
      <c r="I81" t="n">
        <v>0</v>
      </c>
      <c r="J81" t="n">
        <v>0</v>
      </c>
      <c r="K81" t="n">
        <v>0</v>
      </c>
      <c r="L81" t="n">
        <v>0</v>
      </c>
      <c r="M81" t="n">
        <v>0</v>
      </c>
      <c r="N81" t="n">
        <v>0</v>
      </c>
      <c r="O81" t="n">
        <v>0</v>
      </c>
      <c r="P81" t="n">
        <v>0</v>
      </c>
      <c r="Q81" t="n">
        <v>0</v>
      </c>
      <c r="R81" s="2" t="inlineStr"/>
    </row>
    <row r="82" ht="15" customHeight="1">
      <c r="A82" t="inlineStr">
        <is>
          <t>A 40339-2023</t>
        </is>
      </c>
      <c r="B82" s="1" t="n">
        <v>45169.62733796296</v>
      </c>
      <c r="C82" s="1" t="n">
        <v>46100</v>
      </c>
      <c r="D82" t="inlineStr">
        <is>
          <t>KALMAR LÄN</t>
        </is>
      </c>
      <c r="E82" t="inlineStr">
        <is>
          <t>BORGHOLM</t>
        </is>
      </c>
      <c r="G82" t="n">
        <v>3.8</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46100</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24166-2022</t>
        </is>
      </c>
      <c r="B84" s="1" t="n">
        <v>44725</v>
      </c>
      <c r="C84" s="1" t="n">
        <v>46100</v>
      </c>
      <c r="D84" t="inlineStr">
        <is>
          <t>KALMAR LÄN</t>
        </is>
      </c>
      <c r="E84" t="inlineStr">
        <is>
          <t>BORGHOLM</t>
        </is>
      </c>
      <c r="G84" t="n">
        <v>10.7</v>
      </c>
      <c r="H84" t="n">
        <v>0</v>
      </c>
      <c r="I84" t="n">
        <v>0</v>
      </c>
      <c r="J84" t="n">
        <v>0</v>
      </c>
      <c r="K84" t="n">
        <v>0</v>
      </c>
      <c r="L84" t="n">
        <v>0</v>
      </c>
      <c r="M84" t="n">
        <v>0</v>
      </c>
      <c r="N84" t="n">
        <v>0</v>
      </c>
      <c r="O84" t="n">
        <v>0</v>
      </c>
      <c r="P84" t="n">
        <v>0</v>
      </c>
      <c r="Q84" t="n">
        <v>0</v>
      </c>
      <c r="R84" s="2" t="inlineStr"/>
    </row>
    <row r="85" ht="15" customHeight="1">
      <c r="A85" t="inlineStr">
        <is>
          <t>A 41950-2025</t>
        </is>
      </c>
      <c r="B85" s="1" t="n">
        <v>45903.45767361111</v>
      </c>
      <c r="C85" s="1" t="n">
        <v>46100</v>
      </c>
      <c r="D85" t="inlineStr">
        <is>
          <t>KALMAR LÄN</t>
        </is>
      </c>
      <c r="E85" t="inlineStr">
        <is>
          <t>BORGHOLM</t>
        </is>
      </c>
      <c r="G85" t="n">
        <v>1.8</v>
      </c>
      <c r="H85" t="n">
        <v>0</v>
      </c>
      <c r="I85" t="n">
        <v>0</v>
      </c>
      <c r="J85" t="n">
        <v>0</v>
      </c>
      <c r="K85" t="n">
        <v>0</v>
      </c>
      <c r="L85" t="n">
        <v>0</v>
      </c>
      <c r="M85" t="n">
        <v>0</v>
      </c>
      <c r="N85" t="n">
        <v>0</v>
      </c>
      <c r="O85" t="n">
        <v>0</v>
      </c>
      <c r="P85" t="n">
        <v>0</v>
      </c>
      <c r="Q85" t="n">
        <v>0</v>
      </c>
      <c r="R85" s="2" t="inlineStr"/>
    </row>
    <row r="86" ht="15" customHeight="1">
      <c r="A86" t="inlineStr">
        <is>
          <t>A 31699-2022</t>
        </is>
      </c>
      <c r="B86" s="1" t="n">
        <v>44776</v>
      </c>
      <c r="C86" s="1" t="n">
        <v>46100</v>
      </c>
      <c r="D86" t="inlineStr">
        <is>
          <t>KALMAR LÄN</t>
        </is>
      </c>
      <c r="E86" t="inlineStr">
        <is>
          <t>BORGHOLM</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42232-2025</t>
        </is>
      </c>
      <c r="B87" s="1" t="n">
        <v>45904.55591435185</v>
      </c>
      <c r="C87" s="1" t="n">
        <v>46100</v>
      </c>
      <c r="D87" t="inlineStr">
        <is>
          <t>KALMAR LÄN</t>
        </is>
      </c>
      <c r="E87" t="inlineStr">
        <is>
          <t>BORGHOLM</t>
        </is>
      </c>
      <c r="F87" t="inlineStr">
        <is>
          <t>Sveaskog</t>
        </is>
      </c>
      <c r="G87" t="n">
        <v>1.7</v>
      </c>
      <c r="H87" t="n">
        <v>0</v>
      </c>
      <c r="I87" t="n">
        <v>0</v>
      </c>
      <c r="J87" t="n">
        <v>0</v>
      </c>
      <c r="K87" t="n">
        <v>0</v>
      </c>
      <c r="L87" t="n">
        <v>0</v>
      </c>
      <c r="M87" t="n">
        <v>0</v>
      </c>
      <c r="N87" t="n">
        <v>0</v>
      </c>
      <c r="O87" t="n">
        <v>0</v>
      </c>
      <c r="P87" t="n">
        <v>0</v>
      </c>
      <c r="Q87" t="n">
        <v>0</v>
      </c>
      <c r="R87" s="2" t="inlineStr"/>
    </row>
    <row r="88" ht="15" customHeight="1">
      <c r="A88" t="inlineStr">
        <is>
          <t>A 26190-2025</t>
        </is>
      </c>
      <c r="B88" s="1" t="n">
        <v>45805.48349537037</v>
      </c>
      <c r="C88" s="1" t="n">
        <v>46100</v>
      </c>
      <c r="D88" t="inlineStr">
        <is>
          <t>KALMAR LÄN</t>
        </is>
      </c>
      <c r="E88" t="inlineStr">
        <is>
          <t>BORGHOLM</t>
        </is>
      </c>
      <c r="G88" t="n">
        <v>3.2</v>
      </c>
      <c r="H88" t="n">
        <v>0</v>
      </c>
      <c r="I88" t="n">
        <v>0</v>
      </c>
      <c r="J88" t="n">
        <v>0</v>
      </c>
      <c r="K88" t="n">
        <v>0</v>
      </c>
      <c r="L88" t="n">
        <v>0</v>
      </c>
      <c r="M88" t="n">
        <v>0</v>
      </c>
      <c r="N88" t="n">
        <v>0</v>
      </c>
      <c r="O88" t="n">
        <v>0</v>
      </c>
      <c r="P88" t="n">
        <v>0</v>
      </c>
      <c r="Q88" t="n">
        <v>0</v>
      </c>
      <c r="R88" s="2" t="inlineStr"/>
    </row>
    <row r="89" ht="15" customHeight="1">
      <c r="A89" t="inlineStr">
        <is>
          <t>A 63276-2023</t>
        </is>
      </c>
      <c r="B89" s="1" t="n">
        <v>45273.82195601852</v>
      </c>
      <c r="C89" s="1" t="n">
        <v>46100</v>
      </c>
      <c r="D89" t="inlineStr">
        <is>
          <t>KALMAR LÄN</t>
        </is>
      </c>
      <c r="E89" t="inlineStr">
        <is>
          <t>BORGHOLM</t>
        </is>
      </c>
      <c r="G89" t="n">
        <v>5</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46100</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26160-2025</t>
        </is>
      </c>
      <c r="B91" s="1" t="n">
        <v>45805.4490162037</v>
      </c>
      <c r="C91" s="1" t="n">
        <v>46100</v>
      </c>
      <c r="D91" t="inlineStr">
        <is>
          <t>KALMAR LÄN</t>
        </is>
      </c>
      <c r="E91" t="inlineStr">
        <is>
          <t>BORGHOLM</t>
        </is>
      </c>
      <c r="G91" t="n">
        <v>3.7</v>
      </c>
      <c r="H91" t="n">
        <v>0</v>
      </c>
      <c r="I91" t="n">
        <v>0</v>
      </c>
      <c r="J91" t="n">
        <v>0</v>
      </c>
      <c r="K91" t="n">
        <v>0</v>
      </c>
      <c r="L91" t="n">
        <v>0</v>
      </c>
      <c r="M91" t="n">
        <v>0</v>
      </c>
      <c r="N91" t="n">
        <v>0</v>
      </c>
      <c r="O91" t="n">
        <v>0</v>
      </c>
      <c r="P91" t="n">
        <v>0</v>
      </c>
      <c r="Q91" t="n">
        <v>0</v>
      </c>
      <c r="R91" s="2" t="inlineStr"/>
    </row>
    <row r="92" ht="15" customHeight="1">
      <c r="A92" t="inlineStr">
        <is>
          <t>A 43542-2025</t>
        </is>
      </c>
      <c r="B92" s="1" t="n">
        <v>45911.61123842592</v>
      </c>
      <c r="C92" s="1" t="n">
        <v>46100</v>
      </c>
      <c r="D92" t="inlineStr">
        <is>
          <t>KALMAR LÄN</t>
        </is>
      </c>
      <c r="E92" t="inlineStr">
        <is>
          <t>BORGHOLM</t>
        </is>
      </c>
      <c r="G92" t="n">
        <v>2.4</v>
      </c>
      <c r="H92" t="n">
        <v>0</v>
      </c>
      <c r="I92" t="n">
        <v>0</v>
      </c>
      <c r="J92" t="n">
        <v>0</v>
      </c>
      <c r="K92" t="n">
        <v>0</v>
      </c>
      <c r="L92" t="n">
        <v>0</v>
      </c>
      <c r="M92" t="n">
        <v>0</v>
      </c>
      <c r="N92" t="n">
        <v>0</v>
      </c>
      <c r="O92" t="n">
        <v>0</v>
      </c>
      <c r="P92" t="n">
        <v>0</v>
      </c>
      <c r="Q92" t="n">
        <v>0</v>
      </c>
      <c r="R92" s="2" t="inlineStr"/>
    </row>
    <row r="93" ht="15" customHeight="1">
      <c r="A93" t="inlineStr">
        <is>
          <t>A 44678-2022</t>
        </is>
      </c>
      <c r="B93" s="1" t="n">
        <v>44840.65100694444</v>
      </c>
      <c r="C93" s="1" t="n">
        <v>46100</v>
      </c>
      <c r="D93" t="inlineStr">
        <is>
          <t>KALMAR LÄN</t>
        </is>
      </c>
      <c r="E93" t="inlineStr">
        <is>
          <t>BORGHOLM</t>
        </is>
      </c>
      <c r="G93" t="n">
        <v>2.4</v>
      </c>
      <c r="H93" t="n">
        <v>0</v>
      </c>
      <c r="I93" t="n">
        <v>0</v>
      </c>
      <c r="J93" t="n">
        <v>0</v>
      </c>
      <c r="K93" t="n">
        <v>0</v>
      </c>
      <c r="L93" t="n">
        <v>0</v>
      </c>
      <c r="M93" t="n">
        <v>0</v>
      </c>
      <c r="N93" t="n">
        <v>0</v>
      </c>
      <c r="O93" t="n">
        <v>0</v>
      </c>
      <c r="P93" t="n">
        <v>0</v>
      </c>
      <c r="Q93" t="n">
        <v>0</v>
      </c>
      <c r="R93" s="2" t="inlineStr"/>
    </row>
    <row r="94" ht="15" customHeight="1">
      <c r="A94" t="inlineStr">
        <is>
          <t>A 31720-2022</t>
        </is>
      </c>
      <c r="B94" s="1" t="n">
        <v>44776</v>
      </c>
      <c r="C94" s="1" t="n">
        <v>46100</v>
      </c>
      <c r="D94" t="inlineStr">
        <is>
          <t>KALMAR LÄN</t>
        </is>
      </c>
      <c r="E94" t="inlineStr">
        <is>
          <t>BORGHOLM</t>
        </is>
      </c>
      <c r="F94" t="inlineStr">
        <is>
          <t>Sveaskog</t>
        </is>
      </c>
      <c r="G94" t="n">
        <v>4.5</v>
      </c>
      <c r="H94" t="n">
        <v>0</v>
      </c>
      <c r="I94" t="n">
        <v>0</v>
      </c>
      <c r="J94" t="n">
        <v>0</v>
      </c>
      <c r="K94" t="n">
        <v>0</v>
      </c>
      <c r="L94" t="n">
        <v>0</v>
      </c>
      <c r="M94" t="n">
        <v>0</v>
      </c>
      <c r="N94" t="n">
        <v>0</v>
      </c>
      <c r="O94" t="n">
        <v>0</v>
      </c>
      <c r="P94" t="n">
        <v>0</v>
      </c>
      <c r="Q94" t="n">
        <v>0</v>
      </c>
      <c r="R94" s="2" t="inlineStr"/>
    </row>
    <row r="95" ht="15" customHeight="1">
      <c r="A95" t="inlineStr">
        <is>
          <t>A 27357-2025</t>
        </is>
      </c>
      <c r="B95" s="1" t="n">
        <v>45812.63650462963</v>
      </c>
      <c r="C95" s="1" t="n">
        <v>46100</v>
      </c>
      <c r="D95" t="inlineStr">
        <is>
          <t>KALMAR LÄN</t>
        </is>
      </c>
      <c r="E95" t="inlineStr">
        <is>
          <t>BORGHOLM</t>
        </is>
      </c>
      <c r="F95" t="inlineStr">
        <is>
          <t>Sveaskog</t>
        </is>
      </c>
      <c r="G95" t="n">
        <v>4.5</v>
      </c>
      <c r="H95" t="n">
        <v>0</v>
      </c>
      <c r="I95" t="n">
        <v>0</v>
      </c>
      <c r="J95" t="n">
        <v>0</v>
      </c>
      <c r="K95" t="n">
        <v>0</v>
      </c>
      <c r="L95" t="n">
        <v>0</v>
      </c>
      <c r="M95" t="n">
        <v>0</v>
      </c>
      <c r="N95" t="n">
        <v>0</v>
      </c>
      <c r="O95" t="n">
        <v>0</v>
      </c>
      <c r="P95" t="n">
        <v>0</v>
      </c>
      <c r="Q95" t="n">
        <v>0</v>
      </c>
      <c r="R95" s="2" t="inlineStr"/>
    </row>
    <row r="96" ht="15" customHeight="1">
      <c r="A96" t="inlineStr">
        <is>
          <t>A 1614-2025</t>
        </is>
      </c>
      <c r="B96" s="1" t="n">
        <v>45670.60094907408</v>
      </c>
      <c r="C96" s="1" t="n">
        <v>46100</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27366-2025</t>
        </is>
      </c>
      <c r="B97" s="1" t="n">
        <v>45812.64475694444</v>
      </c>
      <c r="C97" s="1" t="n">
        <v>46100</v>
      </c>
      <c r="D97" t="inlineStr">
        <is>
          <t>KALMAR LÄN</t>
        </is>
      </c>
      <c r="E97" t="inlineStr">
        <is>
          <t>BORGHOLM</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46100</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5175-2024</t>
        </is>
      </c>
      <c r="B99" s="1" t="n">
        <v>45330</v>
      </c>
      <c r="C99" s="1" t="n">
        <v>46100</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34951-2022</t>
        </is>
      </c>
      <c r="B100" s="1" t="n">
        <v>44796</v>
      </c>
      <c r="C100" s="1" t="n">
        <v>46100</v>
      </c>
      <c r="D100" t="inlineStr">
        <is>
          <t>KALMAR LÄN</t>
        </is>
      </c>
      <c r="E100" t="inlineStr">
        <is>
          <t>BORGHOLM</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45734-2025</t>
        </is>
      </c>
      <c r="B101" s="1" t="n">
        <v>45923.46512731481</v>
      </c>
      <c r="C101" s="1" t="n">
        <v>46100</v>
      </c>
      <c r="D101" t="inlineStr">
        <is>
          <t>KALMAR LÄN</t>
        </is>
      </c>
      <c r="E101" t="inlineStr">
        <is>
          <t>BORGHOLM</t>
        </is>
      </c>
      <c r="G101" t="n">
        <v>5</v>
      </c>
      <c r="H101" t="n">
        <v>0</v>
      </c>
      <c r="I101" t="n">
        <v>0</v>
      </c>
      <c r="J101" t="n">
        <v>0</v>
      </c>
      <c r="K101" t="n">
        <v>0</v>
      </c>
      <c r="L101" t="n">
        <v>0</v>
      </c>
      <c r="M101" t="n">
        <v>0</v>
      </c>
      <c r="N101" t="n">
        <v>0</v>
      </c>
      <c r="O101" t="n">
        <v>0</v>
      </c>
      <c r="P101" t="n">
        <v>0</v>
      </c>
      <c r="Q101" t="n">
        <v>0</v>
      </c>
      <c r="R101" s="2" t="inlineStr"/>
    </row>
    <row r="102" ht="15" customHeight="1">
      <c r="A102" t="inlineStr">
        <is>
          <t>A 45869-2025</t>
        </is>
      </c>
      <c r="B102" s="1" t="n">
        <v>45923.65313657407</v>
      </c>
      <c r="C102" s="1" t="n">
        <v>46100</v>
      </c>
      <c r="D102" t="inlineStr">
        <is>
          <t>KALMAR LÄN</t>
        </is>
      </c>
      <c r="E102" t="inlineStr">
        <is>
          <t>BORGHOLM</t>
        </is>
      </c>
      <c r="G102" t="n">
        <v>4.5</v>
      </c>
      <c r="H102" t="n">
        <v>0</v>
      </c>
      <c r="I102" t="n">
        <v>0</v>
      </c>
      <c r="J102" t="n">
        <v>0</v>
      </c>
      <c r="K102" t="n">
        <v>0</v>
      </c>
      <c r="L102" t="n">
        <v>0</v>
      </c>
      <c r="M102" t="n">
        <v>0</v>
      </c>
      <c r="N102" t="n">
        <v>0</v>
      </c>
      <c r="O102" t="n">
        <v>0</v>
      </c>
      <c r="P102" t="n">
        <v>0</v>
      </c>
      <c r="Q102" t="n">
        <v>0</v>
      </c>
      <c r="R102" s="2" t="inlineStr"/>
    </row>
    <row r="103" ht="15" customHeight="1">
      <c r="A103" t="inlineStr">
        <is>
          <t>A 19867-2024</t>
        </is>
      </c>
      <c r="B103" s="1" t="n">
        <v>45433</v>
      </c>
      <c r="C103" s="1" t="n">
        <v>46100</v>
      </c>
      <c r="D103" t="inlineStr">
        <is>
          <t>KALMAR LÄN</t>
        </is>
      </c>
      <c r="E103" t="inlineStr">
        <is>
          <t>BORGHOLM</t>
        </is>
      </c>
      <c r="G103" t="n">
        <v>3.9</v>
      </c>
      <c r="H103" t="n">
        <v>0</v>
      </c>
      <c r="I103" t="n">
        <v>0</v>
      </c>
      <c r="J103" t="n">
        <v>0</v>
      </c>
      <c r="K103" t="n">
        <v>0</v>
      </c>
      <c r="L103" t="n">
        <v>0</v>
      </c>
      <c r="M103" t="n">
        <v>0</v>
      </c>
      <c r="N103" t="n">
        <v>0</v>
      </c>
      <c r="O103" t="n">
        <v>0</v>
      </c>
      <c r="P103" t="n">
        <v>0</v>
      </c>
      <c r="Q103" t="n">
        <v>0</v>
      </c>
      <c r="R103" s="2" t="inlineStr"/>
    </row>
    <row r="104" ht="15" customHeight="1">
      <c r="A104" t="inlineStr">
        <is>
          <t>A 28782-2025</t>
        </is>
      </c>
      <c r="B104" s="1" t="n">
        <v>45820.45572916666</v>
      </c>
      <c r="C104" s="1" t="n">
        <v>46100</v>
      </c>
      <c r="D104" t="inlineStr">
        <is>
          <t>KALMAR LÄN</t>
        </is>
      </c>
      <c r="E104" t="inlineStr">
        <is>
          <t>BORGHOLM</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46845-2025</t>
        </is>
      </c>
      <c r="B105" s="1" t="n">
        <v>45928</v>
      </c>
      <c r="C105" s="1" t="n">
        <v>46100</v>
      </c>
      <c r="D105" t="inlineStr">
        <is>
          <t>KALMAR LÄN</t>
        </is>
      </c>
      <c r="E105" t="inlineStr">
        <is>
          <t>BORGHOLM</t>
        </is>
      </c>
      <c r="G105" t="n">
        <v>2.7</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46100</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46100</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46100</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53050-2021</t>
        </is>
      </c>
      <c r="B109" s="1" t="n">
        <v>44467</v>
      </c>
      <c r="C109" s="1" t="n">
        <v>46100</v>
      </c>
      <c r="D109" t="inlineStr">
        <is>
          <t>KALMAR LÄN</t>
        </is>
      </c>
      <c r="E109" t="inlineStr">
        <is>
          <t>BORGHOLM</t>
        </is>
      </c>
      <c r="G109" t="n">
        <v>3.6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46100</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46100</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36269-2025</t>
        </is>
      </c>
      <c r="B112" s="1" t="n">
        <v>45867.61736111111</v>
      </c>
      <c r="C112" s="1" t="n">
        <v>46100</v>
      </c>
      <c r="D112" t="inlineStr">
        <is>
          <t>KALMAR LÄN</t>
        </is>
      </c>
      <c r="E112" t="inlineStr">
        <is>
          <t>BORGHOLM</t>
        </is>
      </c>
      <c r="F112" t="inlineStr">
        <is>
          <t>Sveaskog</t>
        </is>
      </c>
      <c r="G112" t="n">
        <v>3.3</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46100</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46100</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60141-2025</t>
        </is>
      </c>
      <c r="B115" s="1" t="n">
        <v>45994.36873842592</v>
      </c>
      <c r="C115" s="1" t="n">
        <v>46100</v>
      </c>
      <c r="D115" t="inlineStr">
        <is>
          <t>KALMAR LÄN</t>
        </is>
      </c>
      <c r="E115" t="inlineStr">
        <is>
          <t>BORGHOLM</t>
        </is>
      </c>
      <c r="G115" t="n">
        <v>0.7</v>
      </c>
      <c r="H115" t="n">
        <v>0</v>
      </c>
      <c r="I115" t="n">
        <v>0</v>
      </c>
      <c r="J115" t="n">
        <v>0</v>
      </c>
      <c r="K115" t="n">
        <v>0</v>
      </c>
      <c r="L115" t="n">
        <v>0</v>
      </c>
      <c r="M115" t="n">
        <v>0</v>
      </c>
      <c r="N115" t="n">
        <v>0</v>
      </c>
      <c r="O115" t="n">
        <v>0</v>
      </c>
      <c r="P115" t="n">
        <v>0</v>
      </c>
      <c r="Q115" t="n">
        <v>0</v>
      </c>
      <c r="R115" s="2" t="inlineStr"/>
    </row>
    <row r="116" ht="15" customHeight="1">
      <c r="A116" t="inlineStr">
        <is>
          <t>A 61723-2025</t>
        </is>
      </c>
      <c r="B116" s="1" t="n">
        <v>46002.58388888889</v>
      </c>
      <c r="C116" s="1" t="n">
        <v>46100</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7481-2026</t>
        </is>
      </c>
      <c r="B117" s="1" t="n">
        <v>46059.51359953704</v>
      </c>
      <c r="C117" s="1" t="n">
        <v>46100</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9104-2026</t>
        </is>
      </c>
      <c r="B118" s="1" t="n">
        <v>46069</v>
      </c>
      <c r="C118" s="1" t="n">
        <v>46100</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9259-2026</t>
        </is>
      </c>
      <c r="B119" s="1" t="n">
        <v>46070.51917824074</v>
      </c>
      <c r="C119" s="1" t="n">
        <v>46100</v>
      </c>
      <c r="D119" t="inlineStr">
        <is>
          <t>KALMAR LÄN</t>
        </is>
      </c>
      <c r="E119" t="inlineStr">
        <is>
          <t>BORGHOLM</t>
        </is>
      </c>
      <c r="G119" t="n">
        <v>1.6</v>
      </c>
      <c r="H119" t="n">
        <v>0</v>
      </c>
      <c r="I119" t="n">
        <v>0</v>
      </c>
      <c r="J119" t="n">
        <v>0</v>
      </c>
      <c r="K119" t="n">
        <v>0</v>
      </c>
      <c r="L119" t="n">
        <v>0</v>
      </c>
      <c r="M119" t="n">
        <v>0</v>
      </c>
      <c r="N119" t="n">
        <v>0</v>
      </c>
      <c r="O119" t="n">
        <v>0</v>
      </c>
      <c r="P119" t="n">
        <v>0</v>
      </c>
      <c r="Q119" t="n">
        <v>0</v>
      </c>
      <c r="R119" s="2" t="inlineStr"/>
    </row>
    <row r="120">
      <c r="A120" t="inlineStr">
        <is>
          <t>A 9905-2026</t>
        </is>
      </c>
      <c r="B120" s="1" t="n">
        <v>46073.4108912037</v>
      </c>
      <c r="C120" s="1" t="n">
        <v>46100</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2026-03-19T11:37:52Z</dcterms:created>
  <dcterms:modified xmlns:dcterms="http://purl.org/dc/terms/" xmlns:xsi="http://www.w3.org/2001/XMLSchema-instance" xsi:type="dcterms:W3CDTF">2026-03-19T11:37:52Z</dcterms:modified>
</cp:coreProperties>
</file>