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45917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45917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45917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45917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45917</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45917</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45917</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45917</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45917</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45917</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45917</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45917</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45917</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45917</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45917</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45917</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28779-2025</t>
        </is>
      </c>
      <c r="B18" s="1" t="n">
        <v>45820.44920138889</v>
      </c>
      <c r="C18" s="1" t="n">
        <v>45917</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34944-2022</t>
        </is>
      </c>
      <c r="B19" s="1" t="n">
        <v>44796</v>
      </c>
      <c r="C19" s="1" t="n">
        <v>45917</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4164-2023</t>
        </is>
      </c>
      <c r="B20" s="1" t="n">
        <v>44953</v>
      </c>
      <c r="C20" s="1" t="n">
        <v>45917</v>
      </c>
      <c r="D20" t="inlineStr">
        <is>
          <t>KALMAR LÄN</t>
        </is>
      </c>
      <c r="E20" t="inlineStr">
        <is>
          <t>BORGHOLM</t>
        </is>
      </c>
      <c r="G20" t="n">
        <v>3.3</v>
      </c>
      <c r="H20" t="n">
        <v>1</v>
      </c>
      <c r="I20" t="n">
        <v>1</v>
      </c>
      <c r="J20" t="n">
        <v>0</v>
      </c>
      <c r="K20" t="n">
        <v>0</v>
      </c>
      <c r="L20" t="n">
        <v>0</v>
      </c>
      <c r="M20" t="n">
        <v>0</v>
      </c>
      <c r="N20" t="n">
        <v>0</v>
      </c>
      <c r="O20" t="n">
        <v>0</v>
      </c>
      <c r="P20" t="n">
        <v>0</v>
      </c>
      <c r="Q20" t="n">
        <v>2</v>
      </c>
      <c r="R20" s="2" t="inlineStr">
        <is>
          <t>Murgröna
Blåsippa</t>
        </is>
      </c>
      <c r="S20">
        <f>HYPERLINK("https://klasma.github.io/Logging_0885/artfynd/A 4164-2023 artfynd.xlsx", "A 4164-2023")</f>
        <v/>
      </c>
      <c r="T20">
        <f>HYPERLINK("https://klasma.github.io/Logging_0885/kartor/A 4164-2023 karta.png", "A 4164-2023")</f>
        <v/>
      </c>
      <c r="V20">
        <f>HYPERLINK("https://klasma.github.io/Logging_0885/klagomål/A 4164-2023 FSC-klagomål.docx", "A 4164-2023")</f>
        <v/>
      </c>
      <c r="W20">
        <f>HYPERLINK("https://klasma.github.io/Logging_0885/klagomålsmail/A 4164-2023 FSC-klagomål mail.docx", "A 4164-2023")</f>
        <v/>
      </c>
      <c r="X20">
        <f>HYPERLINK("https://klasma.github.io/Logging_0885/tillsyn/A 4164-2023 tillsynsbegäran.docx", "A 4164-2023")</f>
        <v/>
      </c>
      <c r="Y20">
        <f>HYPERLINK("https://klasma.github.io/Logging_0885/tillsynsmail/A 4164-2023 tillsynsbegäran mail.docx", "A 4164-2023")</f>
        <v/>
      </c>
    </row>
    <row r="21" ht="15" customHeight="1">
      <c r="A21" t="inlineStr">
        <is>
          <t>A 43756-2022</t>
        </is>
      </c>
      <c r="B21" s="1" t="n">
        <v>44837</v>
      </c>
      <c r="C21" s="1" t="n">
        <v>45917</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38860-2025</t>
        </is>
      </c>
      <c r="B22" s="1" t="n">
        <v>45887.5609375</v>
      </c>
      <c r="C22" s="1" t="n">
        <v>45917</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44008-2022</t>
        </is>
      </c>
      <c r="B23" s="1" t="n">
        <v>44838</v>
      </c>
      <c r="C23" s="1" t="n">
        <v>45917</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32174-2022</t>
        </is>
      </c>
      <c r="B24" s="1" t="n">
        <v>44781</v>
      </c>
      <c r="C24" s="1" t="n">
        <v>45917</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13556-2025</t>
        </is>
      </c>
      <c r="B25" s="1" t="n">
        <v>45736.54759259259</v>
      </c>
      <c r="C25" s="1" t="n">
        <v>45917</v>
      </c>
      <c r="D25" t="inlineStr">
        <is>
          <t>KALMAR LÄN</t>
        </is>
      </c>
      <c r="E25" t="inlineStr">
        <is>
          <t>BORGHOLM</t>
        </is>
      </c>
      <c r="G25" t="n">
        <v>2.3</v>
      </c>
      <c r="H25" t="n">
        <v>2</v>
      </c>
      <c r="I25" t="n">
        <v>1</v>
      </c>
      <c r="J25" t="n">
        <v>0</v>
      </c>
      <c r="K25" t="n">
        <v>0</v>
      </c>
      <c r="L25" t="n">
        <v>0</v>
      </c>
      <c r="M25" t="n">
        <v>0</v>
      </c>
      <c r="N25" t="n">
        <v>0</v>
      </c>
      <c r="O25" t="n">
        <v>0</v>
      </c>
      <c r="P25" t="n">
        <v>0</v>
      </c>
      <c r="Q25" t="n">
        <v>2</v>
      </c>
      <c r="R25" s="2" t="inlineStr">
        <is>
          <t>Tvåblad
Nattviol</t>
        </is>
      </c>
      <c r="S25">
        <f>HYPERLINK("https://klasma.github.io/Logging_0885/artfynd/A 13556-2025 artfynd.xlsx", "A 13556-2025")</f>
        <v/>
      </c>
      <c r="T25">
        <f>HYPERLINK("https://klasma.github.io/Logging_0885/kartor/A 13556-2025 karta.png", "A 13556-2025")</f>
        <v/>
      </c>
      <c r="V25">
        <f>HYPERLINK("https://klasma.github.io/Logging_0885/klagomål/A 13556-2025 FSC-klagomål.docx", "A 13556-2025")</f>
        <v/>
      </c>
      <c r="W25">
        <f>HYPERLINK("https://klasma.github.io/Logging_0885/klagomålsmail/A 13556-2025 FSC-klagomål mail.docx", "A 13556-2025")</f>
        <v/>
      </c>
      <c r="X25">
        <f>HYPERLINK("https://klasma.github.io/Logging_0885/tillsyn/A 13556-2025 tillsynsbegäran.docx", "A 13556-2025")</f>
        <v/>
      </c>
      <c r="Y25">
        <f>HYPERLINK("https://klasma.github.io/Logging_0885/tillsynsmail/A 13556-2025 tillsynsbegäran mail.docx", "A 13556-2025")</f>
        <v/>
      </c>
    </row>
    <row r="26" ht="15" customHeight="1">
      <c r="A26" t="inlineStr">
        <is>
          <t>A 3871-2021</t>
        </is>
      </c>
      <c r="B26" s="1" t="n">
        <v>44222</v>
      </c>
      <c r="C26" s="1" t="n">
        <v>45917</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45917</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45917</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9745-2023</t>
        </is>
      </c>
      <c r="B29" s="1" t="n">
        <v>44984</v>
      </c>
      <c r="C29" s="1" t="n">
        <v>45917</v>
      </c>
      <c r="D29" t="inlineStr">
        <is>
          <t>KALMAR LÄN</t>
        </is>
      </c>
      <c r="E29" t="inlineStr">
        <is>
          <t>BORGHOLM</t>
        </is>
      </c>
      <c r="G29" t="n">
        <v>1.2</v>
      </c>
      <c r="H29" t="n">
        <v>1</v>
      </c>
      <c r="I29" t="n">
        <v>1</v>
      </c>
      <c r="J29" t="n">
        <v>0</v>
      </c>
      <c r="K29" t="n">
        <v>0</v>
      </c>
      <c r="L29" t="n">
        <v>0</v>
      </c>
      <c r="M29" t="n">
        <v>0</v>
      </c>
      <c r="N29" t="n">
        <v>0</v>
      </c>
      <c r="O29" t="n">
        <v>0</v>
      </c>
      <c r="P29" t="n">
        <v>0</v>
      </c>
      <c r="Q29" t="n">
        <v>1</v>
      </c>
      <c r="R29" s="2" t="inlineStr">
        <is>
          <t>Skogsknipprot</t>
        </is>
      </c>
      <c r="S29">
        <f>HYPERLINK("https://klasma.github.io/Logging_0885/artfynd/A 9745-2023 artfynd.xlsx", "A 9745-2023")</f>
        <v/>
      </c>
      <c r="T29">
        <f>HYPERLINK("https://klasma.github.io/Logging_0885/kartor/A 9745-2023 karta.png", "A 9745-2023")</f>
        <v/>
      </c>
      <c r="V29">
        <f>HYPERLINK("https://klasma.github.io/Logging_0885/klagomål/A 9745-2023 FSC-klagomål.docx", "A 9745-2023")</f>
        <v/>
      </c>
      <c r="W29">
        <f>HYPERLINK("https://klasma.github.io/Logging_0885/klagomålsmail/A 9745-2023 FSC-klagomål mail.docx", "A 9745-2023")</f>
        <v/>
      </c>
      <c r="X29">
        <f>HYPERLINK("https://klasma.github.io/Logging_0885/tillsyn/A 9745-2023 tillsynsbegäran.docx", "A 9745-2023")</f>
        <v/>
      </c>
      <c r="Y29">
        <f>HYPERLINK("https://klasma.github.io/Logging_0885/tillsynsmail/A 9745-2023 tillsynsbegäran mail.docx", "A 9745-2023")</f>
        <v/>
      </c>
    </row>
    <row r="30" ht="15" customHeight="1">
      <c r="A30" t="inlineStr">
        <is>
          <t>A 14789-2021</t>
        </is>
      </c>
      <c r="B30" s="1" t="n">
        <v>44280</v>
      </c>
      <c r="C30" s="1" t="n">
        <v>45917</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28785-2025</t>
        </is>
      </c>
      <c r="B31" s="1" t="n">
        <v>45820.46159722222</v>
      </c>
      <c r="C31" s="1" t="n">
        <v>45917</v>
      </c>
      <c r="D31" t="inlineStr">
        <is>
          <t>KALMAR LÄN</t>
        </is>
      </c>
      <c r="E31" t="inlineStr">
        <is>
          <t>BORGHOLM</t>
        </is>
      </c>
      <c r="F31" t="inlineStr">
        <is>
          <t>Sveaskog</t>
        </is>
      </c>
      <c r="G31" t="n">
        <v>2.3</v>
      </c>
      <c r="H31" t="n">
        <v>1</v>
      </c>
      <c r="I31" t="n">
        <v>0</v>
      </c>
      <c r="J31" t="n">
        <v>1</v>
      </c>
      <c r="K31" t="n">
        <v>0</v>
      </c>
      <c r="L31" t="n">
        <v>0</v>
      </c>
      <c r="M31" t="n">
        <v>0</v>
      </c>
      <c r="N31" t="n">
        <v>0</v>
      </c>
      <c r="O31" t="n">
        <v>1</v>
      </c>
      <c r="P31" t="n">
        <v>0</v>
      </c>
      <c r="Q31" t="n">
        <v>1</v>
      </c>
      <c r="R31" s="2" t="inlineStr">
        <is>
          <t>Havsörn</t>
        </is>
      </c>
      <c r="S31">
        <f>HYPERLINK("https://klasma.github.io/Logging_0885/artfynd/A 28785-2025 artfynd.xlsx", "A 28785-2025")</f>
        <v/>
      </c>
      <c r="T31">
        <f>HYPERLINK("https://klasma.github.io/Logging_0885/kartor/A 28785-2025 karta.png", "A 28785-2025")</f>
        <v/>
      </c>
      <c r="V31">
        <f>HYPERLINK("https://klasma.github.io/Logging_0885/klagomål/A 28785-2025 FSC-klagomål.docx", "A 28785-2025")</f>
        <v/>
      </c>
      <c r="W31">
        <f>HYPERLINK("https://klasma.github.io/Logging_0885/klagomålsmail/A 28785-2025 FSC-klagomål mail.docx", "A 28785-2025")</f>
        <v/>
      </c>
      <c r="X31">
        <f>HYPERLINK("https://klasma.github.io/Logging_0885/tillsyn/A 28785-2025 tillsynsbegäran.docx", "A 28785-2025")</f>
        <v/>
      </c>
      <c r="Y31">
        <f>HYPERLINK("https://klasma.github.io/Logging_0885/tillsynsmail/A 28785-2025 tillsynsbegäran mail.docx", "A 28785-2025")</f>
        <v/>
      </c>
      <c r="Z31">
        <f>HYPERLINK("https://klasma.github.io/Logging_0885/fåglar/A 28785-2025 prioriterade fågelarter.docx", "A 28785-2025")</f>
        <v/>
      </c>
    </row>
    <row r="32" ht="15" customHeight="1">
      <c r="A32" t="inlineStr">
        <is>
          <t>A 29962-2025</t>
        </is>
      </c>
      <c r="B32" s="1" t="n">
        <v>45826.48184027777</v>
      </c>
      <c r="C32" s="1" t="n">
        <v>45917</v>
      </c>
      <c r="D32" t="inlineStr">
        <is>
          <t>KALMAR LÄN</t>
        </is>
      </c>
      <c r="E32" t="inlineStr">
        <is>
          <t>BORGHOLM</t>
        </is>
      </c>
      <c r="G32" t="n">
        <v>3.3</v>
      </c>
      <c r="H32" t="n">
        <v>1</v>
      </c>
      <c r="I32" t="n">
        <v>0</v>
      </c>
      <c r="J32" t="n">
        <v>0</v>
      </c>
      <c r="K32" t="n">
        <v>0</v>
      </c>
      <c r="L32" t="n">
        <v>0</v>
      </c>
      <c r="M32" t="n">
        <v>0</v>
      </c>
      <c r="N32" t="n">
        <v>0</v>
      </c>
      <c r="O32" t="n">
        <v>0</v>
      </c>
      <c r="P32" t="n">
        <v>0</v>
      </c>
      <c r="Q32" t="n">
        <v>1</v>
      </c>
      <c r="R32" s="2" t="inlineStr">
        <is>
          <t>Grönvit nattviol</t>
        </is>
      </c>
      <c r="S32">
        <f>HYPERLINK("https://klasma.github.io/Logging_0885/artfynd/A 29962-2025 artfynd.xlsx", "A 29962-2025")</f>
        <v/>
      </c>
      <c r="T32">
        <f>HYPERLINK("https://klasma.github.io/Logging_0885/kartor/A 29962-2025 karta.png", "A 29962-2025")</f>
        <v/>
      </c>
      <c r="V32">
        <f>HYPERLINK("https://klasma.github.io/Logging_0885/klagomål/A 29962-2025 FSC-klagomål.docx", "A 29962-2025")</f>
        <v/>
      </c>
      <c r="W32">
        <f>HYPERLINK("https://klasma.github.io/Logging_0885/klagomålsmail/A 29962-2025 FSC-klagomål mail.docx", "A 29962-2025")</f>
        <v/>
      </c>
      <c r="X32">
        <f>HYPERLINK("https://klasma.github.io/Logging_0885/tillsyn/A 29962-2025 tillsynsbegäran.docx", "A 29962-2025")</f>
        <v/>
      </c>
      <c r="Y32">
        <f>HYPERLINK("https://klasma.github.io/Logging_0885/tillsynsmail/A 29962-2025 tillsynsbegäran mail.docx", "A 29962-2025")</f>
        <v/>
      </c>
    </row>
    <row r="33" ht="15" customHeight="1">
      <c r="A33" t="inlineStr">
        <is>
          <t>A 12785-2021</t>
        </is>
      </c>
      <c r="B33" s="1" t="n">
        <v>44270</v>
      </c>
      <c r="C33" s="1" t="n">
        <v>45917</v>
      </c>
      <c r="D33" t="inlineStr">
        <is>
          <t>KALMAR LÄN</t>
        </is>
      </c>
      <c r="E33" t="inlineStr">
        <is>
          <t>BORGHOLM</t>
        </is>
      </c>
      <c r="G33" t="n">
        <v>1.2</v>
      </c>
      <c r="H33" t="n">
        <v>0</v>
      </c>
      <c r="I33" t="n">
        <v>0</v>
      </c>
      <c r="J33" t="n">
        <v>0</v>
      </c>
      <c r="K33" t="n">
        <v>0</v>
      </c>
      <c r="L33" t="n">
        <v>1</v>
      </c>
      <c r="M33" t="n">
        <v>0</v>
      </c>
      <c r="N33" t="n">
        <v>0</v>
      </c>
      <c r="O33" t="n">
        <v>1</v>
      </c>
      <c r="P33" t="n">
        <v>1</v>
      </c>
      <c r="Q33" t="n">
        <v>1</v>
      </c>
      <c r="R33" s="2" t="inlineStr">
        <is>
          <t>Ask</t>
        </is>
      </c>
      <c r="S33">
        <f>HYPERLINK("https://klasma.github.io/Logging_0885/artfynd/A 12785-2021 artfynd.xlsx", "A 12785-2021")</f>
        <v/>
      </c>
      <c r="T33">
        <f>HYPERLINK("https://klasma.github.io/Logging_0885/kartor/A 12785-2021 karta.png", "A 12785-2021")</f>
        <v/>
      </c>
      <c r="V33">
        <f>HYPERLINK("https://klasma.github.io/Logging_0885/klagomål/A 12785-2021 FSC-klagomål.docx", "A 12785-2021")</f>
        <v/>
      </c>
      <c r="W33">
        <f>HYPERLINK("https://klasma.github.io/Logging_0885/klagomålsmail/A 12785-2021 FSC-klagomål mail.docx", "A 12785-2021")</f>
        <v/>
      </c>
      <c r="X33">
        <f>HYPERLINK("https://klasma.github.io/Logging_0885/tillsyn/A 12785-2021 tillsynsbegäran.docx", "A 12785-2021")</f>
        <v/>
      </c>
      <c r="Y33">
        <f>HYPERLINK("https://klasma.github.io/Logging_0885/tillsynsmail/A 12785-2021 tillsynsbegäran mail.docx", "A 12785-2021")</f>
        <v/>
      </c>
    </row>
    <row r="34" ht="15" customHeight="1">
      <c r="A34" t="inlineStr">
        <is>
          <t>A 34885-2025</t>
        </is>
      </c>
      <c r="B34" s="1" t="n">
        <v>45849.47128472223</v>
      </c>
      <c r="C34" s="1" t="n">
        <v>45917</v>
      </c>
      <c r="D34" t="inlineStr">
        <is>
          <t>KALMAR LÄN</t>
        </is>
      </c>
      <c r="E34" t="inlineStr">
        <is>
          <t>BORGHOLM</t>
        </is>
      </c>
      <c r="G34" t="n">
        <v>4.4</v>
      </c>
      <c r="H34" t="n">
        <v>0</v>
      </c>
      <c r="I34" t="n">
        <v>0</v>
      </c>
      <c r="J34" t="n">
        <v>1</v>
      </c>
      <c r="K34" t="n">
        <v>0</v>
      </c>
      <c r="L34" t="n">
        <v>0</v>
      </c>
      <c r="M34" t="n">
        <v>0</v>
      </c>
      <c r="N34" t="n">
        <v>0</v>
      </c>
      <c r="O34" t="n">
        <v>1</v>
      </c>
      <c r="P34" t="n">
        <v>0</v>
      </c>
      <c r="Q34" t="n">
        <v>1</v>
      </c>
      <c r="R34" s="2" t="inlineStr">
        <is>
          <t>Backfryle</t>
        </is>
      </c>
      <c r="S34">
        <f>HYPERLINK("https://klasma.github.io/Logging_0885/artfynd/A 34885-2025 artfynd.xlsx", "A 34885-2025")</f>
        <v/>
      </c>
      <c r="T34">
        <f>HYPERLINK("https://klasma.github.io/Logging_0885/kartor/A 34885-2025 karta.png", "A 34885-2025")</f>
        <v/>
      </c>
      <c r="V34">
        <f>HYPERLINK("https://klasma.github.io/Logging_0885/klagomål/A 34885-2025 FSC-klagomål.docx", "A 34885-2025")</f>
        <v/>
      </c>
      <c r="W34">
        <f>HYPERLINK("https://klasma.github.io/Logging_0885/klagomålsmail/A 34885-2025 FSC-klagomål mail.docx", "A 34885-2025")</f>
        <v/>
      </c>
      <c r="X34">
        <f>HYPERLINK("https://klasma.github.io/Logging_0885/tillsyn/A 34885-2025 tillsynsbegäran.docx", "A 34885-2025")</f>
        <v/>
      </c>
      <c r="Y34">
        <f>HYPERLINK("https://klasma.github.io/Logging_0885/tillsynsmail/A 34885-2025 tillsynsbegäran mail.docx", "A 34885-2025")</f>
        <v/>
      </c>
    </row>
    <row r="35" ht="15" customHeight="1">
      <c r="A35" t="inlineStr">
        <is>
          <t>A 13558-2025</t>
        </is>
      </c>
      <c r="B35" s="1" t="n">
        <v>45736.54974537037</v>
      </c>
      <c r="C35" s="1" t="n">
        <v>45917</v>
      </c>
      <c r="D35" t="inlineStr">
        <is>
          <t>KALMAR LÄN</t>
        </is>
      </c>
      <c r="E35" t="inlineStr">
        <is>
          <t>BORGHOLM</t>
        </is>
      </c>
      <c r="G35" t="n">
        <v>0.7</v>
      </c>
      <c r="H35" t="n">
        <v>0</v>
      </c>
      <c r="I35" t="n">
        <v>0</v>
      </c>
      <c r="J35" t="n">
        <v>1</v>
      </c>
      <c r="K35" t="n">
        <v>0</v>
      </c>
      <c r="L35" t="n">
        <v>0</v>
      </c>
      <c r="M35" t="n">
        <v>0</v>
      </c>
      <c r="N35" t="n">
        <v>0</v>
      </c>
      <c r="O35" t="n">
        <v>1</v>
      </c>
      <c r="P35" t="n">
        <v>0</v>
      </c>
      <c r="Q35" t="n">
        <v>1</v>
      </c>
      <c r="R35" s="2" t="inlineStr">
        <is>
          <t>Backruta</t>
        </is>
      </c>
      <c r="S35">
        <f>HYPERLINK("https://klasma.github.io/Logging_0885/artfynd/A 13558-2025 artfynd.xlsx", "A 13558-2025")</f>
        <v/>
      </c>
      <c r="T35">
        <f>HYPERLINK("https://klasma.github.io/Logging_0885/kartor/A 13558-2025 karta.png", "A 13558-2025")</f>
        <v/>
      </c>
      <c r="V35">
        <f>HYPERLINK("https://klasma.github.io/Logging_0885/klagomål/A 13558-2025 FSC-klagomål.docx", "A 13558-2025")</f>
        <v/>
      </c>
      <c r="W35">
        <f>HYPERLINK("https://klasma.github.io/Logging_0885/klagomålsmail/A 13558-2025 FSC-klagomål mail.docx", "A 13558-2025")</f>
        <v/>
      </c>
      <c r="X35">
        <f>HYPERLINK("https://klasma.github.io/Logging_0885/tillsyn/A 13558-2025 tillsynsbegäran.docx", "A 13558-2025")</f>
        <v/>
      </c>
      <c r="Y35">
        <f>HYPERLINK("https://klasma.github.io/Logging_0885/tillsynsmail/A 13558-2025 tillsynsbegäran mail.docx", "A 13558-2025")</f>
        <v/>
      </c>
    </row>
    <row r="36" ht="15" customHeight="1">
      <c r="A36" t="inlineStr">
        <is>
          <t>A 24701-2023</t>
        </is>
      </c>
      <c r="B36" s="1" t="n">
        <v>45084</v>
      </c>
      <c r="C36" s="1" t="n">
        <v>45917</v>
      </c>
      <c r="D36" t="inlineStr">
        <is>
          <t>KALMAR LÄN</t>
        </is>
      </c>
      <c r="E36" t="inlineStr">
        <is>
          <t>BORGHOLM</t>
        </is>
      </c>
      <c r="G36" t="n">
        <v>3</v>
      </c>
      <c r="H36" t="n">
        <v>0</v>
      </c>
      <c r="I36" t="n">
        <v>0</v>
      </c>
      <c r="J36" t="n">
        <v>0</v>
      </c>
      <c r="K36" t="n">
        <v>0</v>
      </c>
      <c r="L36" t="n">
        <v>1</v>
      </c>
      <c r="M36" t="n">
        <v>0</v>
      </c>
      <c r="N36" t="n">
        <v>0</v>
      </c>
      <c r="O36" t="n">
        <v>1</v>
      </c>
      <c r="P36" t="n">
        <v>1</v>
      </c>
      <c r="Q36" t="n">
        <v>1</v>
      </c>
      <c r="R36" s="2" t="inlineStr">
        <is>
          <t>Ask</t>
        </is>
      </c>
      <c r="S36">
        <f>HYPERLINK("https://klasma.github.io/Logging_0885/artfynd/A 24701-2023 artfynd.xlsx", "A 24701-2023")</f>
        <v/>
      </c>
      <c r="T36">
        <f>HYPERLINK("https://klasma.github.io/Logging_0885/kartor/A 24701-2023 karta.png", "A 24701-2023")</f>
        <v/>
      </c>
      <c r="V36">
        <f>HYPERLINK("https://klasma.github.io/Logging_0885/klagomål/A 24701-2023 FSC-klagomål.docx", "A 24701-2023")</f>
        <v/>
      </c>
      <c r="W36">
        <f>HYPERLINK("https://klasma.github.io/Logging_0885/klagomålsmail/A 24701-2023 FSC-klagomål mail.docx", "A 24701-2023")</f>
        <v/>
      </c>
      <c r="X36">
        <f>HYPERLINK("https://klasma.github.io/Logging_0885/tillsyn/A 24701-2023 tillsynsbegäran.docx", "A 24701-2023")</f>
        <v/>
      </c>
      <c r="Y36">
        <f>HYPERLINK("https://klasma.github.io/Logging_0885/tillsynsmail/A 24701-2023 tillsynsbegäran mail.docx", "A 24701-2023")</f>
        <v/>
      </c>
    </row>
    <row r="37" ht="15" customHeight="1">
      <c r="A37" t="inlineStr">
        <is>
          <t>A 43603-2024</t>
        </is>
      </c>
      <c r="B37" s="1" t="n">
        <v>45569.44700231482</v>
      </c>
      <c r="C37" s="1" t="n">
        <v>45917</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24704-2023</t>
        </is>
      </c>
      <c r="B38" s="1" t="n">
        <v>45084</v>
      </c>
      <c r="C38" s="1" t="n">
        <v>45917</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24048-2025</t>
        </is>
      </c>
      <c r="B39" s="1" t="n">
        <v>45796.4959375</v>
      </c>
      <c r="C39" s="1" t="n">
        <v>45917</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45917</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56499-2020</t>
        </is>
      </c>
      <c r="B41" s="1" t="n">
        <v>44137</v>
      </c>
      <c r="C41" s="1" t="n">
        <v>45917</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45917</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56434-2020</t>
        </is>
      </c>
      <c r="B43" s="1" t="n">
        <v>44137</v>
      </c>
      <c r="C43" s="1" t="n">
        <v>45917</v>
      </c>
      <c r="D43" t="inlineStr">
        <is>
          <t>KALMAR LÄN</t>
        </is>
      </c>
      <c r="E43" t="inlineStr">
        <is>
          <t>BORGHOLM</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45917</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45917</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45917</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45917</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45917</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45917</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45917</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45917</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45917</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45917</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45917</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45917</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45917</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45917</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45917</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45917</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45917</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45917</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45917</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45917</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56479-2020</t>
        </is>
      </c>
      <c r="B64" s="1" t="n">
        <v>44137</v>
      </c>
      <c r="C64" s="1" t="n">
        <v>45917</v>
      </c>
      <c r="D64" t="inlineStr">
        <is>
          <t>KALMAR LÄN</t>
        </is>
      </c>
      <c r="E64" t="inlineStr">
        <is>
          <t>BORGHOLM</t>
        </is>
      </c>
      <c r="F64" t="inlineStr">
        <is>
          <t>Sveaskog</t>
        </is>
      </c>
      <c r="G64" t="n">
        <v>2.6</v>
      </c>
      <c r="H64" t="n">
        <v>0</v>
      </c>
      <c r="I64" t="n">
        <v>0</v>
      </c>
      <c r="J64" t="n">
        <v>0</v>
      </c>
      <c r="K64" t="n">
        <v>0</v>
      </c>
      <c r="L64" t="n">
        <v>0</v>
      </c>
      <c r="M64" t="n">
        <v>0</v>
      </c>
      <c r="N64" t="n">
        <v>0</v>
      </c>
      <c r="O64" t="n">
        <v>0</v>
      </c>
      <c r="P64" t="n">
        <v>0</v>
      </c>
      <c r="Q64" t="n">
        <v>0</v>
      </c>
      <c r="R64" s="2" t="inlineStr"/>
    </row>
    <row r="65" ht="15" customHeight="1">
      <c r="A65" t="inlineStr">
        <is>
          <t>A 58253-2020</t>
        </is>
      </c>
      <c r="B65" s="1" t="n">
        <v>44144</v>
      </c>
      <c r="C65" s="1" t="n">
        <v>45917</v>
      </c>
      <c r="D65" t="inlineStr">
        <is>
          <t>KALMAR LÄN</t>
        </is>
      </c>
      <c r="E65" t="inlineStr">
        <is>
          <t>BORGHOLM</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45917</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45917</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45917</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45917</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31699-2022</t>
        </is>
      </c>
      <c r="B70" s="1" t="n">
        <v>44776</v>
      </c>
      <c r="C70" s="1" t="n">
        <v>45917</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9044-2025</t>
        </is>
      </c>
      <c r="B71" s="1" t="n">
        <v>45713.6275</v>
      </c>
      <c r="C71" s="1" t="n">
        <v>45917</v>
      </c>
      <c r="D71" t="inlineStr">
        <is>
          <t>KALMAR LÄN</t>
        </is>
      </c>
      <c r="E71" t="inlineStr">
        <is>
          <t>BORGHOLM</t>
        </is>
      </c>
      <c r="F71" t="inlineStr">
        <is>
          <t>Sveaskog</t>
        </is>
      </c>
      <c r="G71" t="n">
        <v>4</v>
      </c>
      <c r="H71" t="n">
        <v>0</v>
      </c>
      <c r="I71" t="n">
        <v>0</v>
      </c>
      <c r="J71" t="n">
        <v>0</v>
      </c>
      <c r="K71" t="n">
        <v>0</v>
      </c>
      <c r="L71" t="n">
        <v>0</v>
      </c>
      <c r="M71" t="n">
        <v>0</v>
      </c>
      <c r="N71" t="n">
        <v>0</v>
      </c>
      <c r="O71" t="n">
        <v>0</v>
      </c>
      <c r="P71" t="n">
        <v>0</v>
      </c>
      <c r="Q71" t="n">
        <v>0</v>
      </c>
      <c r="R71" s="2" t="inlineStr"/>
    </row>
    <row r="72" ht="15" customHeight="1">
      <c r="A72" t="inlineStr">
        <is>
          <t>A 20878-2024</t>
        </is>
      </c>
      <c r="B72" s="1" t="n">
        <v>45439.44748842593</v>
      </c>
      <c r="C72" s="1" t="n">
        <v>45917</v>
      </c>
      <c r="D72" t="inlineStr">
        <is>
          <t>KALMAR LÄN</t>
        </is>
      </c>
      <c r="E72" t="inlineStr">
        <is>
          <t>BORGHOLM</t>
        </is>
      </c>
      <c r="G72" t="n">
        <v>1.9</v>
      </c>
      <c r="H72" t="n">
        <v>0</v>
      </c>
      <c r="I72" t="n">
        <v>0</v>
      </c>
      <c r="J72" t="n">
        <v>0</v>
      </c>
      <c r="K72" t="n">
        <v>0</v>
      </c>
      <c r="L72" t="n">
        <v>0</v>
      </c>
      <c r="M72" t="n">
        <v>0</v>
      </c>
      <c r="N72" t="n">
        <v>0</v>
      </c>
      <c r="O72" t="n">
        <v>0</v>
      </c>
      <c r="P72" t="n">
        <v>0</v>
      </c>
      <c r="Q72" t="n">
        <v>0</v>
      </c>
      <c r="R72" s="2" t="inlineStr"/>
    </row>
    <row r="73" ht="15" customHeight="1">
      <c r="A73" t="inlineStr">
        <is>
          <t>A 26160-2025</t>
        </is>
      </c>
      <c r="B73" s="1" t="n">
        <v>45805.4490162037</v>
      </c>
      <c r="C73" s="1" t="n">
        <v>45917</v>
      </c>
      <c r="D73" t="inlineStr">
        <is>
          <t>KALMAR LÄN</t>
        </is>
      </c>
      <c r="E73" t="inlineStr">
        <is>
          <t>BORGHOLM</t>
        </is>
      </c>
      <c r="G73" t="n">
        <v>3.7</v>
      </c>
      <c r="H73" t="n">
        <v>0</v>
      </c>
      <c r="I73" t="n">
        <v>0</v>
      </c>
      <c r="J73" t="n">
        <v>0</v>
      </c>
      <c r="K73" t="n">
        <v>0</v>
      </c>
      <c r="L73" t="n">
        <v>0</v>
      </c>
      <c r="M73" t="n">
        <v>0</v>
      </c>
      <c r="N73" t="n">
        <v>0</v>
      </c>
      <c r="O73" t="n">
        <v>0</v>
      </c>
      <c r="P73" t="n">
        <v>0</v>
      </c>
      <c r="Q73" t="n">
        <v>0</v>
      </c>
      <c r="R73" s="2" t="inlineStr"/>
    </row>
    <row r="74" ht="15" customHeight="1">
      <c r="A74" t="inlineStr">
        <is>
          <t>A 26190-2025</t>
        </is>
      </c>
      <c r="B74" s="1" t="n">
        <v>45805.48349537037</v>
      </c>
      <c r="C74" s="1" t="n">
        <v>45917</v>
      </c>
      <c r="D74" t="inlineStr">
        <is>
          <t>KALMAR LÄN</t>
        </is>
      </c>
      <c r="E74" t="inlineStr">
        <is>
          <t>BORGHOLM</t>
        </is>
      </c>
      <c r="G74" t="n">
        <v>3.2</v>
      </c>
      <c r="H74" t="n">
        <v>0</v>
      </c>
      <c r="I74" t="n">
        <v>0</v>
      </c>
      <c r="J74" t="n">
        <v>0</v>
      </c>
      <c r="K74" t="n">
        <v>0</v>
      </c>
      <c r="L74" t="n">
        <v>0</v>
      </c>
      <c r="M74" t="n">
        <v>0</v>
      </c>
      <c r="N74" t="n">
        <v>0</v>
      </c>
      <c r="O74" t="n">
        <v>0</v>
      </c>
      <c r="P74" t="n">
        <v>0</v>
      </c>
      <c r="Q74" t="n">
        <v>0</v>
      </c>
      <c r="R74" s="2" t="inlineStr"/>
    </row>
    <row r="75" ht="15" customHeight="1">
      <c r="A75" t="inlineStr">
        <is>
          <t>A 21908-2022</t>
        </is>
      </c>
      <c r="B75" s="1" t="n">
        <v>44711</v>
      </c>
      <c r="C75" s="1" t="n">
        <v>45917</v>
      </c>
      <c r="D75" t="inlineStr">
        <is>
          <t>KALMAR LÄN</t>
        </is>
      </c>
      <c r="E75" t="inlineStr">
        <is>
          <t>BORGHOLM</t>
        </is>
      </c>
      <c r="G75" t="n">
        <v>4.7</v>
      </c>
      <c r="H75" t="n">
        <v>0</v>
      </c>
      <c r="I75" t="n">
        <v>0</v>
      </c>
      <c r="J75" t="n">
        <v>0</v>
      </c>
      <c r="K75" t="n">
        <v>0</v>
      </c>
      <c r="L75" t="n">
        <v>0</v>
      </c>
      <c r="M75" t="n">
        <v>0</v>
      </c>
      <c r="N75" t="n">
        <v>0</v>
      </c>
      <c r="O75" t="n">
        <v>0</v>
      </c>
      <c r="P75" t="n">
        <v>0</v>
      </c>
      <c r="Q75" t="n">
        <v>0</v>
      </c>
      <c r="R75" s="2" t="inlineStr"/>
    </row>
    <row r="76" ht="15" customHeight="1">
      <c r="A76" t="inlineStr">
        <is>
          <t>A 4878-2021</t>
        </is>
      </c>
      <c r="B76" s="1" t="n">
        <v>44225</v>
      </c>
      <c r="C76" s="1" t="n">
        <v>45917</v>
      </c>
      <c r="D76" t="inlineStr">
        <is>
          <t>KALMAR LÄN</t>
        </is>
      </c>
      <c r="E76" t="inlineStr">
        <is>
          <t>BORGHOLM</t>
        </is>
      </c>
      <c r="G76" t="n">
        <v>3</v>
      </c>
      <c r="H76" t="n">
        <v>0</v>
      </c>
      <c r="I76" t="n">
        <v>0</v>
      </c>
      <c r="J76" t="n">
        <v>0</v>
      </c>
      <c r="K76" t="n">
        <v>0</v>
      </c>
      <c r="L76" t="n">
        <v>0</v>
      </c>
      <c r="M76" t="n">
        <v>0</v>
      </c>
      <c r="N76" t="n">
        <v>0</v>
      </c>
      <c r="O76" t="n">
        <v>0</v>
      </c>
      <c r="P76" t="n">
        <v>0</v>
      </c>
      <c r="Q76" t="n">
        <v>0</v>
      </c>
      <c r="R76" s="2" t="inlineStr"/>
    </row>
    <row r="77" ht="15" customHeight="1">
      <c r="A77" t="inlineStr">
        <is>
          <t>A 27357-2025</t>
        </is>
      </c>
      <c r="B77" s="1" t="n">
        <v>45812.63650462963</v>
      </c>
      <c r="C77" s="1" t="n">
        <v>45917</v>
      </c>
      <c r="D77" t="inlineStr">
        <is>
          <t>KALMAR LÄN</t>
        </is>
      </c>
      <c r="E77" t="inlineStr">
        <is>
          <t>BORGHOLM</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27366-2025</t>
        </is>
      </c>
      <c r="B78" s="1" t="n">
        <v>45812.64475694444</v>
      </c>
      <c r="C78" s="1" t="n">
        <v>45917</v>
      </c>
      <c r="D78" t="inlineStr">
        <is>
          <t>KALMAR LÄN</t>
        </is>
      </c>
      <c r="E78" t="inlineStr">
        <is>
          <t>BORGHOLM</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34951-2022</t>
        </is>
      </c>
      <c r="B79" s="1" t="n">
        <v>44796</v>
      </c>
      <c r="C79" s="1" t="n">
        <v>45917</v>
      </c>
      <c r="D79" t="inlineStr">
        <is>
          <t>KALMAR LÄN</t>
        </is>
      </c>
      <c r="E79" t="inlineStr">
        <is>
          <t>BORGHOLM</t>
        </is>
      </c>
      <c r="F79" t="inlineStr">
        <is>
          <t>Sveaskog</t>
        </is>
      </c>
      <c r="G79" t="n">
        <v>4.6</v>
      </c>
      <c r="H79" t="n">
        <v>0</v>
      </c>
      <c r="I79" t="n">
        <v>0</v>
      </c>
      <c r="J79" t="n">
        <v>0</v>
      </c>
      <c r="K79" t="n">
        <v>0</v>
      </c>
      <c r="L79" t="n">
        <v>0</v>
      </c>
      <c r="M79" t="n">
        <v>0</v>
      </c>
      <c r="N79" t="n">
        <v>0</v>
      </c>
      <c r="O79" t="n">
        <v>0</v>
      </c>
      <c r="P79" t="n">
        <v>0</v>
      </c>
      <c r="Q79" t="n">
        <v>0</v>
      </c>
      <c r="R79" s="2" t="inlineStr"/>
    </row>
    <row r="80" ht="15" customHeight="1">
      <c r="A80" t="inlineStr">
        <is>
          <t>A 9034-2025</t>
        </is>
      </c>
      <c r="B80" s="1" t="n">
        <v>45713</v>
      </c>
      <c r="C80" s="1" t="n">
        <v>45917</v>
      </c>
      <c r="D80" t="inlineStr">
        <is>
          <t>KALMAR LÄN</t>
        </is>
      </c>
      <c r="E80" t="inlineStr">
        <is>
          <t>BORGHOLM</t>
        </is>
      </c>
      <c r="F80" t="inlineStr">
        <is>
          <t>Sveaskog</t>
        </is>
      </c>
      <c r="G80" t="n">
        <v>6.8</v>
      </c>
      <c r="H80" t="n">
        <v>0</v>
      </c>
      <c r="I80" t="n">
        <v>0</v>
      </c>
      <c r="J80" t="n">
        <v>0</v>
      </c>
      <c r="K80" t="n">
        <v>0</v>
      </c>
      <c r="L80" t="n">
        <v>0</v>
      </c>
      <c r="M80" t="n">
        <v>0</v>
      </c>
      <c r="N80" t="n">
        <v>0</v>
      </c>
      <c r="O80" t="n">
        <v>0</v>
      </c>
      <c r="P80" t="n">
        <v>0</v>
      </c>
      <c r="Q80" t="n">
        <v>0</v>
      </c>
      <c r="R80" s="2" t="inlineStr"/>
    </row>
    <row r="81" ht="15" customHeight="1">
      <c r="A81" t="inlineStr">
        <is>
          <t>A 5175-2024</t>
        </is>
      </c>
      <c r="B81" s="1" t="n">
        <v>45330</v>
      </c>
      <c r="C81" s="1" t="n">
        <v>45917</v>
      </c>
      <c r="D81" t="inlineStr">
        <is>
          <t>KALMAR LÄN</t>
        </is>
      </c>
      <c r="E81" t="inlineStr">
        <is>
          <t>BORGHOLM</t>
        </is>
      </c>
      <c r="G81" t="n">
        <v>1.5</v>
      </c>
      <c r="H81" t="n">
        <v>0</v>
      </c>
      <c r="I81" t="n">
        <v>0</v>
      </c>
      <c r="J81" t="n">
        <v>0</v>
      </c>
      <c r="K81" t="n">
        <v>0</v>
      </c>
      <c r="L81" t="n">
        <v>0</v>
      </c>
      <c r="M81" t="n">
        <v>0</v>
      </c>
      <c r="N81" t="n">
        <v>0</v>
      </c>
      <c r="O81" t="n">
        <v>0</v>
      </c>
      <c r="P81" t="n">
        <v>0</v>
      </c>
      <c r="Q81" t="n">
        <v>0</v>
      </c>
      <c r="R81" s="2" t="inlineStr"/>
    </row>
    <row r="82" ht="15" customHeight="1">
      <c r="A82" t="inlineStr">
        <is>
          <t>A 28782-2025</t>
        </is>
      </c>
      <c r="B82" s="1" t="n">
        <v>45820.45572916666</v>
      </c>
      <c r="C82" s="1" t="n">
        <v>45917</v>
      </c>
      <c r="D82" t="inlineStr">
        <is>
          <t>KALMAR LÄN</t>
        </is>
      </c>
      <c r="E82" t="inlineStr">
        <is>
          <t>BORGHOLM</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26160-2024</t>
        </is>
      </c>
      <c r="B83" s="1" t="n">
        <v>45468</v>
      </c>
      <c r="C83" s="1" t="n">
        <v>45917</v>
      </c>
      <c r="D83" t="inlineStr">
        <is>
          <t>KALMAR LÄN</t>
        </is>
      </c>
      <c r="E83" t="inlineStr">
        <is>
          <t>BORGHOLM</t>
        </is>
      </c>
      <c r="G83" t="n">
        <v>0.4</v>
      </c>
      <c r="H83" t="n">
        <v>0</v>
      </c>
      <c r="I83" t="n">
        <v>0</v>
      </c>
      <c r="J83" t="n">
        <v>0</v>
      </c>
      <c r="K83" t="n">
        <v>0</v>
      </c>
      <c r="L83" t="n">
        <v>0</v>
      </c>
      <c r="M83" t="n">
        <v>0</v>
      </c>
      <c r="N83" t="n">
        <v>0</v>
      </c>
      <c r="O83" t="n">
        <v>0</v>
      </c>
      <c r="P83" t="n">
        <v>0</v>
      </c>
      <c r="Q83" t="n">
        <v>0</v>
      </c>
      <c r="R83" s="2" t="inlineStr"/>
      <c r="T83">
        <f>HYPERLINK("https://klasma.github.io/Logging_0885/kartor/A 26160-2024 karta.png", "A 26160-2024")</f>
        <v/>
      </c>
      <c r="V83">
        <f>HYPERLINK("https://klasma.github.io/Logging_0885/klagomål/A 26160-2024 FSC-klagomål.docx", "A 26160-2024")</f>
        <v/>
      </c>
      <c r="W83">
        <f>HYPERLINK("https://klasma.github.io/Logging_0885/klagomålsmail/A 26160-2024 FSC-klagomål mail.docx", "A 26160-2024")</f>
        <v/>
      </c>
      <c r="X83">
        <f>HYPERLINK("https://klasma.github.io/Logging_0885/tillsyn/A 26160-2024 tillsynsbegäran.docx", "A 26160-2024")</f>
        <v/>
      </c>
      <c r="Y83">
        <f>HYPERLINK("https://klasma.github.io/Logging_0885/tillsynsmail/A 26160-2024 tillsynsbegäran mail.docx", "A 26160-2024")</f>
        <v/>
      </c>
    </row>
    <row r="84" ht="15" customHeight="1">
      <c r="A84" t="inlineStr">
        <is>
          <t>A 4159-2024</t>
        </is>
      </c>
      <c r="B84" s="1" t="n">
        <v>45323</v>
      </c>
      <c r="C84" s="1" t="n">
        <v>45917</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45917</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53050-2021</t>
        </is>
      </c>
      <c r="B86" s="1" t="n">
        <v>44467</v>
      </c>
      <c r="C86" s="1" t="n">
        <v>45917</v>
      </c>
      <c r="D86" t="inlineStr">
        <is>
          <t>KALMAR LÄN</t>
        </is>
      </c>
      <c r="E86" t="inlineStr">
        <is>
          <t>BORGHOLM</t>
        </is>
      </c>
      <c r="G86" t="n">
        <v>3.6</v>
      </c>
      <c r="H86" t="n">
        <v>0</v>
      </c>
      <c r="I86" t="n">
        <v>0</v>
      </c>
      <c r="J86" t="n">
        <v>0</v>
      </c>
      <c r="K86" t="n">
        <v>0</v>
      </c>
      <c r="L86" t="n">
        <v>0</v>
      </c>
      <c r="M86" t="n">
        <v>0</v>
      </c>
      <c r="N86" t="n">
        <v>0</v>
      </c>
      <c r="O86" t="n">
        <v>0</v>
      </c>
      <c r="P86" t="n">
        <v>0</v>
      </c>
      <c r="Q86" t="n">
        <v>0</v>
      </c>
      <c r="R86" s="2" t="inlineStr"/>
    </row>
    <row r="87" ht="15" customHeight="1">
      <c r="A87" t="inlineStr">
        <is>
          <t>A 3878-2023</t>
        </is>
      </c>
      <c r="B87" s="1" t="n">
        <v>44951</v>
      </c>
      <c r="C87" s="1" t="n">
        <v>45917</v>
      </c>
      <c r="D87" t="inlineStr">
        <is>
          <t>KALMAR LÄN</t>
        </is>
      </c>
      <c r="E87" t="inlineStr">
        <is>
          <t>BORGHOLM</t>
        </is>
      </c>
      <c r="G87" t="n">
        <v>1.7</v>
      </c>
      <c r="H87" t="n">
        <v>0</v>
      </c>
      <c r="I87" t="n">
        <v>0</v>
      </c>
      <c r="J87" t="n">
        <v>0</v>
      </c>
      <c r="K87" t="n">
        <v>0</v>
      </c>
      <c r="L87" t="n">
        <v>0</v>
      </c>
      <c r="M87" t="n">
        <v>0</v>
      </c>
      <c r="N87" t="n">
        <v>0</v>
      </c>
      <c r="O87" t="n">
        <v>0</v>
      </c>
      <c r="P87" t="n">
        <v>0</v>
      </c>
      <c r="Q87" t="n">
        <v>0</v>
      </c>
      <c r="R87" s="2" t="inlineStr"/>
    </row>
    <row r="88" ht="15" customHeight="1">
      <c r="A88" t="inlineStr">
        <is>
          <t>A 19867-2024</t>
        </is>
      </c>
      <c r="B88" s="1" t="n">
        <v>45433</v>
      </c>
      <c r="C88" s="1" t="n">
        <v>45917</v>
      </c>
      <c r="D88" t="inlineStr">
        <is>
          <t>KALMAR LÄN</t>
        </is>
      </c>
      <c r="E88" t="inlineStr">
        <is>
          <t>BORGHOLM</t>
        </is>
      </c>
      <c r="G88" t="n">
        <v>3.9</v>
      </c>
      <c r="H88" t="n">
        <v>0</v>
      </c>
      <c r="I88" t="n">
        <v>0</v>
      </c>
      <c r="J88" t="n">
        <v>0</v>
      </c>
      <c r="K88" t="n">
        <v>0</v>
      </c>
      <c r="L88" t="n">
        <v>0</v>
      </c>
      <c r="M88" t="n">
        <v>0</v>
      </c>
      <c r="N88" t="n">
        <v>0</v>
      </c>
      <c r="O88" t="n">
        <v>0</v>
      </c>
      <c r="P88" t="n">
        <v>0</v>
      </c>
      <c r="Q88" t="n">
        <v>0</v>
      </c>
      <c r="R88" s="2" t="inlineStr"/>
    </row>
    <row r="89" ht="15" customHeight="1">
      <c r="A89" t="inlineStr">
        <is>
          <t>A 31720-2022</t>
        </is>
      </c>
      <c r="B89" s="1" t="n">
        <v>44776</v>
      </c>
      <c r="C89" s="1" t="n">
        <v>45917</v>
      </c>
      <c r="D89" t="inlineStr">
        <is>
          <t>KALMAR LÄN</t>
        </is>
      </c>
      <c r="E89" t="inlineStr">
        <is>
          <t>BORGHOLM</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29656-2023</t>
        </is>
      </c>
      <c r="B90" s="1" t="n">
        <v>45107</v>
      </c>
      <c r="C90" s="1" t="n">
        <v>45917</v>
      </c>
      <c r="D90" t="inlineStr">
        <is>
          <t>KALMAR LÄN</t>
        </is>
      </c>
      <c r="E90" t="inlineStr">
        <is>
          <t>BORGHOLM</t>
        </is>
      </c>
      <c r="G90" t="n">
        <v>4.1</v>
      </c>
      <c r="H90" t="n">
        <v>0</v>
      </c>
      <c r="I90" t="n">
        <v>0</v>
      </c>
      <c r="J90" t="n">
        <v>0</v>
      </c>
      <c r="K90" t="n">
        <v>0</v>
      </c>
      <c r="L90" t="n">
        <v>0</v>
      </c>
      <c r="M90" t="n">
        <v>0</v>
      </c>
      <c r="N90" t="n">
        <v>0</v>
      </c>
      <c r="O90" t="n">
        <v>0</v>
      </c>
      <c r="P90" t="n">
        <v>0</v>
      </c>
      <c r="Q90" t="n">
        <v>0</v>
      </c>
      <c r="R90" s="2" t="inlineStr"/>
    </row>
    <row r="91" ht="15" customHeight="1">
      <c r="A91" t="inlineStr">
        <is>
          <t>A 13383-2023</t>
        </is>
      </c>
      <c r="B91" s="1" t="n">
        <v>45005</v>
      </c>
      <c r="C91" s="1" t="n">
        <v>45917</v>
      </c>
      <c r="D91" t="inlineStr">
        <is>
          <t>KALMAR LÄN</t>
        </is>
      </c>
      <c r="E91" t="inlineStr">
        <is>
          <t>BORGHOLM</t>
        </is>
      </c>
      <c r="G91" t="n">
        <v>0.8</v>
      </c>
      <c r="H91" t="n">
        <v>0</v>
      </c>
      <c r="I91" t="n">
        <v>0</v>
      </c>
      <c r="J91" t="n">
        <v>0</v>
      </c>
      <c r="K91" t="n">
        <v>0</v>
      </c>
      <c r="L91" t="n">
        <v>0</v>
      </c>
      <c r="M91" t="n">
        <v>0</v>
      </c>
      <c r="N91" t="n">
        <v>0</v>
      </c>
      <c r="O91" t="n">
        <v>0</v>
      </c>
      <c r="P91" t="n">
        <v>0</v>
      </c>
      <c r="Q91" t="n">
        <v>0</v>
      </c>
      <c r="R91" s="2" t="inlineStr"/>
    </row>
    <row r="92" ht="15" customHeight="1">
      <c r="A92" t="inlineStr">
        <is>
          <t>A 4165-2023</t>
        </is>
      </c>
      <c r="B92" s="1" t="n">
        <v>44953</v>
      </c>
      <c r="C92" s="1" t="n">
        <v>45917</v>
      </c>
      <c r="D92" t="inlineStr">
        <is>
          <t>KALMAR LÄN</t>
        </is>
      </c>
      <c r="E92" t="inlineStr">
        <is>
          <t>BORGHOLM</t>
        </is>
      </c>
      <c r="G92" t="n">
        <v>0.6</v>
      </c>
      <c r="H92" t="n">
        <v>0</v>
      </c>
      <c r="I92" t="n">
        <v>0</v>
      </c>
      <c r="J92" t="n">
        <v>0</v>
      </c>
      <c r="K92" t="n">
        <v>0</v>
      </c>
      <c r="L92" t="n">
        <v>0</v>
      </c>
      <c r="M92" t="n">
        <v>0</v>
      </c>
      <c r="N92" t="n">
        <v>0</v>
      </c>
      <c r="O92" t="n">
        <v>0</v>
      </c>
      <c r="P92" t="n">
        <v>0</v>
      </c>
      <c r="Q92" t="n">
        <v>0</v>
      </c>
      <c r="R92" s="2" t="inlineStr"/>
    </row>
    <row r="93" ht="15" customHeight="1">
      <c r="A93" t="inlineStr">
        <is>
          <t>A 12937-2022</t>
        </is>
      </c>
      <c r="B93" s="1" t="n">
        <v>44642</v>
      </c>
      <c r="C93" s="1" t="n">
        <v>45917</v>
      </c>
      <c r="D93" t="inlineStr">
        <is>
          <t>KALMAR LÄN</t>
        </is>
      </c>
      <c r="E93" t="inlineStr">
        <is>
          <t>BORGHOLM</t>
        </is>
      </c>
      <c r="F93" t="inlineStr">
        <is>
          <t>Sveaskog</t>
        </is>
      </c>
      <c r="G93" t="n">
        <v>1.8</v>
      </c>
      <c r="H93" t="n">
        <v>0</v>
      </c>
      <c r="I93" t="n">
        <v>0</v>
      </c>
      <c r="J93" t="n">
        <v>0</v>
      </c>
      <c r="K93" t="n">
        <v>0</v>
      </c>
      <c r="L93" t="n">
        <v>0</v>
      </c>
      <c r="M93" t="n">
        <v>0</v>
      </c>
      <c r="N93" t="n">
        <v>0</v>
      </c>
      <c r="O93" t="n">
        <v>0</v>
      </c>
      <c r="P93" t="n">
        <v>0</v>
      </c>
      <c r="Q93" t="n">
        <v>0</v>
      </c>
      <c r="R93" s="2" t="inlineStr"/>
    </row>
    <row r="94" ht="15" customHeight="1">
      <c r="A94" t="inlineStr">
        <is>
          <t>A 41831-2025</t>
        </is>
      </c>
      <c r="B94" s="1" t="n">
        <v>45902.67887731481</v>
      </c>
      <c r="C94" s="1" t="n">
        <v>45917</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42232-2025</t>
        </is>
      </c>
      <c r="B95" s="1" t="n">
        <v>45904.55591435185</v>
      </c>
      <c r="C95" s="1" t="n">
        <v>45917</v>
      </c>
      <c r="D95" t="inlineStr">
        <is>
          <t>KALMAR LÄN</t>
        </is>
      </c>
      <c r="E95" t="inlineStr">
        <is>
          <t>BORGHOLM</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41950-2025</t>
        </is>
      </c>
      <c r="B96" s="1" t="n">
        <v>45903.45767361111</v>
      </c>
      <c r="C96" s="1" t="n">
        <v>45917</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13548-2025</t>
        </is>
      </c>
      <c r="B97" s="1" t="n">
        <v>45736.53827546296</v>
      </c>
      <c r="C97" s="1" t="n">
        <v>45917</v>
      </c>
      <c r="D97" t="inlineStr">
        <is>
          <t>KALMAR LÄN</t>
        </is>
      </c>
      <c r="E97" t="inlineStr">
        <is>
          <t>BORGHOLM</t>
        </is>
      </c>
      <c r="G97" t="n">
        <v>1</v>
      </c>
      <c r="H97" t="n">
        <v>0</v>
      </c>
      <c r="I97" t="n">
        <v>0</v>
      </c>
      <c r="J97" t="n">
        <v>0</v>
      </c>
      <c r="K97" t="n">
        <v>0</v>
      </c>
      <c r="L97" t="n">
        <v>0</v>
      </c>
      <c r="M97" t="n">
        <v>0</v>
      </c>
      <c r="N97" t="n">
        <v>0</v>
      </c>
      <c r="O97" t="n">
        <v>0</v>
      </c>
      <c r="P97" t="n">
        <v>0</v>
      </c>
      <c r="Q97" t="n">
        <v>0</v>
      </c>
      <c r="R97" s="2" t="inlineStr"/>
    </row>
    <row r="98" ht="15" customHeight="1">
      <c r="A98" t="inlineStr">
        <is>
          <t>A 32921-2023</t>
        </is>
      </c>
      <c r="B98" s="1" t="n">
        <v>45125</v>
      </c>
      <c r="C98" s="1" t="n">
        <v>45917</v>
      </c>
      <c r="D98" t="inlineStr">
        <is>
          <t>KALMAR LÄN</t>
        </is>
      </c>
      <c r="E98" t="inlineStr">
        <is>
          <t>BORGHOLM</t>
        </is>
      </c>
      <c r="G98" t="n">
        <v>2.9</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45917</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36269-2025</t>
        </is>
      </c>
      <c r="B100" s="1" t="n">
        <v>45867.61736111111</v>
      </c>
      <c r="C100" s="1" t="n">
        <v>45917</v>
      </c>
      <c r="D100" t="inlineStr">
        <is>
          <t>KALMAR LÄN</t>
        </is>
      </c>
      <c r="E100" t="inlineStr">
        <is>
          <t>BORGHOLM</t>
        </is>
      </c>
      <c r="F100" t="inlineStr">
        <is>
          <t>Sveaskog</t>
        </is>
      </c>
      <c r="G100" t="n">
        <v>3.3</v>
      </c>
      <c r="H100" t="n">
        <v>0</v>
      </c>
      <c r="I100" t="n">
        <v>0</v>
      </c>
      <c r="J100" t="n">
        <v>0</v>
      </c>
      <c r="K100" t="n">
        <v>0</v>
      </c>
      <c r="L100" t="n">
        <v>0</v>
      </c>
      <c r="M100" t="n">
        <v>0</v>
      </c>
      <c r="N100" t="n">
        <v>0</v>
      </c>
      <c r="O100" t="n">
        <v>0</v>
      </c>
      <c r="P100" t="n">
        <v>0</v>
      </c>
      <c r="Q100" t="n">
        <v>0</v>
      </c>
      <c r="R100" s="2" t="inlineStr"/>
    </row>
    <row r="101" ht="15" customHeight="1">
      <c r="A101" t="inlineStr">
        <is>
          <t>A 7960-2023</t>
        </is>
      </c>
      <c r="B101" s="1" t="n">
        <v>44973</v>
      </c>
      <c r="C101" s="1" t="n">
        <v>45917</v>
      </c>
      <c r="D101" t="inlineStr">
        <is>
          <t>KALMAR LÄN</t>
        </is>
      </c>
      <c r="E101" t="inlineStr">
        <is>
          <t>BORGHOLM</t>
        </is>
      </c>
      <c r="G101" t="n">
        <v>2.1</v>
      </c>
      <c r="H101" t="n">
        <v>0</v>
      </c>
      <c r="I101" t="n">
        <v>0</v>
      </c>
      <c r="J101" t="n">
        <v>0</v>
      </c>
      <c r="K101" t="n">
        <v>0</v>
      </c>
      <c r="L101" t="n">
        <v>0</v>
      </c>
      <c r="M101" t="n">
        <v>0</v>
      </c>
      <c r="N101" t="n">
        <v>0</v>
      </c>
      <c r="O101" t="n">
        <v>0</v>
      </c>
      <c r="P101" t="n">
        <v>0</v>
      </c>
      <c r="Q101" t="n">
        <v>0</v>
      </c>
      <c r="R101" s="2" t="inlineStr"/>
    </row>
    <row r="102" ht="15" customHeight="1">
      <c r="A102" t="inlineStr">
        <is>
          <t>A 43542-2025</t>
        </is>
      </c>
      <c r="B102" s="1" t="n">
        <v>45911.61123842592</v>
      </c>
      <c r="C102" s="1" t="n">
        <v>45917</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61438-2023</t>
        </is>
      </c>
      <c r="B103" s="1" t="n">
        <v>45264</v>
      </c>
      <c r="C103" s="1" t="n">
        <v>45917</v>
      </c>
      <c r="D103" t="inlineStr">
        <is>
          <t>KALMAR LÄN</t>
        </is>
      </c>
      <c r="E103" t="inlineStr">
        <is>
          <t>BORGHOLM</t>
        </is>
      </c>
      <c r="G103" t="n">
        <v>1.1</v>
      </c>
      <c r="H103" t="n">
        <v>0</v>
      </c>
      <c r="I103" t="n">
        <v>0</v>
      </c>
      <c r="J103" t="n">
        <v>0</v>
      </c>
      <c r="K103" t="n">
        <v>0</v>
      </c>
      <c r="L103" t="n">
        <v>0</v>
      </c>
      <c r="M103" t="n">
        <v>0</v>
      </c>
      <c r="N103" t="n">
        <v>0</v>
      </c>
      <c r="O103" t="n">
        <v>0</v>
      </c>
      <c r="P103" t="n">
        <v>0</v>
      </c>
      <c r="Q103" t="n">
        <v>0</v>
      </c>
      <c r="R103" s="2" t="inlineStr"/>
    </row>
    <row r="104" ht="15" customHeight="1">
      <c r="A104" t="inlineStr">
        <is>
          <t>A 13041-2024</t>
        </is>
      </c>
      <c r="B104" s="1" t="n">
        <v>45385.60065972222</v>
      </c>
      <c r="C104" s="1" t="n">
        <v>45917</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44678-2022</t>
        </is>
      </c>
      <c r="B105" s="1" t="n">
        <v>44840.65100694444</v>
      </c>
      <c r="C105" s="1" t="n">
        <v>45917</v>
      </c>
      <c r="D105" t="inlineStr">
        <is>
          <t>KALMAR LÄN</t>
        </is>
      </c>
      <c r="E105" t="inlineStr">
        <is>
          <t>BORGHOLM</t>
        </is>
      </c>
      <c r="G105" t="n">
        <v>2.4</v>
      </c>
      <c r="H105" t="n">
        <v>0</v>
      </c>
      <c r="I105" t="n">
        <v>0</v>
      </c>
      <c r="J105" t="n">
        <v>0</v>
      </c>
      <c r="K105" t="n">
        <v>0</v>
      </c>
      <c r="L105" t="n">
        <v>0</v>
      </c>
      <c r="M105" t="n">
        <v>0</v>
      </c>
      <c r="N105" t="n">
        <v>0</v>
      </c>
      <c r="O105" t="n">
        <v>0</v>
      </c>
      <c r="P105" t="n">
        <v>0</v>
      </c>
      <c r="Q105" t="n">
        <v>0</v>
      </c>
      <c r="R105" s="2" t="inlineStr"/>
    </row>
    <row r="106" ht="15" customHeight="1">
      <c r="A106" t="inlineStr">
        <is>
          <t>A 1614-2025</t>
        </is>
      </c>
      <c r="B106" s="1" t="n">
        <v>45670.60094907408</v>
      </c>
      <c r="C106" s="1" t="n">
        <v>45917</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44224-2025</t>
        </is>
      </c>
      <c r="B107" s="1" t="n">
        <v>45915.64040509259</v>
      </c>
      <c r="C107" s="1" t="n">
        <v>45917</v>
      </c>
      <c r="D107" t="inlineStr">
        <is>
          <t>KALMAR LÄN</t>
        </is>
      </c>
      <c r="E107" t="inlineStr">
        <is>
          <t>BORGHOLM</t>
        </is>
      </c>
      <c r="G107" t="n">
        <v>1.3</v>
      </c>
      <c r="H107" t="n">
        <v>0</v>
      </c>
      <c r="I107" t="n">
        <v>0</v>
      </c>
      <c r="J107" t="n">
        <v>0</v>
      </c>
      <c r="K107" t="n">
        <v>0</v>
      </c>
      <c r="L107" t="n">
        <v>0</v>
      </c>
      <c r="M107" t="n">
        <v>0</v>
      </c>
      <c r="N107" t="n">
        <v>0</v>
      </c>
      <c r="O107" t="n">
        <v>0</v>
      </c>
      <c r="P107" t="n">
        <v>0</v>
      </c>
      <c r="Q107" t="n">
        <v>0</v>
      </c>
      <c r="R107" s="2" t="inlineStr"/>
    </row>
    <row r="108" ht="15" customHeight="1">
      <c r="A108" t="inlineStr">
        <is>
          <t>A 63276-2023</t>
        </is>
      </c>
      <c r="B108" s="1" t="n">
        <v>45273.82195601852</v>
      </c>
      <c r="C108" s="1" t="n">
        <v>45917</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9028-2025</t>
        </is>
      </c>
      <c r="B109" s="1" t="n">
        <v>45713</v>
      </c>
      <c r="C109" s="1" t="n">
        <v>45917</v>
      </c>
      <c r="D109" t="inlineStr">
        <is>
          <t>KALMAR LÄN</t>
        </is>
      </c>
      <c r="E109" t="inlineStr">
        <is>
          <t>BORGHOLM</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64303-2023</t>
        </is>
      </c>
      <c r="B110" s="1" t="n">
        <v>45280</v>
      </c>
      <c r="C110" s="1" t="n">
        <v>45917</v>
      </c>
      <c r="D110" t="inlineStr">
        <is>
          <t>KALMAR LÄN</t>
        </is>
      </c>
      <c r="E110" t="inlineStr">
        <is>
          <t>BORGHOLM</t>
        </is>
      </c>
      <c r="G110" t="n">
        <v>1.2</v>
      </c>
      <c r="H110" t="n">
        <v>0</v>
      </c>
      <c r="I110" t="n">
        <v>0</v>
      </c>
      <c r="J110" t="n">
        <v>0</v>
      </c>
      <c r="K110" t="n">
        <v>0</v>
      </c>
      <c r="L110" t="n">
        <v>0</v>
      </c>
      <c r="M110" t="n">
        <v>0</v>
      </c>
      <c r="N110" t="n">
        <v>0</v>
      </c>
      <c r="O110" t="n">
        <v>0</v>
      </c>
      <c r="P110" t="n">
        <v>0</v>
      </c>
      <c r="Q110" t="n">
        <v>0</v>
      </c>
      <c r="R110" s="2" t="inlineStr"/>
    </row>
    <row r="111" ht="15" customHeight="1">
      <c r="A111" t="inlineStr">
        <is>
          <t>A 9050-2025</t>
        </is>
      </c>
      <c r="B111" s="1" t="n">
        <v>45713.63512731482</v>
      </c>
      <c r="C111" s="1" t="n">
        <v>45917</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44547-2021</t>
        </is>
      </c>
      <c r="B112" s="1" t="n">
        <v>44435</v>
      </c>
      <c r="C112" s="1" t="n">
        <v>45917</v>
      </c>
      <c r="D112" t="inlineStr">
        <is>
          <t>KALMAR LÄN</t>
        </is>
      </c>
      <c r="E112" t="inlineStr">
        <is>
          <t>BORGHOLM</t>
        </is>
      </c>
      <c r="G112" t="n">
        <v>1.4</v>
      </c>
      <c r="H112" t="n">
        <v>0</v>
      </c>
      <c r="I112" t="n">
        <v>0</v>
      </c>
      <c r="J112" t="n">
        <v>0</v>
      </c>
      <c r="K112" t="n">
        <v>0</v>
      </c>
      <c r="L112" t="n">
        <v>0</v>
      </c>
      <c r="M112" t="n">
        <v>0</v>
      </c>
      <c r="N112" t="n">
        <v>0</v>
      </c>
      <c r="O112" t="n">
        <v>0</v>
      </c>
      <c r="P112" t="n">
        <v>0</v>
      </c>
      <c r="Q112" t="n">
        <v>0</v>
      </c>
      <c r="R112" s="2" t="inlineStr"/>
    </row>
    <row r="113" ht="15" customHeight="1">
      <c r="A113" t="inlineStr">
        <is>
          <t>A 63075-2023</t>
        </is>
      </c>
      <c r="B113" s="1" t="n">
        <v>45273</v>
      </c>
      <c r="C113" s="1" t="n">
        <v>45917</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50129-2021</t>
        </is>
      </c>
      <c r="B114" s="1" t="n">
        <v>44456</v>
      </c>
      <c r="C114" s="1" t="n">
        <v>45917</v>
      </c>
      <c r="D114" t="inlineStr">
        <is>
          <t>KALMAR LÄN</t>
        </is>
      </c>
      <c r="E114" t="inlineStr">
        <is>
          <t>BORGHOLM</t>
        </is>
      </c>
      <c r="G114" t="n">
        <v>1.6</v>
      </c>
      <c r="H114" t="n">
        <v>0</v>
      </c>
      <c r="I114" t="n">
        <v>0</v>
      </c>
      <c r="J114" t="n">
        <v>0</v>
      </c>
      <c r="K114" t="n">
        <v>0</v>
      </c>
      <c r="L114" t="n">
        <v>0</v>
      </c>
      <c r="M114" t="n">
        <v>0</v>
      </c>
      <c r="N114" t="n">
        <v>0</v>
      </c>
      <c r="O114" t="n">
        <v>0</v>
      </c>
      <c r="P114" t="n">
        <v>0</v>
      </c>
      <c r="Q114" t="n">
        <v>0</v>
      </c>
      <c r="R114" s="2" t="inlineStr"/>
    </row>
    <row r="115" ht="15" customHeight="1">
      <c r="A115" t="inlineStr">
        <is>
          <t>A 13043-2024</t>
        </is>
      </c>
      <c r="B115" s="1" t="n">
        <v>45385.60111111111</v>
      </c>
      <c r="C115" s="1" t="n">
        <v>45917</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row>
    <row r="116" ht="15" customHeight="1">
      <c r="A116" t="inlineStr">
        <is>
          <t>A 17978-2021</t>
        </is>
      </c>
      <c r="B116" s="1" t="n">
        <v>44301</v>
      </c>
      <c r="C116" s="1" t="n">
        <v>45917</v>
      </c>
      <c r="D116" t="inlineStr">
        <is>
          <t>KALMAR LÄN</t>
        </is>
      </c>
      <c r="E116" t="inlineStr">
        <is>
          <t>BORGHOLM</t>
        </is>
      </c>
      <c r="G116" t="n">
        <v>6</v>
      </c>
      <c r="H116" t="n">
        <v>0</v>
      </c>
      <c r="I116" t="n">
        <v>0</v>
      </c>
      <c r="J116" t="n">
        <v>0</v>
      </c>
      <c r="K116" t="n">
        <v>0</v>
      </c>
      <c r="L116" t="n">
        <v>0</v>
      </c>
      <c r="M116" t="n">
        <v>0</v>
      </c>
      <c r="N116" t="n">
        <v>0</v>
      </c>
      <c r="O116" t="n">
        <v>0</v>
      </c>
      <c r="P116" t="n">
        <v>0</v>
      </c>
      <c r="Q116" t="n">
        <v>0</v>
      </c>
      <c r="R116" s="2" t="inlineStr"/>
    </row>
    <row r="117" ht="15" customHeight="1">
      <c r="A117" t="inlineStr">
        <is>
          <t>A 22785-2025</t>
        </is>
      </c>
      <c r="B117" s="1" t="n">
        <v>45789.64186342592</v>
      </c>
      <c r="C117" s="1" t="n">
        <v>45917</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1757-2025</t>
        </is>
      </c>
      <c r="B118" s="1" t="n">
        <v>45671.42195601852</v>
      </c>
      <c r="C118" s="1" t="n">
        <v>45917</v>
      </c>
      <c r="D118" t="inlineStr">
        <is>
          <t>KALMAR LÄN</t>
        </is>
      </c>
      <c r="E118" t="inlineStr">
        <is>
          <t>BORGHOLM</t>
        </is>
      </c>
      <c r="G118" t="n">
        <v>1.4</v>
      </c>
      <c r="H118" t="n">
        <v>0</v>
      </c>
      <c r="I118" t="n">
        <v>0</v>
      </c>
      <c r="J118" t="n">
        <v>0</v>
      </c>
      <c r="K118" t="n">
        <v>0</v>
      </c>
      <c r="L118" t="n">
        <v>0</v>
      </c>
      <c r="M118" t="n">
        <v>0</v>
      </c>
      <c r="N118" t="n">
        <v>0</v>
      </c>
      <c r="O118" t="n">
        <v>0</v>
      </c>
      <c r="P118" t="n">
        <v>0</v>
      </c>
      <c r="Q118" t="n">
        <v>0</v>
      </c>
      <c r="R118" s="2" t="inlineStr"/>
    </row>
    <row r="119" ht="15" customHeight="1">
      <c r="A119" t="inlineStr">
        <is>
          <t>A 17699-2025</t>
        </is>
      </c>
      <c r="B119" s="1" t="n">
        <v>45758.41846064815</v>
      </c>
      <c r="C119" s="1" t="n">
        <v>45917</v>
      </c>
      <c r="D119" t="inlineStr">
        <is>
          <t>KALMAR LÄN</t>
        </is>
      </c>
      <c r="E119" t="inlineStr">
        <is>
          <t>BORGHOLM</t>
        </is>
      </c>
      <c r="G119" t="n">
        <v>0.7</v>
      </c>
      <c r="H119" t="n">
        <v>0</v>
      </c>
      <c r="I119" t="n">
        <v>0</v>
      </c>
      <c r="J119" t="n">
        <v>0</v>
      </c>
      <c r="K119" t="n">
        <v>0</v>
      </c>
      <c r="L119" t="n">
        <v>0</v>
      </c>
      <c r="M119" t="n">
        <v>0</v>
      </c>
      <c r="N119" t="n">
        <v>0</v>
      </c>
      <c r="O119" t="n">
        <v>0</v>
      </c>
      <c r="P119" t="n">
        <v>0</v>
      </c>
      <c r="Q119" t="n">
        <v>0</v>
      </c>
      <c r="R119" s="2" t="inlineStr"/>
    </row>
    <row r="120" ht="15" customHeight="1">
      <c r="A120" t="inlineStr">
        <is>
          <t>A 7669-2024</t>
        </is>
      </c>
      <c r="B120" s="1" t="n">
        <v>45348.82498842593</v>
      </c>
      <c r="C120" s="1" t="n">
        <v>45917</v>
      </c>
      <c r="D120" t="inlineStr">
        <is>
          <t>KALMAR LÄN</t>
        </is>
      </c>
      <c r="E120" t="inlineStr">
        <is>
          <t>BORGHOLM</t>
        </is>
      </c>
      <c r="G120" t="n">
        <v>2.3</v>
      </c>
      <c r="H120" t="n">
        <v>0</v>
      </c>
      <c r="I120" t="n">
        <v>0</v>
      </c>
      <c r="J120" t="n">
        <v>0</v>
      </c>
      <c r="K120" t="n">
        <v>0</v>
      </c>
      <c r="L120" t="n">
        <v>0</v>
      </c>
      <c r="M120" t="n">
        <v>0</v>
      </c>
      <c r="N120" t="n">
        <v>0</v>
      </c>
      <c r="O120" t="n">
        <v>0</v>
      </c>
      <c r="P120" t="n">
        <v>0</v>
      </c>
      <c r="Q120" t="n">
        <v>0</v>
      </c>
      <c r="R120" s="2" t="inlineStr"/>
    </row>
    <row r="121" ht="15" customHeight="1">
      <c r="A121" t="inlineStr">
        <is>
          <t>A 12534-2022</t>
        </is>
      </c>
      <c r="B121" s="1" t="n">
        <v>44638</v>
      </c>
      <c r="C121" s="1" t="n">
        <v>45917</v>
      </c>
      <c r="D121" t="inlineStr">
        <is>
          <t>KALMAR LÄN</t>
        </is>
      </c>
      <c r="E121" t="inlineStr">
        <is>
          <t>BORGHOLM</t>
        </is>
      </c>
      <c r="G121" t="n">
        <v>8.6</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45917</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55367-2024</t>
        </is>
      </c>
      <c r="B123" s="1" t="n">
        <v>45621.87075231481</v>
      </c>
      <c r="C123" s="1" t="n">
        <v>45917</v>
      </c>
      <c r="D123" t="inlineStr">
        <is>
          <t>KALMAR LÄN</t>
        </is>
      </c>
      <c r="E123" t="inlineStr">
        <is>
          <t>BORGHOLM</t>
        </is>
      </c>
      <c r="G123" t="n">
        <v>0.7</v>
      </c>
      <c r="H123" t="n">
        <v>0</v>
      </c>
      <c r="I123" t="n">
        <v>0</v>
      </c>
      <c r="J123" t="n">
        <v>0</v>
      </c>
      <c r="K123" t="n">
        <v>0</v>
      </c>
      <c r="L123" t="n">
        <v>0</v>
      </c>
      <c r="M123" t="n">
        <v>0</v>
      </c>
      <c r="N123" t="n">
        <v>0</v>
      </c>
      <c r="O123" t="n">
        <v>0</v>
      </c>
      <c r="P123" t="n">
        <v>0</v>
      </c>
      <c r="Q123" t="n">
        <v>0</v>
      </c>
      <c r="R123" s="2" t="inlineStr"/>
    </row>
    <row r="124" ht="15" customHeight="1">
      <c r="A124" t="inlineStr">
        <is>
          <t>A 20287-2025</t>
        </is>
      </c>
      <c r="B124" s="1" t="n">
        <v>45774.60741898148</v>
      </c>
      <c r="C124" s="1" t="n">
        <v>45917</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40339-2023</t>
        </is>
      </c>
      <c r="B125" s="1" t="n">
        <v>45169.62733796296</v>
      </c>
      <c r="C125" s="1" t="n">
        <v>45917</v>
      </c>
      <c r="D125" t="inlineStr">
        <is>
          <t>KALMAR LÄN</t>
        </is>
      </c>
      <c r="E125" t="inlineStr">
        <is>
          <t>BORGHOLM</t>
        </is>
      </c>
      <c r="G125" t="n">
        <v>3.8</v>
      </c>
      <c r="H125" t="n">
        <v>0</v>
      </c>
      <c r="I125" t="n">
        <v>0</v>
      </c>
      <c r="J125" t="n">
        <v>0</v>
      </c>
      <c r="K125" t="n">
        <v>0</v>
      </c>
      <c r="L125" t="n">
        <v>0</v>
      </c>
      <c r="M125" t="n">
        <v>0</v>
      </c>
      <c r="N125" t="n">
        <v>0</v>
      </c>
      <c r="O125" t="n">
        <v>0</v>
      </c>
      <c r="P125" t="n">
        <v>0</v>
      </c>
      <c r="Q125" t="n">
        <v>0</v>
      </c>
      <c r="R125" s="2" t="inlineStr"/>
    </row>
    <row r="126" ht="15" customHeight="1">
      <c r="A126" t="inlineStr">
        <is>
          <t>A 24166-2022</t>
        </is>
      </c>
      <c r="B126" s="1" t="n">
        <v>44725</v>
      </c>
      <c r="C126" s="1" t="n">
        <v>45917</v>
      </c>
      <c r="D126" t="inlineStr">
        <is>
          <t>KALMAR LÄN</t>
        </is>
      </c>
      <c r="E126" t="inlineStr">
        <is>
          <t>BORGHOLM</t>
        </is>
      </c>
      <c r="G126" t="n">
        <v>10.7</v>
      </c>
      <c r="H126" t="n">
        <v>0</v>
      </c>
      <c r="I126" t="n">
        <v>0</v>
      </c>
      <c r="J126" t="n">
        <v>0</v>
      </c>
      <c r="K126" t="n">
        <v>0</v>
      </c>
      <c r="L126" t="n">
        <v>0</v>
      </c>
      <c r="M126" t="n">
        <v>0</v>
      </c>
      <c r="N126" t="n">
        <v>0</v>
      </c>
      <c r="O126" t="n">
        <v>0</v>
      </c>
      <c r="P126" t="n">
        <v>0</v>
      </c>
      <c r="Q126" t="n">
        <v>0</v>
      </c>
      <c r="R126" s="2" t="inlineStr"/>
    </row>
    <row r="127" ht="15" customHeight="1">
      <c r="A127" t="inlineStr">
        <is>
          <t>A 9076-2025</t>
        </is>
      </c>
      <c r="B127" s="1" t="n">
        <v>45713.6596875</v>
      </c>
      <c r="C127" s="1" t="n">
        <v>45917</v>
      </c>
      <c r="D127" t="inlineStr">
        <is>
          <t>KALMAR LÄN</t>
        </is>
      </c>
      <c r="E127" t="inlineStr">
        <is>
          <t>BORGHOLM</t>
        </is>
      </c>
      <c r="F127" t="inlineStr">
        <is>
          <t>Sveaskog</t>
        </is>
      </c>
      <c r="G127" t="n">
        <v>4.2</v>
      </c>
      <c r="H127" t="n">
        <v>0</v>
      </c>
      <c r="I127" t="n">
        <v>0</v>
      </c>
      <c r="J127" t="n">
        <v>0</v>
      </c>
      <c r="K127" t="n">
        <v>0</v>
      </c>
      <c r="L127" t="n">
        <v>0</v>
      </c>
      <c r="M127" t="n">
        <v>0</v>
      </c>
      <c r="N127" t="n">
        <v>0</v>
      </c>
      <c r="O127" t="n">
        <v>0</v>
      </c>
      <c r="P127" t="n">
        <v>0</v>
      </c>
      <c r="Q127" t="n">
        <v>0</v>
      </c>
      <c r="R127" s="2" t="inlineStr"/>
    </row>
    <row r="128">
      <c r="A128" t="inlineStr">
        <is>
          <t>A 32919-2023</t>
        </is>
      </c>
      <c r="B128" s="1" t="n">
        <v>45125</v>
      </c>
      <c r="C128" s="1" t="n">
        <v>45917</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2025-09-17T09:00:54Z</dcterms:created>
  <dcterms:modified xmlns:dcterms="http://purl.org/dc/terms/" xmlns:xsi="http://www.w3.org/2001/XMLSchema-instance" xsi:type="dcterms:W3CDTF">2025-09-17T09:00:54Z</dcterms:modified>
</cp:coreProperties>
</file>