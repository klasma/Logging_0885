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46266</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46266</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46266</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46266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46266</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31516-2026</t>
        </is>
      </c>
      <c r="B25" t="inlineStr">
        <is>
          <t>avverkningsanmälan</t>
        </is>
      </c>
      <c r="C25" t="inlineStr">
        <is>
          <t>Avverkning för att bevara och utveckla /försöksver</t>
        </is>
      </c>
      <c r="D25" s="1" t="n">
        <v>46223</v>
      </c>
      <c r="E25" s="1" t="n">
        <v>46266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46266</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31515-2026</t>
        </is>
      </c>
      <c r="B27" t="inlineStr">
        <is>
          <t>avverkningsanmälan</t>
        </is>
      </c>
      <c r="C27" t="inlineStr">
        <is>
          <t>Avverkning för att bevara och utveckla /försöksver</t>
        </is>
      </c>
      <c r="D27" s="1" t="n">
        <v>46223</v>
      </c>
      <c r="E27" s="1" t="n">
        <v>46266</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31515-2026 artfynd.xlsx", "A 31515-2026")</f>
        <v/>
      </c>
      <c r="X27">
        <f>HYPERLINK("https://klasma.github.io/Logging_0885/kartor/A 31515-2026 karta.png", "A 31515-2026")</f>
        <v/>
      </c>
      <c r="Y27">
        <f>HYPERLINK("https://klasma.github.io/Logging_0885/kartor_geotiff/A 31515-2026 georefererad karta.tif", "A 31515-2026")</f>
        <v/>
      </c>
      <c r="AA27">
        <f>HYPERLINK("https://klasma.github.io/Logging_0885/klagomål/A 31515-2026 FSC-klagomål.docx", "A 31515-2026")</f>
        <v/>
      </c>
      <c r="AB27">
        <f>HYPERLINK("https://klasma.github.io/Logging_0885/klagomålsmail/A 31515-2026 FSC-klagomål mail.docx", "A 31515-2026")</f>
        <v/>
      </c>
      <c r="AC27">
        <f>HYPERLINK("https://klasma.github.io/Logging_0885/tillsyn/A 31515-2026 tillsynsbegäran.docx", "A 31515-2026")</f>
        <v/>
      </c>
      <c r="AD27">
        <f>HYPERLINK("https://klasma.github.io/Logging_0885/tillsynsmail/A 31515-2026 tillsynsbegäran mail.docx", "A 31515-2026")</f>
        <v/>
      </c>
    </row>
    <row r="28" ht="15" customHeight="1">
      <c r="A28" t="inlineStr">
        <is>
          <t>S 2741-2022</t>
        </is>
      </c>
      <c r="B28" t="inlineStr">
        <is>
          <t>samrådsanmälan</t>
        </is>
      </c>
      <c r="C28" t="inlineStr">
        <is>
          <t>Annan skogsbruksåtgärd</t>
        </is>
      </c>
      <c r="D28" s="1" t="n">
        <v>44704</v>
      </c>
      <c r="E28" s="1" t="n">
        <v>46266</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46266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46266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46266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46266</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46266</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16171-2023</t>
        </is>
      </c>
      <c r="B34" t="inlineStr">
        <is>
          <t>avverkningsanmälan</t>
        </is>
      </c>
      <c r="C34" t="inlineStr">
        <is>
          <t>Föryngringsavverkning</t>
        </is>
      </c>
      <c r="D34" s="1" t="n">
        <v>45027</v>
      </c>
      <c r="E34" s="1" t="n">
        <v>46266</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27298-2026</t>
        </is>
      </c>
      <c r="B35" t="inlineStr">
        <is>
          <t>avverkningsanmälan</t>
        </is>
      </c>
      <c r="C35" t="inlineStr">
        <is>
          <t>Avverkning för att bevara och utveckla /försöksver</t>
        </is>
      </c>
      <c r="D35" s="1" t="n">
        <v>46188</v>
      </c>
      <c r="E35" s="1" t="n">
        <v>46266</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46266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46266</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46266</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46266</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46266</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46266</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4164-2023</t>
        </is>
      </c>
      <c r="B44" t="inlineStr">
        <is>
          <t>avverkningsanmälan</t>
        </is>
      </c>
      <c r="C44" t="inlineStr">
        <is>
          <t>Föryngringsavverkning</t>
        </is>
      </c>
      <c r="D44" s="1" t="n">
        <v>44953</v>
      </c>
      <c r="E44" s="1" t="n">
        <v>46266</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21797-2024</t>
        </is>
      </c>
      <c r="B45" t="inlineStr">
        <is>
          <t>avverkningsanmälan</t>
        </is>
      </c>
      <c r="C45" t="inlineStr">
        <is>
          <t>Föryngringsavverkning</t>
        </is>
      </c>
      <c r="D45" s="1" t="n">
        <v>45442</v>
      </c>
      <c r="E45" s="1" t="n">
        <v>46266</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46266</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46266</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46266</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46266</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46266</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24048-2025</t>
        </is>
      </c>
      <c r="B51" t="inlineStr">
        <is>
          <t>avverkningsanmälan</t>
        </is>
      </c>
      <c r="C51" t="inlineStr">
        <is>
          <t>Föryngringsavverkning</t>
        </is>
      </c>
      <c r="D51" s="1" t="n">
        <v>45796</v>
      </c>
      <c r="E51" s="1" t="n">
        <v>46266</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43542-2025</t>
        </is>
      </c>
      <c r="B52" t="inlineStr">
        <is>
          <t>avverkningsanmälan</t>
        </is>
      </c>
      <c r="C52" t="inlineStr">
        <is>
          <t>Föryngringsavverkning</t>
        </is>
      </c>
      <c r="D52" s="1" t="n">
        <v>45911</v>
      </c>
      <c r="E52" s="1" t="n">
        <v>46266</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46266</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46266</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46266</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46266</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46266</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31520-2026</t>
        </is>
      </c>
      <c r="B58" t="inlineStr">
        <is>
          <t>avverkningsanmälan</t>
        </is>
      </c>
      <c r="C58" t="inlineStr">
        <is>
          <t>Avverkning för att bevara och utveckla /försöksver</t>
        </is>
      </c>
      <c r="D58" s="1" t="n">
        <v>46223</v>
      </c>
      <c r="E58" s="1" t="n">
        <v>46266</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S 846-2026</t>
        </is>
      </c>
      <c r="B59" t="inlineStr">
        <is>
          <t>samrådsanmälan</t>
        </is>
      </c>
      <c r="C59" t="inlineStr">
        <is>
          <t>Annan skogsbruksåtgärd</t>
        </is>
      </c>
      <c r="D59" s="1" t="n">
        <v>46105</v>
      </c>
      <c r="E59" s="1" t="n">
        <v>46266</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46266</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46266</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46266</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46266</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46266</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60141-2025</t>
        </is>
      </c>
      <c r="B65" t="inlineStr">
        <is>
          <t>avverkningsanmälan</t>
        </is>
      </c>
      <c r="C65" t="inlineStr">
        <is>
          <t>Föryngringsavverkning</t>
        </is>
      </c>
      <c r="D65" s="1" t="n">
        <v>45994</v>
      </c>
      <c r="E65" s="1" t="n">
        <v>46266</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46266</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9253-2026</t>
        </is>
      </c>
      <c r="B67" t="inlineStr">
        <is>
          <t>avverkningsanmälan</t>
        </is>
      </c>
      <c r="C67" t="inlineStr">
        <is>
          <t>Föryngringsavverkning</t>
        </is>
      </c>
      <c r="D67" s="1" t="n">
        <v>46070</v>
      </c>
      <c r="E67" s="1" t="n">
        <v>46266</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44678-2022</t>
        </is>
      </c>
      <c r="B68" t="inlineStr">
        <is>
          <t>avverkningsanmälan</t>
        </is>
      </c>
      <c r="C68" t="inlineStr">
        <is>
          <t>Föryngringsavverkning</t>
        </is>
      </c>
      <c r="D68" s="1" t="n">
        <v>44840</v>
      </c>
      <c r="E68" s="1" t="n">
        <v>46266</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50129-2021</t>
        </is>
      </c>
      <c r="B69" t="inlineStr">
        <is>
          <t>avverkningsanmälan</t>
        </is>
      </c>
      <c r="C69" t="inlineStr">
        <is>
          <t>Avverkning för annat ändamål</t>
        </is>
      </c>
      <c r="D69" s="1" t="n">
        <v>44456</v>
      </c>
      <c r="E69" s="1" t="n">
        <v>46266</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24322-2026</t>
        </is>
      </c>
      <c r="B70" t="inlineStr">
        <is>
          <t>avverkningsanmälan</t>
        </is>
      </c>
      <c r="C70" t="inlineStr">
        <is>
          <t>Föryngringsavverkning</t>
        </is>
      </c>
      <c r="D70" s="1" t="n">
        <v>46169</v>
      </c>
      <c r="E70" s="1" t="n">
        <v>46266</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17699-2025</t>
        </is>
      </c>
      <c r="B71" t="inlineStr">
        <is>
          <t>avverkningsanmälan</t>
        </is>
      </c>
      <c r="C71" t="inlineStr">
        <is>
          <t>Föryngringsavverkning</t>
        </is>
      </c>
      <c r="D71" s="1" t="n">
        <v>45758</v>
      </c>
      <c r="E71" s="1" t="n">
        <v>46266</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29411-2026</t>
        </is>
      </c>
      <c r="B72" t="inlineStr">
        <is>
          <t>avverkningsanmälan</t>
        </is>
      </c>
      <c r="C72" t="inlineStr">
        <is>
          <t>Avverkning för att bevara och utveckla /försöksver</t>
        </is>
      </c>
      <c r="D72" s="1" t="n">
        <v>46203</v>
      </c>
      <c r="E72" s="1" t="n">
        <v>46266</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46266</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46266</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46266</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46266</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46266</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46266</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46266</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46266</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46266</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28785-2025</t>
        </is>
      </c>
      <c r="B82" t="inlineStr">
        <is>
          <t>avverkningsanmälan</t>
        </is>
      </c>
      <c r="C82" t="inlineStr">
        <is>
          <t>Avverkning för att bevara och utveckla /försöksver</t>
        </is>
      </c>
      <c r="D82" s="1" t="n">
        <v>45820</v>
      </c>
      <c r="E82" s="1" t="n">
        <v>46266</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46266</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63276-2023</t>
        </is>
      </c>
      <c r="B84" t="inlineStr">
        <is>
          <t>avverkningsanmälan</t>
        </is>
      </c>
      <c r="C84" t="inlineStr">
        <is>
          <t>Föryngringsavverkning</t>
        </is>
      </c>
      <c r="D84" s="1" t="n">
        <v>45273</v>
      </c>
      <c r="E84" s="1" t="n">
        <v>46266</v>
      </c>
      <c r="F84" t="inlineStr">
        <is>
          <t>KALMAR LÄN</t>
        </is>
      </c>
      <c r="G84" t="inlineStr">
        <is>
          <t>BORGHOLM</t>
        </is>
      </c>
      <c r="I84" t="n">
        <v>5</v>
      </c>
      <c r="J84" t="n">
        <v>0</v>
      </c>
      <c r="K84" t="n">
        <v>0</v>
      </c>
      <c r="L84" t="n">
        <v>0</v>
      </c>
      <c r="M84" t="n">
        <v>1</v>
      </c>
      <c r="N84" t="n">
        <v>0</v>
      </c>
      <c r="O84" t="n">
        <v>0</v>
      </c>
      <c r="P84" t="n">
        <v>0</v>
      </c>
      <c r="Q84" t="n">
        <v>1</v>
      </c>
      <c r="R84" t="n">
        <v>1</v>
      </c>
      <c r="S84" t="n">
        <v>1</v>
      </c>
      <c r="T84" t="n">
        <v>1</v>
      </c>
      <c r="U84" t="n">
        <v>0</v>
      </c>
      <c r="V84" s="2" t="inlineStr">
        <is>
          <t>Elaphomyces barrioi</t>
        </is>
      </c>
      <c r="W84">
        <f>HYPERLINK("https://klasma.github.io/Logging_0885/artfynd/A 63276-2023 artfynd.xlsx", "A 63276-2023")</f>
        <v/>
      </c>
      <c r="X84">
        <f>HYPERLINK("https://klasma.github.io/Logging_0885/kartor/A 63276-2023 karta.png", "A 63276-2023")</f>
        <v/>
      </c>
      <c r="Y84">
        <f>HYPERLINK("https://klasma.github.io/Logging_0885/kartor_geotiff/A 63276-2023 georefererad karta.tif", "A 63276-2023")</f>
        <v/>
      </c>
      <c r="AA84">
        <f>HYPERLINK("https://klasma.github.io/Logging_0885/klagomål/A 63276-2023 FSC-klagomål.docx", "A 63276-2023")</f>
        <v/>
      </c>
      <c r="AB84">
        <f>HYPERLINK("https://klasma.github.io/Logging_0885/klagomålsmail/A 63276-2023 FSC-klagomål mail.docx", "A 63276-2023")</f>
        <v/>
      </c>
      <c r="AC84">
        <f>HYPERLINK("https://klasma.github.io/Logging_0885/tillsyn/A 63276-2023 tillsynsbegäran.docx", "A 63276-2023")</f>
        <v/>
      </c>
      <c r="AD84">
        <f>HYPERLINK("https://klasma.github.io/Logging_0885/tillsynsmail/A 63276-2023 tillsynsbegäran mail.docx", "A 63276-2023")</f>
        <v/>
      </c>
    </row>
    <row r="85" ht="15" customHeight="1">
      <c r="A85" t="inlineStr">
        <is>
          <t>A 24704-2023</t>
        </is>
      </c>
      <c r="B85" t="inlineStr">
        <is>
          <t>avverkningsanmälan</t>
        </is>
      </c>
      <c r="C85" t="inlineStr">
        <is>
          <t>Föryngringsavverkning</t>
        </is>
      </c>
      <c r="D85" s="1" t="n">
        <v>45084</v>
      </c>
      <c r="E85" s="1" t="n">
        <v>46266</v>
      </c>
      <c r="F85" t="inlineStr">
        <is>
          <t>KALMAR LÄN</t>
        </is>
      </c>
      <c r="G85" t="inlineStr">
        <is>
          <t>BORGHOLM</t>
        </is>
      </c>
      <c r="I85" t="n">
        <v>3.5</v>
      </c>
      <c r="J85" t="n">
        <v>0</v>
      </c>
      <c r="K85" t="n">
        <v>0</v>
      </c>
      <c r="L85" t="n">
        <v>0</v>
      </c>
      <c r="M85" t="n">
        <v>0</v>
      </c>
      <c r="N85" t="n">
        <v>1</v>
      </c>
      <c r="O85" t="n">
        <v>0</v>
      </c>
      <c r="P85" t="n">
        <v>0</v>
      </c>
      <c r="Q85" t="n">
        <v>1</v>
      </c>
      <c r="R85" t="n">
        <v>1</v>
      </c>
      <c r="S85" t="n">
        <v>1</v>
      </c>
      <c r="T85" t="n">
        <v>2</v>
      </c>
      <c r="U85" t="n">
        <v>0</v>
      </c>
      <c r="V85" s="2" t="inlineStr">
        <is>
          <t>Ask</t>
        </is>
      </c>
      <c r="W85">
        <f>HYPERLINK("https://klasma.github.io/Logging_0885/artfynd/A 24704-2023 artfynd.xlsx", "A 24704-2023")</f>
        <v/>
      </c>
      <c r="X85">
        <f>HYPERLINK("https://klasma.github.io/Logging_0885/kartor/A 24704-2023 karta.png", "A 24704-2023")</f>
        <v/>
      </c>
      <c r="Y85">
        <f>HYPERLINK("https://klasma.github.io/Logging_0885/kartor_geotiff/A 24704-2023 georefererad karta.tif", "A 24704-2023")</f>
        <v/>
      </c>
      <c r="AA85">
        <f>HYPERLINK("https://klasma.github.io/Logging_0885/klagomål/A 24704-2023 FSC-klagomål.docx", "A 24704-2023")</f>
        <v/>
      </c>
      <c r="AB85">
        <f>HYPERLINK("https://klasma.github.io/Logging_0885/klagomålsmail/A 24704-2023 FSC-klagomål mail.docx", "A 24704-2023")</f>
        <v/>
      </c>
      <c r="AC85">
        <f>HYPERLINK("https://klasma.github.io/Logging_0885/tillsyn/A 24704-2023 tillsynsbegäran.docx", "A 24704-2023")</f>
        <v/>
      </c>
      <c r="AD85">
        <f>HYPERLINK("https://klasma.github.io/Logging_0885/tillsynsmail/A 24704-2023 tillsynsbegäran mail.docx", "A 24704-2023")</f>
        <v/>
      </c>
    </row>
    <row r="86" ht="15" customHeight="1">
      <c r="A86" t="inlineStr">
        <is>
          <t>A 9745-2023</t>
        </is>
      </c>
      <c r="B86" t="inlineStr">
        <is>
          <t>avverkningsanmälan</t>
        </is>
      </c>
      <c r="C86" t="inlineStr">
        <is>
          <t>Föryngringsavverkning</t>
        </is>
      </c>
      <c r="D86" s="1" t="n">
        <v>44984</v>
      </c>
      <c r="E86" s="1" t="n">
        <v>46266</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3302-2026</t>
        </is>
      </c>
      <c r="B87" t="inlineStr">
        <is>
          <t>avverkningsanmälan</t>
        </is>
      </c>
      <c r="C87" t="inlineStr">
        <is>
          <t>Avverkning för annat ändamål</t>
        </is>
      </c>
      <c r="D87" s="1" t="n">
        <v>46041</v>
      </c>
      <c r="E87" s="1" t="n">
        <v>46266</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7481-2026</t>
        </is>
      </c>
      <c r="B88" t="inlineStr">
        <is>
          <t>avverkningsanmälan</t>
        </is>
      </c>
      <c r="C88" t="inlineStr">
        <is>
          <t>Föryngringsavverkning</t>
        </is>
      </c>
      <c r="D88" s="1" t="n">
        <v>46059</v>
      </c>
      <c r="E88" s="1" t="n">
        <v>46266</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46266</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46266</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31720-2022</t>
        </is>
      </c>
      <c r="B91" t="inlineStr">
        <is>
          <t>avverkningsanmälan</t>
        </is>
      </c>
      <c r="C91" t="inlineStr">
        <is>
          <t>Föryngringsavverkning</t>
        </is>
      </c>
      <c r="D91" s="1" t="n">
        <v>44776</v>
      </c>
      <c r="E91" s="1" t="n">
        <v>46266</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46266</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13043-2024</t>
        </is>
      </c>
      <c r="B93" t="inlineStr">
        <is>
          <t>avverkningsanmälan</t>
        </is>
      </c>
      <c r="C93" t="inlineStr">
        <is>
          <t>Föryngringsavverkning</t>
        </is>
      </c>
      <c r="D93" s="1" t="n">
        <v>45385</v>
      </c>
      <c r="E93" s="1" t="n">
        <v>46266</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20878-2024</t>
        </is>
      </c>
      <c r="B94" t="inlineStr">
        <is>
          <t>avverkningsanmälan</t>
        </is>
      </c>
      <c r="C94" t="inlineStr">
        <is>
          <t>Föryngringsavverkning</t>
        </is>
      </c>
      <c r="D94" s="1" t="n">
        <v>45439</v>
      </c>
      <c r="E94" s="1" t="n">
        <v>46266</v>
      </c>
      <c r="F94" t="inlineStr">
        <is>
          <t>KALMAR LÄN</t>
        </is>
      </c>
      <c r="G94" t="inlineStr">
        <is>
          <t>BORGHOLM</t>
        </is>
      </c>
      <c r="I94" t="n">
        <v>1.9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HYPERLINK("https://klasma.github.io/Logging_0885/artfynd/A 20878-2024 artfynd.xlsx", "A 20878-2024")</f>
        <v/>
      </c>
      <c r="X94">
        <f>HYPERLINK("https://klasma.github.io/Logging_0885/kartor/A 20878-2024 karta.png", "A 20878-2024")</f>
        <v/>
      </c>
      <c r="Y94">
        <f>HYPERLINK("https://klasma.github.io/Logging_0885/kartor_geotiff/A 20878-2024 georefererad karta.tif", "A 20878-2024")</f>
        <v/>
      </c>
      <c r="AA94">
        <f>HYPERLINK("https://klasma.github.io/Logging_0885/klagomål/A 20878-2024 FSC-klagomål.docx", "A 20878-2024")</f>
        <v/>
      </c>
      <c r="AB94">
        <f>HYPERLINK("https://klasma.github.io/Logging_0885/klagomålsmail/A 20878-2024 FSC-klagomål mail.docx", "A 20878-2024")</f>
        <v/>
      </c>
      <c r="AC94">
        <f>HYPERLINK("https://klasma.github.io/Logging_0885/tillsyn/A 20878-2024 tillsynsbegäran.docx", "A 20878-2024")</f>
        <v/>
      </c>
      <c r="AD94">
        <f>HYPERLINK("https://klasma.github.io/Logging_0885/tillsynsmail/A 20878-2024 tillsynsbegäran mail.docx", "A 20878-2024")</f>
        <v/>
      </c>
    </row>
    <row r="95" ht="15" customHeight="1">
      <c r="A95" t="inlineStr">
        <is>
          <t>A 26840-2026</t>
        </is>
      </c>
      <c r="B95" t="inlineStr">
        <is>
          <t>avverkningsanmälan</t>
        </is>
      </c>
      <c r="C95" t="inlineStr">
        <is>
          <t>Avverkning för att bevara och utveckla /försöksver</t>
        </is>
      </c>
      <c r="D95" s="1" t="n">
        <v>46185</v>
      </c>
      <c r="E95" s="1" t="n">
        <v>46266</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46266</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46266</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33293-2026</t>
        </is>
      </c>
      <c r="B98" t="inlineStr">
        <is>
          <t>avverkningsanmälan</t>
        </is>
      </c>
      <c r="C98" t="inlineStr">
        <is>
          <t>Avverkning för att bevara och utveckla /försöksver</t>
        </is>
      </c>
      <c r="D98" s="1" t="n">
        <v>46246</v>
      </c>
      <c r="E98" s="1" t="n">
        <v>46266</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46266</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46266</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46266</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46266</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46266</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46266</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46266</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46266</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46266</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46266</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46266</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46266</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46266</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46266</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46266</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46266</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46266</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46266</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46266</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26190-2025</t>
        </is>
      </c>
      <c r="B118" t="inlineStr">
        <is>
          <t>avverkningsanmälan</t>
        </is>
      </c>
      <c r="C118" t="inlineStr">
        <is>
          <t>Föryngringsavverkning</t>
        </is>
      </c>
      <c r="D118" s="1" t="n">
        <v>45805</v>
      </c>
      <c r="E118" s="1" t="n">
        <v>46266</v>
      </c>
      <c r="F118" t="inlineStr">
        <is>
          <t>KALMAR LÄN</t>
        </is>
      </c>
      <c r="G118" t="inlineStr">
        <is>
          <t>BORGHOLM</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64303-2023</t>
        </is>
      </c>
      <c r="B119" t="inlineStr">
        <is>
          <t>avverkningsanmälan</t>
        </is>
      </c>
      <c r="C119" t="inlineStr">
        <is>
          <t>Avverkning för annat ändamål</t>
        </is>
      </c>
      <c r="D119" s="1" t="n">
        <v>45280</v>
      </c>
      <c r="E119" s="1" t="n">
        <v>46266</v>
      </c>
      <c r="F119" t="inlineStr">
        <is>
          <t>KALMAR LÄN</t>
        </is>
      </c>
      <c r="G119" t="inlineStr">
        <is>
          <t>BORGHOLM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46266</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46266</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55367-2024</t>
        </is>
      </c>
      <c r="B122" t="inlineStr">
        <is>
          <t>avverkningsanmälan</t>
        </is>
      </c>
      <c r="C122" t="inlineStr">
        <is>
          <t>Föryngringsavverkning</t>
        </is>
      </c>
      <c r="D122" s="1" t="n">
        <v>45621</v>
      </c>
      <c r="E122" s="1" t="n">
        <v>46266</v>
      </c>
      <c r="F122" t="inlineStr">
        <is>
          <t>KALMAR LÄN</t>
        </is>
      </c>
      <c r="G122" t="inlineStr">
        <is>
          <t>BORGHOLM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46266</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46266</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46266</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46266</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46266</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46266</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46266</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9050-2025</t>
        </is>
      </c>
      <c r="B130" t="inlineStr">
        <is>
          <t>avverkningsanmälan</t>
        </is>
      </c>
      <c r="C130" t="inlineStr">
        <is>
          <t>Avverkning för att bevara och utveckla /försöksver</t>
        </is>
      </c>
      <c r="D130" s="1" t="n">
        <v>45713</v>
      </c>
      <c r="E130" s="1" t="n">
        <v>46266</v>
      </c>
      <c r="F130" t="inlineStr">
        <is>
          <t>KALMAR LÄN</t>
        </is>
      </c>
      <c r="G130" t="inlineStr">
        <is>
          <t>BORGHOLM</t>
        </is>
      </c>
      <c r="H130" t="inlineStr">
        <is>
          <t>Sveaskog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46266</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9259-2026</t>
        </is>
      </c>
      <c r="B132" t="inlineStr">
        <is>
          <t>avverkningsanmälan</t>
        </is>
      </c>
      <c r="C132" t="inlineStr">
        <is>
          <t>Föryngringsavverkning</t>
        </is>
      </c>
      <c r="D132" s="1" t="n">
        <v>46070</v>
      </c>
      <c r="E132" s="1" t="n">
        <v>46266</v>
      </c>
      <c r="F132" t="inlineStr">
        <is>
          <t>KALMAR LÄN</t>
        </is>
      </c>
      <c r="G132" t="inlineStr">
        <is>
          <t>BORGHOLM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15272-2026</t>
        </is>
      </c>
      <c r="B133" t="inlineStr">
        <is>
          <t>avverkningsanmälan</t>
        </is>
      </c>
      <c r="C133" t="inlineStr">
        <is>
          <t>Avverkning för att bevara och utveckla /försöksver</t>
        </is>
      </c>
      <c r="D133" s="1" t="n">
        <v>46105</v>
      </c>
      <c r="E133" s="1" t="n">
        <v>46266</v>
      </c>
      <c r="F133" t="inlineStr">
        <is>
          <t>KALMAR LÄN</t>
        </is>
      </c>
      <c r="G133" t="inlineStr">
        <is>
          <t>BORGHOLM</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15279-2026</t>
        </is>
      </c>
      <c r="B134" t="inlineStr">
        <is>
          <t>avverkningsanmälan</t>
        </is>
      </c>
      <c r="C134" t="inlineStr">
        <is>
          <t>Avverkning för att bevara och utveckla /försöksver</t>
        </is>
      </c>
      <c r="D134" s="1" t="n">
        <v>46105</v>
      </c>
      <c r="E134" s="1" t="n">
        <v>46266</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46266</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46266</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46266</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46266</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46266</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61438-2023</t>
        </is>
      </c>
      <c r="B140" t="inlineStr">
        <is>
          <t>avverkningsanmälan</t>
        </is>
      </c>
      <c r="C140" t="inlineStr">
        <is>
          <t>Avverkning för annat ändamål</t>
        </is>
      </c>
      <c r="D140" s="1" t="n">
        <v>45264</v>
      </c>
      <c r="E140" s="1" t="n">
        <v>46266</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13041-2024</t>
        </is>
      </c>
      <c r="B141" t="inlineStr">
        <is>
          <t>avverkningsanmälan</t>
        </is>
      </c>
      <c r="C141" t="inlineStr">
        <is>
          <t>Föryngringsavverkning</t>
        </is>
      </c>
      <c r="D141" s="1" t="n">
        <v>45385</v>
      </c>
      <c r="E141" s="1" t="n">
        <v>46266</v>
      </c>
      <c r="F141" t="inlineStr">
        <is>
          <t>KALMAR LÄN</t>
        </is>
      </c>
      <c r="G141" t="inlineStr">
        <is>
          <t>BORGHOLM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53050-2021</t>
        </is>
      </c>
      <c r="B142" t="inlineStr">
        <is>
          <t>avverkningsanmälan</t>
        </is>
      </c>
      <c r="C142" t="inlineStr">
        <is>
          <t>Föryngringsavverkning</t>
        </is>
      </c>
      <c r="D142" s="1" t="n">
        <v>44467</v>
      </c>
      <c r="E142" s="1" t="n">
        <v>46266</v>
      </c>
      <c r="F142" t="inlineStr">
        <is>
          <t>KALMAR LÄN</t>
        </is>
      </c>
      <c r="G142" t="inlineStr">
        <is>
          <t>BORGHOLM</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4165-2023</t>
        </is>
      </c>
      <c r="B143" t="inlineStr">
        <is>
          <t>avverkningsanmälan</t>
        </is>
      </c>
      <c r="C143" t="inlineStr">
        <is>
          <t>Föryngringsavverkning</t>
        </is>
      </c>
      <c r="D143" s="1" t="n">
        <v>44953</v>
      </c>
      <c r="E143" s="1" t="n">
        <v>46266</v>
      </c>
      <c r="F143" t="inlineStr">
        <is>
          <t>KALMAR LÄN</t>
        </is>
      </c>
      <c r="G143" t="inlineStr">
        <is>
          <t>BORGHOLM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27357-2025</t>
        </is>
      </c>
      <c r="B144" t="inlineStr">
        <is>
          <t>avverkningsanmälan</t>
        </is>
      </c>
      <c r="C144" t="inlineStr">
        <is>
          <t>Avverkning för att bevara och utveckla /försöksver</t>
        </is>
      </c>
      <c r="D144" s="1" t="n">
        <v>45812</v>
      </c>
      <c r="E144" s="1" t="n">
        <v>46266</v>
      </c>
      <c r="F144" t="inlineStr">
        <is>
          <t>KALMAR LÄN</t>
        </is>
      </c>
      <c r="G144" t="inlineStr">
        <is>
          <t>BORGHOLM</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7669-2024</t>
        </is>
      </c>
      <c r="B145" t="inlineStr">
        <is>
          <t>avverkningsanmälan</t>
        </is>
      </c>
      <c r="C145" t="inlineStr">
        <is>
          <t>Föryngringsavverkning</t>
        </is>
      </c>
      <c r="D145" s="1" t="n">
        <v>45348</v>
      </c>
      <c r="E145" s="1" t="n">
        <v>46266</v>
      </c>
      <c r="F145" t="inlineStr">
        <is>
          <t>KALMAR LÄN</t>
        </is>
      </c>
      <c r="G145" t="inlineStr">
        <is>
          <t>BORGHOLM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34780-2022</t>
        </is>
      </c>
      <c r="B146" t="inlineStr">
        <is>
          <t>avverkningsanmälan</t>
        </is>
      </c>
      <c r="C146" t="inlineStr">
        <is>
          <t>Föryngringsavverkning</t>
        </is>
      </c>
      <c r="D146" s="1" t="n">
        <v>44795</v>
      </c>
      <c r="E146" s="1" t="n">
        <v>46266</v>
      </c>
      <c r="F146" t="inlineStr">
        <is>
          <t>KALMAR LÄN</t>
        </is>
      </c>
      <c r="G146" t="inlineStr">
        <is>
          <t>BORGHOLM</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24323-2026</t>
        </is>
      </c>
      <c r="B147" t="inlineStr">
        <is>
          <t>avverkningsanmälan</t>
        </is>
      </c>
      <c r="C147" t="inlineStr">
        <is>
          <t>Föryngringsavverkning</t>
        </is>
      </c>
      <c r="D147" s="1" t="n">
        <v>46169</v>
      </c>
      <c r="E147" s="1" t="n">
        <v>46266</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24345-2026</t>
        </is>
      </c>
      <c r="B148" t="inlineStr">
        <is>
          <t>avverkningsanmälan</t>
        </is>
      </c>
      <c r="C148" t="inlineStr">
        <is>
          <t>Avverkning för att bevara och utveckla /försöksver</t>
        </is>
      </c>
      <c r="D148" s="1" t="n">
        <v>46169</v>
      </c>
      <c r="E148" s="1" t="n">
        <v>46266</v>
      </c>
      <c r="F148" t="inlineStr">
        <is>
          <t>KALMAR LÄN</t>
        </is>
      </c>
      <c r="G148" t="inlineStr">
        <is>
          <t>BORGHOLM</t>
        </is>
      </c>
      <c r="H148" t="inlineStr">
        <is>
          <t>Sveaskog</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24338-2026</t>
        </is>
      </c>
      <c r="B149" t="inlineStr">
        <is>
          <t>avverkningsanmälan</t>
        </is>
      </c>
      <c r="C149" t="inlineStr">
        <is>
          <t>Avverkning för att bevara och utveckla /försöksver</t>
        </is>
      </c>
      <c r="D149" s="1" t="n">
        <v>46169</v>
      </c>
      <c r="E149" s="1" t="n">
        <v>46266</v>
      </c>
      <c r="F149" t="inlineStr">
        <is>
          <t>KALMAR LÄN</t>
        </is>
      </c>
      <c r="G149" t="inlineStr">
        <is>
          <t>BORGHOLM</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20287-2025</t>
        </is>
      </c>
      <c r="B150" t="inlineStr">
        <is>
          <t>avverkningsanmälan</t>
        </is>
      </c>
      <c r="C150" t="inlineStr">
        <is>
          <t>Avverkning för att bevara och utveckla /försöksver</t>
        </is>
      </c>
      <c r="D150" s="1" t="n">
        <v>45774</v>
      </c>
      <c r="E150" s="1" t="n">
        <v>46266</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26160-2024</t>
        </is>
      </c>
      <c r="B151" t="inlineStr">
        <is>
          <t>avverkningsanmälan</t>
        </is>
      </c>
      <c r="C151" t="inlineStr">
        <is>
          <t>Avverkning för annat ändamål</t>
        </is>
      </c>
      <c r="D151" s="1" t="n">
        <v>45468</v>
      </c>
      <c r="E151" s="1" t="n">
        <v>46266</v>
      </c>
      <c r="F151" t="inlineStr">
        <is>
          <t>KALMAR LÄN</t>
        </is>
      </c>
      <c r="G151" t="inlineStr">
        <is>
          <t>BORGHOLM</t>
        </is>
      </c>
      <c r="I151" t="n">
        <v>0.4</v>
      </c>
      <c r="J151" t="n">
        <v>0</v>
      </c>
      <c r="K151" t="n">
        <v>0</v>
      </c>
      <c r="L151" t="n">
        <v>0</v>
      </c>
      <c r="M151" t="n">
        <v>0</v>
      </c>
      <c r="N151" t="n">
        <v>0</v>
      </c>
      <c r="O151" t="n">
        <v>0</v>
      </c>
      <c r="P151" t="n">
        <v>0</v>
      </c>
      <c r="Q151" t="n">
        <v>0</v>
      </c>
      <c r="R151" t="n">
        <v>0</v>
      </c>
      <c r="S151" t="n">
        <v>0</v>
      </c>
      <c r="T151" t="n">
        <v>0</v>
      </c>
      <c r="U151" t="n">
        <v>0</v>
      </c>
      <c r="V151" s="2" t="inlineStr"/>
      <c r="X151">
        <f>HYPERLINK("https://klasma.github.io/Logging_0885/kartor/A 26160-2024 karta.png", "A 26160-2024")</f>
        <v/>
      </c>
      <c r="Y151">
        <f>HYPERLINK("https://klasma.github.io/Logging_0885/kartor_geotiff/A 26160-2024 georefererad karta.tif", "A 26160-2024")</f>
        <v/>
      </c>
      <c r="AA151">
        <f>HYPERLINK("https://klasma.github.io/Logging_0885/klagomål/A 26160-2024 FSC-klagomål.docx", "A 26160-2024")</f>
        <v/>
      </c>
      <c r="AB151">
        <f>HYPERLINK("https://klasma.github.io/Logging_0885/klagomålsmail/A 26160-2024 FSC-klagomål mail.docx", "A 26160-2024")</f>
        <v/>
      </c>
      <c r="AC151">
        <f>HYPERLINK("https://klasma.github.io/Logging_0885/tillsyn/A 26160-2024 tillsynsbegäran.docx", "A 26160-2024")</f>
        <v/>
      </c>
      <c r="AD151">
        <f>HYPERLINK("https://klasma.github.io/Logging_0885/tillsynsmail/A 26160-2024 tillsynsbegäran mail.docx", "A 26160-2024")</f>
        <v/>
      </c>
    </row>
    <row r="152" ht="15" customHeight="1">
      <c r="A152" t="inlineStr">
        <is>
          <t>A 28381-2026</t>
        </is>
      </c>
      <c r="B152" t="inlineStr">
        <is>
          <t>avverkningsanmälan</t>
        </is>
      </c>
      <c r="C152" t="inlineStr">
        <is>
          <t>Avverkning för att bevara och utveckla /försöksver</t>
        </is>
      </c>
      <c r="D152" s="1" t="n">
        <v>46196</v>
      </c>
      <c r="E152" s="1" t="n">
        <v>46266</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28380-2026</t>
        </is>
      </c>
      <c r="B153" t="inlineStr">
        <is>
          <t>avverkningsanmälan</t>
        </is>
      </c>
      <c r="C153" t="inlineStr">
        <is>
          <t>Avverkning för att bevara och utveckla /försöksver</t>
        </is>
      </c>
      <c r="D153" s="1" t="n">
        <v>46196</v>
      </c>
      <c r="E153" s="1" t="n">
        <v>46266</v>
      </c>
      <c r="F153" t="inlineStr">
        <is>
          <t>KALMAR LÄN</t>
        </is>
      </c>
      <c r="G153" t="inlineStr">
        <is>
          <t>BORGHOLM</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63075-2023</t>
        </is>
      </c>
      <c r="B154" t="inlineStr">
        <is>
          <t>avverkningsanmälan</t>
        </is>
      </c>
      <c r="C154" t="inlineStr">
        <is>
          <t>Avverkning för annat ändamål</t>
        </is>
      </c>
      <c r="D154" s="1" t="n">
        <v>45273</v>
      </c>
      <c r="E154" s="1" t="n">
        <v>46266</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28411-2026</t>
        </is>
      </c>
      <c r="B155" t="inlineStr">
        <is>
          <t>avverkningsanmälan</t>
        </is>
      </c>
      <c r="C155" t="inlineStr">
        <is>
          <t>Avverkning för att bevara och utveckla /försöksver</t>
        </is>
      </c>
      <c r="D155" s="1" t="n">
        <v>46197</v>
      </c>
      <c r="E155" s="1" t="n">
        <v>46266</v>
      </c>
      <c r="F155" t="inlineStr">
        <is>
          <t>KALMAR LÄN</t>
        </is>
      </c>
      <c r="G155" t="inlineStr">
        <is>
          <t>BORGHOLM</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29413-2026</t>
        </is>
      </c>
      <c r="B156" t="inlineStr">
        <is>
          <t>avverkningsanmälan</t>
        </is>
      </c>
      <c r="C156" t="inlineStr">
        <is>
          <t>Avverkning för att bevara och utveckla /försöksver</t>
        </is>
      </c>
      <c r="D156" s="1" t="n">
        <v>46203</v>
      </c>
      <c r="E156" s="1" t="n">
        <v>46266</v>
      </c>
      <c r="F156" t="inlineStr">
        <is>
          <t>KALMAR LÄN</t>
        </is>
      </c>
      <c r="G156" t="inlineStr">
        <is>
          <t>BORGHOLM</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29414-2026</t>
        </is>
      </c>
      <c r="B157" t="inlineStr">
        <is>
          <t>avverkningsanmälan</t>
        </is>
      </c>
      <c r="C157" t="inlineStr">
        <is>
          <t>Avverkning för att bevara och utveckla /försöksver</t>
        </is>
      </c>
      <c r="D157" s="1" t="n">
        <v>46203</v>
      </c>
      <c r="E157" s="1" t="n">
        <v>46266</v>
      </c>
      <c r="F157" t="inlineStr">
        <is>
          <t>KALMAR LÄN</t>
        </is>
      </c>
      <c r="G157" t="inlineStr">
        <is>
          <t>BORGHOLM</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29431-2026</t>
        </is>
      </c>
      <c r="B158" t="inlineStr">
        <is>
          <t>avverkningsanmälan</t>
        </is>
      </c>
      <c r="C158" t="inlineStr">
        <is>
          <t>Avverkning för att bevara och utveckla /försöksver</t>
        </is>
      </c>
      <c r="D158" s="1" t="n">
        <v>46203</v>
      </c>
      <c r="E158" s="1" t="n">
        <v>46266</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29410-2026</t>
        </is>
      </c>
      <c r="B159" t="inlineStr">
        <is>
          <t>avverkningsanmälan</t>
        </is>
      </c>
      <c r="C159" t="inlineStr">
        <is>
          <t>Avverkning för att bevara och utveckla /försöksver</t>
        </is>
      </c>
      <c r="D159" s="1" t="n">
        <v>46203</v>
      </c>
      <c r="E159" s="1" t="n">
        <v>46266</v>
      </c>
      <c r="F159" t="inlineStr">
        <is>
          <t>KALMAR LÄN</t>
        </is>
      </c>
      <c r="G159" t="inlineStr">
        <is>
          <t>BORGHOLM</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46266</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46266</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46266</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46266</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46266</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46266</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46266</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46266</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46266</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46266</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46266</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46266</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46266</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46266</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46266</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46266</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2026-09-01T02:05:12Z</dcterms:created>
  <dcterms:modified xmlns:dcterms="http://purl.org/dc/terms/" xmlns:xsi="http://www.w3.org/2001/XMLSchema-instance" xsi:type="dcterms:W3CDTF">2026-09-01T02:05:12Z</dcterms:modified>
</cp:coreProperties>
</file>