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46328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46328</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46328</v>
      </c>
      <c r="F4" t="inlineStr">
        <is>
          <t>KALMAR LÄN</t>
        </is>
      </c>
      <c r="G4" t="inlineStr">
        <is>
          <t>BORGHOLM</t>
        </is>
      </c>
      <c r="I4" t="n">
        <v>13.9</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46328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46328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46328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46328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46328</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46328</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46328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46328</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46328</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46328</v>
      </c>
      <c r="F14" t="inlineStr">
        <is>
          <t>KALMAR LÄN</t>
        </is>
      </c>
      <c r="G14" t="inlineStr">
        <is>
          <t>BORGHOLM</t>
        </is>
      </c>
      <c r="I14" t="n">
        <v>7.8</v>
      </c>
      <c r="J14" t="n">
        <v>6</v>
      </c>
      <c r="K14" t="n">
        <v>6</v>
      </c>
      <c r="L14" t="n">
        <v>5</v>
      </c>
      <c r="M14" t="n">
        <v>1</v>
      </c>
      <c r="N14" t="n">
        <v>0</v>
      </c>
      <c r="O14" t="n">
        <v>0</v>
      </c>
      <c r="P14" t="n">
        <v>0</v>
      </c>
      <c r="Q14" t="n">
        <v>6</v>
      </c>
      <c r="R14" t="n">
        <v>1</v>
      </c>
      <c r="S14" t="n">
        <v>15</v>
      </c>
      <c r="T14" t="n">
        <v>22</v>
      </c>
      <c r="U14" t="n">
        <v>21</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46328</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46328</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46328</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46328</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46328</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46328</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46328</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46328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46328</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46328</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46328</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46328</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46328</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12534-2022</t>
        </is>
      </c>
      <c r="B28" t="inlineStr">
        <is>
          <t>avverkningsanmälan</t>
        </is>
      </c>
      <c r="C28" t="inlineStr">
        <is>
          <t>Föryngringsavverkning</t>
        </is>
      </c>
      <c r="D28" s="1" t="n">
        <v>44638</v>
      </c>
      <c r="E28" s="1" t="n">
        <v>46328</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46328</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46328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46328</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46328</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46328</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46328</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16171-2023</t>
        </is>
      </c>
      <c r="B35" t="inlineStr">
        <is>
          <t>avverkningsanmälan</t>
        </is>
      </c>
      <c r="C35" t="inlineStr">
        <is>
          <t>Föryngringsavverkning</t>
        </is>
      </c>
      <c r="D35" s="1" t="n">
        <v>45027</v>
      </c>
      <c r="E35" s="1" t="n">
        <v>46328</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A 31558-2026</t>
        </is>
      </c>
      <c r="B36" t="inlineStr">
        <is>
          <t>avverkningsanmälan</t>
        </is>
      </c>
      <c r="C36" t="inlineStr">
        <is>
          <t>Avverkning för att bevara och utveckla /försöksver</t>
        </is>
      </c>
      <c r="D36" s="1" t="n">
        <v>46224</v>
      </c>
      <c r="E36" s="1" t="n">
        <v>46328</v>
      </c>
      <c r="F36" t="inlineStr">
        <is>
          <t>KALMAR LÄN</t>
        </is>
      </c>
      <c r="G36" t="inlineStr">
        <is>
          <t>BORGHOLM</t>
        </is>
      </c>
      <c r="H36" t="inlineStr">
        <is>
          <t>Sveaskog</t>
        </is>
      </c>
      <c r="I36" t="n">
        <v>1</v>
      </c>
      <c r="J36" t="n">
        <v>2</v>
      </c>
      <c r="K36" t="n">
        <v>2</v>
      </c>
      <c r="L36" t="n">
        <v>3</v>
      </c>
      <c r="M36" t="n">
        <v>0</v>
      </c>
      <c r="N36" t="n">
        <v>0</v>
      </c>
      <c r="O36" t="n">
        <v>0</v>
      </c>
      <c r="P36" t="n">
        <v>0</v>
      </c>
      <c r="Q36" t="n">
        <v>3</v>
      </c>
      <c r="R36" t="n">
        <v>0</v>
      </c>
      <c r="S36" t="n">
        <v>6</v>
      </c>
      <c r="T36" t="n">
        <v>8</v>
      </c>
      <c r="U36" t="n">
        <v>1</v>
      </c>
      <c r="V36" s="2" t="inlineStr">
        <is>
          <t>Blå slemspindling
Sårläka
Vårärt
Anisspindling
Skogsknipprot
Grönvit nattviol</t>
        </is>
      </c>
      <c r="W36">
        <f>HYPERLINK("https://klasma.github.io/Logging_0885/artfynd/A 31558-2026 artfynd.xlsx", "A 31558-2026")</f>
        <v/>
      </c>
      <c r="X36">
        <f>HYPERLINK("https://klasma.github.io/Logging_0885/kartor/A 31558-2026 karta.png", "A 31558-2026")</f>
        <v/>
      </c>
      <c r="Y36">
        <f>HYPERLINK("https://klasma.github.io/Logging_0885/kartor_geotiff/A 31558-2026 georefererad karta.tif", "A 31558-2026")</f>
        <v/>
      </c>
      <c r="AA36">
        <f>HYPERLINK("https://klasma.github.io/Logging_0885/klagomål/A 31558-2026 FSC-klagomål.docx", "A 31558-2026")</f>
        <v/>
      </c>
      <c r="AB36">
        <f>HYPERLINK("https://klasma.github.io/Logging_0885/klagomålsmail/A 31558-2026 FSC-klagomål mail.docx", "A 31558-2026")</f>
        <v/>
      </c>
      <c r="AC36">
        <f>HYPERLINK("https://klasma.github.io/Logging_0885/tillsyn/A 31558-2026 tillsynsbegäran.docx", "A 31558-2026")</f>
        <v/>
      </c>
      <c r="AD36">
        <f>HYPERLINK("https://klasma.github.io/Logging_0885/tillsynsmail/A 31558-2026 tillsynsbegäran mail.docx", "A 31558-2026")</f>
        <v/>
      </c>
    </row>
    <row r="37" ht="15" customHeight="1">
      <c r="A37" t="inlineStr">
        <is>
          <t>S 2737-2022</t>
        </is>
      </c>
      <c r="B37" t="inlineStr">
        <is>
          <t>samrådsanmälan</t>
        </is>
      </c>
      <c r="C37" t="inlineStr">
        <is>
          <t>Annan skogsbruksåtgärd</t>
        </is>
      </c>
      <c r="D37" s="1" t="n">
        <v>44704</v>
      </c>
      <c r="E37" s="1" t="n">
        <v>46328</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46328</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46328</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46328</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46328</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46328</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46328</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46328</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7960-2023</t>
        </is>
      </c>
      <c r="B45" t="inlineStr">
        <is>
          <t>avverkningsanmälan</t>
        </is>
      </c>
      <c r="C45" t="inlineStr">
        <is>
          <t>Föryngringsavverkning</t>
        </is>
      </c>
      <c r="D45" s="1" t="n">
        <v>44973</v>
      </c>
      <c r="E45" s="1" t="n">
        <v>46328</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46328</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46328</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46328</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46328</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46328</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46328</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46328</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46328</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46328</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46328</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43756-2022</t>
        </is>
      </c>
      <c r="B56" t="inlineStr">
        <is>
          <t>avverkningsanmälan</t>
        </is>
      </c>
      <c r="C56" t="inlineStr">
        <is>
          <t>Föryngringsavverkning</t>
        </is>
      </c>
      <c r="D56" s="1" t="n">
        <v>44837</v>
      </c>
      <c r="E56" s="1" t="n">
        <v>46328</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27283-2026</t>
        </is>
      </c>
      <c r="B57" t="inlineStr">
        <is>
          <t>avverkningsanmälan</t>
        </is>
      </c>
      <c r="C57" t="inlineStr">
        <is>
          <t>Avverkning för att bevara och utveckla /försöksver</t>
        </is>
      </c>
      <c r="D57" s="1" t="n">
        <v>46188</v>
      </c>
      <c r="E57" s="1" t="n">
        <v>46328</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26849-2026</t>
        </is>
      </c>
      <c r="B58" t="inlineStr">
        <is>
          <t>avverkningsanmälan</t>
        </is>
      </c>
      <c r="C58" t="inlineStr">
        <is>
          <t>Föryngringsavverkning</t>
        </is>
      </c>
      <c r="D58" s="1" t="n">
        <v>46185</v>
      </c>
      <c r="E58" s="1" t="n">
        <v>46328</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46328</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46328</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46328</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46328</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46328</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46328</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46328</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21908-2022</t>
        </is>
      </c>
      <c r="B66" t="inlineStr">
        <is>
          <t>avverkningsanmälan</t>
        </is>
      </c>
      <c r="C66" t="inlineStr">
        <is>
          <t>Föryngringsavverkning</t>
        </is>
      </c>
      <c r="D66" s="1" t="n">
        <v>44711</v>
      </c>
      <c r="E66" s="1" t="n">
        <v>46328</v>
      </c>
      <c r="F66" t="inlineStr">
        <is>
          <t>KALMAR LÄN</t>
        </is>
      </c>
      <c r="G66" t="inlineStr">
        <is>
          <t>BORGHOLM</t>
        </is>
      </c>
      <c r="I66" t="n">
        <v>4.7</v>
      </c>
      <c r="J66" t="n">
        <v>1</v>
      </c>
      <c r="K66" t="n">
        <v>2</v>
      </c>
      <c r="L66" t="n">
        <v>0</v>
      </c>
      <c r="M66" t="n">
        <v>0</v>
      </c>
      <c r="N66" t="n">
        <v>0</v>
      </c>
      <c r="O66" t="n">
        <v>0</v>
      </c>
      <c r="P66" t="n">
        <v>0</v>
      </c>
      <c r="Q66" t="n">
        <v>0</v>
      </c>
      <c r="R66" t="n">
        <v>0</v>
      </c>
      <c r="S66" t="n">
        <v>2</v>
      </c>
      <c r="T66" t="n">
        <v>2</v>
      </c>
      <c r="U66" t="n">
        <v>2</v>
      </c>
      <c r="V66" s="2" t="inlineStr">
        <is>
          <t>Myskmadra
Skogsknipprot</t>
        </is>
      </c>
      <c r="W66">
        <f>HYPERLINK("https://klasma.github.io/Logging_0885/artfynd/A 21908-2022 artfynd.xlsx", "A 21908-2022")</f>
        <v/>
      </c>
      <c r="X66">
        <f>HYPERLINK("https://klasma.github.io/Logging_0885/kartor/A 21908-2022 karta.png", "A 21908-2022")</f>
        <v/>
      </c>
      <c r="Y66">
        <f>HYPERLINK("https://klasma.github.io/Logging_0885/kartor_geotiff/A 21908-2022 georefererad karta.tif", "A 21908-2022")</f>
        <v/>
      </c>
      <c r="AA66">
        <f>HYPERLINK("https://klasma.github.io/Logging_0885/klagomål/A 21908-2022 FSC-klagomål.docx", "A 21908-2022")</f>
        <v/>
      </c>
      <c r="AB66">
        <f>HYPERLINK("https://klasma.github.io/Logging_0885/klagomålsmail/A 21908-2022 FSC-klagomål mail.docx", "A 21908-2022")</f>
        <v/>
      </c>
      <c r="AC66">
        <f>HYPERLINK("https://klasma.github.io/Logging_0885/tillsyn/A 21908-2022 tillsynsbegäran.docx", "A 21908-2022")</f>
        <v/>
      </c>
      <c r="AD66">
        <f>HYPERLINK("https://klasma.github.io/Logging_0885/tillsynsmail/A 21908-2022 tillsynsbegäran mail.docx", "A 21908-2022")</f>
        <v/>
      </c>
    </row>
    <row r="67" ht="15" customHeight="1">
      <c r="A67" t="inlineStr">
        <is>
          <t>A 9253-2026</t>
        </is>
      </c>
      <c r="B67" t="inlineStr">
        <is>
          <t>avverkningsanmälan</t>
        </is>
      </c>
      <c r="C67" t="inlineStr">
        <is>
          <t>Föryngringsavverkning</t>
        </is>
      </c>
      <c r="D67" s="1" t="n">
        <v>46070</v>
      </c>
      <c r="E67" s="1" t="n">
        <v>46328</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60141-2025</t>
        </is>
      </c>
      <c r="B68" t="inlineStr">
        <is>
          <t>avverkningsanmälan</t>
        </is>
      </c>
      <c r="C68" t="inlineStr">
        <is>
          <t>Föryngringsavverkning</t>
        </is>
      </c>
      <c r="D68" s="1" t="n">
        <v>45994</v>
      </c>
      <c r="E68" s="1" t="n">
        <v>46328</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46328</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44678-2022</t>
        </is>
      </c>
      <c r="B70" t="inlineStr">
        <is>
          <t>avverkningsanmälan</t>
        </is>
      </c>
      <c r="C70" t="inlineStr">
        <is>
          <t>Föryngringsavverkning</t>
        </is>
      </c>
      <c r="D70" s="1" t="n">
        <v>44840</v>
      </c>
      <c r="E70" s="1" t="n">
        <v>46328</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24322-2026</t>
        </is>
      </c>
      <c r="B71" t="inlineStr">
        <is>
          <t>avverkningsanmälan</t>
        </is>
      </c>
      <c r="C71" t="inlineStr">
        <is>
          <t>Föryngringsavverkning</t>
        </is>
      </c>
      <c r="D71" s="1" t="n">
        <v>46169</v>
      </c>
      <c r="E71" s="1" t="n">
        <v>46328</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29411-2026</t>
        </is>
      </c>
      <c r="B72" t="inlineStr">
        <is>
          <t>avverkningsanmälan</t>
        </is>
      </c>
      <c r="C72" t="inlineStr">
        <is>
          <t>Avverkning för att bevara och utveckla /försöksver</t>
        </is>
      </c>
      <c r="D72" s="1" t="n">
        <v>46203</v>
      </c>
      <c r="E72" s="1" t="n">
        <v>46328</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17699-2025</t>
        </is>
      </c>
      <c r="B73" t="inlineStr">
        <is>
          <t>avverkningsanmälan</t>
        </is>
      </c>
      <c r="C73" t="inlineStr">
        <is>
          <t>Föryngringsavverkning</t>
        </is>
      </c>
      <c r="D73" s="1" t="n">
        <v>45758</v>
      </c>
      <c r="E73" s="1" t="n">
        <v>46328</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A 29434-2026</t>
        </is>
      </c>
      <c r="B74" t="inlineStr">
        <is>
          <t>avverkningsanmälan</t>
        </is>
      </c>
      <c r="C74" t="inlineStr">
        <is>
          <t>Avverkning för att bevara och utveckla /försöksver</t>
        </is>
      </c>
      <c r="D74" s="1" t="n">
        <v>46203</v>
      </c>
      <c r="E74" s="1" t="n">
        <v>46328</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6144-2022</t>
        </is>
      </c>
      <c r="B75" t="inlineStr">
        <is>
          <t>samrådsanmälan</t>
        </is>
      </c>
      <c r="C75" t="inlineStr">
        <is>
          <t>Annan skogsbruksåtgärd</t>
        </is>
      </c>
      <c r="D75" s="1" t="n">
        <v>44865</v>
      </c>
      <c r="E75" s="1" t="n">
        <v>46328</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46328</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46328</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46328</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46328</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46328</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46328</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28785-2025</t>
        </is>
      </c>
      <c r="B82" t="inlineStr">
        <is>
          <t>avverkningsanmälan</t>
        </is>
      </c>
      <c r="C82" t="inlineStr">
        <is>
          <t>Avverkning för att bevara och utveckla /försöksver</t>
        </is>
      </c>
      <c r="D82" s="1" t="n">
        <v>45820</v>
      </c>
      <c r="E82" s="1" t="n">
        <v>46328</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28782-2025</t>
        </is>
      </c>
      <c r="B83" t="inlineStr">
        <is>
          <t>avverkningsanmälan</t>
        </is>
      </c>
      <c r="C83" t="inlineStr">
        <is>
          <t>Avverkning för att bevara och utveckla /försöksver</t>
        </is>
      </c>
      <c r="D83" s="1" t="n">
        <v>45820</v>
      </c>
      <c r="E83" s="1" t="n">
        <v>46328</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3302-2026</t>
        </is>
      </c>
      <c r="B84" t="inlineStr">
        <is>
          <t>avverkningsanmälan</t>
        </is>
      </c>
      <c r="C84" t="inlineStr">
        <is>
          <t>Avverkning för annat ändamål</t>
        </is>
      </c>
      <c r="D84" s="1" t="n">
        <v>46041</v>
      </c>
      <c r="E84" s="1" t="n">
        <v>46328</v>
      </c>
      <c r="F84" t="inlineStr">
        <is>
          <t>KALMAR LÄN</t>
        </is>
      </c>
      <c r="G84" t="inlineStr">
        <is>
          <t>BORGHOLM</t>
        </is>
      </c>
      <c r="I84" t="n">
        <v>3.9</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HYPERLINK("https://klasma.github.io/Logging_0885/artfynd/A 3302-2026 artfynd.xlsx", "A 3302-2026")</f>
        <v/>
      </c>
      <c r="X84">
        <f>HYPERLINK("https://klasma.github.io/Logging_0885/kartor/A 3302-2026 karta.png", "A 3302-2026")</f>
        <v/>
      </c>
      <c r="Y84">
        <f>HYPERLINK("https://klasma.github.io/Logging_0885/kartor_geotiff/A 3302-2026 georefererad karta.tif", "A 3302-2026")</f>
        <v/>
      </c>
      <c r="AA84">
        <f>HYPERLINK("https://klasma.github.io/Logging_0885/klagomål/A 3302-2026 FSC-klagomål.docx", "A 3302-2026")</f>
        <v/>
      </c>
      <c r="AB84">
        <f>HYPERLINK("https://klasma.github.io/Logging_0885/klagomålsmail/A 3302-2026 FSC-klagomål mail.docx", "A 3302-2026")</f>
        <v/>
      </c>
      <c r="AC84">
        <f>HYPERLINK("https://klasma.github.io/Logging_0885/tillsyn/A 3302-2026 tillsynsbegäran.docx", "A 3302-2026")</f>
        <v/>
      </c>
      <c r="AD84">
        <f>HYPERLINK("https://klasma.github.io/Logging_0885/tillsynsmail/A 3302-2026 tillsynsbegäran mail.docx", "A 3302-2026")</f>
        <v/>
      </c>
    </row>
    <row r="85" ht="15" customHeight="1">
      <c r="A85" t="inlineStr">
        <is>
          <t>A 41831-2025</t>
        </is>
      </c>
      <c r="B85" t="inlineStr">
        <is>
          <t>avverkningsanmälan</t>
        </is>
      </c>
      <c r="C85" t="inlineStr">
        <is>
          <t>Föryngringsavverkning</t>
        </is>
      </c>
      <c r="D85" s="1" t="n">
        <v>45902</v>
      </c>
      <c r="E85" s="1" t="n">
        <v>46328</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63276-2023</t>
        </is>
      </c>
      <c r="B86" t="inlineStr">
        <is>
          <t>avverkningsanmälan</t>
        </is>
      </c>
      <c r="C86" t="inlineStr">
        <is>
          <t>Föryngringsavverkning</t>
        </is>
      </c>
      <c r="D86" s="1" t="n">
        <v>45273</v>
      </c>
      <c r="E86" s="1" t="n">
        <v>46328</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7481-2026</t>
        </is>
      </c>
      <c r="B87" t="inlineStr">
        <is>
          <t>avverkningsanmälan</t>
        </is>
      </c>
      <c r="C87" t="inlineStr">
        <is>
          <t>Föryngringsavverkning</t>
        </is>
      </c>
      <c r="D87" s="1" t="n">
        <v>46059</v>
      </c>
      <c r="E87" s="1" t="n">
        <v>46328</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24704-2023</t>
        </is>
      </c>
      <c r="B88" t="inlineStr">
        <is>
          <t>avverkningsanmälan</t>
        </is>
      </c>
      <c r="C88" t="inlineStr">
        <is>
          <t>Föryngringsavverkning</t>
        </is>
      </c>
      <c r="D88" s="1" t="n">
        <v>45084</v>
      </c>
      <c r="E88" s="1" t="n">
        <v>46328</v>
      </c>
      <c r="F88" t="inlineStr">
        <is>
          <t>KALMAR LÄN</t>
        </is>
      </c>
      <c r="G88" t="inlineStr">
        <is>
          <t>BORGHOLM</t>
        </is>
      </c>
      <c r="I88" t="n">
        <v>3.5</v>
      </c>
      <c r="J88" t="n">
        <v>0</v>
      </c>
      <c r="K88" t="n">
        <v>0</v>
      </c>
      <c r="L88" t="n">
        <v>0</v>
      </c>
      <c r="M88" t="n">
        <v>0</v>
      </c>
      <c r="N88" t="n">
        <v>1</v>
      </c>
      <c r="O88" t="n">
        <v>0</v>
      </c>
      <c r="P88" t="n">
        <v>0</v>
      </c>
      <c r="Q88" t="n">
        <v>1</v>
      </c>
      <c r="R88" t="n">
        <v>1</v>
      </c>
      <c r="S88" t="n">
        <v>1</v>
      </c>
      <c r="T88" t="n">
        <v>2</v>
      </c>
      <c r="U88" t="n">
        <v>0</v>
      </c>
      <c r="V88" s="2" t="inlineStr">
        <is>
          <t>Ask</t>
        </is>
      </c>
      <c r="W88">
        <f>HYPERLINK("https://klasma.github.io/Logging_0885/artfynd/A 24704-2023 artfynd.xlsx", "A 24704-2023")</f>
        <v/>
      </c>
      <c r="X88">
        <f>HYPERLINK("https://klasma.github.io/Logging_0885/kartor/A 24704-2023 karta.png", "A 24704-2023")</f>
        <v/>
      </c>
      <c r="Y88">
        <f>HYPERLINK("https://klasma.github.io/Logging_0885/kartor_geotiff/A 24704-2023 georefererad karta.tif", "A 24704-2023")</f>
        <v/>
      </c>
      <c r="AA88">
        <f>HYPERLINK("https://klasma.github.io/Logging_0885/klagomål/A 24704-2023 FSC-klagomål.docx", "A 24704-2023")</f>
        <v/>
      </c>
      <c r="AB88">
        <f>HYPERLINK("https://klasma.github.io/Logging_0885/klagomålsmail/A 24704-2023 FSC-klagomål mail.docx", "A 24704-2023")</f>
        <v/>
      </c>
      <c r="AC88">
        <f>HYPERLINK("https://klasma.github.io/Logging_0885/tillsyn/A 24704-2023 tillsynsbegäran.docx", "A 24704-2023")</f>
        <v/>
      </c>
      <c r="AD88">
        <f>HYPERLINK("https://klasma.github.io/Logging_0885/tillsynsmail/A 24704-2023 tillsynsbegäran mail.docx", "A 24704-2023")</f>
        <v/>
      </c>
    </row>
    <row r="89" ht="15" customHeight="1">
      <c r="A89" t="inlineStr">
        <is>
          <t>A 9104-2026</t>
        </is>
      </c>
      <c r="B89" t="inlineStr">
        <is>
          <t>avverkningsanmälan</t>
        </is>
      </c>
      <c r="C89" t="inlineStr">
        <is>
          <t>Avverkning för annat ändamål</t>
        </is>
      </c>
      <c r="D89" s="1" t="n">
        <v>46069</v>
      </c>
      <c r="E89" s="1" t="n">
        <v>46328</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46328</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9745-2023</t>
        </is>
      </c>
      <c r="B91" t="inlineStr">
        <is>
          <t>avverkningsanmälan</t>
        </is>
      </c>
      <c r="C91" t="inlineStr">
        <is>
          <t>Föryngringsavverkning</t>
        </is>
      </c>
      <c r="D91" s="1" t="n">
        <v>44984</v>
      </c>
      <c r="E91" s="1" t="n">
        <v>46328</v>
      </c>
      <c r="F91" t="inlineStr">
        <is>
          <t>KALMAR LÄN</t>
        </is>
      </c>
      <c r="G91" t="inlineStr">
        <is>
          <t>BORGHOLM</t>
        </is>
      </c>
      <c r="I91" t="n">
        <v>1.2</v>
      </c>
      <c r="J91" t="n">
        <v>1</v>
      </c>
      <c r="K91" t="n">
        <v>1</v>
      </c>
      <c r="L91" t="n">
        <v>0</v>
      </c>
      <c r="M91" t="n">
        <v>0</v>
      </c>
      <c r="N91" t="n">
        <v>0</v>
      </c>
      <c r="O91" t="n">
        <v>0</v>
      </c>
      <c r="P91" t="n">
        <v>0</v>
      </c>
      <c r="Q91" t="n">
        <v>0</v>
      </c>
      <c r="R91" t="n">
        <v>0</v>
      </c>
      <c r="S91" t="n">
        <v>1</v>
      </c>
      <c r="T91" t="n">
        <v>2</v>
      </c>
      <c r="U91" t="n">
        <v>1</v>
      </c>
      <c r="V91" s="2" t="inlineStr">
        <is>
          <t>Skogsknipprot</t>
        </is>
      </c>
      <c r="W91">
        <f>HYPERLINK("https://klasma.github.io/Logging_0885/artfynd/A 9745-2023 artfynd.xlsx", "A 9745-2023")</f>
        <v/>
      </c>
      <c r="X91">
        <f>HYPERLINK("https://klasma.github.io/Logging_0885/kartor/A 9745-2023 karta.png", "A 9745-2023")</f>
        <v/>
      </c>
      <c r="Y91">
        <f>HYPERLINK("https://klasma.github.io/Logging_0885/kartor_geotiff/A 9745-2023 georefererad karta.tif", "A 9745-2023")</f>
        <v/>
      </c>
      <c r="AA91">
        <f>HYPERLINK("https://klasma.github.io/Logging_0885/klagomål/A 9745-2023 FSC-klagomål.docx", "A 9745-2023")</f>
        <v/>
      </c>
      <c r="AB91">
        <f>HYPERLINK("https://klasma.github.io/Logging_0885/klagomålsmail/A 9745-2023 FSC-klagomål mail.docx", "A 9745-2023")</f>
        <v/>
      </c>
      <c r="AC91">
        <f>HYPERLINK("https://klasma.github.io/Logging_0885/tillsyn/A 9745-2023 tillsynsbegäran.docx", "A 9745-2023")</f>
        <v/>
      </c>
      <c r="AD91">
        <f>HYPERLINK("https://klasma.github.io/Logging_0885/tillsynsmail/A 9745-2023 tillsynsbegäran mail.docx", "A 9745-2023")</f>
        <v/>
      </c>
    </row>
    <row r="92" ht="15" customHeight="1">
      <c r="A92" t="inlineStr">
        <is>
          <t>A 31720-2022</t>
        </is>
      </c>
      <c r="B92" t="inlineStr">
        <is>
          <t>avverkningsanmälan</t>
        </is>
      </c>
      <c r="C92" t="inlineStr">
        <is>
          <t>Föryngringsavverkning</t>
        </is>
      </c>
      <c r="D92" s="1" t="n">
        <v>44776</v>
      </c>
      <c r="E92" s="1" t="n">
        <v>46328</v>
      </c>
      <c r="F92" t="inlineStr">
        <is>
          <t>KALMAR LÄN</t>
        </is>
      </c>
      <c r="G92" t="inlineStr">
        <is>
          <t>BORGHOLM</t>
        </is>
      </c>
      <c r="H92" t="inlineStr">
        <is>
          <t>Sveaskog</t>
        </is>
      </c>
      <c r="I92" t="n">
        <v>4.5</v>
      </c>
      <c r="J92" t="n">
        <v>1</v>
      </c>
      <c r="K92" t="n">
        <v>1</v>
      </c>
      <c r="L92" t="n">
        <v>0</v>
      </c>
      <c r="M92" t="n">
        <v>0</v>
      </c>
      <c r="N92" t="n">
        <v>0</v>
      </c>
      <c r="O92" t="n">
        <v>0</v>
      </c>
      <c r="P92" t="n">
        <v>0</v>
      </c>
      <c r="Q92" t="n">
        <v>0</v>
      </c>
      <c r="R92" t="n">
        <v>0</v>
      </c>
      <c r="S92" t="n">
        <v>1</v>
      </c>
      <c r="T92" t="n">
        <v>1</v>
      </c>
      <c r="U92" t="n">
        <v>1</v>
      </c>
      <c r="V92" s="2" t="inlineStr">
        <is>
          <t>Tvåblad</t>
        </is>
      </c>
      <c r="W92">
        <f>HYPERLINK("https://klasma.github.io/Logging_0885/artfynd/A 31720-2022 artfynd.xlsx", "A 31720-2022")</f>
        <v/>
      </c>
      <c r="X92">
        <f>HYPERLINK("https://klasma.github.io/Logging_0885/kartor/A 31720-2022 karta.png", "A 31720-2022")</f>
        <v/>
      </c>
      <c r="Y92">
        <f>HYPERLINK("https://klasma.github.io/Logging_0885/kartor_geotiff/A 31720-2022 georefererad karta.tif", "A 31720-2022")</f>
        <v/>
      </c>
      <c r="AA92">
        <f>HYPERLINK("https://klasma.github.io/Logging_0885/klagomål/A 31720-2022 FSC-klagomål.docx", "A 31720-2022")</f>
        <v/>
      </c>
      <c r="AB92">
        <f>HYPERLINK("https://klasma.github.io/Logging_0885/klagomålsmail/A 31720-2022 FSC-klagomål mail.docx", "A 31720-2022")</f>
        <v/>
      </c>
      <c r="AC92">
        <f>HYPERLINK("https://klasma.github.io/Logging_0885/tillsyn/A 31720-2022 tillsynsbegäran.docx", "A 31720-2022")</f>
        <v/>
      </c>
      <c r="AD92">
        <f>HYPERLINK("https://klasma.github.io/Logging_0885/tillsynsmail/A 31720-2022 tillsynsbegäran mail.docx", "A 31720-2022")</f>
        <v/>
      </c>
    </row>
    <row r="93" ht="15" customHeight="1">
      <c r="A93" t="inlineStr">
        <is>
          <t>A 19867-2024</t>
        </is>
      </c>
      <c r="B93" t="inlineStr">
        <is>
          <t>avverkningsanmälan</t>
        </is>
      </c>
      <c r="C93" t="inlineStr">
        <is>
          <t>Föryngringsavverkning</t>
        </is>
      </c>
      <c r="D93" s="1" t="n">
        <v>45433</v>
      </c>
      <c r="E93" s="1" t="n">
        <v>46328</v>
      </c>
      <c r="F93" t="inlineStr">
        <is>
          <t>KALMAR LÄN</t>
        </is>
      </c>
      <c r="G93" t="inlineStr">
        <is>
          <t>BORGHOLM</t>
        </is>
      </c>
      <c r="I93" t="n">
        <v>3.9</v>
      </c>
      <c r="J93" t="n">
        <v>0</v>
      </c>
      <c r="K93" t="n">
        <v>0</v>
      </c>
      <c r="L93" t="n">
        <v>1</v>
      </c>
      <c r="M93" t="n">
        <v>0</v>
      </c>
      <c r="N93" t="n">
        <v>0</v>
      </c>
      <c r="O93" t="n">
        <v>0</v>
      </c>
      <c r="P93" t="n">
        <v>0</v>
      </c>
      <c r="Q93" t="n">
        <v>1</v>
      </c>
      <c r="R93" t="n">
        <v>0</v>
      </c>
      <c r="S93" t="n">
        <v>1</v>
      </c>
      <c r="T93" t="n">
        <v>1</v>
      </c>
      <c r="U93" t="n">
        <v>1</v>
      </c>
      <c r="V93" s="2" t="inlineStr">
        <is>
          <t>Åkerkulla</t>
        </is>
      </c>
      <c r="W93">
        <f>HYPERLINK("https://klasma.github.io/Logging_0885/artfynd/A 19867-2024 artfynd.xlsx", "A 19867-2024")</f>
        <v/>
      </c>
      <c r="X93">
        <f>HYPERLINK("https://klasma.github.io/Logging_0885/kartor/A 19867-2024 karta.png", "A 19867-2024")</f>
        <v/>
      </c>
      <c r="Y93">
        <f>HYPERLINK("https://klasma.github.io/Logging_0885/kartor_geotiff/A 19867-2024 georefererad karta.tif", "A 19867-2024")</f>
        <v/>
      </c>
      <c r="AA93">
        <f>HYPERLINK("https://klasma.github.io/Logging_0885/klagomål/A 19867-2024 FSC-klagomål.docx", "A 19867-2024")</f>
        <v/>
      </c>
      <c r="AB93">
        <f>HYPERLINK("https://klasma.github.io/Logging_0885/klagomålsmail/A 19867-2024 FSC-klagomål mail.docx", "A 19867-2024")</f>
        <v/>
      </c>
      <c r="AC93">
        <f>HYPERLINK("https://klasma.github.io/Logging_0885/tillsyn/A 19867-2024 tillsynsbegäran.docx", "A 19867-2024")</f>
        <v/>
      </c>
      <c r="AD93">
        <f>HYPERLINK("https://klasma.github.io/Logging_0885/tillsynsmail/A 19867-2024 tillsynsbegäran mail.docx", "A 19867-2024")</f>
        <v/>
      </c>
    </row>
    <row r="94" ht="15" customHeight="1">
      <c r="A94" t="inlineStr">
        <is>
          <t>A 13043-2024</t>
        </is>
      </c>
      <c r="B94" t="inlineStr">
        <is>
          <t>avverkningsanmälan</t>
        </is>
      </c>
      <c r="C94" t="inlineStr">
        <is>
          <t>Föryngringsavverkning</t>
        </is>
      </c>
      <c r="D94" s="1" t="n">
        <v>45385</v>
      </c>
      <c r="E94" s="1" t="n">
        <v>46328</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26840-2026</t>
        </is>
      </c>
      <c r="B95" t="inlineStr">
        <is>
          <t>avverkningsanmälan</t>
        </is>
      </c>
      <c r="C95" t="inlineStr">
        <is>
          <t>Avverkning för att bevara och utveckla /försöksver</t>
        </is>
      </c>
      <c r="D95" s="1" t="n">
        <v>46185</v>
      </c>
      <c r="E95" s="1" t="n">
        <v>46328</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28374-2026</t>
        </is>
      </c>
      <c r="B96" t="inlineStr">
        <is>
          <t>avverkningsanmälan</t>
        </is>
      </c>
      <c r="C96" t="inlineStr">
        <is>
          <t>Avverkning för att bevara och utveckla /försöksver</t>
        </is>
      </c>
      <c r="D96" s="1" t="n">
        <v>46196</v>
      </c>
      <c r="E96" s="1" t="n">
        <v>46328</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28430-2026</t>
        </is>
      </c>
      <c r="B97" t="inlineStr">
        <is>
          <t>avverkningsanmälan</t>
        </is>
      </c>
      <c r="C97" t="inlineStr">
        <is>
          <t>Avverkning för att bevara och utveckla /försöksver</t>
        </is>
      </c>
      <c r="D97" s="1" t="n">
        <v>46197</v>
      </c>
      <c r="E97" s="1" t="n">
        <v>46328</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20878-2024</t>
        </is>
      </c>
      <c r="B98" t="inlineStr">
        <is>
          <t>avverkningsanmälan</t>
        </is>
      </c>
      <c r="C98" t="inlineStr">
        <is>
          <t>Föryngringsavverkning</t>
        </is>
      </c>
      <c r="D98" s="1" t="n">
        <v>45439</v>
      </c>
      <c r="E98" s="1" t="n">
        <v>46328</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A 33293-2026</t>
        </is>
      </c>
      <c r="B99" t="inlineStr">
        <is>
          <t>avverkningsanmälan</t>
        </is>
      </c>
      <c r="C99" t="inlineStr">
        <is>
          <t>Avverkning för att bevara och utveckla /försöksver</t>
        </is>
      </c>
      <c r="D99" s="1" t="n">
        <v>46246</v>
      </c>
      <c r="E99" s="1" t="n">
        <v>46328</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A 40339-2023</t>
        </is>
      </c>
      <c r="B100" t="inlineStr">
        <is>
          <t>avverkningsanmälan</t>
        </is>
      </c>
      <c r="C100" t="inlineStr">
        <is>
          <t>Föryngringsavverkning</t>
        </is>
      </c>
      <c r="D100" s="1" t="n">
        <v>45169</v>
      </c>
      <c r="E100" s="1" t="n">
        <v>46328</v>
      </c>
      <c r="F100" t="inlineStr">
        <is>
          <t>KALMAR LÄN</t>
        </is>
      </c>
      <c r="G100" t="inlineStr">
        <is>
          <t>BORGHOLM</t>
        </is>
      </c>
      <c r="I100" t="n">
        <v>3.8</v>
      </c>
      <c r="J100" t="n">
        <v>1</v>
      </c>
      <c r="K100" t="n">
        <v>1</v>
      </c>
      <c r="L100" t="n">
        <v>0</v>
      </c>
      <c r="M100" t="n">
        <v>0</v>
      </c>
      <c r="N100" t="n">
        <v>0</v>
      </c>
      <c r="O100" t="n">
        <v>0</v>
      </c>
      <c r="P100" t="n">
        <v>0</v>
      </c>
      <c r="Q100" t="n">
        <v>0</v>
      </c>
      <c r="R100" t="n">
        <v>0</v>
      </c>
      <c r="S100" t="n">
        <v>1</v>
      </c>
      <c r="T100" t="n">
        <v>1</v>
      </c>
      <c r="U100" t="n">
        <v>1</v>
      </c>
      <c r="V100" s="2" t="inlineStr">
        <is>
          <t>Ekoxe</t>
        </is>
      </c>
      <c r="W100">
        <f>HYPERLINK("https://klasma.github.io/Logging_0885/artfynd/A 40339-2023 artfynd.xlsx", "A 40339-2023")</f>
        <v/>
      </c>
      <c r="X100">
        <f>HYPERLINK("https://klasma.github.io/Logging_0885/kartor/A 40339-2023 karta.png", "A 40339-2023")</f>
        <v/>
      </c>
      <c r="Y100">
        <f>HYPERLINK("https://klasma.github.io/Logging_0885/kartor_geotiff/A 40339-2023 georefererad karta.tif", "A 40339-2023")</f>
        <v/>
      </c>
      <c r="AA100">
        <f>HYPERLINK("https://klasma.github.io/Logging_0885/klagomål/A 40339-2023 FSC-klagomål.docx", "A 40339-2023")</f>
        <v/>
      </c>
      <c r="AB100">
        <f>HYPERLINK("https://klasma.github.io/Logging_0885/klagomålsmail/A 40339-2023 FSC-klagomål mail.docx", "A 40339-2023")</f>
        <v/>
      </c>
      <c r="AC100">
        <f>HYPERLINK("https://klasma.github.io/Logging_0885/tillsyn/A 40339-2023 tillsynsbegäran.docx", "A 40339-2023")</f>
        <v/>
      </c>
      <c r="AD100">
        <f>HYPERLINK("https://klasma.github.io/Logging_0885/tillsynsmail/A 40339-2023 tillsynsbegäran mail.docx", "A 40339-2023")</f>
        <v/>
      </c>
    </row>
    <row r="101" ht="15" customHeight="1">
      <c r="A101" t="inlineStr">
        <is>
          <t>S 2390-2023</t>
        </is>
      </c>
      <c r="B101" t="inlineStr">
        <is>
          <t>samrådsanmälan</t>
        </is>
      </c>
      <c r="C101" t="inlineStr">
        <is>
          <t>Annan skogsbruksåtgärd</t>
        </is>
      </c>
      <c r="D101" s="1" t="n">
        <v>45111</v>
      </c>
      <c r="E101" s="1" t="n">
        <v>46328</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46328</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46328</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1803-2026</t>
        </is>
      </c>
      <c r="B104" t="inlineStr">
        <is>
          <t>samrådsanmälan</t>
        </is>
      </c>
      <c r="C104" t="inlineStr">
        <is>
          <t>Annan skogsbruksåtgärd</t>
        </is>
      </c>
      <c r="D104" s="1" t="n">
        <v>46196</v>
      </c>
      <c r="E104" s="1" t="n">
        <v>46328</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1813-2026</t>
        </is>
      </c>
      <c r="B105" t="inlineStr">
        <is>
          <t>samrådsanmälan</t>
        </is>
      </c>
      <c r="C105" t="inlineStr">
        <is>
          <t>Annan skogsbruksåtgärd</t>
        </is>
      </c>
      <c r="D105" s="1" t="n">
        <v>46197</v>
      </c>
      <c r="E105" s="1" t="n">
        <v>46328</v>
      </c>
      <c r="F105" t="inlineStr">
        <is>
          <t>KALMAR LÄN</t>
        </is>
      </c>
      <c r="G105" t="inlineStr">
        <is>
          <t>BORGHOLM</t>
        </is>
      </c>
      <c r="H105" t="inlineStr">
        <is>
          <t>Sveaskog</t>
        </is>
      </c>
      <c r="I105" t="n">
        <v>1.8</v>
      </c>
      <c r="J105" t="n">
        <v>0</v>
      </c>
      <c r="K105" t="n">
        <v>0</v>
      </c>
      <c r="L105" t="n">
        <v>1</v>
      </c>
      <c r="M105" t="n">
        <v>0</v>
      </c>
      <c r="N105" t="n">
        <v>0</v>
      </c>
      <c r="O105" t="n">
        <v>0</v>
      </c>
      <c r="P105" t="n">
        <v>0</v>
      </c>
      <c r="Q105" t="n">
        <v>1</v>
      </c>
      <c r="R105" t="n">
        <v>0</v>
      </c>
      <c r="S105" t="n">
        <v>1</v>
      </c>
      <c r="T105" t="n">
        <v>2</v>
      </c>
      <c r="U105" t="n">
        <v>0</v>
      </c>
      <c r="V105" s="2" t="inlineStr">
        <is>
          <t>Oxtungssvamp</t>
        </is>
      </c>
      <c r="W105">
        <f>HYPERLINK("https://klasma.github.io/Logging_0885/artfynd/S 1813-2026 artfynd.xlsx", "S 1813-2026")</f>
        <v/>
      </c>
      <c r="X105">
        <f>HYPERLINK("https://klasma.github.io/Logging_0885/kartor/S 1813-2026 karta.png", "S 1813-2026")</f>
        <v/>
      </c>
      <c r="Y105">
        <f>HYPERLINK("https://klasma.github.io/Logging_0885/kartor_geotiff/S 1813-2026 georefererad karta.tif", "S 1813-2026")</f>
        <v/>
      </c>
      <c r="AA105">
        <f>HYPERLINK("https://klasma.github.io/Logging_0885/klagomål/S 1813-2026 FSC-klagomål.docx", "S 1813-2026")</f>
        <v/>
      </c>
      <c r="AB105">
        <f>HYPERLINK("https://klasma.github.io/Logging_0885/klagomålsmail/S 1813-2026 FSC-klagomål mail.docx", "S 1813-2026")</f>
        <v/>
      </c>
      <c r="AC105">
        <f>HYPERLINK("https://klasma.github.io/Logging_0885/tillsyn/S 1813-2026 tillsynsbegäran.docx", "S 1813-2026")</f>
        <v/>
      </c>
      <c r="AD105">
        <f>HYPERLINK("https://klasma.github.io/Logging_0885/tillsynsmail/S 1813-2026 tillsynsbegäran mail.docx", "S 1813-2026")</f>
        <v/>
      </c>
    </row>
    <row r="106" ht="15" customHeight="1">
      <c r="A106" t="inlineStr">
        <is>
          <t>S 2140-2026</t>
        </is>
      </c>
      <c r="B106" t="inlineStr">
        <is>
          <t>samrådsanmälan</t>
        </is>
      </c>
      <c r="C106" t="inlineStr">
        <is>
          <t>Annan skogsbruksåtgärd</t>
        </is>
      </c>
      <c r="D106" s="1" t="n">
        <v>46246</v>
      </c>
      <c r="E106" s="1" t="n">
        <v>46328</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46328</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46328</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46328</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46328</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46328</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46328</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46328</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46328</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46328</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55367-2024</t>
        </is>
      </c>
      <c r="B116" t="inlineStr">
        <is>
          <t>avverkningsanmälan</t>
        </is>
      </c>
      <c r="C116" t="inlineStr">
        <is>
          <t>Föryngringsavverkning</t>
        </is>
      </c>
      <c r="D116" s="1" t="n">
        <v>45621</v>
      </c>
      <c r="E116" s="1" t="n">
        <v>46328</v>
      </c>
      <c r="F116" t="inlineStr">
        <is>
          <t>KALMAR LÄN</t>
        </is>
      </c>
      <c r="G116" t="inlineStr">
        <is>
          <t>BORGHOLM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26190-2025</t>
        </is>
      </c>
      <c r="B117" t="inlineStr">
        <is>
          <t>avverkningsanmälan</t>
        </is>
      </c>
      <c r="C117" t="inlineStr">
        <is>
          <t>Föryngringsavverkning</t>
        </is>
      </c>
      <c r="D117" s="1" t="n">
        <v>45805</v>
      </c>
      <c r="E117" s="1" t="n">
        <v>46328</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46328</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4159-2024</t>
        </is>
      </c>
      <c r="B119" t="inlineStr">
        <is>
          <t>avverkningsanmälan</t>
        </is>
      </c>
      <c r="C119" t="inlineStr">
        <is>
          <t>Föryngringsavverkning</t>
        </is>
      </c>
      <c r="D119" s="1" t="n">
        <v>45323</v>
      </c>
      <c r="E119" s="1" t="n">
        <v>46328</v>
      </c>
      <c r="F119" t="inlineStr">
        <is>
          <t>KALMAR LÄN</t>
        </is>
      </c>
      <c r="G119" t="inlineStr">
        <is>
          <t>BORGHOLM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32921-2023</t>
        </is>
      </c>
      <c r="B120" t="inlineStr">
        <is>
          <t>avverkningsanmälan</t>
        </is>
      </c>
      <c r="C120" t="inlineStr">
        <is>
          <t>Föryngringsavverkning</t>
        </is>
      </c>
      <c r="D120" s="1" t="n">
        <v>45125</v>
      </c>
      <c r="E120" s="1" t="n">
        <v>46328</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46328</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31699-2022</t>
        </is>
      </c>
      <c r="B122" t="inlineStr">
        <is>
          <t>avverkningsanmälan</t>
        </is>
      </c>
      <c r="C122" t="inlineStr">
        <is>
          <t>Föryngringsavverkning</t>
        </is>
      </c>
      <c r="D122" s="1" t="n">
        <v>44776</v>
      </c>
      <c r="E122" s="1" t="n">
        <v>46328</v>
      </c>
      <c r="F122" t="inlineStr">
        <is>
          <t>KALMAR LÄN</t>
        </is>
      </c>
      <c r="G122" t="inlineStr">
        <is>
          <t>BORGHOLM</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46328</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36269-2025</t>
        </is>
      </c>
      <c r="B124" t="inlineStr">
        <is>
          <t>avverkningsanmälan</t>
        </is>
      </c>
      <c r="C124" t="inlineStr">
        <is>
          <t>Föryngringsavverkning</t>
        </is>
      </c>
      <c r="D124" s="1" t="n">
        <v>45867</v>
      </c>
      <c r="E124" s="1" t="n">
        <v>46328</v>
      </c>
      <c r="F124" t="inlineStr">
        <is>
          <t>KALMAR LÄN</t>
        </is>
      </c>
      <c r="G124" t="inlineStr">
        <is>
          <t>BORGHOLM</t>
        </is>
      </c>
      <c r="H124" t="inlineStr">
        <is>
          <t>Sveaskog</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1614-2025</t>
        </is>
      </c>
      <c r="B125" t="inlineStr">
        <is>
          <t>avverkningsanmälan</t>
        </is>
      </c>
      <c r="C125" t="inlineStr">
        <is>
          <t>Föryngringsavverkning</t>
        </is>
      </c>
      <c r="D125" s="1" t="n">
        <v>45670</v>
      </c>
      <c r="E125" s="1" t="n">
        <v>46328</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9259-2026</t>
        </is>
      </c>
      <c r="B126" t="inlineStr">
        <is>
          <t>avverkningsanmälan</t>
        </is>
      </c>
      <c r="C126" t="inlineStr">
        <is>
          <t>Föryngringsavverkning</t>
        </is>
      </c>
      <c r="D126" s="1" t="n">
        <v>46070</v>
      </c>
      <c r="E126" s="1" t="n">
        <v>46328</v>
      </c>
      <c r="F126" t="inlineStr">
        <is>
          <t>KALMAR LÄN</t>
        </is>
      </c>
      <c r="G126" t="inlineStr">
        <is>
          <t>BORGHOLM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9076-2025</t>
        </is>
      </c>
      <c r="B127" t="inlineStr">
        <is>
          <t>avverkningsanmälan</t>
        </is>
      </c>
      <c r="C127" t="inlineStr">
        <is>
          <t>Föryngringsavverkning</t>
        </is>
      </c>
      <c r="D127" s="1" t="n">
        <v>45713</v>
      </c>
      <c r="E127" s="1" t="n">
        <v>46328</v>
      </c>
      <c r="F127" t="inlineStr">
        <is>
          <t>KALMAR LÄN</t>
        </is>
      </c>
      <c r="G127" t="inlineStr">
        <is>
          <t>BORGHOLM</t>
        </is>
      </c>
      <c r="H127" t="inlineStr">
        <is>
          <t>Sveaskog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1757-2025</t>
        </is>
      </c>
      <c r="B128" t="inlineStr">
        <is>
          <t>avverkningsanmälan</t>
        </is>
      </c>
      <c r="C128" t="inlineStr">
        <is>
          <t>Föryngringsavverkning</t>
        </is>
      </c>
      <c r="D128" s="1" t="n">
        <v>45671</v>
      </c>
      <c r="E128" s="1" t="n">
        <v>46328</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9050-2025</t>
        </is>
      </c>
      <c r="B129" t="inlineStr">
        <is>
          <t>avverkningsanmälan</t>
        </is>
      </c>
      <c r="C129" t="inlineStr">
        <is>
          <t>Avverkning för att bevara och utveckla /försöksver</t>
        </is>
      </c>
      <c r="D129" s="1" t="n">
        <v>45713</v>
      </c>
      <c r="E129" s="1" t="n">
        <v>46328</v>
      </c>
      <c r="F129" t="inlineStr">
        <is>
          <t>KALMAR LÄN</t>
        </is>
      </c>
      <c r="G129" t="inlineStr">
        <is>
          <t>BORGHOLM</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15272-2026</t>
        </is>
      </c>
      <c r="B130" t="inlineStr">
        <is>
          <t>avverkningsanmälan</t>
        </is>
      </c>
      <c r="C130" t="inlineStr">
        <is>
          <t>Avverkning för att bevara och utveckla /försöksver</t>
        </is>
      </c>
      <c r="D130" s="1" t="n">
        <v>46105</v>
      </c>
      <c r="E130" s="1" t="n">
        <v>46328</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15264-2026</t>
        </is>
      </c>
      <c r="B131" t="inlineStr">
        <is>
          <t>avverkningsanmälan</t>
        </is>
      </c>
      <c r="C131" t="inlineStr">
        <is>
          <t>Avverkning för att bevara och utveckla /försöksver</t>
        </is>
      </c>
      <c r="D131" s="1" t="n">
        <v>46105</v>
      </c>
      <c r="E131" s="1" t="n">
        <v>46328</v>
      </c>
      <c r="F131" t="inlineStr">
        <is>
          <t>KALMAR LÄN</t>
        </is>
      </c>
      <c r="G131" t="inlineStr">
        <is>
          <t>BORGHOLM</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43603-2024</t>
        </is>
      </c>
      <c r="B132" t="inlineStr">
        <is>
          <t>avverkningsanmälan</t>
        </is>
      </c>
      <c r="C132" t="inlineStr">
        <is>
          <t>Föryngringsavverkning</t>
        </is>
      </c>
      <c r="D132" s="1" t="n">
        <v>45569</v>
      </c>
      <c r="E132" s="1" t="n">
        <v>46328</v>
      </c>
      <c r="F132" t="inlineStr">
        <is>
          <t>KALMAR LÄN</t>
        </is>
      </c>
      <c r="G132" t="inlineStr">
        <is>
          <t>BORGHOLM</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46328</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5175-2024</t>
        </is>
      </c>
      <c r="B134" t="inlineStr">
        <is>
          <t>avverkningsanmälan</t>
        </is>
      </c>
      <c r="C134" t="inlineStr">
        <is>
          <t>Föryngringsavverkning</t>
        </is>
      </c>
      <c r="D134" s="1" t="n">
        <v>45330</v>
      </c>
      <c r="E134" s="1" t="n">
        <v>46328</v>
      </c>
      <c r="F134" t="inlineStr">
        <is>
          <t>KALMAR LÄN</t>
        </is>
      </c>
      <c r="G134" t="inlineStr">
        <is>
          <t>BORGHOLM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46328</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46328</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46328</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46328</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46328</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46328</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4165-2023</t>
        </is>
      </c>
      <c r="B141" t="inlineStr">
        <is>
          <t>avverkningsanmälan</t>
        </is>
      </c>
      <c r="C141" t="inlineStr">
        <is>
          <t>Föryngringsavverkning</t>
        </is>
      </c>
      <c r="D141" s="1" t="n">
        <v>44953</v>
      </c>
      <c r="E141" s="1" t="n">
        <v>46328</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46328</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34780-2022</t>
        </is>
      </c>
      <c r="B143" t="inlineStr">
        <is>
          <t>avverkningsanmälan</t>
        </is>
      </c>
      <c r="C143" t="inlineStr">
        <is>
          <t>Föryngringsavverkning</t>
        </is>
      </c>
      <c r="D143" s="1" t="n">
        <v>44795</v>
      </c>
      <c r="E143" s="1" t="n">
        <v>46328</v>
      </c>
      <c r="F143" t="inlineStr">
        <is>
          <t>KALMAR LÄN</t>
        </is>
      </c>
      <c r="G143" t="inlineStr">
        <is>
          <t>BORGHOLM</t>
        </is>
      </c>
      <c r="H143" t="inlineStr">
        <is>
          <t>Sveaskog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28381-2026</t>
        </is>
      </c>
      <c r="B144" t="inlineStr">
        <is>
          <t>avverkningsanmälan</t>
        </is>
      </c>
      <c r="C144" t="inlineStr">
        <is>
          <t>Avverkning för att bevara och utveckla /försöksver</t>
        </is>
      </c>
      <c r="D144" s="1" t="n">
        <v>46196</v>
      </c>
      <c r="E144" s="1" t="n">
        <v>46328</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28380-2026</t>
        </is>
      </c>
      <c r="B145" t="inlineStr">
        <is>
          <t>avverkningsanmälan</t>
        </is>
      </c>
      <c r="C145" t="inlineStr">
        <is>
          <t>Avverkning för att bevara och utveckla /försöksver</t>
        </is>
      </c>
      <c r="D145" s="1" t="n">
        <v>46196</v>
      </c>
      <c r="E145" s="1" t="n">
        <v>46328</v>
      </c>
      <c r="F145" t="inlineStr">
        <is>
          <t>KALMAR LÄN</t>
        </is>
      </c>
      <c r="G145" t="inlineStr">
        <is>
          <t>BORGHOLM</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28411-2026</t>
        </is>
      </c>
      <c r="B146" t="inlineStr">
        <is>
          <t>avverkningsanmälan</t>
        </is>
      </c>
      <c r="C146" t="inlineStr">
        <is>
          <t>Avverkning för att bevara och utveckla /försöksver</t>
        </is>
      </c>
      <c r="D146" s="1" t="n">
        <v>46197</v>
      </c>
      <c r="E146" s="1" t="n">
        <v>46328</v>
      </c>
      <c r="F146" t="inlineStr">
        <is>
          <t>KALMAR LÄN</t>
        </is>
      </c>
      <c r="G146" t="inlineStr">
        <is>
          <t>BORGHOLM</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29413-2026</t>
        </is>
      </c>
      <c r="B147" t="inlineStr">
        <is>
          <t>avverkningsanmälan</t>
        </is>
      </c>
      <c r="C147" t="inlineStr">
        <is>
          <t>Avverkning för att bevara och utveckla /försöksver</t>
        </is>
      </c>
      <c r="D147" s="1" t="n">
        <v>46203</v>
      </c>
      <c r="E147" s="1" t="n">
        <v>46328</v>
      </c>
      <c r="F147" t="inlineStr">
        <is>
          <t>KALMAR LÄN</t>
        </is>
      </c>
      <c r="G147" t="inlineStr">
        <is>
          <t>BORGHOLM</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29414-2026</t>
        </is>
      </c>
      <c r="B148" t="inlineStr">
        <is>
          <t>avverkningsanmälan</t>
        </is>
      </c>
      <c r="C148" t="inlineStr">
        <is>
          <t>Avverkning för att bevara och utveckla /försöksver</t>
        </is>
      </c>
      <c r="D148" s="1" t="n">
        <v>46203</v>
      </c>
      <c r="E148" s="1" t="n">
        <v>46328</v>
      </c>
      <c r="F148" t="inlineStr">
        <is>
          <t>KALMAR LÄN</t>
        </is>
      </c>
      <c r="G148" t="inlineStr">
        <is>
          <t>BORGHOLM</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29431-2026</t>
        </is>
      </c>
      <c r="B149" t="inlineStr">
        <is>
          <t>avverkningsanmälan</t>
        </is>
      </c>
      <c r="C149" t="inlineStr">
        <is>
          <t>Avverkning för att bevara och utveckla /försöksver</t>
        </is>
      </c>
      <c r="D149" s="1" t="n">
        <v>46203</v>
      </c>
      <c r="E149" s="1" t="n">
        <v>46328</v>
      </c>
      <c r="F149" t="inlineStr">
        <is>
          <t>KALMAR LÄN</t>
        </is>
      </c>
      <c r="G149" t="inlineStr">
        <is>
          <t>BORGHOLM</t>
        </is>
      </c>
      <c r="H149" t="inlineStr">
        <is>
          <t>Sveaskog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29410-2026</t>
        </is>
      </c>
      <c r="B150" t="inlineStr">
        <is>
          <t>avverkningsanmälan</t>
        </is>
      </c>
      <c r="C150" t="inlineStr">
        <is>
          <t>Avverkning för att bevara och utveckla /försöksver</t>
        </is>
      </c>
      <c r="D150" s="1" t="n">
        <v>46203</v>
      </c>
      <c r="E150" s="1" t="n">
        <v>46328</v>
      </c>
      <c r="F150" t="inlineStr">
        <is>
          <t>KALMAR LÄN</t>
        </is>
      </c>
      <c r="G150" t="inlineStr">
        <is>
          <t>BORGHOLM</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20287-2025</t>
        </is>
      </c>
      <c r="B151" t="inlineStr">
        <is>
          <t>avverkningsanmälan</t>
        </is>
      </c>
      <c r="C151" t="inlineStr">
        <is>
          <t>Avverkning för att bevara och utveckla /försöksver</t>
        </is>
      </c>
      <c r="D151" s="1" t="n">
        <v>45774</v>
      </c>
      <c r="E151" s="1" t="n">
        <v>46328</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63075-2023</t>
        </is>
      </c>
      <c r="B152" t="inlineStr">
        <is>
          <t>avverkningsanmälan</t>
        </is>
      </c>
      <c r="C152" t="inlineStr">
        <is>
          <t>Avverkning för annat ändamål</t>
        </is>
      </c>
      <c r="D152" s="1" t="n">
        <v>45273</v>
      </c>
      <c r="E152" s="1" t="n">
        <v>46328</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22785-2025</t>
        </is>
      </c>
      <c r="B153" t="inlineStr">
        <is>
          <t>avverkningsanmälan</t>
        </is>
      </c>
      <c r="C153" t="inlineStr">
        <is>
          <t>Föryngringsavverkning</t>
        </is>
      </c>
      <c r="D153" s="1" t="n">
        <v>45789</v>
      </c>
      <c r="E153" s="1" t="n">
        <v>46328</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46328</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4035-2022</t>
        </is>
      </c>
      <c r="B155" t="inlineStr">
        <is>
          <t>samrådsanmälan</t>
        </is>
      </c>
      <c r="C155" t="inlineStr">
        <is>
          <t>Annan skogsbruksåtgärd</t>
        </is>
      </c>
      <c r="D155" s="1" t="n">
        <v>44756</v>
      </c>
      <c r="E155" s="1" t="n">
        <v>46328</v>
      </c>
      <c r="F155" t="inlineStr">
        <is>
          <t>KALMAR LÄN</t>
        </is>
      </c>
      <c r="G155" t="inlineStr">
        <is>
          <t>BORGHOLM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605-2025</t>
        </is>
      </c>
      <c r="B156" t="inlineStr">
        <is>
          <t>samrådsanmälan</t>
        </is>
      </c>
      <c r="C156" t="inlineStr">
        <is>
          <t>Annan skogsbruksåtgärd</t>
        </is>
      </c>
      <c r="D156" s="1" t="n">
        <v>45713</v>
      </c>
      <c r="E156" s="1" t="n">
        <v>46328</v>
      </c>
      <c r="F156" t="inlineStr">
        <is>
          <t>KALMAR LÄN</t>
        </is>
      </c>
      <c r="G156" t="inlineStr">
        <is>
          <t>BORGHOLM</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1762-2025</t>
        </is>
      </c>
      <c r="B157" t="inlineStr">
        <is>
          <t>samrådsanmälan</t>
        </is>
      </c>
      <c r="C157" t="inlineStr">
        <is>
          <t>Annan skogsbruksåtgärd</t>
        </is>
      </c>
      <c r="D157" s="1" t="n">
        <v>45812</v>
      </c>
      <c r="E157" s="1" t="n">
        <v>46328</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1760-2025</t>
        </is>
      </c>
      <c r="B158" t="inlineStr">
        <is>
          <t>samrådsanmälan</t>
        </is>
      </c>
      <c r="C158" t="inlineStr">
        <is>
          <t>Annan skogsbruksåtgärd</t>
        </is>
      </c>
      <c r="D158" s="1" t="n">
        <v>45812</v>
      </c>
      <c r="E158" s="1" t="n">
        <v>46328</v>
      </c>
      <c r="F158" t="inlineStr">
        <is>
          <t>KALMAR LÄN</t>
        </is>
      </c>
      <c r="G158" t="inlineStr">
        <is>
          <t>BORGHOLM</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1123-2025</t>
        </is>
      </c>
      <c r="B159" t="inlineStr">
        <is>
          <t>samrådsanmälan</t>
        </is>
      </c>
      <c r="C159" t="inlineStr">
        <is>
          <t>Annan skogsbruksåtgärd</t>
        </is>
      </c>
      <c r="D159" s="1" t="n">
        <v>45754</v>
      </c>
      <c r="E159" s="1" t="n">
        <v>46328</v>
      </c>
      <c r="F159" t="inlineStr">
        <is>
          <t>KALMAR LÄN</t>
        </is>
      </c>
      <c r="G159" t="inlineStr">
        <is>
          <t>BORGHOLM</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842-2026</t>
        </is>
      </c>
      <c r="B160" t="inlineStr">
        <is>
          <t>samrådsanmälan</t>
        </is>
      </c>
      <c r="C160" t="inlineStr">
        <is>
          <t>Annan skogsbruksåtgärd</t>
        </is>
      </c>
      <c r="D160" s="1" t="n">
        <v>46105</v>
      </c>
      <c r="E160" s="1" t="n">
        <v>46328</v>
      </c>
      <c r="F160" t="inlineStr">
        <is>
          <t>KALMAR LÄN</t>
        </is>
      </c>
      <c r="G160" t="inlineStr">
        <is>
          <t>BORGHOLM</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843-2026</t>
        </is>
      </c>
      <c r="B161" t="inlineStr">
        <is>
          <t>samrådsanmälan</t>
        </is>
      </c>
      <c r="C161" t="inlineStr">
        <is>
          <t>Annan skogsbruksåtgärd</t>
        </is>
      </c>
      <c r="D161" s="1" t="n">
        <v>46105</v>
      </c>
      <c r="E161" s="1" t="n">
        <v>46328</v>
      </c>
      <c r="F161" t="inlineStr">
        <is>
          <t>KALMAR LÄN</t>
        </is>
      </c>
      <c r="G161" t="inlineStr">
        <is>
          <t>BORGHOLM</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1556-2026</t>
        </is>
      </c>
      <c r="B162" t="inlineStr">
        <is>
          <t>samrådsanmälan</t>
        </is>
      </c>
      <c r="C162" t="inlineStr">
        <is>
          <t>Annan skogsbruksåtgärd</t>
        </is>
      </c>
      <c r="D162" s="1" t="n">
        <v>46169</v>
      </c>
      <c r="E162" s="1" t="n">
        <v>46328</v>
      </c>
      <c r="F162" t="inlineStr">
        <is>
          <t>KALMAR LÄN</t>
        </is>
      </c>
      <c r="G162" t="inlineStr">
        <is>
          <t>BORGHOLM</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1806-2026</t>
        </is>
      </c>
      <c r="B163" t="inlineStr">
        <is>
          <t>samrådsanmälan</t>
        </is>
      </c>
      <c r="C163" t="inlineStr">
        <is>
          <t>Annan skogsbruksåtgärd</t>
        </is>
      </c>
      <c r="D163" s="1" t="n">
        <v>46196</v>
      </c>
      <c r="E163" s="1" t="n">
        <v>46328</v>
      </c>
      <c r="F163" t="inlineStr">
        <is>
          <t>KALMAR LÄN</t>
        </is>
      </c>
      <c r="G163" t="inlineStr">
        <is>
          <t>BORGHOLM</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1807-2026</t>
        </is>
      </c>
      <c r="B164" t="inlineStr">
        <is>
          <t>samrådsanmälan</t>
        </is>
      </c>
      <c r="C164" t="inlineStr">
        <is>
          <t>Annan skogsbruksåtgärd</t>
        </is>
      </c>
      <c r="D164" s="1" t="n">
        <v>46196</v>
      </c>
      <c r="E164" s="1" t="n">
        <v>46328</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1812-2026</t>
        </is>
      </c>
      <c r="B165" t="inlineStr">
        <is>
          <t>samrådsanmälan</t>
        </is>
      </c>
      <c r="C165" t="inlineStr">
        <is>
          <t>Annan skogsbruksåtgärd</t>
        </is>
      </c>
      <c r="D165" s="1" t="n">
        <v>46197</v>
      </c>
      <c r="E165" s="1" t="n">
        <v>46328</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1891-2026</t>
        </is>
      </c>
      <c r="B166" t="inlineStr">
        <is>
          <t>samrådsanmälan</t>
        </is>
      </c>
      <c r="C166" t="inlineStr">
        <is>
          <t>Annan skogsbruksåtgärd</t>
        </is>
      </c>
      <c r="D166" s="1" t="n">
        <v>46203</v>
      </c>
      <c r="E166" s="1" t="n">
        <v>46328</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1885-2026</t>
        </is>
      </c>
      <c r="B167" t="inlineStr">
        <is>
          <t>samrådsanmälan</t>
        </is>
      </c>
      <c r="C167" t="inlineStr">
        <is>
          <t>Annan skogsbruksåtgärd</t>
        </is>
      </c>
      <c r="D167" s="1" t="n">
        <v>46203</v>
      </c>
      <c r="E167" s="1" t="n">
        <v>46328</v>
      </c>
      <c r="F167" t="inlineStr">
        <is>
          <t>KALMAR LÄN</t>
        </is>
      </c>
      <c r="G167" t="inlineStr">
        <is>
          <t>BORGHOLM</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1887-2026</t>
        </is>
      </c>
      <c r="B168" t="inlineStr">
        <is>
          <t>samrådsanmälan</t>
        </is>
      </c>
      <c r="C168" t="inlineStr">
        <is>
          <t>Annan skogsbruksåtgärd</t>
        </is>
      </c>
      <c r="D168" s="1" t="n">
        <v>46203</v>
      </c>
      <c r="E168" s="1" t="n">
        <v>46328</v>
      </c>
      <c r="F168" t="inlineStr">
        <is>
          <t>KALMAR LÄN</t>
        </is>
      </c>
      <c r="G168" t="inlineStr">
        <is>
          <t>BORGHOLM</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c r="A169" t="inlineStr">
        <is>
          <t>S 1888-2026</t>
        </is>
      </c>
      <c r="B169" t="inlineStr">
        <is>
          <t>samrådsanmälan</t>
        </is>
      </c>
      <c r="C169" t="inlineStr">
        <is>
          <t>Annan skogsbruksåtgärd</t>
        </is>
      </c>
      <c r="D169" s="1" t="n">
        <v>46203</v>
      </c>
      <c r="E169" s="1" t="n">
        <v>46328</v>
      </c>
      <c r="F169" t="inlineStr">
        <is>
          <t>KALMAR LÄN</t>
        </is>
      </c>
      <c r="G169" t="inlineStr">
        <is>
          <t>BORGHOLM</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2026-11-02T03:32:05Z</dcterms:created>
  <dcterms:modified xmlns:dcterms="http://purl.org/dc/terms/" xmlns:xsi="http://www.w3.org/2001/XMLSchema-instance" xsi:type="dcterms:W3CDTF">2026-11-02T03:32:05Z</dcterms:modified>
</cp:coreProperties>
</file>