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46094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46094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46094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32174-2022</t>
        </is>
      </c>
      <c r="B19" s="1" t="n">
        <v>44781</v>
      </c>
      <c r="C19" s="1" t="n">
        <v>46094</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46094</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13556-2025</t>
        </is>
      </c>
      <c r="B21" s="1" t="n">
        <v>45736.54759259259</v>
      </c>
      <c r="C21" s="1" t="n">
        <v>46094</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38860-2025</t>
        </is>
      </c>
      <c r="B22" s="1" t="n">
        <v>45887.5609375</v>
      </c>
      <c r="C22" s="1" t="n">
        <v>46094</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28779-2025</t>
        </is>
      </c>
      <c r="B23" s="1" t="n">
        <v>45820.44920138889</v>
      </c>
      <c r="C23" s="1" t="n">
        <v>46094</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4164-2023</t>
        </is>
      </c>
      <c r="B24" s="1" t="n">
        <v>44953</v>
      </c>
      <c r="C24" s="1" t="n">
        <v>46094</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44008-2022</t>
        </is>
      </c>
      <c r="B25" s="1" t="n">
        <v>44838</v>
      </c>
      <c r="C25" s="1" t="n">
        <v>46094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34944-2022</t>
        </is>
      </c>
      <c r="B26" s="1" t="n">
        <v>44796</v>
      </c>
      <c r="C26" s="1" t="n">
        <v>46094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60140-2025</t>
        </is>
      </c>
      <c r="B27" s="1" t="n">
        <v>45994.36274305556</v>
      </c>
      <c r="C27" s="1" t="n">
        <v>46094</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9253-2026</t>
        </is>
      </c>
      <c r="B28" s="1" t="n">
        <v>46070.51003472223</v>
      </c>
      <c r="C28" s="1" t="n">
        <v>46094</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31790-2021</t>
        </is>
      </c>
      <c r="B29" s="1" t="n">
        <v>44370</v>
      </c>
      <c r="C29" s="1" t="n">
        <v>46094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46094</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14789-2021</t>
        </is>
      </c>
      <c r="B32" s="1" t="n">
        <v>44280</v>
      </c>
      <c r="C32" s="1" t="n">
        <v>46094</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13558-2025</t>
        </is>
      </c>
      <c r="B33" s="1" t="n">
        <v>45736.54974537037</v>
      </c>
      <c r="C33" s="1" t="n">
        <v>46094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46094</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46094</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46094</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46094</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46094</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46094</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12785-2021</t>
        </is>
      </c>
      <c r="B40" s="1" t="n">
        <v>44270</v>
      </c>
      <c r="C40" s="1" t="n">
        <v>46094</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9745-2023</t>
        </is>
      </c>
      <c r="B41" s="1" t="n">
        <v>44984</v>
      </c>
      <c r="C41" s="1" t="n">
        <v>46094</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46094</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45693-2025</t>
        </is>
      </c>
      <c r="B43" s="1" t="n">
        <v>45923</v>
      </c>
      <c r="C43" s="1" t="n">
        <v>46094</v>
      </c>
      <c r="D43" t="inlineStr">
        <is>
          <t>KALMAR LÄN</t>
        </is>
      </c>
      <c r="E43" t="inlineStr">
        <is>
          <t>BORGHOLM</t>
        </is>
      </c>
      <c r="G43" t="n">
        <v>4.8</v>
      </c>
      <c r="H43" t="n">
        <v>0</v>
      </c>
      <c r="I43" t="n">
        <v>0</v>
      </c>
      <c r="J43" t="n">
        <v>1</v>
      </c>
      <c r="K43" t="n">
        <v>0</v>
      </c>
      <c r="L43" t="n">
        <v>0</v>
      </c>
      <c r="M43" t="n">
        <v>0</v>
      </c>
      <c r="N43" t="n">
        <v>0</v>
      </c>
      <c r="O43" t="n">
        <v>1</v>
      </c>
      <c r="P43" t="n">
        <v>0</v>
      </c>
      <c r="Q43" t="n">
        <v>1</v>
      </c>
      <c r="R43" s="2" t="inlineStr">
        <is>
          <t>Stjälkröksvamp</t>
        </is>
      </c>
      <c r="S43">
        <f>HYPERLINK("https://klasma.github.io/Logging_0885/artfynd/A 45693-2025 artfynd.xlsx", "A 45693-2025")</f>
        <v/>
      </c>
      <c r="T43">
        <f>HYPERLINK("https://klasma.github.io/Logging_0885/kartor/A 45693-2025 karta.png", "A 45693-2025")</f>
        <v/>
      </c>
      <c r="V43">
        <f>HYPERLINK("https://klasma.github.io/Logging_0885/klagomål/A 45693-2025 FSC-klagomål.docx", "A 45693-2025")</f>
        <v/>
      </c>
      <c r="W43">
        <f>HYPERLINK("https://klasma.github.io/Logging_0885/klagomålsmail/A 45693-2025 FSC-klagomål mail.docx", "A 45693-2025")</f>
        <v/>
      </c>
      <c r="X43">
        <f>HYPERLINK("https://klasma.github.io/Logging_0885/tillsyn/A 45693-2025 tillsynsbegäran.docx", "A 45693-2025")</f>
        <v/>
      </c>
      <c r="Y43">
        <f>HYPERLINK("https://klasma.github.io/Logging_0885/tillsynsmail/A 45693-2025 tillsynsbegäran mail.docx", "A 45693-2025")</f>
        <v/>
      </c>
    </row>
    <row r="44" ht="15" customHeight="1">
      <c r="A44" t="inlineStr">
        <is>
          <t>A 3302-2026</t>
        </is>
      </c>
      <c r="B44" s="1" t="n">
        <v>46041</v>
      </c>
      <c r="C44" s="1" t="n">
        <v>46094</v>
      </c>
      <c r="D44" t="inlineStr">
        <is>
          <t>KALMAR LÄN</t>
        </is>
      </c>
      <c r="E44" t="inlineStr">
        <is>
          <t>BORGHOLM</t>
        </is>
      </c>
      <c r="G44" t="n">
        <v>3.9</v>
      </c>
      <c r="H44" t="n">
        <v>1</v>
      </c>
      <c r="I44" t="n">
        <v>0</v>
      </c>
      <c r="J44" t="n">
        <v>0</v>
      </c>
      <c r="K44" t="n">
        <v>0</v>
      </c>
      <c r="L44" t="n">
        <v>0</v>
      </c>
      <c r="M44" t="n">
        <v>0</v>
      </c>
      <c r="N44" t="n">
        <v>0</v>
      </c>
      <c r="O44" t="n">
        <v>0</v>
      </c>
      <c r="P44" t="n">
        <v>0</v>
      </c>
      <c r="Q44" t="n">
        <v>1</v>
      </c>
      <c r="R44" s="2" t="inlineStr">
        <is>
          <t>Blåsippa</t>
        </is>
      </c>
      <c r="S44">
        <f>HYPERLINK("https://klasma.github.io/Logging_0885/artfynd/A 3302-2026 artfynd.xlsx", "A 3302-2026")</f>
        <v/>
      </c>
      <c r="T44">
        <f>HYPERLINK("https://klasma.github.io/Logging_0885/kartor/A 3302-2026 karta.png", "A 3302-2026")</f>
        <v/>
      </c>
      <c r="V44">
        <f>HYPERLINK("https://klasma.github.io/Logging_0885/klagomål/A 3302-2026 FSC-klagomål.docx", "A 3302-2026")</f>
        <v/>
      </c>
      <c r="W44">
        <f>HYPERLINK("https://klasma.github.io/Logging_0885/klagomålsmail/A 3302-2026 FSC-klagomål mail.docx", "A 3302-2026")</f>
        <v/>
      </c>
      <c r="X44">
        <f>HYPERLINK("https://klasma.github.io/Logging_0885/tillsyn/A 3302-2026 tillsynsbegäran.docx", "A 3302-2026")</f>
        <v/>
      </c>
      <c r="Y44">
        <f>HYPERLINK("https://klasma.github.io/Logging_0885/tillsynsmail/A 3302-2026 tillsynsbegäran mail.docx", "A 3302-2026")</f>
        <v/>
      </c>
    </row>
    <row r="45" ht="15" customHeight="1">
      <c r="A45" t="inlineStr">
        <is>
          <t>A 12711-2021</t>
        </is>
      </c>
      <c r="B45" s="1" t="n">
        <v>44270</v>
      </c>
      <c r="C45" s="1" t="n">
        <v>46094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46094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46094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46094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46094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46094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46094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46094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46094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46094</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46094</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46094</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46094</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46094</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46094</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46094</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13548-2025</t>
        </is>
      </c>
      <c r="B61" s="1" t="n">
        <v>45736.53827546296</v>
      </c>
      <c r="C61" s="1" t="n">
        <v>46094</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31840-2021</t>
        </is>
      </c>
      <c r="B62" s="1" t="n">
        <v>44370</v>
      </c>
      <c r="C62" s="1" t="n">
        <v>46094</v>
      </c>
      <c r="D62" t="inlineStr">
        <is>
          <t>KALMAR LÄN</t>
        </is>
      </c>
      <c r="E62" t="inlineStr">
        <is>
          <t>BORGHOLM</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27437-2022</t>
        </is>
      </c>
      <c r="B63" s="1" t="n">
        <v>44742.55567129629</v>
      </c>
      <c r="C63" s="1" t="n">
        <v>46094</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46094</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46094</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62631-2021</t>
        </is>
      </c>
      <c r="B66" s="1" t="n">
        <v>44503</v>
      </c>
      <c r="C66" s="1" t="n">
        <v>46094</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32919-2023</t>
        </is>
      </c>
      <c r="B67" s="1" t="n">
        <v>45125</v>
      </c>
      <c r="C67" s="1" t="n">
        <v>46094</v>
      </c>
      <c r="D67" t="inlineStr">
        <is>
          <t>KALMAR LÄN</t>
        </is>
      </c>
      <c r="E67" t="inlineStr">
        <is>
          <t>BORGHOLM</t>
        </is>
      </c>
      <c r="G67" t="n">
        <v>2.7</v>
      </c>
      <c r="H67" t="n">
        <v>0</v>
      </c>
      <c r="I67" t="n">
        <v>0</v>
      </c>
      <c r="J67" t="n">
        <v>0</v>
      </c>
      <c r="K67" t="n">
        <v>0</v>
      </c>
      <c r="L67" t="n">
        <v>0</v>
      </c>
      <c r="M67" t="n">
        <v>0</v>
      </c>
      <c r="N67" t="n">
        <v>0</v>
      </c>
      <c r="O67" t="n">
        <v>0</v>
      </c>
      <c r="P67" t="n">
        <v>0</v>
      </c>
      <c r="Q67" t="n">
        <v>0</v>
      </c>
      <c r="R67" s="2" t="inlineStr"/>
    </row>
    <row r="68" ht="15" customHeight="1">
      <c r="A68" t="inlineStr">
        <is>
          <t>A 64303-2023</t>
        </is>
      </c>
      <c r="B68" s="1" t="n">
        <v>45280</v>
      </c>
      <c r="C68" s="1" t="n">
        <v>46094</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12534-2022</t>
        </is>
      </c>
      <c r="B69" s="1" t="n">
        <v>44638</v>
      </c>
      <c r="C69" s="1" t="n">
        <v>46094</v>
      </c>
      <c r="D69" t="inlineStr">
        <is>
          <t>KALMAR LÄN</t>
        </is>
      </c>
      <c r="E69" t="inlineStr">
        <is>
          <t>BORGHOLM</t>
        </is>
      </c>
      <c r="G69" t="n">
        <v>8.6</v>
      </c>
      <c r="H69" t="n">
        <v>0</v>
      </c>
      <c r="I69" t="n">
        <v>0</v>
      </c>
      <c r="J69" t="n">
        <v>0</v>
      </c>
      <c r="K69" t="n">
        <v>0</v>
      </c>
      <c r="L69" t="n">
        <v>0</v>
      </c>
      <c r="M69" t="n">
        <v>0</v>
      </c>
      <c r="N69" t="n">
        <v>0</v>
      </c>
      <c r="O69" t="n">
        <v>0</v>
      </c>
      <c r="P69" t="n">
        <v>0</v>
      </c>
      <c r="Q69" t="n">
        <v>0</v>
      </c>
      <c r="R69" s="2" t="inlineStr"/>
    </row>
    <row r="70" ht="15" customHeight="1">
      <c r="A70" t="inlineStr">
        <is>
          <t>A 44678-2022</t>
        </is>
      </c>
      <c r="B70" s="1" t="n">
        <v>44840.65100694444</v>
      </c>
      <c r="C70" s="1" t="n">
        <v>46094</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31720-2022</t>
        </is>
      </c>
      <c r="B71" s="1" t="n">
        <v>44776</v>
      </c>
      <c r="C71" s="1" t="n">
        <v>46094</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40339-2023</t>
        </is>
      </c>
      <c r="B72" s="1" t="n">
        <v>45169.62733796296</v>
      </c>
      <c r="C72" s="1" t="n">
        <v>46094</v>
      </c>
      <c r="D72" t="inlineStr">
        <is>
          <t>KALMAR LÄN</t>
        </is>
      </c>
      <c r="E72" t="inlineStr">
        <is>
          <t>BORGHOLM</t>
        </is>
      </c>
      <c r="G72" t="n">
        <v>3.8</v>
      </c>
      <c r="H72" t="n">
        <v>0</v>
      </c>
      <c r="I72" t="n">
        <v>0</v>
      </c>
      <c r="J72" t="n">
        <v>0</v>
      </c>
      <c r="K72" t="n">
        <v>0</v>
      </c>
      <c r="L72" t="n">
        <v>0</v>
      </c>
      <c r="M72" t="n">
        <v>0</v>
      </c>
      <c r="N72" t="n">
        <v>0</v>
      </c>
      <c r="O72" t="n">
        <v>0</v>
      </c>
      <c r="P72" t="n">
        <v>0</v>
      </c>
      <c r="Q72" t="n">
        <v>0</v>
      </c>
      <c r="R72" s="2" t="inlineStr"/>
    </row>
    <row r="73" ht="15" customHeight="1">
      <c r="A73" t="inlineStr">
        <is>
          <t>A 21908-2022</t>
        </is>
      </c>
      <c r="B73" s="1" t="n">
        <v>44711</v>
      </c>
      <c r="C73" s="1" t="n">
        <v>46094</v>
      </c>
      <c r="D73" t="inlineStr">
        <is>
          <t>KALMAR LÄN</t>
        </is>
      </c>
      <c r="E73" t="inlineStr">
        <is>
          <t>BORGHOLM</t>
        </is>
      </c>
      <c r="G73" t="n">
        <v>4.7</v>
      </c>
      <c r="H73" t="n">
        <v>0</v>
      </c>
      <c r="I73" t="n">
        <v>0</v>
      </c>
      <c r="J73" t="n">
        <v>0</v>
      </c>
      <c r="K73" t="n">
        <v>0</v>
      </c>
      <c r="L73" t="n">
        <v>0</v>
      </c>
      <c r="M73" t="n">
        <v>0</v>
      </c>
      <c r="N73" t="n">
        <v>0</v>
      </c>
      <c r="O73" t="n">
        <v>0</v>
      </c>
      <c r="P73" t="n">
        <v>0</v>
      </c>
      <c r="Q73" t="n">
        <v>0</v>
      </c>
      <c r="R73" s="2" t="inlineStr"/>
    </row>
    <row r="74" ht="15" customHeight="1">
      <c r="A74" t="inlineStr">
        <is>
          <t>A 44547-2021</t>
        </is>
      </c>
      <c r="B74" s="1" t="n">
        <v>44435</v>
      </c>
      <c r="C74" s="1" t="n">
        <v>46094</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24166-2022</t>
        </is>
      </c>
      <c r="B75" s="1" t="n">
        <v>44725</v>
      </c>
      <c r="C75" s="1" t="n">
        <v>46094</v>
      </c>
      <c r="D75" t="inlineStr">
        <is>
          <t>KALMAR LÄN</t>
        </is>
      </c>
      <c r="E75" t="inlineStr">
        <is>
          <t>BORGHOLM</t>
        </is>
      </c>
      <c r="G75" t="n">
        <v>10.7</v>
      </c>
      <c r="H75" t="n">
        <v>0</v>
      </c>
      <c r="I75" t="n">
        <v>0</v>
      </c>
      <c r="J75" t="n">
        <v>0</v>
      </c>
      <c r="K75" t="n">
        <v>0</v>
      </c>
      <c r="L75" t="n">
        <v>0</v>
      </c>
      <c r="M75" t="n">
        <v>0</v>
      </c>
      <c r="N75" t="n">
        <v>0</v>
      </c>
      <c r="O75" t="n">
        <v>0</v>
      </c>
      <c r="P75" t="n">
        <v>0</v>
      </c>
      <c r="Q75" t="n">
        <v>0</v>
      </c>
      <c r="R75" s="2" t="inlineStr"/>
    </row>
    <row r="76" ht="15" customHeight="1">
      <c r="A76" t="inlineStr">
        <is>
          <t>A 5175-2024</t>
        </is>
      </c>
      <c r="B76" s="1" t="n">
        <v>45330</v>
      </c>
      <c r="C76" s="1" t="n">
        <v>46094</v>
      </c>
      <c r="D76" t="inlineStr">
        <is>
          <t>KALMAR LÄN</t>
        </is>
      </c>
      <c r="E76" t="inlineStr">
        <is>
          <t>BORGHOLM</t>
        </is>
      </c>
      <c r="G76" t="n">
        <v>1.5</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46094</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34951-2022</t>
        </is>
      </c>
      <c r="B78" s="1" t="n">
        <v>44796</v>
      </c>
      <c r="C78" s="1" t="n">
        <v>46094</v>
      </c>
      <c r="D78" t="inlineStr">
        <is>
          <t>KALMAR LÄN</t>
        </is>
      </c>
      <c r="E78" t="inlineStr">
        <is>
          <t>BORGHOLM</t>
        </is>
      </c>
      <c r="F78" t="inlineStr">
        <is>
          <t>Sveaskog</t>
        </is>
      </c>
      <c r="G78" t="n">
        <v>4.6</v>
      </c>
      <c r="H78" t="n">
        <v>0</v>
      </c>
      <c r="I78" t="n">
        <v>0</v>
      </c>
      <c r="J78" t="n">
        <v>0</v>
      </c>
      <c r="K78" t="n">
        <v>0</v>
      </c>
      <c r="L78" t="n">
        <v>0</v>
      </c>
      <c r="M78" t="n">
        <v>0</v>
      </c>
      <c r="N78" t="n">
        <v>0</v>
      </c>
      <c r="O78" t="n">
        <v>0</v>
      </c>
      <c r="P78" t="n">
        <v>0</v>
      </c>
      <c r="Q78" t="n">
        <v>0</v>
      </c>
      <c r="R78" s="2" t="inlineStr"/>
    </row>
    <row r="79" ht="15" customHeight="1">
      <c r="A79" t="inlineStr">
        <is>
          <t>A 19867-2024</t>
        </is>
      </c>
      <c r="B79" s="1" t="n">
        <v>45433</v>
      </c>
      <c r="C79" s="1" t="n">
        <v>46094</v>
      </c>
      <c r="D79" t="inlineStr">
        <is>
          <t>KALMAR LÄN</t>
        </is>
      </c>
      <c r="E79" t="inlineStr">
        <is>
          <t>BORGHOLM</t>
        </is>
      </c>
      <c r="G79" t="n">
        <v>3.9</v>
      </c>
      <c r="H79" t="n">
        <v>0</v>
      </c>
      <c r="I79" t="n">
        <v>0</v>
      </c>
      <c r="J79" t="n">
        <v>0</v>
      </c>
      <c r="K79" t="n">
        <v>0</v>
      </c>
      <c r="L79" t="n">
        <v>0</v>
      </c>
      <c r="M79" t="n">
        <v>0</v>
      </c>
      <c r="N79" t="n">
        <v>0</v>
      </c>
      <c r="O79" t="n">
        <v>0</v>
      </c>
      <c r="P79" t="n">
        <v>0</v>
      </c>
      <c r="Q79" t="n">
        <v>0</v>
      </c>
      <c r="R79" s="2" t="inlineStr"/>
    </row>
    <row r="80" ht="15" customHeight="1">
      <c r="A80" t="inlineStr">
        <is>
          <t>A 26190-2025</t>
        </is>
      </c>
      <c r="B80" s="1" t="n">
        <v>45805.48349537037</v>
      </c>
      <c r="C80" s="1" t="n">
        <v>46094</v>
      </c>
      <c r="D80" t="inlineStr">
        <is>
          <t>KALMAR LÄN</t>
        </is>
      </c>
      <c r="E80" t="inlineStr">
        <is>
          <t>BORGHOLM</t>
        </is>
      </c>
      <c r="G80" t="n">
        <v>3.2</v>
      </c>
      <c r="H80" t="n">
        <v>0</v>
      </c>
      <c r="I80" t="n">
        <v>0</v>
      </c>
      <c r="J80" t="n">
        <v>0</v>
      </c>
      <c r="K80" t="n">
        <v>0</v>
      </c>
      <c r="L80" t="n">
        <v>0</v>
      </c>
      <c r="M80" t="n">
        <v>0</v>
      </c>
      <c r="N80" t="n">
        <v>0</v>
      </c>
      <c r="O80" t="n">
        <v>0</v>
      </c>
      <c r="P80" t="n">
        <v>0</v>
      </c>
      <c r="Q80" t="n">
        <v>0</v>
      </c>
      <c r="R80" s="2" t="inlineStr"/>
    </row>
    <row r="81" ht="15" customHeight="1">
      <c r="A81" t="inlineStr">
        <is>
          <t>A 26160-2025</t>
        </is>
      </c>
      <c r="B81" s="1" t="n">
        <v>45805.4490162037</v>
      </c>
      <c r="C81" s="1" t="n">
        <v>46094</v>
      </c>
      <c r="D81" t="inlineStr">
        <is>
          <t>KALMAR LÄN</t>
        </is>
      </c>
      <c r="E81" t="inlineStr">
        <is>
          <t>BORGHOLM</t>
        </is>
      </c>
      <c r="G81" t="n">
        <v>3.7</v>
      </c>
      <c r="H81" t="n">
        <v>0</v>
      </c>
      <c r="I81" t="n">
        <v>0</v>
      </c>
      <c r="J81" t="n">
        <v>0</v>
      </c>
      <c r="K81" t="n">
        <v>0</v>
      </c>
      <c r="L81" t="n">
        <v>0</v>
      </c>
      <c r="M81" t="n">
        <v>0</v>
      </c>
      <c r="N81" t="n">
        <v>0</v>
      </c>
      <c r="O81" t="n">
        <v>0</v>
      </c>
      <c r="P81" t="n">
        <v>0</v>
      </c>
      <c r="Q81" t="n">
        <v>0</v>
      </c>
      <c r="R81" s="2" t="inlineStr"/>
    </row>
    <row r="82" ht="15" customHeight="1">
      <c r="A82" t="inlineStr">
        <is>
          <t>A 13383-2023</t>
        </is>
      </c>
      <c r="B82" s="1" t="n">
        <v>45005</v>
      </c>
      <c r="C82" s="1" t="n">
        <v>46094</v>
      </c>
      <c r="D82" t="inlineStr">
        <is>
          <t>KALMAR LÄN</t>
        </is>
      </c>
      <c r="E82" t="inlineStr">
        <is>
          <t>BORGHOLM</t>
        </is>
      </c>
      <c r="G82" t="n">
        <v>0.8</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46094</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27366-2025</t>
        </is>
      </c>
      <c r="B84" s="1" t="n">
        <v>45812.64475694444</v>
      </c>
      <c r="C84" s="1" t="n">
        <v>46094</v>
      </c>
      <c r="D84" t="inlineStr">
        <is>
          <t>KALMAR LÄN</t>
        </is>
      </c>
      <c r="E84" t="inlineStr">
        <is>
          <t>BORGHOLM</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61438-2023</t>
        </is>
      </c>
      <c r="B85" s="1" t="n">
        <v>45264</v>
      </c>
      <c r="C85" s="1" t="n">
        <v>46094</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13041-2024</t>
        </is>
      </c>
      <c r="B86" s="1" t="n">
        <v>45385.60065972222</v>
      </c>
      <c r="C86" s="1" t="n">
        <v>46094</v>
      </c>
      <c r="D86" t="inlineStr">
        <is>
          <t>KALMAR LÄN</t>
        </is>
      </c>
      <c r="E86" t="inlineStr">
        <is>
          <t>BORGHOLM</t>
        </is>
      </c>
      <c r="G86" t="n">
        <v>0.5</v>
      </c>
      <c r="H86" t="n">
        <v>0</v>
      </c>
      <c r="I86" t="n">
        <v>0</v>
      </c>
      <c r="J86" t="n">
        <v>0</v>
      </c>
      <c r="K86" t="n">
        <v>0</v>
      </c>
      <c r="L86" t="n">
        <v>0</v>
      </c>
      <c r="M86" t="n">
        <v>0</v>
      </c>
      <c r="N86" t="n">
        <v>0</v>
      </c>
      <c r="O86" t="n">
        <v>0</v>
      </c>
      <c r="P86" t="n">
        <v>0</v>
      </c>
      <c r="Q86" t="n">
        <v>0</v>
      </c>
      <c r="R86" s="2" t="inlineStr"/>
    </row>
    <row r="87" ht="15" customHeight="1">
      <c r="A87" t="inlineStr">
        <is>
          <t>A 53050-2021</t>
        </is>
      </c>
      <c r="B87" s="1" t="n">
        <v>44467</v>
      </c>
      <c r="C87" s="1" t="n">
        <v>46094</v>
      </c>
      <c r="D87" t="inlineStr">
        <is>
          <t>KALMAR LÄN</t>
        </is>
      </c>
      <c r="E87" t="inlineStr">
        <is>
          <t>BORGHOLM</t>
        </is>
      </c>
      <c r="G87" t="n">
        <v>3.6</v>
      </c>
      <c r="H87" t="n">
        <v>0</v>
      </c>
      <c r="I87" t="n">
        <v>0</v>
      </c>
      <c r="J87" t="n">
        <v>0</v>
      </c>
      <c r="K87" t="n">
        <v>0</v>
      </c>
      <c r="L87" t="n">
        <v>0</v>
      </c>
      <c r="M87" t="n">
        <v>0</v>
      </c>
      <c r="N87" t="n">
        <v>0</v>
      </c>
      <c r="O87" t="n">
        <v>0</v>
      </c>
      <c r="P87" t="n">
        <v>0</v>
      </c>
      <c r="Q87" t="n">
        <v>0</v>
      </c>
      <c r="R87" s="2" t="inlineStr"/>
    </row>
    <row r="88" ht="15" customHeight="1">
      <c r="A88" t="inlineStr">
        <is>
          <t>A 4165-2023</t>
        </is>
      </c>
      <c r="B88" s="1" t="n">
        <v>44953</v>
      </c>
      <c r="C88" s="1" t="n">
        <v>46094</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50129-2021</t>
        </is>
      </c>
      <c r="B89" s="1" t="n">
        <v>44456</v>
      </c>
      <c r="C89" s="1" t="n">
        <v>46094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46094</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4159-2024</t>
        </is>
      </c>
      <c r="B91" s="1" t="n">
        <v>45323</v>
      </c>
      <c r="C91" s="1" t="n">
        <v>46094</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32921-2023</t>
        </is>
      </c>
      <c r="B92" s="1" t="n">
        <v>45125</v>
      </c>
      <c r="C92" s="1" t="n">
        <v>46094</v>
      </c>
      <c r="D92" t="inlineStr">
        <is>
          <t>KALMAR LÄN</t>
        </is>
      </c>
      <c r="E92" t="inlineStr">
        <is>
          <t>BORGHOLM</t>
        </is>
      </c>
      <c r="G92" t="n">
        <v>2.9</v>
      </c>
      <c r="H92" t="n">
        <v>0</v>
      </c>
      <c r="I92" t="n">
        <v>0</v>
      </c>
      <c r="J92" t="n">
        <v>0</v>
      </c>
      <c r="K92" t="n">
        <v>0</v>
      </c>
      <c r="L92" t="n">
        <v>0</v>
      </c>
      <c r="M92" t="n">
        <v>0</v>
      </c>
      <c r="N92" t="n">
        <v>0</v>
      </c>
      <c r="O92" t="n">
        <v>0</v>
      </c>
      <c r="P92" t="n">
        <v>0</v>
      </c>
      <c r="Q92" t="n">
        <v>0</v>
      </c>
      <c r="R92" s="2" t="inlineStr"/>
    </row>
    <row r="93" ht="15" customHeight="1">
      <c r="A93" t="inlineStr">
        <is>
          <t>A 31699-2022</t>
        </is>
      </c>
      <c r="B93" s="1" t="n">
        <v>44776</v>
      </c>
      <c r="C93" s="1" t="n">
        <v>46094</v>
      </c>
      <c r="D93" t="inlineStr">
        <is>
          <t>KALMAR LÄN</t>
        </is>
      </c>
      <c r="E93" t="inlineStr">
        <is>
          <t>BORGHOLM</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63276-2023</t>
        </is>
      </c>
      <c r="B94" s="1" t="n">
        <v>45273.82195601852</v>
      </c>
      <c r="C94" s="1" t="n">
        <v>46094</v>
      </c>
      <c r="D94" t="inlineStr">
        <is>
          <t>KALMAR LÄN</t>
        </is>
      </c>
      <c r="E94" t="inlineStr">
        <is>
          <t>BORGHOLM</t>
        </is>
      </c>
      <c r="G94" t="n">
        <v>5</v>
      </c>
      <c r="H94" t="n">
        <v>0</v>
      </c>
      <c r="I94" t="n">
        <v>0</v>
      </c>
      <c r="J94" t="n">
        <v>0</v>
      </c>
      <c r="K94" t="n">
        <v>0</v>
      </c>
      <c r="L94" t="n">
        <v>0</v>
      </c>
      <c r="M94" t="n">
        <v>0</v>
      </c>
      <c r="N94" t="n">
        <v>0</v>
      </c>
      <c r="O94" t="n">
        <v>0</v>
      </c>
      <c r="P94" t="n">
        <v>0</v>
      </c>
      <c r="Q94" t="n">
        <v>0</v>
      </c>
      <c r="R94" s="2" t="inlineStr"/>
    </row>
    <row r="95" ht="15" customHeight="1">
      <c r="A95" t="inlineStr">
        <is>
          <t>A 13043-2024</t>
        </is>
      </c>
      <c r="B95" s="1" t="n">
        <v>45385.60111111111</v>
      </c>
      <c r="C95" s="1" t="n">
        <v>46094</v>
      </c>
      <c r="D95" t="inlineStr">
        <is>
          <t>KALMAR LÄN</t>
        </is>
      </c>
      <c r="E95" t="inlineStr">
        <is>
          <t>BORGHOLM</t>
        </is>
      </c>
      <c r="G95" t="n">
        <v>0.4</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46094</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1614-2025</t>
        </is>
      </c>
      <c r="B97" s="1" t="n">
        <v>45670.60094907408</v>
      </c>
      <c r="C97" s="1" t="n">
        <v>46094</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46094</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9044-2025</t>
        </is>
      </c>
      <c r="B99" s="1" t="n">
        <v>45713.6275</v>
      </c>
      <c r="C99" s="1" t="n">
        <v>46094</v>
      </c>
      <c r="D99" t="inlineStr">
        <is>
          <t>KALMAR LÄN</t>
        </is>
      </c>
      <c r="E99" t="inlineStr">
        <is>
          <t>BORGHOLM</t>
        </is>
      </c>
      <c r="F99" t="inlineStr">
        <is>
          <t>Sveaskog</t>
        </is>
      </c>
      <c r="G99" t="n">
        <v>4</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46094</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45671.42195601852</v>
      </c>
      <c r="C101" s="1" t="n">
        <v>46094</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20878-2024</t>
        </is>
      </c>
      <c r="B102" s="1" t="n">
        <v>45439.44748842593</v>
      </c>
      <c r="C102" s="1" t="n">
        <v>46094</v>
      </c>
      <c r="D102" t="inlineStr">
        <is>
          <t>KALMAR LÄN</t>
        </is>
      </c>
      <c r="E102" t="inlineStr">
        <is>
          <t>BORGHOLM</t>
        </is>
      </c>
      <c r="G102" t="n">
        <v>1.9</v>
      </c>
      <c r="H102" t="n">
        <v>0</v>
      </c>
      <c r="I102" t="n">
        <v>0</v>
      </c>
      <c r="J102" t="n">
        <v>0</v>
      </c>
      <c r="K102" t="n">
        <v>0</v>
      </c>
      <c r="L102" t="n">
        <v>0</v>
      </c>
      <c r="M102" t="n">
        <v>0</v>
      </c>
      <c r="N102" t="n">
        <v>0</v>
      </c>
      <c r="O102" t="n">
        <v>0</v>
      </c>
      <c r="P102" t="n">
        <v>0</v>
      </c>
      <c r="Q102" t="n">
        <v>0</v>
      </c>
      <c r="R102" s="2" t="inlineStr"/>
    </row>
    <row r="103" ht="15" customHeight="1">
      <c r="A103" t="inlineStr">
        <is>
          <t>A 7960-2023</t>
        </is>
      </c>
      <c r="B103" s="1" t="n">
        <v>44973</v>
      </c>
      <c r="C103" s="1" t="n">
        <v>46094</v>
      </c>
      <c r="D103" t="inlineStr">
        <is>
          <t>KALMAR LÄN</t>
        </is>
      </c>
      <c r="E103" t="inlineStr">
        <is>
          <t>BORGHOLM</t>
        </is>
      </c>
      <c r="G103" t="n">
        <v>2.1</v>
      </c>
      <c r="H103" t="n">
        <v>0</v>
      </c>
      <c r="I103" t="n">
        <v>0</v>
      </c>
      <c r="J103" t="n">
        <v>0</v>
      </c>
      <c r="K103" t="n">
        <v>0</v>
      </c>
      <c r="L103" t="n">
        <v>0</v>
      </c>
      <c r="M103" t="n">
        <v>0</v>
      </c>
      <c r="N103" t="n">
        <v>0</v>
      </c>
      <c r="O103" t="n">
        <v>0</v>
      </c>
      <c r="P103" t="n">
        <v>0</v>
      </c>
      <c r="Q103" t="n">
        <v>0</v>
      </c>
      <c r="R103" s="2" t="inlineStr"/>
    </row>
    <row r="104" ht="15" customHeight="1">
      <c r="A104" t="inlineStr">
        <is>
          <t>A 17699-2025</t>
        </is>
      </c>
      <c r="B104" s="1" t="n">
        <v>45758.41846064815</v>
      </c>
      <c r="C104" s="1" t="n">
        <v>46094</v>
      </c>
      <c r="D104" t="inlineStr">
        <is>
          <t>KALMAR LÄN</t>
        </is>
      </c>
      <c r="E104" t="inlineStr">
        <is>
          <t>BORGHOLM</t>
        </is>
      </c>
      <c r="G104" t="n">
        <v>0.7</v>
      </c>
      <c r="H104" t="n">
        <v>0</v>
      </c>
      <c r="I104" t="n">
        <v>0</v>
      </c>
      <c r="J104" t="n">
        <v>0</v>
      </c>
      <c r="K104" t="n">
        <v>0</v>
      </c>
      <c r="L104" t="n">
        <v>0</v>
      </c>
      <c r="M104" t="n">
        <v>0</v>
      </c>
      <c r="N104" t="n">
        <v>0</v>
      </c>
      <c r="O104" t="n">
        <v>0</v>
      </c>
      <c r="P104" t="n">
        <v>0</v>
      </c>
      <c r="Q104" t="n">
        <v>0</v>
      </c>
      <c r="R104" s="2" t="inlineStr"/>
    </row>
    <row r="105" ht="15" customHeight="1">
      <c r="A105" t="inlineStr">
        <is>
          <t>A 20287-2025</t>
        </is>
      </c>
      <c r="B105" s="1" t="n">
        <v>45774.60741898148</v>
      </c>
      <c r="C105" s="1" t="n">
        <v>46094</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26160-2024</t>
        </is>
      </c>
      <c r="B106" s="1" t="n">
        <v>45468</v>
      </c>
      <c r="C106" s="1" t="n">
        <v>46094</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c r="T106">
        <f>HYPERLINK("https://klasma.github.io/Logging_0885/kartor/A 26160-2024 karta.png", "A 26160-2024")</f>
        <v/>
      </c>
      <c r="V106">
        <f>HYPERLINK("https://klasma.github.io/Logging_0885/klagomål/A 26160-2024 FSC-klagomål.docx", "A 26160-2024")</f>
        <v/>
      </c>
      <c r="W106">
        <f>HYPERLINK("https://klasma.github.io/Logging_0885/klagomålsmail/A 26160-2024 FSC-klagomål mail.docx", "A 26160-2024")</f>
        <v/>
      </c>
      <c r="X106">
        <f>HYPERLINK("https://klasma.github.io/Logging_0885/tillsyn/A 26160-2024 tillsynsbegäran.docx", "A 26160-2024")</f>
        <v/>
      </c>
      <c r="Y106">
        <f>HYPERLINK("https://klasma.github.io/Logging_0885/tillsynsmail/A 26160-2024 tillsynsbegäran mail.docx", "A 26160-2024")</f>
        <v/>
      </c>
    </row>
    <row r="107" ht="15" customHeight="1">
      <c r="A107" t="inlineStr">
        <is>
          <t>A 29656-2023</t>
        </is>
      </c>
      <c r="B107" s="1" t="n">
        <v>45107</v>
      </c>
      <c r="C107" s="1" t="n">
        <v>46094</v>
      </c>
      <c r="D107" t="inlineStr">
        <is>
          <t>KALMAR LÄN</t>
        </is>
      </c>
      <c r="E107" t="inlineStr">
        <is>
          <t>BORGHOLM</t>
        </is>
      </c>
      <c r="G107" t="n">
        <v>4.1</v>
      </c>
      <c r="H107" t="n">
        <v>0</v>
      </c>
      <c r="I107" t="n">
        <v>0</v>
      </c>
      <c r="J107" t="n">
        <v>0</v>
      </c>
      <c r="K107" t="n">
        <v>0</v>
      </c>
      <c r="L107" t="n">
        <v>0</v>
      </c>
      <c r="M107" t="n">
        <v>0</v>
      </c>
      <c r="N107" t="n">
        <v>0</v>
      </c>
      <c r="O107" t="n">
        <v>0</v>
      </c>
      <c r="P107" t="n">
        <v>0</v>
      </c>
      <c r="Q107" t="n">
        <v>0</v>
      </c>
      <c r="R107" s="2" t="inlineStr"/>
    </row>
    <row r="108" ht="15" customHeight="1">
      <c r="A108" t="inlineStr">
        <is>
          <t>A 41831-2025</t>
        </is>
      </c>
      <c r="B108" s="1" t="n">
        <v>45902.67887731481</v>
      </c>
      <c r="C108" s="1" t="n">
        <v>46094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41950-2025</t>
        </is>
      </c>
      <c r="B109" s="1" t="n">
        <v>45903.45767361111</v>
      </c>
      <c r="C109" s="1" t="n">
        <v>46094</v>
      </c>
      <c r="D109" t="inlineStr">
        <is>
          <t>KALMAR LÄN</t>
        </is>
      </c>
      <c r="E109" t="inlineStr">
        <is>
          <t>BORGHOLM</t>
        </is>
      </c>
      <c r="G109" t="n">
        <v>1.8</v>
      </c>
      <c r="H109" t="n">
        <v>0</v>
      </c>
      <c r="I109" t="n">
        <v>0</v>
      </c>
      <c r="J109" t="n">
        <v>0</v>
      </c>
      <c r="K109" t="n">
        <v>0</v>
      </c>
      <c r="L109" t="n">
        <v>0</v>
      </c>
      <c r="M109" t="n">
        <v>0</v>
      </c>
      <c r="N109" t="n">
        <v>0</v>
      </c>
      <c r="O109" t="n">
        <v>0</v>
      </c>
      <c r="P109" t="n">
        <v>0</v>
      </c>
      <c r="Q109" t="n">
        <v>0</v>
      </c>
      <c r="R109" s="2" t="inlineStr"/>
    </row>
    <row r="110" ht="15" customHeight="1">
      <c r="A110" t="inlineStr">
        <is>
          <t>A 63075-2023</t>
        </is>
      </c>
      <c r="B110" s="1" t="n">
        <v>45273</v>
      </c>
      <c r="C110" s="1" t="n">
        <v>46094</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9050-2025</t>
        </is>
      </c>
      <c r="B111" s="1" t="n">
        <v>45713.63512731482</v>
      </c>
      <c r="C111" s="1" t="n">
        <v>46094</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42232-2025</t>
        </is>
      </c>
      <c r="B112" s="1" t="n">
        <v>45904.55591435185</v>
      </c>
      <c r="C112" s="1" t="n">
        <v>46094</v>
      </c>
      <c r="D112" t="inlineStr">
        <is>
          <t>KALMAR LÄN</t>
        </is>
      </c>
      <c r="E112" t="inlineStr">
        <is>
          <t>BORGHOLM</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43542-2025</t>
        </is>
      </c>
      <c r="B113" s="1" t="n">
        <v>45911.61123842592</v>
      </c>
      <c r="C113" s="1" t="n">
        <v>46094</v>
      </c>
      <c r="D113" t="inlineStr">
        <is>
          <t>KALMAR LÄN</t>
        </is>
      </c>
      <c r="E113" t="inlineStr">
        <is>
          <t>BORGHOLM</t>
        </is>
      </c>
      <c r="G113" t="n">
        <v>2.4</v>
      </c>
      <c r="H113" t="n">
        <v>0</v>
      </c>
      <c r="I113" t="n">
        <v>0</v>
      </c>
      <c r="J113" t="n">
        <v>0</v>
      </c>
      <c r="K113" t="n">
        <v>0</v>
      </c>
      <c r="L113" t="n">
        <v>0</v>
      </c>
      <c r="M113" t="n">
        <v>0</v>
      </c>
      <c r="N113" t="n">
        <v>0</v>
      </c>
      <c r="O113" t="n">
        <v>0</v>
      </c>
      <c r="P113" t="n">
        <v>0</v>
      </c>
      <c r="Q113" t="n">
        <v>0</v>
      </c>
      <c r="R113" s="2" t="inlineStr"/>
    </row>
    <row r="114" ht="15" customHeight="1">
      <c r="A114" t="inlineStr">
        <is>
          <t>A 7669-2024</t>
        </is>
      </c>
      <c r="B114" s="1" t="n">
        <v>45348.82498842593</v>
      </c>
      <c r="C114" s="1" t="n">
        <v>46094</v>
      </c>
      <c r="D114" t="inlineStr">
        <is>
          <t>KALMAR LÄN</t>
        </is>
      </c>
      <c r="E114" t="inlineStr">
        <is>
          <t>BORGHOLM</t>
        </is>
      </c>
      <c r="G114" t="n">
        <v>2.3</v>
      </c>
      <c r="H114" t="n">
        <v>0</v>
      </c>
      <c r="I114" t="n">
        <v>0</v>
      </c>
      <c r="J114" t="n">
        <v>0</v>
      </c>
      <c r="K114" t="n">
        <v>0</v>
      </c>
      <c r="L114" t="n">
        <v>0</v>
      </c>
      <c r="M114" t="n">
        <v>0</v>
      </c>
      <c r="N114" t="n">
        <v>0</v>
      </c>
      <c r="O114" t="n">
        <v>0</v>
      </c>
      <c r="P114" t="n">
        <v>0</v>
      </c>
      <c r="Q114" t="n">
        <v>0</v>
      </c>
      <c r="R114" s="2" t="inlineStr"/>
    </row>
    <row r="115" ht="15" customHeight="1">
      <c r="A115" t="inlineStr">
        <is>
          <t>A 45734-2025</t>
        </is>
      </c>
      <c r="B115" s="1" t="n">
        <v>45923.46512731481</v>
      </c>
      <c r="C115" s="1" t="n">
        <v>46094</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45869-2025</t>
        </is>
      </c>
      <c r="B116" s="1" t="n">
        <v>45923.65313657407</v>
      </c>
      <c r="C116" s="1" t="n">
        <v>46094</v>
      </c>
      <c r="D116" t="inlineStr">
        <is>
          <t>KALMAR LÄN</t>
        </is>
      </c>
      <c r="E116" t="inlineStr">
        <is>
          <t>BORGHOLM</t>
        </is>
      </c>
      <c r="G116" t="n">
        <v>4.5</v>
      </c>
      <c r="H116" t="n">
        <v>0</v>
      </c>
      <c r="I116" t="n">
        <v>0</v>
      </c>
      <c r="J116" t="n">
        <v>0</v>
      </c>
      <c r="K116" t="n">
        <v>0</v>
      </c>
      <c r="L116" t="n">
        <v>0</v>
      </c>
      <c r="M116" t="n">
        <v>0</v>
      </c>
      <c r="N116" t="n">
        <v>0</v>
      </c>
      <c r="O116" t="n">
        <v>0</v>
      </c>
      <c r="P116" t="n">
        <v>0</v>
      </c>
      <c r="Q116" t="n">
        <v>0</v>
      </c>
      <c r="R116" s="2" t="inlineStr"/>
    </row>
    <row r="117" ht="15" customHeight="1">
      <c r="A117" t="inlineStr">
        <is>
          <t>A 46845-2025</t>
        </is>
      </c>
      <c r="B117" s="1" t="n">
        <v>45928</v>
      </c>
      <c r="C117" s="1" t="n">
        <v>46094</v>
      </c>
      <c r="D117" t="inlineStr">
        <is>
          <t>KALMAR LÄN</t>
        </is>
      </c>
      <c r="E117" t="inlineStr">
        <is>
          <t>BORGHOLM</t>
        </is>
      </c>
      <c r="G117" t="n">
        <v>2.7</v>
      </c>
      <c r="H117" t="n">
        <v>0</v>
      </c>
      <c r="I117" t="n">
        <v>0</v>
      </c>
      <c r="J117" t="n">
        <v>0</v>
      </c>
      <c r="K117" t="n">
        <v>0</v>
      </c>
      <c r="L117" t="n">
        <v>0</v>
      </c>
      <c r="M117" t="n">
        <v>0</v>
      </c>
      <c r="N117" t="n">
        <v>0</v>
      </c>
      <c r="O117" t="n">
        <v>0</v>
      </c>
      <c r="P117" t="n">
        <v>0</v>
      </c>
      <c r="Q117" t="n">
        <v>0</v>
      </c>
      <c r="R117" s="2" t="inlineStr"/>
    </row>
    <row r="118" ht="15" customHeight="1">
      <c r="A118" t="inlineStr">
        <is>
          <t>A 60141-2025</t>
        </is>
      </c>
      <c r="B118" s="1" t="n">
        <v>45994.36873842592</v>
      </c>
      <c r="C118" s="1" t="n">
        <v>46094</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61723-2025</t>
        </is>
      </c>
      <c r="B119" s="1" t="n">
        <v>46002.58388888889</v>
      </c>
      <c r="C119" s="1" t="n">
        <v>46094</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7481-2026</t>
        </is>
      </c>
      <c r="B120" s="1" t="n">
        <v>46059.51359953704</v>
      </c>
      <c r="C120" s="1" t="n">
        <v>46094</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9104-2026</t>
        </is>
      </c>
      <c r="B121" s="1" t="n">
        <v>46069</v>
      </c>
      <c r="C121" s="1" t="n">
        <v>46094</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9259-2026</t>
        </is>
      </c>
      <c r="B122" s="1" t="n">
        <v>46070.51917824074</v>
      </c>
      <c r="C122" s="1" t="n">
        <v>46094</v>
      </c>
      <c r="D122" t="inlineStr">
        <is>
          <t>KALMAR LÄN</t>
        </is>
      </c>
      <c r="E122" t="inlineStr">
        <is>
          <t>BORGHOLM</t>
        </is>
      </c>
      <c r="G122" t="n">
        <v>1.6</v>
      </c>
      <c r="H122" t="n">
        <v>0</v>
      </c>
      <c r="I122" t="n">
        <v>0</v>
      </c>
      <c r="J122" t="n">
        <v>0</v>
      </c>
      <c r="K122" t="n">
        <v>0</v>
      </c>
      <c r="L122" t="n">
        <v>0</v>
      </c>
      <c r="M122" t="n">
        <v>0</v>
      </c>
      <c r="N122" t="n">
        <v>0</v>
      </c>
      <c r="O122" t="n">
        <v>0</v>
      </c>
      <c r="P122" t="n">
        <v>0</v>
      </c>
      <c r="Q122" t="n">
        <v>0</v>
      </c>
      <c r="R122" s="2" t="inlineStr"/>
    </row>
    <row r="123">
      <c r="A123" t="inlineStr">
        <is>
          <t>A 9905-2026</t>
        </is>
      </c>
      <c r="B123" s="1" t="n">
        <v>46073.4108912037</v>
      </c>
      <c r="C123" s="1" t="n">
        <v>46094</v>
      </c>
      <c r="D123" t="inlineStr">
        <is>
          <t>KALMAR LÄN</t>
        </is>
      </c>
      <c r="E123" t="inlineStr">
        <is>
          <t>BORGHOLM</t>
        </is>
      </c>
      <c r="G123" t="n">
        <v>1.4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2026-03-13T11:18:11Z</dcterms:created>
  <dcterms:modified xmlns:dcterms="http://purl.org/dc/terms/" xmlns:xsi="http://www.w3.org/2001/XMLSchema-instance" xsi:type="dcterms:W3CDTF">2026-03-13T11:18:11Z</dcterms:modified>
</cp:coreProperties>
</file>