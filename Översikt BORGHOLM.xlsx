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45913</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45913</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45913</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45913</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45913</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45913</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45913</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45913</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45913</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45913</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45913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45913</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45913</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32174-2022</t>
        </is>
      </c>
      <c r="B20" s="1" t="n">
        <v>44781</v>
      </c>
      <c r="C20" s="1" t="n">
        <v>45913</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45913</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4164-2023</t>
        </is>
      </c>
      <c r="B22" s="1" t="n">
        <v>44953</v>
      </c>
      <c r="C22" s="1" t="n">
        <v>45913</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38860-2025</t>
        </is>
      </c>
      <c r="B23" s="1" t="n">
        <v>45887.5609375</v>
      </c>
      <c r="C23" s="1" t="n">
        <v>45913</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43756-2022</t>
        </is>
      </c>
      <c r="B24" s="1" t="n">
        <v>44837</v>
      </c>
      <c r="C24" s="1" t="n">
        <v>45913</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44008-2022</t>
        </is>
      </c>
      <c r="B25" s="1" t="n">
        <v>44838</v>
      </c>
      <c r="C25" s="1" t="n">
        <v>45913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45913</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45913</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14789-2021</t>
        </is>
      </c>
      <c r="B28" s="1" t="n">
        <v>44280</v>
      </c>
      <c r="C28" s="1" t="n">
        <v>45913</v>
      </c>
      <c r="D28" t="inlineStr">
        <is>
          <t>KALMAR LÄN</t>
        </is>
      </c>
      <c r="E28" t="inlineStr">
        <is>
          <t>BORGHOLM</t>
        </is>
      </c>
      <c r="G28" t="n">
        <v>1</v>
      </c>
      <c r="H28" t="n">
        <v>1</v>
      </c>
      <c r="I28" t="n">
        <v>1</v>
      </c>
      <c r="J28" t="n">
        <v>0</v>
      </c>
      <c r="K28" t="n">
        <v>0</v>
      </c>
      <c r="L28" t="n">
        <v>0</v>
      </c>
      <c r="M28" t="n">
        <v>0</v>
      </c>
      <c r="N28" t="n">
        <v>0</v>
      </c>
      <c r="O28" t="n">
        <v>0</v>
      </c>
      <c r="P28" t="n">
        <v>0</v>
      </c>
      <c r="Q28" t="n">
        <v>1</v>
      </c>
      <c r="R28" s="2" t="inlineStr">
        <is>
          <t>Skogsknipprot</t>
        </is>
      </c>
      <c r="S28">
        <f>HYPERLINK("https://klasma.github.io/Logging_0885/artfynd/A 14789-2021 artfynd.xlsx", "A 14789-2021")</f>
        <v/>
      </c>
      <c r="T28">
        <f>HYPERLINK("https://klasma.github.io/Logging_0885/kartor/A 14789-2021 karta.png", "A 14789-2021")</f>
        <v/>
      </c>
      <c r="V28">
        <f>HYPERLINK("https://klasma.github.io/Logging_0885/klagomål/A 14789-2021 FSC-klagomål.docx", "A 14789-2021")</f>
        <v/>
      </c>
      <c r="W28">
        <f>HYPERLINK("https://klasma.github.io/Logging_0885/klagomålsmail/A 14789-2021 FSC-klagomål mail.docx", "A 14789-2021")</f>
        <v/>
      </c>
      <c r="X28">
        <f>HYPERLINK("https://klasma.github.io/Logging_0885/tillsyn/A 14789-2021 tillsynsbegäran.docx", "A 14789-2021")</f>
        <v/>
      </c>
      <c r="Y28">
        <f>HYPERLINK("https://klasma.github.io/Logging_0885/tillsynsmail/A 14789-2021 tillsynsbegäran mail.docx", "A 14789-2021")</f>
        <v/>
      </c>
    </row>
    <row r="29" ht="15" customHeight="1">
      <c r="A29" t="inlineStr">
        <is>
          <t>A 43603-2024</t>
        </is>
      </c>
      <c r="B29" s="1" t="n">
        <v>45569.44700231482</v>
      </c>
      <c r="C29" s="1" t="n">
        <v>45913</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24704-2023</t>
        </is>
      </c>
      <c r="B30" s="1" t="n">
        <v>45084</v>
      </c>
      <c r="C30" s="1" t="n">
        <v>45913</v>
      </c>
      <c r="D30" t="inlineStr">
        <is>
          <t>KALMAR LÄN</t>
        </is>
      </c>
      <c r="E30" t="inlineStr">
        <is>
          <t>BORGHOLM</t>
        </is>
      </c>
      <c r="G30" t="n">
        <v>3.5</v>
      </c>
      <c r="H30" t="n">
        <v>0</v>
      </c>
      <c r="I30" t="n">
        <v>0</v>
      </c>
      <c r="J30" t="n">
        <v>0</v>
      </c>
      <c r="K30" t="n">
        <v>0</v>
      </c>
      <c r="L30" t="n">
        <v>1</v>
      </c>
      <c r="M30" t="n">
        <v>0</v>
      </c>
      <c r="N30" t="n">
        <v>0</v>
      </c>
      <c r="O30" t="n">
        <v>1</v>
      </c>
      <c r="P30" t="n">
        <v>1</v>
      </c>
      <c r="Q30" t="n">
        <v>1</v>
      </c>
      <c r="R30" s="2" t="inlineStr">
        <is>
          <t>Ask</t>
        </is>
      </c>
      <c r="S30">
        <f>HYPERLINK("https://klasma.github.io/Logging_0885/artfynd/A 24704-2023 artfynd.xlsx", "A 24704-2023")</f>
        <v/>
      </c>
      <c r="T30">
        <f>HYPERLINK("https://klasma.github.io/Logging_0885/kartor/A 24704-2023 karta.png", "A 24704-2023")</f>
        <v/>
      </c>
      <c r="V30">
        <f>HYPERLINK("https://klasma.github.io/Logging_0885/klagomål/A 24704-2023 FSC-klagomål.docx", "A 24704-2023")</f>
        <v/>
      </c>
      <c r="W30">
        <f>HYPERLINK("https://klasma.github.io/Logging_0885/klagomålsmail/A 24704-2023 FSC-klagomål mail.docx", "A 24704-2023")</f>
        <v/>
      </c>
      <c r="X30">
        <f>HYPERLINK("https://klasma.github.io/Logging_0885/tillsyn/A 24704-2023 tillsynsbegäran.docx", "A 24704-2023")</f>
        <v/>
      </c>
      <c r="Y30">
        <f>HYPERLINK("https://klasma.github.io/Logging_0885/tillsynsmail/A 24704-2023 tillsynsbegäran mail.docx", "A 24704-2023")</f>
        <v/>
      </c>
    </row>
    <row r="31" ht="15" customHeight="1">
      <c r="A31" t="inlineStr">
        <is>
          <t>A 66329-2020</t>
        </is>
      </c>
      <c r="B31" s="1" t="n">
        <v>44176</v>
      </c>
      <c r="C31" s="1" t="n">
        <v>45913</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24048-2025</t>
        </is>
      </c>
      <c r="B32" s="1" t="n">
        <v>45796.4959375</v>
      </c>
      <c r="C32" s="1" t="n">
        <v>45913</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45913</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45913</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45913</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45913</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45913</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13558-2025</t>
        </is>
      </c>
      <c r="B38" s="1" t="n">
        <v>45736.54974537037</v>
      </c>
      <c r="C38" s="1" t="n">
        <v>45913</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45913</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34885-2025</t>
        </is>
      </c>
      <c r="B40" s="1" t="n">
        <v>45849.47128472223</v>
      </c>
      <c r="C40" s="1" t="n">
        <v>45913</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56499-2020</t>
        </is>
      </c>
      <c r="B41" s="1" t="n">
        <v>44137</v>
      </c>
      <c r="C41" s="1" t="n">
        <v>45913</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45913</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45913</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45913</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45913</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45913</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45913</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45913</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45913</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45913</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45913</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45913</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45913</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45913</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45913</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45913</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45913</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45913</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45913</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45913</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45913</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45913</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45913</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56479-2020</t>
        </is>
      </c>
      <c r="B64" s="1" t="n">
        <v>44137</v>
      </c>
      <c r="C64" s="1" t="n">
        <v>45913</v>
      </c>
      <c r="D64" t="inlineStr">
        <is>
          <t>KALMAR LÄN</t>
        </is>
      </c>
      <c r="E64" t="inlineStr">
        <is>
          <t>BORGHOLM</t>
        </is>
      </c>
      <c r="F64" t="inlineStr">
        <is>
          <t>Sveaskog</t>
        </is>
      </c>
      <c r="G64" t="n">
        <v>2.6</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45913</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45913</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45913</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31699-2022</t>
        </is>
      </c>
      <c r="B68" s="1" t="n">
        <v>44776</v>
      </c>
      <c r="C68" s="1" t="n">
        <v>45913</v>
      </c>
      <c r="D68" t="inlineStr">
        <is>
          <t>KALMAR LÄN</t>
        </is>
      </c>
      <c r="E68" t="inlineStr">
        <is>
          <t>BORGHOLM</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45913</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9044-2025</t>
        </is>
      </c>
      <c r="B70" s="1" t="n">
        <v>45713.6275</v>
      </c>
      <c r="C70" s="1" t="n">
        <v>45913</v>
      </c>
      <c r="D70" t="inlineStr">
        <is>
          <t>KALMAR LÄN</t>
        </is>
      </c>
      <c r="E70" t="inlineStr">
        <is>
          <t>BORGHOLM</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63075-2023</t>
        </is>
      </c>
      <c r="B71" s="1" t="n">
        <v>45273</v>
      </c>
      <c r="C71" s="1" t="n">
        <v>45913</v>
      </c>
      <c r="D71" t="inlineStr">
        <is>
          <t>KALMAR LÄN</t>
        </is>
      </c>
      <c r="E71" t="inlineStr">
        <is>
          <t>BORGHOLM</t>
        </is>
      </c>
      <c r="G71" t="n">
        <v>1.1</v>
      </c>
      <c r="H71" t="n">
        <v>0</v>
      </c>
      <c r="I71" t="n">
        <v>0</v>
      </c>
      <c r="J71" t="n">
        <v>0</v>
      </c>
      <c r="K71" t="n">
        <v>0</v>
      </c>
      <c r="L71" t="n">
        <v>0</v>
      </c>
      <c r="M71" t="n">
        <v>0</v>
      </c>
      <c r="N71" t="n">
        <v>0</v>
      </c>
      <c r="O71" t="n">
        <v>0</v>
      </c>
      <c r="P71" t="n">
        <v>0</v>
      </c>
      <c r="Q71" t="n">
        <v>0</v>
      </c>
      <c r="R71" s="2" t="inlineStr"/>
    </row>
    <row r="72" ht="15" customHeight="1">
      <c r="A72" t="inlineStr">
        <is>
          <t>A 50129-2021</t>
        </is>
      </c>
      <c r="B72" s="1" t="n">
        <v>44456</v>
      </c>
      <c r="C72" s="1" t="n">
        <v>45913</v>
      </c>
      <c r="D72" t="inlineStr">
        <is>
          <t>KALMAR LÄN</t>
        </is>
      </c>
      <c r="E72" t="inlineStr">
        <is>
          <t>BORGHOLM</t>
        </is>
      </c>
      <c r="G72" t="n">
        <v>1.6</v>
      </c>
      <c r="H72" t="n">
        <v>0</v>
      </c>
      <c r="I72" t="n">
        <v>0</v>
      </c>
      <c r="J72" t="n">
        <v>0</v>
      </c>
      <c r="K72" t="n">
        <v>0</v>
      </c>
      <c r="L72" t="n">
        <v>0</v>
      </c>
      <c r="M72" t="n">
        <v>0</v>
      </c>
      <c r="N72" t="n">
        <v>0</v>
      </c>
      <c r="O72" t="n">
        <v>0</v>
      </c>
      <c r="P72" t="n">
        <v>0</v>
      </c>
      <c r="Q72" t="n">
        <v>0</v>
      </c>
      <c r="R72" s="2" t="inlineStr"/>
    </row>
    <row r="73" ht="15" customHeight="1">
      <c r="A73" t="inlineStr">
        <is>
          <t>A 13043-2024</t>
        </is>
      </c>
      <c r="B73" s="1" t="n">
        <v>45385.60111111111</v>
      </c>
      <c r="C73" s="1" t="n">
        <v>45913</v>
      </c>
      <c r="D73" t="inlineStr">
        <is>
          <t>KALMAR LÄN</t>
        </is>
      </c>
      <c r="E73" t="inlineStr">
        <is>
          <t>BORGHOLM</t>
        </is>
      </c>
      <c r="G73" t="n">
        <v>0.4</v>
      </c>
      <c r="H73" t="n">
        <v>0</v>
      </c>
      <c r="I73" t="n">
        <v>0</v>
      </c>
      <c r="J73" t="n">
        <v>0</v>
      </c>
      <c r="K73" t="n">
        <v>0</v>
      </c>
      <c r="L73" t="n">
        <v>0</v>
      </c>
      <c r="M73" t="n">
        <v>0</v>
      </c>
      <c r="N73" t="n">
        <v>0</v>
      </c>
      <c r="O73" t="n">
        <v>0</v>
      </c>
      <c r="P73" t="n">
        <v>0</v>
      </c>
      <c r="Q73" t="n">
        <v>0</v>
      </c>
      <c r="R73" s="2" t="inlineStr"/>
    </row>
    <row r="74" ht="15" customHeight="1">
      <c r="A74" t="inlineStr">
        <is>
          <t>A 56495-2020</t>
        </is>
      </c>
      <c r="B74" s="1" t="n">
        <v>44137</v>
      </c>
      <c r="C74" s="1" t="n">
        <v>45913</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17978-2021</t>
        </is>
      </c>
      <c r="B75" s="1" t="n">
        <v>44301</v>
      </c>
      <c r="C75" s="1" t="n">
        <v>45913</v>
      </c>
      <c r="D75" t="inlineStr">
        <is>
          <t>KALMAR LÄN</t>
        </is>
      </c>
      <c r="E75" t="inlineStr">
        <is>
          <t>BORGHOLM</t>
        </is>
      </c>
      <c r="G75" t="n">
        <v>6</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45913</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22785-2025</t>
        </is>
      </c>
      <c r="B77" s="1" t="n">
        <v>45789.64186342592</v>
      </c>
      <c r="C77" s="1" t="n">
        <v>45913</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1757-2025</t>
        </is>
      </c>
      <c r="B78" s="1" t="n">
        <v>45671.42195601852</v>
      </c>
      <c r="C78" s="1" t="n">
        <v>45913</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45913</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7669-2024</t>
        </is>
      </c>
      <c r="B80" s="1" t="n">
        <v>45348.82498842593</v>
      </c>
      <c r="C80" s="1" t="n">
        <v>45913</v>
      </c>
      <c r="D80" t="inlineStr">
        <is>
          <t>KALMAR LÄN</t>
        </is>
      </c>
      <c r="E80" t="inlineStr">
        <is>
          <t>BORGHOLM</t>
        </is>
      </c>
      <c r="G80" t="n">
        <v>2.3</v>
      </c>
      <c r="H80" t="n">
        <v>0</v>
      </c>
      <c r="I80" t="n">
        <v>0</v>
      </c>
      <c r="J80" t="n">
        <v>0</v>
      </c>
      <c r="K80" t="n">
        <v>0</v>
      </c>
      <c r="L80" t="n">
        <v>0</v>
      </c>
      <c r="M80" t="n">
        <v>0</v>
      </c>
      <c r="N80" t="n">
        <v>0</v>
      </c>
      <c r="O80" t="n">
        <v>0</v>
      </c>
      <c r="P80" t="n">
        <v>0</v>
      </c>
      <c r="Q80" t="n">
        <v>0</v>
      </c>
      <c r="R80" s="2" t="inlineStr"/>
    </row>
    <row r="81" ht="15" customHeight="1">
      <c r="A81" t="inlineStr">
        <is>
          <t>A 12534-2022</t>
        </is>
      </c>
      <c r="B81" s="1" t="n">
        <v>44638</v>
      </c>
      <c r="C81" s="1" t="n">
        <v>45913</v>
      </c>
      <c r="D81" t="inlineStr">
        <is>
          <t>KALMAR LÄN</t>
        </is>
      </c>
      <c r="E81" t="inlineStr">
        <is>
          <t>BORGHOLM</t>
        </is>
      </c>
      <c r="G81" t="n">
        <v>8.6</v>
      </c>
      <c r="H81" t="n">
        <v>0</v>
      </c>
      <c r="I81" t="n">
        <v>0</v>
      </c>
      <c r="J81" t="n">
        <v>0</v>
      </c>
      <c r="K81" t="n">
        <v>0</v>
      </c>
      <c r="L81" t="n">
        <v>0</v>
      </c>
      <c r="M81" t="n">
        <v>0</v>
      </c>
      <c r="N81" t="n">
        <v>0</v>
      </c>
      <c r="O81" t="n">
        <v>0</v>
      </c>
      <c r="P81" t="n">
        <v>0</v>
      </c>
      <c r="Q81" t="n">
        <v>0</v>
      </c>
      <c r="R81" s="2" t="inlineStr"/>
    </row>
    <row r="82" ht="15" customHeight="1">
      <c r="A82" t="inlineStr">
        <is>
          <t>A 34780-2022</t>
        </is>
      </c>
      <c r="B82" s="1" t="n">
        <v>44795</v>
      </c>
      <c r="C82" s="1" t="n">
        <v>45913</v>
      </c>
      <c r="D82" t="inlineStr">
        <is>
          <t>KALMAR LÄN</t>
        </is>
      </c>
      <c r="E82" t="inlineStr">
        <is>
          <t>BORGHOLM</t>
        </is>
      </c>
      <c r="F82" t="inlineStr">
        <is>
          <t>Sveaskog</t>
        </is>
      </c>
      <c r="G82" t="n">
        <v>6.7</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45913</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20287-2025</t>
        </is>
      </c>
      <c r="B84" s="1" t="n">
        <v>45774.60741898148</v>
      </c>
      <c r="C84" s="1" t="n">
        <v>45913</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45913</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45913</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45913</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45913</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45913</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45913</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4159-2024</t>
        </is>
      </c>
      <c r="B91" s="1" t="n">
        <v>45323</v>
      </c>
      <c r="C91" s="1" t="n">
        <v>45913</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32919-2023</t>
        </is>
      </c>
      <c r="B92" s="1" t="n">
        <v>45125</v>
      </c>
      <c r="C92" s="1" t="n">
        <v>45913</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27357-2025</t>
        </is>
      </c>
      <c r="B93" s="1" t="n">
        <v>45812.63650462963</v>
      </c>
      <c r="C93" s="1" t="n">
        <v>45913</v>
      </c>
      <c r="D93" t="inlineStr">
        <is>
          <t>KALMAR LÄN</t>
        </is>
      </c>
      <c r="E93" t="inlineStr">
        <is>
          <t>BORGHOLM</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45913</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45913</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45913</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21908-2022</t>
        </is>
      </c>
      <c r="B97" s="1" t="n">
        <v>44711</v>
      </c>
      <c r="C97" s="1" t="n">
        <v>45913</v>
      </c>
      <c r="D97" t="inlineStr">
        <is>
          <t>KALMAR LÄN</t>
        </is>
      </c>
      <c r="E97" t="inlineStr">
        <is>
          <t>BORGHOLM</t>
        </is>
      </c>
      <c r="G97" t="n">
        <v>4.7</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45913</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4878-2021</t>
        </is>
      </c>
      <c r="B99" s="1" t="n">
        <v>44225</v>
      </c>
      <c r="C99" s="1" t="n">
        <v>45913</v>
      </c>
      <c r="D99" t="inlineStr">
        <is>
          <t>KALMAR LÄN</t>
        </is>
      </c>
      <c r="E99" t="inlineStr">
        <is>
          <t>BORGHOLM</t>
        </is>
      </c>
      <c r="G99" t="n">
        <v>3</v>
      </c>
      <c r="H99" t="n">
        <v>0</v>
      </c>
      <c r="I99" t="n">
        <v>0</v>
      </c>
      <c r="J99" t="n">
        <v>0</v>
      </c>
      <c r="K99" t="n">
        <v>0</v>
      </c>
      <c r="L99" t="n">
        <v>0</v>
      </c>
      <c r="M99" t="n">
        <v>0</v>
      </c>
      <c r="N99" t="n">
        <v>0</v>
      </c>
      <c r="O99" t="n">
        <v>0</v>
      </c>
      <c r="P99" t="n">
        <v>0</v>
      </c>
      <c r="Q99" t="n">
        <v>0</v>
      </c>
      <c r="R99" s="2" t="inlineStr"/>
    </row>
    <row r="100" ht="15" customHeight="1">
      <c r="A100" t="inlineStr">
        <is>
          <t>A 34951-2022</t>
        </is>
      </c>
      <c r="B100" s="1" t="n">
        <v>44796</v>
      </c>
      <c r="C100" s="1" t="n">
        <v>45913</v>
      </c>
      <c r="D100" t="inlineStr">
        <is>
          <t>KALMAR LÄN</t>
        </is>
      </c>
      <c r="E100" t="inlineStr">
        <is>
          <t>BORGHOLM</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9034-2025</t>
        </is>
      </c>
      <c r="B101" s="1" t="n">
        <v>45713</v>
      </c>
      <c r="C101" s="1" t="n">
        <v>45913</v>
      </c>
      <c r="D101" t="inlineStr">
        <is>
          <t>KALMAR LÄN</t>
        </is>
      </c>
      <c r="E101" t="inlineStr">
        <is>
          <t>BORGHOLM</t>
        </is>
      </c>
      <c r="F101" t="inlineStr">
        <is>
          <t>Sveaskog</t>
        </is>
      </c>
      <c r="G101" t="n">
        <v>6.8</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45913</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45913</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29656-2023</t>
        </is>
      </c>
      <c r="B104" s="1" t="n">
        <v>45107</v>
      </c>
      <c r="C104" s="1" t="n">
        <v>45913</v>
      </c>
      <c r="D104" t="inlineStr">
        <is>
          <t>KALMAR LÄN</t>
        </is>
      </c>
      <c r="E104" t="inlineStr">
        <is>
          <t>BORGHOLM</t>
        </is>
      </c>
      <c r="G104" t="n">
        <v>4.1</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45913</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13548-2025</t>
        </is>
      </c>
      <c r="B106" s="1" t="n">
        <v>45736.53827546296</v>
      </c>
      <c r="C106" s="1" t="n">
        <v>45913</v>
      </c>
      <c r="D106" t="inlineStr">
        <is>
          <t>KALMAR LÄN</t>
        </is>
      </c>
      <c r="E106" t="inlineStr">
        <is>
          <t>BORGHOLM</t>
        </is>
      </c>
      <c r="G106" t="n">
        <v>1</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45913</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31840-2021</t>
        </is>
      </c>
      <c r="B108" s="1" t="n">
        <v>44370</v>
      </c>
      <c r="C108" s="1" t="n">
        <v>45913</v>
      </c>
      <c r="D108" t="inlineStr">
        <is>
          <t>KALMAR LÄN</t>
        </is>
      </c>
      <c r="E108" t="inlineStr">
        <is>
          <t>BORGHOLM</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45913</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45913</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64303-2023</t>
        </is>
      </c>
      <c r="B111" s="1" t="n">
        <v>45280</v>
      </c>
      <c r="C111" s="1" t="n">
        <v>45913</v>
      </c>
      <c r="D111" t="inlineStr">
        <is>
          <t>KALMAR LÄN</t>
        </is>
      </c>
      <c r="E111" t="inlineStr">
        <is>
          <t>BORGHOLM</t>
        </is>
      </c>
      <c r="G111" t="n">
        <v>1.2</v>
      </c>
      <c r="H111" t="n">
        <v>0</v>
      </c>
      <c r="I111" t="n">
        <v>0</v>
      </c>
      <c r="J111" t="n">
        <v>0</v>
      </c>
      <c r="K111" t="n">
        <v>0</v>
      </c>
      <c r="L111" t="n">
        <v>0</v>
      </c>
      <c r="M111" t="n">
        <v>0</v>
      </c>
      <c r="N111" t="n">
        <v>0</v>
      </c>
      <c r="O111" t="n">
        <v>0</v>
      </c>
      <c r="P111" t="n">
        <v>0</v>
      </c>
      <c r="Q111" t="n">
        <v>0</v>
      </c>
      <c r="R111" s="2" t="inlineStr"/>
    </row>
    <row r="112" ht="15" customHeight="1">
      <c r="A112" t="inlineStr">
        <is>
          <t>A 44547-2021</t>
        </is>
      </c>
      <c r="B112" s="1" t="n">
        <v>44435</v>
      </c>
      <c r="C112" s="1" t="n">
        <v>45913</v>
      </c>
      <c r="D112" t="inlineStr">
        <is>
          <t>KALMAR LÄN</t>
        </is>
      </c>
      <c r="E112" t="inlineStr">
        <is>
          <t>BORGHOLM</t>
        </is>
      </c>
      <c r="G112" t="n">
        <v>1.4</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45913</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45913</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41831-2025</t>
        </is>
      </c>
      <c r="B115" s="1" t="n">
        <v>45902.67887731481</v>
      </c>
      <c r="C115" s="1" t="n">
        <v>45913</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42232-2025</t>
        </is>
      </c>
      <c r="B116" s="1" t="n">
        <v>45904.55591435185</v>
      </c>
      <c r="C116" s="1" t="n">
        <v>45913</v>
      </c>
      <c r="D116" t="inlineStr">
        <is>
          <t>KALMAR LÄN</t>
        </is>
      </c>
      <c r="E116" t="inlineStr">
        <is>
          <t>BORGHOLM</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41950-2025</t>
        </is>
      </c>
      <c r="B117" s="1" t="n">
        <v>45903.45767361111</v>
      </c>
      <c r="C117" s="1" t="n">
        <v>45913</v>
      </c>
      <c r="D117" t="inlineStr">
        <is>
          <t>KALMAR LÄN</t>
        </is>
      </c>
      <c r="E117" t="inlineStr">
        <is>
          <t>BORGHOLM</t>
        </is>
      </c>
      <c r="G117" t="n">
        <v>1.8</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45913</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36269-2025</t>
        </is>
      </c>
      <c r="B119" s="1" t="n">
        <v>45867.61736111111</v>
      </c>
      <c r="C119" s="1" t="n">
        <v>45913</v>
      </c>
      <c r="D119" t="inlineStr">
        <is>
          <t>KALMAR LÄN</t>
        </is>
      </c>
      <c r="E119" t="inlineStr">
        <is>
          <t>BORGHOLM</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43542-2025</t>
        </is>
      </c>
      <c r="B120" s="1" t="n">
        <v>45911.61123842592</v>
      </c>
      <c r="C120" s="1" t="n">
        <v>45913</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45913</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61438-2023</t>
        </is>
      </c>
      <c r="B122" s="1" t="n">
        <v>45264</v>
      </c>
      <c r="C122" s="1" t="n">
        <v>45913</v>
      </c>
      <c r="D122" t="inlineStr">
        <is>
          <t>KALMAR LÄN</t>
        </is>
      </c>
      <c r="E122" t="inlineStr">
        <is>
          <t>BORGHOLM</t>
        </is>
      </c>
      <c r="G122" t="n">
        <v>1.1</v>
      </c>
      <c r="H122" t="n">
        <v>0</v>
      </c>
      <c r="I122" t="n">
        <v>0</v>
      </c>
      <c r="J122" t="n">
        <v>0</v>
      </c>
      <c r="K122" t="n">
        <v>0</v>
      </c>
      <c r="L122" t="n">
        <v>0</v>
      </c>
      <c r="M122" t="n">
        <v>0</v>
      </c>
      <c r="N122" t="n">
        <v>0</v>
      </c>
      <c r="O122" t="n">
        <v>0</v>
      </c>
      <c r="P122" t="n">
        <v>0</v>
      </c>
      <c r="Q122" t="n">
        <v>0</v>
      </c>
      <c r="R122" s="2" t="inlineStr"/>
    </row>
    <row r="123" ht="15" customHeight="1">
      <c r="A123" t="inlineStr">
        <is>
          <t>A 13041-2024</t>
        </is>
      </c>
      <c r="B123" s="1" t="n">
        <v>45385.60065972222</v>
      </c>
      <c r="C123" s="1" t="n">
        <v>45913</v>
      </c>
      <c r="D123" t="inlineStr">
        <is>
          <t>KALMAR LÄN</t>
        </is>
      </c>
      <c r="E123" t="inlineStr">
        <is>
          <t>BORGHOLM</t>
        </is>
      </c>
      <c r="G123" t="n">
        <v>0.5</v>
      </c>
      <c r="H123" t="n">
        <v>0</v>
      </c>
      <c r="I123" t="n">
        <v>0</v>
      </c>
      <c r="J123" t="n">
        <v>0</v>
      </c>
      <c r="K123" t="n">
        <v>0</v>
      </c>
      <c r="L123" t="n">
        <v>0</v>
      </c>
      <c r="M123" t="n">
        <v>0</v>
      </c>
      <c r="N123" t="n">
        <v>0</v>
      </c>
      <c r="O123" t="n">
        <v>0</v>
      </c>
      <c r="P123" t="n">
        <v>0</v>
      </c>
      <c r="Q123" t="n">
        <v>0</v>
      </c>
      <c r="R123" s="2" t="inlineStr"/>
    </row>
    <row r="124" ht="15" customHeight="1">
      <c r="A124" t="inlineStr">
        <is>
          <t>A 1614-2025</t>
        </is>
      </c>
      <c r="B124" s="1" t="n">
        <v>45670.60094907408</v>
      </c>
      <c r="C124" s="1" t="n">
        <v>45913</v>
      </c>
      <c r="D124" t="inlineStr">
        <is>
          <t>KALMAR LÄN</t>
        </is>
      </c>
      <c r="E124" t="inlineStr">
        <is>
          <t>BORGHOLM</t>
        </is>
      </c>
      <c r="G124" t="n">
        <v>1.4</v>
      </c>
      <c r="H124" t="n">
        <v>0</v>
      </c>
      <c r="I124" t="n">
        <v>0</v>
      </c>
      <c r="J124" t="n">
        <v>0</v>
      </c>
      <c r="K124" t="n">
        <v>0</v>
      </c>
      <c r="L124" t="n">
        <v>0</v>
      </c>
      <c r="M124" t="n">
        <v>0</v>
      </c>
      <c r="N124" t="n">
        <v>0</v>
      </c>
      <c r="O124" t="n">
        <v>0</v>
      </c>
      <c r="P124" t="n">
        <v>0</v>
      </c>
      <c r="Q124" t="n">
        <v>0</v>
      </c>
      <c r="R124" s="2" t="inlineStr"/>
    </row>
    <row r="125" ht="15" customHeight="1">
      <c r="A125" t="inlineStr">
        <is>
          <t>A 63276-2023</t>
        </is>
      </c>
      <c r="B125" s="1" t="n">
        <v>45273.82195601852</v>
      </c>
      <c r="C125" s="1" t="n">
        <v>45913</v>
      </c>
      <c r="D125" t="inlineStr">
        <is>
          <t>KALMAR LÄN</t>
        </is>
      </c>
      <c r="E125" t="inlineStr">
        <is>
          <t>BORGHOLM</t>
        </is>
      </c>
      <c r="G125" t="n">
        <v>5</v>
      </c>
      <c r="H125" t="n">
        <v>0</v>
      </c>
      <c r="I125" t="n">
        <v>0</v>
      </c>
      <c r="J125" t="n">
        <v>0</v>
      </c>
      <c r="K125" t="n">
        <v>0</v>
      </c>
      <c r="L125" t="n">
        <v>0</v>
      </c>
      <c r="M125" t="n">
        <v>0</v>
      </c>
      <c r="N125" t="n">
        <v>0</v>
      </c>
      <c r="O125" t="n">
        <v>0</v>
      </c>
      <c r="P125" t="n">
        <v>0</v>
      </c>
      <c r="Q125" t="n">
        <v>0</v>
      </c>
      <c r="R125" s="2" t="inlineStr"/>
    </row>
    <row r="126" ht="15" customHeight="1">
      <c r="A126" t="inlineStr">
        <is>
          <t>A 9028-2025</t>
        </is>
      </c>
      <c r="B126" s="1" t="n">
        <v>45713</v>
      </c>
      <c r="C126" s="1" t="n">
        <v>45913</v>
      </c>
      <c r="D126" t="inlineStr">
        <is>
          <t>KALMAR LÄN</t>
        </is>
      </c>
      <c r="E126" t="inlineStr">
        <is>
          <t>BORGHOLM</t>
        </is>
      </c>
      <c r="F126" t="inlineStr">
        <is>
          <t>Sveaskog</t>
        </is>
      </c>
      <c r="G126" t="n">
        <v>3</v>
      </c>
      <c r="H126" t="n">
        <v>0</v>
      </c>
      <c r="I126" t="n">
        <v>0</v>
      </c>
      <c r="J126" t="n">
        <v>0</v>
      </c>
      <c r="K126" t="n">
        <v>0</v>
      </c>
      <c r="L126" t="n">
        <v>0</v>
      </c>
      <c r="M126" t="n">
        <v>0</v>
      </c>
      <c r="N126" t="n">
        <v>0</v>
      </c>
      <c r="O126" t="n">
        <v>0</v>
      </c>
      <c r="P126" t="n">
        <v>0</v>
      </c>
      <c r="Q126" t="n">
        <v>0</v>
      </c>
      <c r="R126" s="2" t="inlineStr"/>
    </row>
    <row r="127">
      <c r="A127" t="inlineStr">
        <is>
          <t>A 9050-2025</t>
        </is>
      </c>
      <c r="B127" s="1" t="n">
        <v>45713.63512731482</v>
      </c>
      <c r="C127" s="1" t="n">
        <v>45913</v>
      </c>
      <c r="D127" t="inlineStr">
        <is>
          <t>KALMAR LÄN</t>
        </is>
      </c>
      <c r="E127" t="inlineStr">
        <is>
          <t>BORGHOLM</t>
        </is>
      </c>
      <c r="F127" t="inlineStr">
        <is>
          <t>Sveaskog</t>
        </is>
      </c>
      <c r="G127" t="n">
        <v>2.5</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2025-09-13T08:53:23Z</dcterms:created>
  <dcterms:modified xmlns:dcterms="http://purl.org/dc/terms/" xmlns:xsi="http://www.w3.org/2001/XMLSchema-instance" xsi:type="dcterms:W3CDTF">2025-09-13T08:53:23Z</dcterms:modified>
</cp:coreProperties>
</file>