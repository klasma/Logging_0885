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46227</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46227</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46227</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46227</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46227</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46227</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46227</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46227</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46227</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46227</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46227</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46227</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46227</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46227</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46227</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46227</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46227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46227</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46227</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46227</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46227</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46227</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46227</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46227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46227</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46227</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46227</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46227</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46227</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46227</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46227</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46227</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46227</v>
      </c>
      <c r="F43" t="inlineStr">
        <is>
          <t>KALMAR LÄN</t>
        </is>
      </c>
      <c r="G43" t="inlineStr">
        <is>
          <t>BORGHOLM</t>
        </is>
      </c>
      <c r="I43" t="n">
        <v>1.4</v>
      </c>
      <c r="J43" t="n">
        <v>2</v>
      </c>
      <c r="K43" t="n">
        <v>2</v>
      </c>
      <c r="L43" t="n">
        <v>1</v>
      </c>
      <c r="M43" t="n">
        <v>0</v>
      </c>
      <c r="N43" t="n">
        <v>0</v>
      </c>
      <c r="O43" t="n">
        <v>0</v>
      </c>
      <c r="P43" t="n">
        <v>0</v>
      </c>
      <c r="Q43" t="n">
        <v>1</v>
      </c>
      <c r="R43" t="n">
        <v>0</v>
      </c>
      <c r="S43" t="n">
        <v>4</v>
      </c>
      <c r="T43" t="n">
        <v>9</v>
      </c>
      <c r="U43" t="n">
        <v>4</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27290-2026</t>
        </is>
      </c>
      <c r="B44" t="inlineStr">
        <is>
          <t>avverkningsanmälan</t>
        </is>
      </c>
      <c r="C44" t="inlineStr">
        <is>
          <t>Avverkning för att bevara och utveckla /försöksver</t>
        </is>
      </c>
      <c r="D44" s="1" t="n">
        <v>46188</v>
      </c>
      <c r="E44" s="1" t="n">
        <v>46227</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46227</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46227</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2742-2022</t>
        </is>
      </c>
      <c r="B47" t="inlineStr">
        <is>
          <t>samrådsanmälan</t>
        </is>
      </c>
      <c r="C47" t="inlineStr">
        <is>
          <t>Annan skogsbruksåtgärd</t>
        </is>
      </c>
      <c r="D47" s="1" t="n">
        <v>44704</v>
      </c>
      <c r="E47" s="1" t="n">
        <v>46227</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46227</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46227</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24048-2025</t>
        </is>
      </c>
      <c r="B50" t="inlineStr">
        <is>
          <t>avverkningsanmälan</t>
        </is>
      </c>
      <c r="C50" t="inlineStr">
        <is>
          <t>Föryngringsavverkning</t>
        </is>
      </c>
      <c r="D50" s="1" t="n">
        <v>45796</v>
      </c>
      <c r="E50" s="1" t="n">
        <v>46227</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t="n">
        <v>0</v>
      </c>
      <c r="V50" s="2" t="inlineStr">
        <is>
          <t>Loppstarr
Ängsstarr
Kärrknipprot</t>
        </is>
      </c>
      <c r="W50">
        <f>HYPERLINK("https://klasma.github.io/Logging_0885/artfynd/A 24048-2025 artfynd.xlsx", "A 24048-2025")</f>
        <v/>
      </c>
      <c r="X50">
        <f>HYPERLINK("https://klasma.github.io/Logging_0885/kartor/A 24048-2025 karta.png", "A 24048-2025")</f>
        <v/>
      </c>
      <c r="Y50">
        <f>HYPERLINK("https://klasma.github.io/Logging_0885/kartor_geotiff/A 24048-2025 georefererad karta.tif", "A 24048-2025")</f>
        <v/>
      </c>
      <c r="AA50">
        <f>HYPERLINK("https://klasma.github.io/Logging_0885/klagomål/A 24048-2025 FSC-klagomål.docx", "A 24048-2025")</f>
        <v/>
      </c>
      <c r="AB50">
        <f>HYPERLINK("https://klasma.github.io/Logging_0885/klagomålsmail/A 24048-2025 FSC-klagomål mail.docx", "A 24048-2025")</f>
        <v/>
      </c>
      <c r="AC50">
        <f>HYPERLINK("https://klasma.github.io/Logging_0885/tillsyn/A 24048-2025 tillsynsbegäran.docx", "A 24048-2025")</f>
        <v/>
      </c>
      <c r="AD50">
        <f>HYPERLINK("https://klasma.github.io/Logging_0885/tillsynsmail/A 24048-2025 tillsynsbegäran mail.docx", "A 24048-2025")</f>
        <v/>
      </c>
    </row>
    <row r="51" ht="15" customHeight="1">
      <c r="A51" t="inlineStr">
        <is>
          <t>A 43542-2025</t>
        </is>
      </c>
      <c r="B51" t="inlineStr">
        <is>
          <t>avverkningsanmälan</t>
        </is>
      </c>
      <c r="C51" t="inlineStr">
        <is>
          <t>Föryngringsavverkning</t>
        </is>
      </c>
      <c r="D51" s="1" t="n">
        <v>45911</v>
      </c>
      <c r="E51" s="1" t="n">
        <v>46227</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32174-2022</t>
        </is>
      </c>
      <c r="B52" t="inlineStr">
        <is>
          <t>avverkningsanmälan</t>
        </is>
      </c>
      <c r="C52" t="inlineStr">
        <is>
          <t>Avverkning för att bevara och utveckla /försöksver</t>
        </is>
      </c>
      <c r="D52" s="1" t="n">
        <v>44781</v>
      </c>
      <c r="E52" s="1" t="n">
        <v>46227</v>
      </c>
      <c r="F52" t="inlineStr">
        <is>
          <t>KALMAR LÄN</t>
        </is>
      </c>
      <c r="G52" t="inlineStr">
        <is>
          <t>BORGHOLM</t>
        </is>
      </c>
      <c r="H52" t="inlineStr">
        <is>
          <t>Sveaskog</t>
        </is>
      </c>
      <c r="I52" t="n">
        <v>1.6</v>
      </c>
      <c r="J52" t="n">
        <v>2</v>
      </c>
      <c r="K52" t="n">
        <v>2</v>
      </c>
      <c r="L52" t="n">
        <v>1</v>
      </c>
      <c r="M52" t="n">
        <v>0</v>
      </c>
      <c r="N52" t="n">
        <v>0</v>
      </c>
      <c r="O52" t="n">
        <v>0</v>
      </c>
      <c r="P52" t="n">
        <v>0</v>
      </c>
      <c r="Q52" t="n">
        <v>1</v>
      </c>
      <c r="R52" t="n">
        <v>0</v>
      </c>
      <c r="S52" t="n">
        <v>3</v>
      </c>
      <c r="T52" t="n">
        <v>3</v>
      </c>
      <c r="U52" t="n">
        <v>3</v>
      </c>
      <c r="V52" s="2" t="inlineStr">
        <is>
          <t>Backklöver
Tvåblad
Vit skogslilja</t>
        </is>
      </c>
      <c r="W52">
        <f>HYPERLINK("https://klasma.github.io/Logging_0885/artfynd/A 32174-2022 artfynd.xlsx", "A 32174-2022")</f>
        <v/>
      </c>
      <c r="X52">
        <f>HYPERLINK("https://klasma.github.io/Logging_0885/kartor/A 32174-2022 karta.png", "A 32174-2022")</f>
        <v/>
      </c>
      <c r="Y52">
        <f>HYPERLINK("https://klasma.github.io/Logging_0885/kartor_geotiff/A 32174-2022 georefererad karta.tif", "A 32174-2022")</f>
        <v/>
      </c>
      <c r="AA52">
        <f>HYPERLINK("https://klasma.github.io/Logging_0885/klagomål/A 32174-2022 FSC-klagomål.docx", "A 32174-2022")</f>
        <v/>
      </c>
      <c r="AB52">
        <f>HYPERLINK("https://klasma.github.io/Logging_0885/klagomålsmail/A 32174-2022 FSC-klagomål mail.docx", "A 32174-2022")</f>
        <v/>
      </c>
      <c r="AC52">
        <f>HYPERLINK("https://klasma.github.io/Logging_0885/tillsyn/A 32174-2022 tillsynsbegäran.docx", "A 32174-2022")</f>
        <v/>
      </c>
      <c r="AD52">
        <f>HYPERLINK("https://klasma.github.io/Logging_0885/tillsynsmail/A 32174-2022 tillsynsbegäran mail.docx", "A 32174-2022")</f>
        <v/>
      </c>
    </row>
    <row r="53" ht="15" customHeight="1">
      <c r="A53" t="inlineStr">
        <is>
          <t>A 15285-2026</t>
        </is>
      </c>
      <c r="B53" t="inlineStr">
        <is>
          <t>avverkningsanmälan</t>
        </is>
      </c>
      <c r="C53" t="inlineStr">
        <is>
          <t>Avverkning för att bevara och utveckla /försöksver</t>
        </is>
      </c>
      <c r="D53" s="1" t="n">
        <v>46105</v>
      </c>
      <c r="E53" s="1" t="n">
        <v>46227</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26849-2026</t>
        </is>
      </c>
      <c r="B54" t="inlineStr">
        <is>
          <t>avverkningsanmälan</t>
        </is>
      </c>
      <c r="C54" t="inlineStr">
        <is>
          <t>Föryngringsavverkning</t>
        </is>
      </c>
      <c r="D54" s="1" t="n">
        <v>46185</v>
      </c>
      <c r="E54" s="1" t="n">
        <v>46227</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27283-2026</t>
        </is>
      </c>
      <c r="B55" t="inlineStr">
        <is>
          <t>avverkningsanmälan</t>
        </is>
      </c>
      <c r="C55" t="inlineStr">
        <is>
          <t>Avverkning för att bevara och utveckla /försöksver</t>
        </is>
      </c>
      <c r="D55" s="1" t="n">
        <v>46188</v>
      </c>
      <c r="E55" s="1" t="n">
        <v>46227</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43756-2022</t>
        </is>
      </c>
      <c r="B56" t="inlineStr">
        <is>
          <t>avverkningsanmälan</t>
        </is>
      </c>
      <c r="C56" t="inlineStr">
        <is>
          <t>Föryngringsavverkning</t>
        </is>
      </c>
      <c r="D56" s="1" t="n">
        <v>44837</v>
      </c>
      <c r="E56" s="1" t="n">
        <v>46227</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31520-2026</t>
        </is>
      </c>
      <c r="B57" t="inlineStr">
        <is>
          <t>avverkningsanmälan</t>
        </is>
      </c>
      <c r="C57" t="inlineStr">
        <is>
          <t>Avverkning för att bevara och utveckla /försöksver</t>
        </is>
      </c>
      <c r="D57" s="1" t="n">
        <v>46223</v>
      </c>
      <c r="E57" s="1" t="n">
        <v>46227</v>
      </c>
      <c r="F57" t="inlineStr">
        <is>
          <t>KALMAR LÄN</t>
        </is>
      </c>
      <c r="G57" t="inlineStr">
        <is>
          <t>BORGHOLM</t>
        </is>
      </c>
      <c r="H57" t="inlineStr">
        <is>
          <t>Sveaskog</t>
        </is>
      </c>
      <c r="I57" t="n">
        <v>1.1</v>
      </c>
      <c r="J57" t="n">
        <v>3</v>
      </c>
      <c r="K57" t="n">
        <v>0</v>
      </c>
      <c r="L57" t="n">
        <v>1</v>
      </c>
      <c r="M57" t="n">
        <v>0</v>
      </c>
      <c r="N57" t="n">
        <v>0</v>
      </c>
      <c r="O57" t="n">
        <v>0</v>
      </c>
      <c r="P57" t="n">
        <v>0</v>
      </c>
      <c r="Q57" t="n">
        <v>1</v>
      </c>
      <c r="R57" t="n">
        <v>0</v>
      </c>
      <c r="S57" t="n">
        <v>3</v>
      </c>
      <c r="T57" t="n">
        <v>4</v>
      </c>
      <c r="U57" t="n">
        <v>0</v>
      </c>
      <c r="V57" s="2" t="inlineStr">
        <is>
          <t>Talltita
Grönsiska
Kungsfågel</t>
        </is>
      </c>
      <c r="W57">
        <f>HYPERLINK("https://klasma.github.io/Logging_0885/artfynd/A 31520-2026 artfynd.xlsx", "A 31520-2026")</f>
        <v/>
      </c>
      <c r="X57">
        <f>HYPERLINK("https://klasma.github.io/Logging_0885/kartor/A 31520-2026 karta.png", "A 31520-2026")</f>
        <v/>
      </c>
      <c r="Y57">
        <f>HYPERLINK("https://klasma.github.io/Logging_0885/kartor_geotiff/A 31520-2026 georefererad karta.tif", "A 31520-2026")</f>
        <v/>
      </c>
      <c r="AA57">
        <f>HYPERLINK("https://klasma.github.io/Logging_0885/klagomål/A 31520-2026 FSC-klagomål.docx", "A 31520-2026")</f>
        <v/>
      </c>
      <c r="AB57">
        <f>HYPERLINK("https://klasma.github.io/Logging_0885/klagomålsmail/A 31520-2026 FSC-klagomål mail.docx", "A 31520-2026")</f>
        <v/>
      </c>
      <c r="AC57">
        <f>HYPERLINK("https://klasma.github.io/Logging_0885/tillsyn/A 31520-2026 tillsynsbegäran.docx", "A 31520-2026")</f>
        <v/>
      </c>
      <c r="AD57">
        <f>HYPERLINK("https://klasma.github.io/Logging_0885/tillsynsmail/A 31520-2026 tillsynsbegäran mail.docx", "A 31520-2026")</f>
        <v/>
      </c>
      <c r="AE57">
        <f>HYPERLINK("https://klasma.github.io/Logging_0885/fåglar/A 31520-2026 prioriterade fågelarter.docx", "A 31520-2026")</f>
        <v/>
      </c>
    </row>
    <row r="58" ht="15" customHeight="1">
      <c r="A58" t="inlineStr">
        <is>
          <t>S 2740-2022</t>
        </is>
      </c>
      <c r="B58" t="inlineStr">
        <is>
          <t>samrådsanmälan</t>
        </is>
      </c>
      <c r="C58" t="inlineStr">
        <is>
          <t>Annan skogsbruksåtgärd</t>
        </is>
      </c>
      <c r="D58" s="1" t="n">
        <v>44704</v>
      </c>
      <c r="E58" s="1" t="n">
        <v>46227</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46227</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46227</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46227</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46227</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46227</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60141-2025</t>
        </is>
      </c>
      <c r="B64" t="inlineStr">
        <is>
          <t>avverkningsanmälan</t>
        </is>
      </c>
      <c r="C64" t="inlineStr">
        <is>
          <t>Föryngringsavverkning</t>
        </is>
      </c>
      <c r="D64" s="1" t="n">
        <v>45994</v>
      </c>
      <c r="E64" s="1" t="n">
        <v>46227</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46227</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46227</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9253-2026</t>
        </is>
      </c>
      <c r="B67" t="inlineStr">
        <is>
          <t>avverkningsanmälan</t>
        </is>
      </c>
      <c r="C67" t="inlineStr">
        <is>
          <t>Föryngringsavverkning</t>
        </is>
      </c>
      <c r="D67" s="1" t="n">
        <v>46070</v>
      </c>
      <c r="E67" s="1" t="n">
        <v>46227</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50129-2021</t>
        </is>
      </c>
      <c r="B68" t="inlineStr">
        <is>
          <t>avverkningsanmälan</t>
        </is>
      </c>
      <c r="C68" t="inlineStr">
        <is>
          <t>Avverkning för annat ändamål</t>
        </is>
      </c>
      <c r="D68" s="1" t="n">
        <v>44456</v>
      </c>
      <c r="E68" s="1" t="n">
        <v>46227</v>
      </c>
      <c r="F68" t="inlineStr">
        <is>
          <t>KALMAR LÄN</t>
        </is>
      </c>
      <c r="G68" t="inlineStr">
        <is>
          <t>BORGHOLM</t>
        </is>
      </c>
      <c r="I68" t="n">
        <v>1.6</v>
      </c>
      <c r="J68" t="n">
        <v>1</v>
      </c>
      <c r="K68" t="n">
        <v>1</v>
      </c>
      <c r="L68" t="n">
        <v>0</v>
      </c>
      <c r="M68" t="n">
        <v>0</v>
      </c>
      <c r="N68" t="n">
        <v>0</v>
      </c>
      <c r="O68" t="n">
        <v>0</v>
      </c>
      <c r="P68" t="n">
        <v>0</v>
      </c>
      <c r="Q68" t="n">
        <v>0</v>
      </c>
      <c r="R68" t="n">
        <v>0</v>
      </c>
      <c r="S68" t="n">
        <v>2</v>
      </c>
      <c r="T68" t="n">
        <v>2</v>
      </c>
      <c r="U68" t="n">
        <v>2</v>
      </c>
      <c r="V68" s="2" t="inlineStr">
        <is>
          <t>Murgröna
Blåsippa</t>
        </is>
      </c>
      <c r="W68">
        <f>HYPERLINK("https://klasma.github.io/Logging_0885/artfynd/A 50129-2021 artfynd.xlsx", "A 50129-2021")</f>
        <v/>
      </c>
      <c r="X68">
        <f>HYPERLINK("https://klasma.github.io/Logging_0885/kartor/A 50129-2021 karta.png", "A 50129-2021")</f>
        <v/>
      </c>
      <c r="Y68">
        <f>HYPERLINK("https://klasma.github.io/Logging_0885/kartor_geotiff/A 50129-2021 georefererad karta.tif", "A 50129-2021")</f>
        <v/>
      </c>
      <c r="AA68">
        <f>HYPERLINK("https://klasma.github.io/Logging_0885/klagomål/A 50129-2021 FSC-klagomål.docx", "A 50129-2021")</f>
        <v/>
      </c>
      <c r="AB68">
        <f>HYPERLINK("https://klasma.github.io/Logging_0885/klagomålsmail/A 50129-2021 FSC-klagomål mail.docx", "A 50129-2021")</f>
        <v/>
      </c>
      <c r="AC68">
        <f>HYPERLINK("https://klasma.github.io/Logging_0885/tillsyn/A 50129-2021 tillsynsbegäran.docx", "A 50129-2021")</f>
        <v/>
      </c>
      <c r="AD68">
        <f>HYPERLINK("https://klasma.github.io/Logging_0885/tillsynsmail/A 50129-2021 tillsynsbegäran mail.docx", "A 50129-2021")</f>
        <v/>
      </c>
    </row>
    <row r="69" ht="15" customHeight="1">
      <c r="A69" t="inlineStr">
        <is>
          <t>A 17699-2025</t>
        </is>
      </c>
      <c r="B69" t="inlineStr">
        <is>
          <t>avverkningsanmälan</t>
        </is>
      </c>
      <c r="C69" t="inlineStr">
        <is>
          <t>Föryngringsavverkning</t>
        </is>
      </c>
      <c r="D69" s="1" t="n">
        <v>45758</v>
      </c>
      <c r="E69" s="1" t="n">
        <v>46227</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21908-2022</t>
        </is>
      </c>
      <c r="B70" t="inlineStr">
        <is>
          <t>avverkningsanmälan</t>
        </is>
      </c>
      <c r="C70" t="inlineStr">
        <is>
          <t>Föryngringsavverkning</t>
        </is>
      </c>
      <c r="D70" s="1" t="n">
        <v>44711</v>
      </c>
      <c r="E70" s="1" t="n">
        <v>46227</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29411-2026</t>
        </is>
      </c>
      <c r="B71" t="inlineStr">
        <is>
          <t>avverkningsanmälan</t>
        </is>
      </c>
      <c r="C71" t="inlineStr">
        <is>
          <t>Avverkning för att bevara och utveckla /försöksver</t>
        </is>
      </c>
      <c r="D71" s="1" t="n">
        <v>46203</v>
      </c>
      <c r="E71" s="1" t="n">
        <v>46227</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29434-2026</t>
        </is>
      </c>
      <c r="B72" t="inlineStr">
        <is>
          <t>avverkningsanmälan</t>
        </is>
      </c>
      <c r="C72" t="inlineStr">
        <is>
          <t>Avverkning för att bevara och utveckla /försöksver</t>
        </is>
      </c>
      <c r="D72" s="1" t="n">
        <v>46203</v>
      </c>
      <c r="E72" s="1" t="n">
        <v>46227</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24322-2026</t>
        </is>
      </c>
      <c r="B73" t="inlineStr">
        <is>
          <t>avverkningsanmälan</t>
        </is>
      </c>
      <c r="C73" t="inlineStr">
        <is>
          <t>Föryngringsavverkning</t>
        </is>
      </c>
      <c r="D73" s="1" t="n">
        <v>46169</v>
      </c>
      <c r="E73" s="1" t="n">
        <v>46227</v>
      </c>
      <c r="F73" t="inlineStr">
        <is>
          <t>KALMAR LÄN</t>
        </is>
      </c>
      <c r="G73" t="inlineStr">
        <is>
          <t>BORGHOLM</t>
        </is>
      </c>
      <c r="H73" t="inlineStr">
        <is>
          <t>Sveaskog</t>
        </is>
      </c>
      <c r="I73" t="n">
        <v>5.5</v>
      </c>
      <c r="J73" t="n">
        <v>2</v>
      </c>
      <c r="K73" t="n">
        <v>2</v>
      </c>
      <c r="L73" t="n">
        <v>0</v>
      </c>
      <c r="M73" t="n">
        <v>0</v>
      </c>
      <c r="N73" t="n">
        <v>0</v>
      </c>
      <c r="O73" t="n">
        <v>0</v>
      </c>
      <c r="P73" t="n">
        <v>0</v>
      </c>
      <c r="Q73" t="n">
        <v>0</v>
      </c>
      <c r="R73" t="n">
        <v>0</v>
      </c>
      <c r="S73" t="n">
        <v>2</v>
      </c>
      <c r="T73" t="n">
        <v>2</v>
      </c>
      <c r="U73" t="n">
        <v>0</v>
      </c>
      <c r="V73" s="2" t="inlineStr">
        <is>
          <t>Purpurknipprot
Skogsknipprot</t>
        </is>
      </c>
      <c r="W73">
        <f>HYPERLINK("https://klasma.github.io/Logging_0885/artfynd/A 24322-2026 artfynd.xlsx", "A 24322-2026")</f>
        <v/>
      </c>
      <c r="X73">
        <f>HYPERLINK("https://klasma.github.io/Logging_0885/kartor/A 24322-2026 karta.png", "A 24322-2026")</f>
        <v/>
      </c>
      <c r="Y73">
        <f>HYPERLINK("https://klasma.github.io/Logging_0885/kartor_geotiff/A 24322-2026 georefererad karta.tif", "A 24322-2026")</f>
        <v/>
      </c>
      <c r="AA73">
        <f>HYPERLINK("https://klasma.github.io/Logging_0885/klagomål/A 24322-2026 FSC-klagomål.docx", "A 24322-2026")</f>
        <v/>
      </c>
      <c r="AB73">
        <f>HYPERLINK("https://klasma.github.io/Logging_0885/klagomålsmail/A 24322-2026 FSC-klagomål mail.docx", "A 24322-2026")</f>
        <v/>
      </c>
      <c r="AC73">
        <f>HYPERLINK("https://klasma.github.io/Logging_0885/tillsyn/A 24322-2026 tillsynsbegäran.docx", "A 24322-2026")</f>
        <v/>
      </c>
      <c r="AD73">
        <f>HYPERLINK("https://klasma.github.io/Logging_0885/tillsynsmail/A 24322-2026 tillsynsbegäran mail.docx", "A 24322-2026")</f>
        <v/>
      </c>
    </row>
    <row r="74" ht="15" customHeight="1">
      <c r="A74" t="inlineStr">
        <is>
          <t>S 1650-2022</t>
        </is>
      </c>
      <c r="B74" t="inlineStr">
        <is>
          <t>samrådsanmälan</t>
        </is>
      </c>
      <c r="C74" t="inlineStr">
        <is>
          <t>Åtgärd i nyckelbiotop</t>
        </is>
      </c>
      <c r="D74" s="1" t="n">
        <v>44649</v>
      </c>
      <c r="E74" s="1" t="n">
        <v>46227</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46227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46227</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46227</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46227</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46227</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46227</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13043-2024</t>
        </is>
      </c>
      <c r="B81" t="inlineStr">
        <is>
          <t>avverkningsanmälan</t>
        </is>
      </c>
      <c r="C81" t="inlineStr">
        <is>
          <t>Föryngringsavverkning</t>
        </is>
      </c>
      <c r="D81" s="1" t="n">
        <v>45385</v>
      </c>
      <c r="E81" s="1" t="n">
        <v>46227</v>
      </c>
      <c r="F81" t="inlineStr">
        <is>
          <t>KALMAR LÄN</t>
        </is>
      </c>
      <c r="G81" t="inlineStr">
        <is>
          <t>BORGHOLM</t>
        </is>
      </c>
      <c r="I81" t="n">
        <v>0.4</v>
      </c>
      <c r="J81" t="n">
        <v>1</v>
      </c>
      <c r="K81" t="n">
        <v>1</v>
      </c>
      <c r="L81" t="n">
        <v>0</v>
      </c>
      <c r="M81" t="n">
        <v>0</v>
      </c>
      <c r="N81" t="n">
        <v>0</v>
      </c>
      <c r="O81" t="n">
        <v>0</v>
      </c>
      <c r="P81" t="n">
        <v>0</v>
      </c>
      <c r="Q81" t="n">
        <v>0</v>
      </c>
      <c r="R81" t="n">
        <v>0</v>
      </c>
      <c r="S81" t="n">
        <v>1</v>
      </c>
      <c r="T81" t="n">
        <v>1</v>
      </c>
      <c r="U81" t="n">
        <v>0</v>
      </c>
      <c r="V81" s="2" t="inlineStr">
        <is>
          <t>Ekoxe</t>
        </is>
      </c>
      <c r="W81">
        <f>HYPERLINK("https://klasma.github.io/Logging_0885/artfynd/A 13043-2024 artfynd.xlsx", "A 13043-2024")</f>
        <v/>
      </c>
      <c r="X81">
        <f>HYPERLINK("https://klasma.github.io/Logging_0885/kartor/A 13043-2024 karta.png", "A 13043-2024")</f>
        <v/>
      </c>
      <c r="Y81">
        <f>HYPERLINK("https://klasma.github.io/Logging_0885/kartor_geotiff/A 13043-2024 georefererad karta.tif", "A 13043-2024")</f>
        <v/>
      </c>
      <c r="AA81">
        <f>HYPERLINK("https://klasma.github.io/Logging_0885/klagomål/A 13043-2024 FSC-klagomål.docx", "A 13043-2024")</f>
        <v/>
      </c>
      <c r="AB81">
        <f>HYPERLINK("https://klasma.github.io/Logging_0885/klagomålsmail/A 13043-2024 FSC-klagomål mail.docx", "A 13043-2024")</f>
        <v/>
      </c>
      <c r="AC81">
        <f>HYPERLINK("https://klasma.github.io/Logging_0885/tillsyn/A 13043-2024 tillsynsbegäran.docx", "A 13043-2024")</f>
        <v/>
      </c>
      <c r="AD81">
        <f>HYPERLINK("https://klasma.github.io/Logging_0885/tillsynsmail/A 13043-2024 tillsynsbegäran mail.docx", "A 13043-2024")</f>
        <v/>
      </c>
    </row>
    <row r="82" ht="15" customHeight="1">
      <c r="A82" t="inlineStr">
        <is>
          <t>A 9745-2023</t>
        </is>
      </c>
      <c r="B82" t="inlineStr">
        <is>
          <t>avverkningsanmälan</t>
        </is>
      </c>
      <c r="C82" t="inlineStr">
        <is>
          <t>Föryngringsavverkning</t>
        </is>
      </c>
      <c r="D82" s="1" t="n">
        <v>44984</v>
      </c>
      <c r="E82" s="1" t="n">
        <v>46227</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46227</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41831-2025</t>
        </is>
      </c>
      <c r="B84" t="inlineStr">
        <is>
          <t>avverkningsanmälan</t>
        </is>
      </c>
      <c r="C84" t="inlineStr">
        <is>
          <t>Föryngringsavverkning</t>
        </is>
      </c>
      <c r="D84" s="1" t="n">
        <v>45902</v>
      </c>
      <c r="E84" s="1" t="n">
        <v>46227</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28782-2025</t>
        </is>
      </c>
      <c r="B85" t="inlineStr">
        <is>
          <t>avverkningsanmälan</t>
        </is>
      </c>
      <c r="C85" t="inlineStr">
        <is>
          <t>Avverkning för att bevara och utveckla /försöksver</t>
        </is>
      </c>
      <c r="D85" s="1" t="n">
        <v>45820</v>
      </c>
      <c r="E85" s="1" t="n">
        <v>46227</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28785-2025</t>
        </is>
      </c>
      <c r="B86" t="inlineStr">
        <is>
          <t>avverkningsanmälan</t>
        </is>
      </c>
      <c r="C86" t="inlineStr">
        <is>
          <t>Avverkning för att bevara och utveckla /försöksver</t>
        </is>
      </c>
      <c r="D86" s="1" t="n">
        <v>45820</v>
      </c>
      <c r="E86" s="1" t="n">
        <v>46227</v>
      </c>
      <c r="F86" t="inlineStr">
        <is>
          <t>KALMAR LÄN</t>
        </is>
      </c>
      <c r="G86" t="inlineStr">
        <is>
          <t>BORGHOLM</t>
        </is>
      </c>
      <c r="H86" t="inlineStr">
        <is>
          <t>Sveaskog</t>
        </is>
      </c>
      <c r="I86" t="n">
        <v>2.3</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HYPERLINK("https://klasma.github.io/Logging_0885/artfynd/A 28785-2025 artfynd.xlsx", "A 28785-2025")</f>
        <v/>
      </c>
      <c r="X86">
        <f>HYPERLINK("https://klasma.github.io/Logging_0885/kartor/A 28785-2025 karta.png", "A 28785-2025")</f>
        <v/>
      </c>
      <c r="Y86">
        <f>HYPERLINK("https://klasma.github.io/Logging_0885/kartor_geotiff/A 28785-2025 georefererad karta.tif", "A 28785-2025")</f>
        <v/>
      </c>
      <c r="AA86">
        <f>HYPERLINK("https://klasma.github.io/Logging_0885/klagomål/A 28785-2025 FSC-klagomål.docx", "A 28785-2025")</f>
        <v/>
      </c>
      <c r="AB86">
        <f>HYPERLINK("https://klasma.github.io/Logging_0885/klagomålsmail/A 28785-2025 FSC-klagomål mail.docx", "A 28785-2025")</f>
        <v/>
      </c>
      <c r="AC86">
        <f>HYPERLINK("https://klasma.github.io/Logging_0885/tillsyn/A 28785-2025 tillsynsbegäran.docx", "A 28785-2025")</f>
        <v/>
      </c>
      <c r="AD86">
        <f>HYPERLINK("https://klasma.github.io/Logging_0885/tillsynsmail/A 28785-2025 tillsynsbegäran mail.docx", "A 28785-2025")</f>
        <v/>
      </c>
      <c r="AE86">
        <f>HYPERLINK("https://klasma.github.io/Logging_0885/fåglar/A 28785-2025 prioriterade fågelarter.docx", "A 28785-2025")</f>
        <v/>
      </c>
    </row>
    <row r="87" ht="15" customHeight="1">
      <c r="A87" t="inlineStr">
        <is>
          <t>A 31720-2022</t>
        </is>
      </c>
      <c r="B87" t="inlineStr">
        <is>
          <t>avverkningsanmälan</t>
        </is>
      </c>
      <c r="C87" t="inlineStr">
        <is>
          <t>Föryngringsavverkning</t>
        </is>
      </c>
      <c r="D87" s="1" t="n">
        <v>44776</v>
      </c>
      <c r="E87" s="1" t="n">
        <v>46227</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3302-2026</t>
        </is>
      </c>
      <c r="B88" t="inlineStr">
        <is>
          <t>avverkningsanmälan</t>
        </is>
      </c>
      <c r="C88" t="inlineStr">
        <is>
          <t>Avverkning för annat ändamål</t>
        </is>
      </c>
      <c r="D88" s="1" t="n">
        <v>46041</v>
      </c>
      <c r="E88" s="1" t="n">
        <v>46227</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24701-2023</t>
        </is>
      </c>
      <c r="B89" t="inlineStr">
        <is>
          <t>avverkningsanmälan</t>
        </is>
      </c>
      <c r="C89" t="inlineStr">
        <is>
          <t>Föryngringsavverkning</t>
        </is>
      </c>
      <c r="D89" s="1" t="n">
        <v>45084</v>
      </c>
      <c r="E89" s="1" t="n">
        <v>46227</v>
      </c>
      <c r="F89" t="inlineStr">
        <is>
          <t>KALMAR LÄN</t>
        </is>
      </c>
      <c r="G89" t="inlineStr">
        <is>
          <t>BORGHOLM</t>
        </is>
      </c>
      <c r="I89" t="n">
        <v>3</v>
      </c>
      <c r="J89" t="n">
        <v>0</v>
      </c>
      <c r="K89" t="n">
        <v>0</v>
      </c>
      <c r="L89" t="n">
        <v>0</v>
      </c>
      <c r="M89" t="n">
        <v>0</v>
      </c>
      <c r="N89" t="n">
        <v>1</v>
      </c>
      <c r="O89" t="n">
        <v>0</v>
      </c>
      <c r="P89" t="n">
        <v>0</v>
      </c>
      <c r="Q89" t="n">
        <v>1</v>
      </c>
      <c r="R89" t="n">
        <v>1</v>
      </c>
      <c r="S89" t="n">
        <v>1</v>
      </c>
      <c r="T89" t="n">
        <v>3</v>
      </c>
      <c r="U89" t="n">
        <v>0</v>
      </c>
      <c r="V89" s="2" t="inlineStr">
        <is>
          <t>Ask</t>
        </is>
      </c>
      <c r="W89">
        <f>HYPERLINK("https://klasma.github.io/Logging_0885/artfynd/A 24701-2023 artfynd.xlsx", "A 24701-2023")</f>
        <v/>
      </c>
      <c r="X89">
        <f>HYPERLINK("https://klasma.github.io/Logging_0885/kartor/A 24701-2023 karta.png", "A 24701-2023")</f>
        <v/>
      </c>
      <c r="Y89">
        <f>HYPERLINK("https://klasma.github.io/Logging_0885/kartor_geotiff/A 24701-2023 georefererad karta.tif", "A 24701-2023")</f>
        <v/>
      </c>
      <c r="AA89">
        <f>HYPERLINK("https://klasma.github.io/Logging_0885/klagomål/A 24701-2023 FSC-klagomål.docx", "A 24701-2023")</f>
        <v/>
      </c>
      <c r="AB89">
        <f>HYPERLINK("https://klasma.github.io/Logging_0885/klagomålsmail/A 24701-2023 FSC-klagomål mail.docx", "A 24701-2023")</f>
        <v/>
      </c>
      <c r="AC89">
        <f>HYPERLINK("https://klasma.github.io/Logging_0885/tillsyn/A 24701-2023 tillsynsbegäran.docx", "A 24701-2023")</f>
        <v/>
      </c>
      <c r="AD89">
        <f>HYPERLINK("https://klasma.github.io/Logging_0885/tillsynsmail/A 24701-2023 tillsynsbegäran mail.docx", "A 24701-2023")</f>
        <v/>
      </c>
    </row>
    <row r="90" ht="15" customHeight="1">
      <c r="A90" t="inlineStr">
        <is>
          <t>A 7481-2026</t>
        </is>
      </c>
      <c r="B90" t="inlineStr">
        <is>
          <t>avverkningsanmälan</t>
        </is>
      </c>
      <c r="C90" t="inlineStr">
        <is>
          <t>Föryngringsavverkning</t>
        </is>
      </c>
      <c r="D90" s="1" t="n">
        <v>46059</v>
      </c>
      <c r="E90" s="1" t="n">
        <v>46227</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9905-2026</t>
        </is>
      </c>
      <c r="B91" t="inlineStr">
        <is>
          <t>avverkningsanmälan</t>
        </is>
      </c>
      <c r="C91" t="inlineStr">
        <is>
          <t>Föryngringsavverkning</t>
        </is>
      </c>
      <c r="D91" s="1" t="n">
        <v>46073</v>
      </c>
      <c r="E91" s="1" t="n">
        <v>46227</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24704-2023</t>
        </is>
      </c>
      <c r="B92" t="inlineStr">
        <is>
          <t>avverkningsanmälan</t>
        </is>
      </c>
      <c r="C92" t="inlineStr">
        <is>
          <t>Föryngringsavverkning</t>
        </is>
      </c>
      <c r="D92" s="1" t="n">
        <v>45084</v>
      </c>
      <c r="E92" s="1" t="n">
        <v>46227</v>
      </c>
      <c r="F92" t="inlineStr">
        <is>
          <t>KALMAR LÄN</t>
        </is>
      </c>
      <c r="G92" t="inlineStr">
        <is>
          <t>BORGHOLM</t>
        </is>
      </c>
      <c r="I92" t="n">
        <v>3.5</v>
      </c>
      <c r="J92" t="n">
        <v>0</v>
      </c>
      <c r="K92" t="n">
        <v>0</v>
      </c>
      <c r="L92" t="n">
        <v>0</v>
      </c>
      <c r="M92" t="n">
        <v>0</v>
      </c>
      <c r="N92" t="n">
        <v>1</v>
      </c>
      <c r="O92" t="n">
        <v>0</v>
      </c>
      <c r="P92" t="n">
        <v>0</v>
      </c>
      <c r="Q92" t="n">
        <v>1</v>
      </c>
      <c r="R92" t="n">
        <v>1</v>
      </c>
      <c r="S92" t="n">
        <v>1</v>
      </c>
      <c r="T92" t="n">
        <v>2</v>
      </c>
      <c r="U92" t="n">
        <v>0</v>
      </c>
      <c r="V92" s="2" t="inlineStr">
        <is>
          <t>Ask</t>
        </is>
      </c>
      <c r="W92">
        <f>HYPERLINK("https://klasma.github.io/Logging_0885/artfynd/A 24704-2023 artfynd.xlsx", "A 24704-2023")</f>
        <v/>
      </c>
      <c r="X92">
        <f>HYPERLINK("https://klasma.github.io/Logging_0885/kartor/A 24704-2023 karta.png", "A 24704-2023")</f>
        <v/>
      </c>
      <c r="Y92">
        <f>HYPERLINK("https://klasma.github.io/Logging_0885/kartor_geotiff/A 24704-2023 georefererad karta.tif", "A 24704-2023")</f>
        <v/>
      </c>
      <c r="AA92">
        <f>HYPERLINK("https://klasma.github.io/Logging_0885/klagomål/A 24704-2023 FSC-klagomål.docx", "A 24704-2023")</f>
        <v/>
      </c>
      <c r="AB92">
        <f>HYPERLINK("https://klasma.github.io/Logging_0885/klagomålsmail/A 24704-2023 FSC-klagomål mail.docx", "A 24704-2023")</f>
        <v/>
      </c>
      <c r="AC92">
        <f>HYPERLINK("https://klasma.github.io/Logging_0885/tillsyn/A 24704-2023 tillsynsbegäran.docx", "A 24704-2023")</f>
        <v/>
      </c>
      <c r="AD92">
        <f>HYPERLINK("https://klasma.github.io/Logging_0885/tillsynsmail/A 24704-2023 tillsynsbegäran mail.docx", "A 24704-2023")</f>
        <v/>
      </c>
    </row>
    <row r="93" ht="15" customHeight="1">
      <c r="A93" t="inlineStr">
        <is>
          <t>A 26840-2026</t>
        </is>
      </c>
      <c r="B93" t="inlineStr">
        <is>
          <t>avverkningsanmälan</t>
        </is>
      </c>
      <c r="C93" t="inlineStr">
        <is>
          <t>Avverkning för att bevara och utveckla /försöksver</t>
        </is>
      </c>
      <c r="D93" s="1" t="n">
        <v>46185</v>
      </c>
      <c r="E93" s="1" t="n">
        <v>46227</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28374-2026</t>
        </is>
      </c>
      <c r="B94" t="inlineStr">
        <is>
          <t>avverkningsanmälan</t>
        </is>
      </c>
      <c r="C94" t="inlineStr">
        <is>
          <t>Avverkning för att bevara och utveckla /försöksver</t>
        </is>
      </c>
      <c r="D94" s="1" t="n">
        <v>46196</v>
      </c>
      <c r="E94" s="1" t="n">
        <v>46227</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28430-2026</t>
        </is>
      </c>
      <c r="B95" t="inlineStr">
        <is>
          <t>avverkningsanmälan</t>
        </is>
      </c>
      <c r="C95" t="inlineStr">
        <is>
          <t>Avverkning för att bevara och utveckla /försöksver</t>
        </is>
      </c>
      <c r="D95" s="1" t="n">
        <v>46197</v>
      </c>
      <c r="E95" s="1" t="n">
        <v>46227</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19867-2024</t>
        </is>
      </c>
      <c r="B96" t="inlineStr">
        <is>
          <t>avverkningsanmälan</t>
        </is>
      </c>
      <c r="C96" t="inlineStr">
        <is>
          <t>Föryngringsavverkning</t>
        </is>
      </c>
      <c r="D96" s="1" t="n">
        <v>45433</v>
      </c>
      <c r="E96" s="1" t="n">
        <v>46227</v>
      </c>
      <c r="F96" t="inlineStr">
        <is>
          <t>KALMAR LÄN</t>
        </is>
      </c>
      <c r="G96" t="inlineStr">
        <is>
          <t>BORGHOLM</t>
        </is>
      </c>
      <c r="I96" t="n">
        <v>3.9</v>
      </c>
      <c r="J96" t="n">
        <v>0</v>
      </c>
      <c r="K96" t="n">
        <v>0</v>
      </c>
      <c r="L96" t="n">
        <v>1</v>
      </c>
      <c r="M96" t="n">
        <v>0</v>
      </c>
      <c r="N96" t="n">
        <v>0</v>
      </c>
      <c r="O96" t="n">
        <v>0</v>
      </c>
      <c r="P96" t="n">
        <v>0</v>
      </c>
      <c r="Q96" t="n">
        <v>1</v>
      </c>
      <c r="R96" t="n">
        <v>0</v>
      </c>
      <c r="S96" t="n">
        <v>1</v>
      </c>
      <c r="T96" t="n">
        <v>1</v>
      </c>
      <c r="U96" t="n">
        <v>1</v>
      </c>
      <c r="V96" s="2" t="inlineStr">
        <is>
          <t>Åkerkulla</t>
        </is>
      </c>
      <c r="W96">
        <f>HYPERLINK("https://klasma.github.io/Logging_0885/artfynd/A 19867-2024 artfynd.xlsx", "A 19867-2024")</f>
        <v/>
      </c>
      <c r="X96">
        <f>HYPERLINK("https://klasma.github.io/Logging_0885/kartor/A 19867-2024 karta.png", "A 19867-2024")</f>
        <v/>
      </c>
      <c r="Y96">
        <f>HYPERLINK("https://klasma.github.io/Logging_0885/kartor_geotiff/A 19867-2024 georefererad karta.tif", "A 19867-2024")</f>
        <v/>
      </c>
      <c r="AA96">
        <f>HYPERLINK("https://klasma.github.io/Logging_0885/klagomål/A 19867-2024 FSC-klagomål.docx", "A 19867-2024")</f>
        <v/>
      </c>
      <c r="AB96">
        <f>HYPERLINK("https://klasma.github.io/Logging_0885/klagomålsmail/A 19867-2024 FSC-klagomål mail.docx", "A 19867-2024")</f>
        <v/>
      </c>
      <c r="AC96">
        <f>HYPERLINK("https://klasma.github.io/Logging_0885/tillsyn/A 19867-2024 tillsynsbegäran.docx", "A 19867-2024")</f>
        <v/>
      </c>
      <c r="AD96">
        <f>HYPERLINK("https://klasma.github.io/Logging_0885/tillsynsmail/A 19867-2024 tillsynsbegäran mail.docx", "A 19867-2024")</f>
        <v/>
      </c>
    </row>
    <row r="97" ht="15" customHeight="1">
      <c r="A97" t="inlineStr">
        <is>
          <t>A 63276-2023</t>
        </is>
      </c>
      <c r="B97" t="inlineStr">
        <is>
          <t>avverkningsanmälan</t>
        </is>
      </c>
      <c r="C97" t="inlineStr">
        <is>
          <t>Föryngringsavverkning</t>
        </is>
      </c>
      <c r="D97" s="1" t="n">
        <v>45273</v>
      </c>
      <c r="E97" s="1" t="n">
        <v>46227</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S 2390-2023</t>
        </is>
      </c>
      <c r="B98" t="inlineStr">
        <is>
          <t>samrådsanmälan</t>
        </is>
      </c>
      <c r="C98" t="inlineStr">
        <is>
          <t>Annan skogsbruksåtgärd</t>
        </is>
      </c>
      <c r="D98" s="1" t="n">
        <v>45111</v>
      </c>
      <c r="E98" s="1" t="n">
        <v>46227</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46227</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1706-2026</t>
        </is>
      </c>
      <c r="B100" t="inlineStr">
        <is>
          <t>samrådsanmälan</t>
        </is>
      </c>
      <c r="C100" t="inlineStr">
        <is>
          <t>Annan skogsbruksåtgärd</t>
        </is>
      </c>
      <c r="D100" s="1" t="n">
        <v>46185</v>
      </c>
      <c r="E100" s="1" t="n">
        <v>46227</v>
      </c>
      <c r="F100" t="inlineStr">
        <is>
          <t>KALMAR LÄN</t>
        </is>
      </c>
      <c r="G100" t="inlineStr">
        <is>
          <t>BORGHOLM</t>
        </is>
      </c>
      <c r="H100" t="inlineStr">
        <is>
          <t>Sveaskog</t>
        </is>
      </c>
      <c r="I100" t="n">
        <v>1.4</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HYPERLINK("https://klasma.github.io/Logging_0885/artfynd/S 1706-2026 artfynd.xlsx", "S 1706-2026")</f>
        <v/>
      </c>
      <c r="X100">
        <f>HYPERLINK("https://klasma.github.io/Logging_0885/kartor/S 1706-2026 karta.png", "S 1706-2026")</f>
        <v/>
      </c>
      <c r="Y100">
        <f>HYPERLINK("https://klasma.github.io/Logging_0885/kartor_geotiff/S 1706-2026 georefererad karta.tif", "S 1706-2026")</f>
        <v/>
      </c>
      <c r="AA100">
        <f>HYPERLINK("https://klasma.github.io/Logging_0885/klagomål/S 1706-2026 FSC-klagomål.docx", "S 1706-2026")</f>
        <v/>
      </c>
      <c r="AB100">
        <f>HYPERLINK("https://klasma.github.io/Logging_0885/klagomålsmail/S 1706-2026 FSC-klagomål mail.docx", "S 1706-2026")</f>
        <v/>
      </c>
      <c r="AC100">
        <f>HYPERLINK("https://klasma.github.io/Logging_0885/tillsyn/S 1706-2026 tillsynsbegäran.docx", "S 1706-2026")</f>
        <v/>
      </c>
      <c r="AD100">
        <f>HYPERLINK("https://klasma.github.io/Logging_0885/tillsynsmail/S 1706-2026 tillsynsbegäran mail.docx", "S 1706-2026")</f>
        <v/>
      </c>
    </row>
    <row r="101" ht="15" customHeight="1">
      <c r="A101" t="inlineStr">
        <is>
          <t>S 1803-2026</t>
        </is>
      </c>
      <c r="B101" t="inlineStr">
        <is>
          <t>samrådsanmälan</t>
        </is>
      </c>
      <c r="C101" t="inlineStr">
        <is>
          <t>Annan skogsbruksåtgärd</t>
        </is>
      </c>
      <c r="D101" s="1" t="n">
        <v>46196</v>
      </c>
      <c r="E101" s="1" t="n">
        <v>46227</v>
      </c>
      <c r="F101" t="inlineStr">
        <is>
          <t>KALMAR LÄN</t>
        </is>
      </c>
      <c r="G101" t="inlineStr">
        <is>
          <t>BORGHOLM</t>
        </is>
      </c>
      <c r="H101" t="inlineStr">
        <is>
          <t>Sveaskog</t>
        </is>
      </c>
      <c r="I101" t="n">
        <v>2</v>
      </c>
      <c r="J101" t="n">
        <v>0</v>
      </c>
      <c r="K101" t="n">
        <v>0</v>
      </c>
      <c r="L101" t="n">
        <v>0</v>
      </c>
      <c r="M101" t="n">
        <v>1</v>
      </c>
      <c r="N101" t="n">
        <v>0</v>
      </c>
      <c r="O101" t="n">
        <v>0</v>
      </c>
      <c r="P101" t="n">
        <v>0</v>
      </c>
      <c r="Q101" t="n">
        <v>1</v>
      </c>
      <c r="R101" t="n">
        <v>1</v>
      </c>
      <c r="S101" t="n">
        <v>1</v>
      </c>
      <c r="T101" t="n">
        <v>1</v>
      </c>
      <c r="U101" t="n">
        <v>0</v>
      </c>
      <c r="V101" s="2" t="inlineStr">
        <is>
          <t>Purpurmusseron</t>
        </is>
      </c>
      <c r="W101">
        <f>HYPERLINK("https://klasma.github.io/Logging_0885/artfynd/S 1803-2026 artfynd.xlsx", "S 1803-2026")</f>
        <v/>
      </c>
      <c r="X101">
        <f>HYPERLINK("https://klasma.github.io/Logging_0885/kartor/S 1803-2026 karta.png", "S 1803-2026")</f>
        <v/>
      </c>
      <c r="Y101">
        <f>HYPERLINK("https://klasma.github.io/Logging_0885/kartor_geotiff/S 1803-2026 georefererad karta.tif", "S 1803-2026")</f>
        <v/>
      </c>
      <c r="AA101">
        <f>HYPERLINK("https://klasma.github.io/Logging_0885/klagomål/S 1803-2026 FSC-klagomål.docx", "S 1803-2026")</f>
        <v/>
      </c>
      <c r="AB101">
        <f>HYPERLINK("https://klasma.github.io/Logging_0885/klagomålsmail/S 1803-2026 FSC-klagomål mail.docx", "S 1803-2026")</f>
        <v/>
      </c>
      <c r="AC101">
        <f>HYPERLINK("https://klasma.github.io/Logging_0885/tillsyn/S 1803-2026 tillsynsbegäran.docx", "S 1803-2026")</f>
        <v/>
      </c>
      <c r="AD101">
        <f>HYPERLINK("https://klasma.github.io/Logging_0885/tillsynsmail/S 1803-2026 tillsynsbegäran mail.docx", "S 1803-2026")</f>
        <v/>
      </c>
    </row>
    <row r="102" ht="15" customHeight="1">
      <c r="A102" t="inlineStr">
        <is>
          <t>S 1813-2026</t>
        </is>
      </c>
      <c r="B102" t="inlineStr">
        <is>
          <t>samrådsanmälan</t>
        </is>
      </c>
      <c r="C102" t="inlineStr">
        <is>
          <t>Annan skogsbruksåtgärd</t>
        </is>
      </c>
      <c r="D102" s="1" t="n">
        <v>46197</v>
      </c>
      <c r="E102" s="1" t="n">
        <v>46227</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A 42761-2021</t>
        </is>
      </c>
      <c r="B103" t="inlineStr">
        <is>
          <t>avverkningsanmälan</t>
        </is>
      </c>
      <c r="C103" t="inlineStr">
        <is>
          <t>Avverkning för annat ändamål</t>
        </is>
      </c>
      <c r="D103" s="1" t="n">
        <v>44428</v>
      </c>
      <c r="E103" s="1" t="n">
        <v>46227</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46227</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46227</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46227</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46227</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46227</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46227</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46227</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46227</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31699-2022</t>
        </is>
      </c>
      <c r="B112" t="inlineStr">
        <is>
          <t>avverkningsanmälan</t>
        </is>
      </c>
      <c r="C112" t="inlineStr">
        <is>
          <t>Föryngringsavverkning</t>
        </is>
      </c>
      <c r="D112" s="1" t="n">
        <v>44776</v>
      </c>
      <c r="E112" s="1" t="n">
        <v>46227</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26160-2024</t>
        </is>
      </c>
      <c r="B113" t="inlineStr">
        <is>
          <t>avverkningsanmälan</t>
        </is>
      </c>
      <c r="C113" t="inlineStr">
        <is>
          <t>Avverkning för annat ändamål</t>
        </is>
      </c>
      <c r="D113" s="1" t="n">
        <v>45468</v>
      </c>
      <c r="E113" s="1" t="n">
        <v>46227</v>
      </c>
      <c r="F113" t="inlineStr">
        <is>
          <t>KALMAR LÄN</t>
        </is>
      </c>
      <c r="G113" t="inlineStr">
        <is>
          <t>BORGHOLM</t>
        </is>
      </c>
      <c r="I113" t="n">
        <v>0.4</v>
      </c>
      <c r="J113" t="n">
        <v>0</v>
      </c>
      <c r="K113" t="n">
        <v>0</v>
      </c>
      <c r="L113" t="n">
        <v>0</v>
      </c>
      <c r="M113" t="n">
        <v>0</v>
      </c>
      <c r="N113" t="n">
        <v>0</v>
      </c>
      <c r="O113" t="n">
        <v>0</v>
      </c>
      <c r="P113" t="n">
        <v>0</v>
      </c>
      <c r="Q113" t="n">
        <v>0</v>
      </c>
      <c r="R113" t="n">
        <v>0</v>
      </c>
      <c r="S113" t="n">
        <v>0</v>
      </c>
      <c r="T113" t="n">
        <v>0</v>
      </c>
      <c r="U113" t="n">
        <v>0</v>
      </c>
      <c r="V113" s="2" t="inlineStr"/>
      <c r="X113">
        <f>HYPERLINK("https://klasma.github.io/Logging_0885/kartor/A 26160-2024 karta.png", "A 26160-2024")</f>
        <v/>
      </c>
      <c r="Y113">
        <f>HYPERLINK("https://klasma.github.io/Logging_0885/kartor_geotiff/A 26160-2024 georefererad karta.tif", "A 26160-2024")</f>
        <v/>
      </c>
      <c r="AA113">
        <f>HYPERLINK("https://klasma.github.io/Logging_0885/klagomål/A 26160-2024 FSC-klagomål.docx", "A 26160-2024")</f>
        <v/>
      </c>
      <c r="AB113">
        <f>HYPERLINK("https://klasma.github.io/Logging_0885/klagomålsmail/A 26160-2024 FSC-klagomål mail.docx", "A 26160-2024")</f>
        <v/>
      </c>
      <c r="AC113">
        <f>HYPERLINK("https://klasma.github.io/Logging_0885/tillsyn/A 26160-2024 tillsynsbegäran.docx", "A 26160-2024")</f>
        <v/>
      </c>
      <c r="AD113">
        <f>HYPERLINK("https://klasma.github.io/Logging_0885/tillsynsmail/A 26160-2024 tillsynsbegäran mail.docx", "A 26160-2024")</f>
        <v/>
      </c>
    </row>
    <row r="114" ht="15" customHeight="1">
      <c r="A114" t="inlineStr">
        <is>
          <t>A 22785-2025</t>
        </is>
      </c>
      <c r="B114" t="inlineStr">
        <is>
          <t>avverkningsanmälan</t>
        </is>
      </c>
      <c r="C114" t="inlineStr">
        <is>
          <t>Föryngringsavverkning</t>
        </is>
      </c>
      <c r="D114" s="1" t="n">
        <v>45789</v>
      </c>
      <c r="E114" s="1" t="n">
        <v>46227</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40339-2023</t>
        </is>
      </c>
      <c r="B115" t="inlineStr">
        <is>
          <t>avverkningsanmälan</t>
        </is>
      </c>
      <c r="C115" t="inlineStr">
        <is>
          <t>Föryngringsavverkning</t>
        </is>
      </c>
      <c r="D115" s="1" t="n">
        <v>45169</v>
      </c>
      <c r="E115" s="1" t="n">
        <v>46227</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26190-2025</t>
        </is>
      </c>
      <c r="B116" t="inlineStr">
        <is>
          <t>avverkningsanmälan</t>
        </is>
      </c>
      <c r="C116" t="inlineStr">
        <is>
          <t>Föryngringsavverkning</t>
        </is>
      </c>
      <c r="D116" s="1" t="n">
        <v>45805</v>
      </c>
      <c r="E116" s="1" t="n">
        <v>46227</v>
      </c>
      <c r="F116" t="inlineStr">
        <is>
          <t>KALMAR LÄN</t>
        </is>
      </c>
      <c r="G116" t="inlineStr">
        <is>
          <t>BORGHOLM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46227</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46227</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53050-2021</t>
        </is>
      </c>
      <c r="B119" t="inlineStr">
        <is>
          <t>avverkningsanmälan</t>
        </is>
      </c>
      <c r="C119" t="inlineStr">
        <is>
          <t>Föryngringsavverkning</t>
        </is>
      </c>
      <c r="D119" s="1" t="n">
        <v>44467</v>
      </c>
      <c r="E119" s="1" t="n">
        <v>46227</v>
      </c>
      <c r="F119" t="inlineStr">
        <is>
          <t>KALMAR LÄN</t>
        </is>
      </c>
      <c r="G119" t="inlineStr">
        <is>
          <t>BORGHOLM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36269-2025</t>
        </is>
      </c>
      <c r="B120" t="inlineStr">
        <is>
          <t>avverkningsanmälan</t>
        </is>
      </c>
      <c r="C120" t="inlineStr">
        <is>
          <t>Föryngringsavverkning</t>
        </is>
      </c>
      <c r="D120" s="1" t="n">
        <v>45867</v>
      </c>
      <c r="E120" s="1" t="n">
        <v>46227</v>
      </c>
      <c r="F120" t="inlineStr">
        <is>
          <t>KALMAR LÄN</t>
        </is>
      </c>
      <c r="G120" t="inlineStr">
        <is>
          <t>BORGHOLM</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46227</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46227</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46227</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46227</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64303-2023</t>
        </is>
      </c>
      <c r="B125" t="inlineStr">
        <is>
          <t>avverkningsanmälan</t>
        </is>
      </c>
      <c r="C125" t="inlineStr">
        <is>
          <t>Avverkning för annat ändamål</t>
        </is>
      </c>
      <c r="D125" s="1" t="n">
        <v>45280</v>
      </c>
      <c r="E125" s="1" t="n">
        <v>46227</v>
      </c>
      <c r="F125" t="inlineStr">
        <is>
          <t>KALMAR LÄN</t>
        </is>
      </c>
      <c r="G125" t="inlineStr">
        <is>
          <t>BORGHOLM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9104-2026</t>
        </is>
      </c>
      <c r="B126" t="inlineStr">
        <is>
          <t>avverkningsanmälan</t>
        </is>
      </c>
      <c r="C126" t="inlineStr">
        <is>
          <t>Avverkning för annat ändamål</t>
        </is>
      </c>
      <c r="D126" s="1" t="n">
        <v>46069</v>
      </c>
      <c r="E126" s="1" t="n">
        <v>46227</v>
      </c>
      <c r="F126" t="inlineStr">
        <is>
          <t>KALMAR LÄN</t>
        </is>
      </c>
      <c r="G126" t="inlineStr">
        <is>
          <t>BORGHOLM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9259-2026</t>
        </is>
      </c>
      <c r="B127" t="inlineStr">
        <is>
          <t>avverkningsanmälan</t>
        </is>
      </c>
      <c r="C127" t="inlineStr">
        <is>
          <t>Föryngringsavverkning</t>
        </is>
      </c>
      <c r="D127" s="1" t="n">
        <v>46070</v>
      </c>
      <c r="E127" s="1" t="n">
        <v>46227</v>
      </c>
      <c r="F127" t="inlineStr">
        <is>
          <t>KALMAR LÄN</t>
        </is>
      </c>
      <c r="G127" t="inlineStr">
        <is>
          <t>BORGHOLM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44547-2021</t>
        </is>
      </c>
      <c r="B128" t="inlineStr">
        <is>
          <t>avverkningsanmälan</t>
        </is>
      </c>
      <c r="C128" t="inlineStr">
        <is>
          <t>Avverkning för annat ändamål</t>
        </is>
      </c>
      <c r="D128" s="1" t="n">
        <v>44435</v>
      </c>
      <c r="E128" s="1" t="n">
        <v>46227</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43603-2024</t>
        </is>
      </c>
      <c r="B129" t="inlineStr">
        <is>
          <t>avverkningsanmälan</t>
        </is>
      </c>
      <c r="C129" t="inlineStr">
        <is>
          <t>Föryngringsavverkning</t>
        </is>
      </c>
      <c r="D129" s="1" t="n">
        <v>45569</v>
      </c>
      <c r="E129" s="1" t="n">
        <v>46227</v>
      </c>
      <c r="F129" t="inlineStr">
        <is>
          <t>KALMAR LÄN</t>
        </is>
      </c>
      <c r="G129" t="inlineStr">
        <is>
          <t>BORGHOLM</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63075-2023</t>
        </is>
      </c>
      <c r="B130" t="inlineStr">
        <is>
          <t>avverkningsanmälan</t>
        </is>
      </c>
      <c r="C130" t="inlineStr">
        <is>
          <t>Avverkning för annat ändamål</t>
        </is>
      </c>
      <c r="D130" s="1" t="n">
        <v>45273</v>
      </c>
      <c r="E130" s="1" t="n">
        <v>46227</v>
      </c>
      <c r="F130" t="inlineStr">
        <is>
          <t>KALMAR LÄN</t>
        </is>
      </c>
      <c r="G130" t="inlineStr">
        <is>
          <t>BORGHOLM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15272-2026</t>
        </is>
      </c>
      <c r="B131" t="inlineStr">
        <is>
          <t>avverkningsanmälan</t>
        </is>
      </c>
      <c r="C131" t="inlineStr">
        <is>
          <t>Avverkning för att bevara och utveckla /försöksver</t>
        </is>
      </c>
      <c r="D131" s="1" t="n">
        <v>46105</v>
      </c>
      <c r="E131" s="1" t="n">
        <v>46227</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15279-2026</t>
        </is>
      </c>
      <c r="B132" t="inlineStr">
        <is>
          <t>avverkningsanmälan</t>
        </is>
      </c>
      <c r="C132" t="inlineStr">
        <is>
          <t>Avverkning för att bevara och utveckla /försöksver</t>
        </is>
      </c>
      <c r="D132" s="1" t="n">
        <v>46105</v>
      </c>
      <c r="E132" s="1" t="n">
        <v>46227</v>
      </c>
      <c r="F132" t="inlineStr">
        <is>
          <t>KALMAR LÄN</t>
        </is>
      </c>
      <c r="G132" t="inlineStr">
        <is>
          <t>BORGHOLM</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15264-2026</t>
        </is>
      </c>
      <c r="B133" t="inlineStr">
        <is>
          <t>avverkningsanmälan</t>
        </is>
      </c>
      <c r="C133" t="inlineStr">
        <is>
          <t>Avverkning för att bevara och utveckla /försöksver</t>
        </is>
      </c>
      <c r="D133" s="1" t="n">
        <v>46105</v>
      </c>
      <c r="E133" s="1" t="n">
        <v>46227</v>
      </c>
      <c r="F133" t="inlineStr">
        <is>
          <t>KALMAR LÄN</t>
        </is>
      </c>
      <c r="G133" t="inlineStr">
        <is>
          <t>BORGHOLM</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1757-2025</t>
        </is>
      </c>
      <c r="B134" t="inlineStr">
        <is>
          <t>avverkningsanmälan</t>
        </is>
      </c>
      <c r="C134" t="inlineStr">
        <is>
          <t>Föryngringsavverkning</t>
        </is>
      </c>
      <c r="D134" s="1" t="n">
        <v>45671</v>
      </c>
      <c r="E134" s="1" t="n">
        <v>46227</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34780-2022</t>
        </is>
      </c>
      <c r="B135" t="inlineStr">
        <is>
          <t>avverkningsanmälan</t>
        </is>
      </c>
      <c r="C135" t="inlineStr">
        <is>
          <t>Föryngringsavverkning</t>
        </is>
      </c>
      <c r="D135" s="1" t="n">
        <v>44795</v>
      </c>
      <c r="E135" s="1" t="n">
        <v>46227</v>
      </c>
      <c r="F135" t="inlineStr">
        <is>
          <t>KALMAR LÄN</t>
        </is>
      </c>
      <c r="G135" t="inlineStr">
        <is>
          <t>BORGHOLM</t>
        </is>
      </c>
      <c r="H135" t="inlineStr">
        <is>
          <t>Sveaskog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55367-2024</t>
        </is>
      </c>
      <c r="B136" t="inlineStr">
        <is>
          <t>avverkningsanmälan</t>
        </is>
      </c>
      <c r="C136" t="inlineStr">
        <is>
          <t>Föryngringsavverkning</t>
        </is>
      </c>
      <c r="D136" s="1" t="n">
        <v>45621</v>
      </c>
      <c r="E136" s="1" t="n">
        <v>46227</v>
      </c>
      <c r="F136" t="inlineStr">
        <is>
          <t>KALMAR LÄN</t>
        </is>
      </c>
      <c r="G136" t="inlineStr">
        <is>
          <t>BORGHOLM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20287-2025</t>
        </is>
      </c>
      <c r="B137" t="inlineStr">
        <is>
          <t>avverkningsanmälan</t>
        </is>
      </c>
      <c r="C137" t="inlineStr">
        <is>
          <t>Avverkning för att bevara och utveckla /försöksver</t>
        </is>
      </c>
      <c r="D137" s="1" t="n">
        <v>45774</v>
      </c>
      <c r="E137" s="1" t="n">
        <v>46227</v>
      </c>
      <c r="F137" t="inlineStr">
        <is>
          <t>KALMAR LÄN</t>
        </is>
      </c>
      <c r="G137" t="inlineStr">
        <is>
          <t>BORGHOLM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9076-2025</t>
        </is>
      </c>
      <c r="B138" t="inlineStr">
        <is>
          <t>avverkningsanmälan</t>
        </is>
      </c>
      <c r="C138" t="inlineStr">
        <is>
          <t>Föryngringsavverkning</t>
        </is>
      </c>
      <c r="D138" s="1" t="n">
        <v>45713</v>
      </c>
      <c r="E138" s="1" t="n">
        <v>46227</v>
      </c>
      <c r="F138" t="inlineStr">
        <is>
          <t>KALMAR LÄN</t>
        </is>
      </c>
      <c r="G138" t="inlineStr">
        <is>
          <t>BORGHOLM</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32919-2023</t>
        </is>
      </c>
      <c r="B139" t="inlineStr">
        <is>
          <t>avverkningsanmälan</t>
        </is>
      </c>
      <c r="C139" t="inlineStr">
        <is>
          <t>Föryngringsavverkning</t>
        </is>
      </c>
      <c r="D139" s="1" t="n">
        <v>45125</v>
      </c>
      <c r="E139" s="1" t="n">
        <v>46227</v>
      </c>
      <c r="F139" t="inlineStr">
        <is>
          <t>KALMAR LÄN</t>
        </is>
      </c>
      <c r="G139" t="inlineStr">
        <is>
          <t>BORGHOLM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34951-2022</t>
        </is>
      </c>
      <c r="B140" t="inlineStr">
        <is>
          <t>avverkningsanmälan</t>
        </is>
      </c>
      <c r="C140" t="inlineStr">
        <is>
          <t>Avverkning för att bevara och utveckla /försöksver</t>
        </is>
      </c>
      <c r="D140" s="1" t="n">
        <v>44796</v>
      </c>
      <c r="E140" s="1" t="n">
        <v>46227</v>
      </c>
      <c r="F140" t="inlineStr">
        <is>
          <t>KALMAR LÄN</t>
        </is>
      </c>
      <c r="G140" t="inlineStr">
        <is>
          <t>BORGHOLM</t>
        </is>
      </c>
      <c r="H140" t="inlineStr">
        <is>
          <t>Sveaskog</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5175-2024</t>
        </is>
      </c>
      <c r="B141" t="inlineStr">
        <is>
          <t>avverkningsanmälan</t>
        </is>
      </c>
      <c r="C141" t="inlineStr">
        <is>
          <t>Föryngringsavverkning</t>
        </is>
      </c>
      <c r="D141" s="1" t="n">
        <v>45330</v>
      </c>
      <c r="E141" s="1" t="n">
        <v>46227</v>
      </c>
      <c r="F141" t="inlineStr">
        <is>
          <t>KALMAR LÄN</t>
        </is>
      </c>
      <c r="G141" t="inlineStr">
        <is>
          <t>BORGHOLM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46227</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28380-2026</t>
        </is>
      </c>
      <c r="B143" t="inlineStr">
        <is>
          <t>avverkningsanmälan</t>
        </is>
      </c>
      <c r="C143" t="inlineStr">
        <is>
          <t>Avverkning för att bevara och utveckla /försöksver</t>
        </is>
      </c>
      <c r="D143" s="1" t="n">
        <v>46196</v>
      </c>
      <c r="E143" s="1" t="n">
        <v>46227</v>
      </c>
      <c r="F143" t="inlineStr">
        <is>
          <t>KALMAR LÄN</t>
        </is>
      </c>
      <c r="G143" t="inlineStr">
        <is>
          <t>BORGHOLM</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46227</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27357-2025</t>
        </is>
      </c>
      <c r="B145" t="inlineStr">
        <is>
          <t>avverkningsanmälan</t>
        </is>
      </c>
      <c r="C145" t="inlineStr">
        <is>
          <t>Avverkning för att bevara och utveckla /försöksver</t>
        </is>
      </c>
      <c r="D145" s="1" t="n">
        <v>45812</v>
      </c>
      <c r="E145" s="1" t="n">
        <v>46227</v>
      </c>
      <c r="F145" t="inlineStr">
        <is>
          <t>KALMAR LÄN</t>
        </is>
      </c>
      <c r="G145" t="inlineStr">
        <is>
          <t>BORGHOLM</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3878-2023</t>
        </is>
      </c>
      <c r="B146" t="inlineStr">
        <is>
          <t>avverkningsanmälan</t>
        </is>
      </c>
      <c r="C146" t="inlineStr">
        <is>
          <t>Föryngringsavverkning</t>
        </is>
      </c>
      <c r="D146" s="1" t="n">
        <v>44951</v>
      </c>
      <c r="E146" s="1" t="n">
        <v>46227</v>
      </c>
      <c r="F146" t="inlineStr">
        <is>
          <t>KALMAR LÄN</t>
        </is>
      </c>
      <c r="G146" t="inlineStr">
        <is>
          <t>BORGHOLM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7669-2024</t>
        </is>
      </c>
      <c r="B147" t="inlineStr">
        <is>
          <t>avverkningsanmälan</t>
        </is>
      </c>
      <c r="C147" t="inlineStr">
        <is>
          <t>Föryngringsavverkning</t>
        </is>
      </c>
      <c r="D147" s="1" t="n">
        <v>45348</v>
      </c>
      <c r="E147" s="1" t="n">
        <v>46227</v>
      </c>
      <c r="F147" t="inlineStr">
        <is>
          <t>KALMAR LÄN</t>
        </is>
      </c>
      <c r="G147" t="inlineStr">
        <is>
          <t>BORGHOLM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29410-2026</t>
        </is>
      </c>
      <c r="B148" t="inlineStr">
        <is>
          <t>avverkningsanmälan</t>
        </is>
      </c>
      <c r="C148" t="inlineStr">
        <is>
          <t>Avverkning för att bevara och utveckla /försöksver</t>
        </is>
      </c>
      <c r="D148" s="1" t="n">
        <v>46203</v>
      </c>
      <c r="E148" s="1" t="n">
        <v>46227</v>
      </c>
      <c r="F148" t="inlineStr">
        <is>
          <t>KALMAR LÄN</t>
        </is>
      </c>
      <c r="G148" t="inlineStr">
        <is>
          <t>BORGHOLM</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29413-2026</t>
        </is>
      </c>
      <c r="B149" t="inlineStr">
        <is>
          <t>avverkningsanmälan</t>
        </is>
      </c>
      <c r="C149" t="inlineStr">
        <is>
          <t>Avverkning för att bevara och utveckla /försöksver</t>
        </is>
      </c>
      <c r="D149" s="1" t="n">
        <v>46203</v>
      </c>
      <c r="E149" s="1" t="n">
        <v>46227</v>
      </c>
      <c r="F149" t="inlineStr">
        <is>
          <t>KALMAR LÄN</t>
        </is>
      </c>
      <c r="G149" t="inlineStr">
        <is>
          <t>BORGHOLM</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29414-2026</t>
        </is>
      </c>
      <c r="B150" t="inlineStr">
        <is>
          <t>avverkningsanmälan</t>
        </is>
      </c>
      <c r="C150" t="inlineStr">
        <is>
          <t>Avverkning för att bevara och utveckla /försöksver</t>
        </is>
      </c>
      <c r="D150" s="1" t="n">
        <v>46203</v>
      </c>
      <c r="E150" s="1" t="n">
        <v>46227</v>
      </c>
      <c r="F150" t="inlineStr">
        <is>
          <t>KALMAR LÄN</t>
        </is>
      </c>
      <c r="G150" t="inlineStr">
        <is>
          <t>BORGHOLM</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29431-2026</t>
        </is>
      </c>
      <c r="B151" t="inlineStr">
        <is>
          <t>avverkningsanmälan</t>
        </is>
      </c>
      <c r="C151" t="inlineStr">
        <is>
          <t>Avverkning för att bevara och utveckla /försöksver</t>
        </is>
      </c>
      <c r="D151" s="1" t="n">
        <v>46203</v>
      </c>
      <c r="E151" s="1" t="n">
        <v>46227</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13383-2023</t>
        </is>
      </c>
      <c r="B152" t="inlineStr">
        <is>
          <t>avverkningsanmälan</t>
        </is>
      </c>
      <c r="C152" t="inlineStr">
        <is>
          <t>Föryngringsavverkning</t>
        </is>
      </c>
      <c r="D152" s="1" t="n">
        <v>45005</v>
      </c>
      <c r="E152" s="1" t="n">
        <v>46227</v>
      </c>
      <c r="F152" t="inlineStr">
        <is>
          <t>KALMAR LÄN</t>
        </is>
      </c>
      <c r="G152" t="inlineStr">
        <is>
          <t>BORGHOLM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24338-2026</t>
        </is>
      </c>
      <c r="B153" t="inlineStr">
        <is>
          <t>avverkningsanmälan</t>
        </is>
      </c>
      <c r="C153" t="inlineStr">
        <is>
          <t>Avverkning för att bevara och utveckla /försöksver</t>
        </is>
      </c>
      <c r="D153" s="1" t="n">
        <v>46169</v>
      </c>
      <c r="E153" s="1" t="n">
        <v>46227</v>
      </c>
      <c r="F153" t="inlineStr">
        <is>
          <t>KALMAR LÄN</t>
        </is>
      </c>
      <c r="G153" t="inlineStr">
        <is>
          <t>BORGHOLM</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24345-2026</t>
        </is>
      </c>
      <c r="B154" t="inlineStr">
        <is>
          <t>avverkningsanmälan</t>
        </is>
      </c>
      <c r="C154" t="inlineStr">
        <is>
          <t>Avverkning för att bevara och utveckla /försöksver</t>
        </is>
      </c>
      <c r="D154" s="1" t="n">
        <v>46169</v>
      </c>
      <c r="E154" s="1" t="n">
        <v>46227</v>
      </c>
      <c r="F154" t="inlineStr">
        <is>
          <t>KALMAR LÄN</t>
        </is>
      </c>
      <c r="G154" t="inlineStr">
        <is>
          <t>BORGHOLM</t>
        </is>
      </c>
      <c r="H154" t="inlineStr">
        <is>
          <t>Sveaskog</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24323-2026</t>
        </is>
      </c>
      <c r="B155" t="inlineStr">
        <is>
          <t>avverkningsanmälan</t>
        </is>
      </c>
      <c r="C155" t="inlineStr">
        <is>
          <t>Föryngringsavverkning</t>
        </is>
      </c>
      <c r="D155" s="1" t="n">
        <v>46169</v>
      </c>
      <c r="E155" s="1" t="n">
        <v>46227</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12937-2022</t>
        </is>
      </c>
      <c r="B156" t="inlineStr">
        <is>
          <t>avverkningsanmälan</t>
        </is>
      </c>
      <c r="C156" t="inlineStr">
        <is>
          <t>Föryngringsavverkning</t>
        </is>
      </c>
      <c r="D156" s="1" t="n">
        <v>44642</v>
      </c>
      <c r="E156" s="1" t="n">
        <v>46227</v>
      </c>
      <c r="F156" t="inlineStr">
        <is>
          <t>KALMAR LÄN</t>
        </is>
      </c>
      <c r="G156" t="inlineStr">
        <is>
          <t>BORGHOLM</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61438-2023</t>
        </is>
      </c>
      <c r="B157" t="inlineStr">
        <is>
          <t>avverkningsanmälan</t>
        </is>
      </c>
      <c r="C157" t="inlineStr">
        <is>
          <t>Avverkning för annat ändamål</t>
        </is>
      </c>
      <c r="D157" s="1" t="n">
        <v>45264</v>
      </c>
      <c r="E157" s="1" t="n">
        <v>46227</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13041-2024</t>
        </is>
      </c>
      <c r="B158" t="inlineStr">
        <is>
          <t>avverkningsanmälan</t>
        </is>
      </c>
      <c r="C158" t="inlineStr">
        <is>
          <t>Föryngringsavverkning</t>
        </is>
      </c>
      <c r="D158" s="1" t="n">
        <v>45385</v>
      </c>
      <c r="E158" s="1" t="n">
        <v>46227</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1614-2025</t>
        </is>
      </c>
      <c r="B159" t="inlineStr">
        <is>
          <t>avverkningsanmälan</t>
        </is>
      </c>
      <c r="C159" t="inlineStr">
        <is>
          <t>Föryngringsavverkning</t>
        </is>
      </c>
      <c r="D159" s="1" t="n">
        <v>45670</v>
      </c>
      <c r="E159" s="1" t="n">
        <v>46227</v>
      </c>
      <c r="F159" t="inlineStr">
        <is>
          <t>KALMAR LÄN</t>
        </is>
      </c>
      <c r="G159" t="inlineStr">
        <is>
          <t>BORGHOLM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9050-2025</t>
        </is>
      </c>
      <c r="B160" t="inlineStr">
        <is>
          <t>avverkningsanmälan</t>
        </is>
      </c>
      <c r="C160" t="inlineStr">
        <is>
          <t>Avverkning för att bevara och utveckla /försöksver</t>
        </is>
      </c>
      <c r="D160" s="1" t="n">
        <v>45713</v>
      </c>
      <c r="E160" s="1" t="n">
        <v>46227</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46227</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46227</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46227</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46227</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46227</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46227</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46227</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46227</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46227</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46227</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46227</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46227</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46227</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46227</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46227</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46227</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2026-07-24T01:50:26Z</dcterms:created>
  <dcterms:modified xmlns:dcterms="http://purl.org/dc/terms/" xmlns:xsi="http://www.w3.org/2001/XMLSchema-instance" xsi:type="dcterms:W3CDTF">2026-07-24T01:50:26Z</dcterms:modified>
</cp:coreProperties>
</file>