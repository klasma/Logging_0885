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46115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46115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46115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46115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46115</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46115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46115</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46115</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46115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46115</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46115</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46115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46115</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46115</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46115</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46115</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46115</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46115</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46115</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46115</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60140-2025</t>
        </is>
      </c>
      <c r="B22" s="1" t="n">
        <v>45994.36274305556</v>
      </c>
      <c r="C22" s="1" t="n">
        <v>46115</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13556-2025</t>
        </is>
      </c>
      <c r="B23" s="1" t="n">
        <v>45736.54759259259</v>
      </c>
      <c r="C23" s="1" t="n">
        <v>46115</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15285-2026</t>
        </is>
      </c>
      <c r="B24" s="1" t="n">
        <v>46105.6156712963</v>
      </c>
      <c r="C24" s="1" t="n">
        <v>46115</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Havsörn
Talltita</t>
        </is>
      </c>
      <c r="S24">
        <f>HYPERLINK("https://klasma.github.io/Logging_0885/artfynd/A 15285-2026 artfynd.xlsx", "A 15285-2026")</f>
        <v/>
      </c>
      <c r="T24">
        <f>HYPERLINK("https://klasma.github.io/Logging_0885/kartor/A 15285-2026 karta.png", "A 15285-2026")</f>
        <v/>
      </c>
      <c r="V24">
        <f>HYPERLINK("https://klasma.github.io/Logging_0885/klagomål/A 15285-2026 FSC-klagomål.docx", "A 15285-2026")</f>
        <v/>
      </c>
      <c r="W24">
        <f>HYPERLINK("https://klasma.github.io/Logging_0885/klagomålsmail/A 15285-2026 FSC-klagomål mail.docx", "A 15285-2026")</f>
        <v/>
      </c>
      <c r="X24">
        <f>HYPERLINK("https://klasma.github.io/Logging_0885/tillsyn/A 15285-2026 tillsynsbegäran.docx", "A 15285-2026")</f>
        <v/>
      </c>
      <c r="Y24">
        <f>HYPERLINK("https://klasma.github.io/Logging_0885/tillsynsmail/A 15285-2026 tillsynsbegäran mail.docx", "A 15285-2026")</f>
        <v/>
      </c>
      <c r="Z24">
        <f>HYPERLINK("https://klasma.github.io/Logging_0885/fåglar/A 15285-2026 prioriterade fågelarter.docx", "A 15285-2026")</f>
        <v/>
      </c>
    </row>
    <row r="25" ht="15" customHeight="1">
      <c r="A25" t="inlineStr">
        <is>
          <t>A 34944-2022</t>
        </is>
      </c>
      <c r="B25" s="1" t="n">
        <v>44796</v>
      </c>
      <c r="C25" s="1" t="n">
        <v>46115</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9253-2026</t>
        </is>
      </c>
      <c r="B26" s="1" t="n">
        <v>46070.51003472223</v>
      </c>
      <c r="C26" s="1" t="n">
        <v>46115</v>
      </c>
      <c r="D26" t="inlineStr">
        <is>
          <t>KALMAR LÄN</t>
        </is>
      </c>
      <c r="E26" t="inlineStr">
        <is>
          <t>BORGHOLM</t>
        </is>
      </c>
      <c r="G26" t="n">
        <v>1.1</v>
      </c>
      <c r="H26" t="n">
        <v>1</v>
      </c>
      <c r="I26" t="n">
        <v>1</v>
      </c>
      <c r="J26" t="n">
        <v>0</v>
      </c>
      <c r="K26" t="n">
        <v>0</v>
      </c>
      <c r="L26" t="n">
        <v>0</v>
      </c>
      <c r="M26" t="n">
        <v>0</v>
      </c>
      <c r="N26" t="n">
        <v>0</v>
      </c>
      <c r="O26" t="n">
        <v>0</v>
      </c>
      <c r="P26" t="n">
        <v>0</v>
      </c>
      <c r="Q26" t="n">
        <v>2</v>
      </c>
      <c r="R26" s="2" t="inlineStr">
        <is>
          <t>Murgröna
Gullviva</t>
        </is>
      </c>
      <c r="S26">
        <f>HYPERLINK("https://klasma.github.io/Logging_0885/artfynd/A 9253-2026 artfynd.xlsx", "A 9253-2026")</f>
        <v/>
      </c>
      <c r="T26">
        <f>HYPERLINK("https://klasma.github.io/Logging_0885/kartor/A 9253-2026 karta.png", "A 9253-2026")</f>
        <v/>
      </c>
      <c r="V26">
        <f>HYPERLINK("https://klasma.github.io/Logging_0885/klagomål/A 9253-2026 FSC-klagomål.docx", "A 9253-2026")</f>
        <v/>
      </c>
      <c r="W26">
        <f>HYPERLINK("https://klasma.github.io/Logging_0885/klagomålsmail/A 9253-2026 FSC-klagomål mail.docx", "A 9253-2026")</f>
        <v/>
      </c>
      <c r="X26">
        <f>HYPERLINK("https://klasma.github.io/Logging_0885/tillsyn/A 9253-2026 tillsynsbegäran.docx", "A 9253-2026")</f>
        <v/>
      </c>
      <c r="Y26">
        <f>HYPERLINK("https://klasma.github.io/Logging_0885/tillsynsmail/A 9253-2026 tillsynsbegäran mail.docx", "A 9253-2026")</f>
        <v/>
      </c>
    </row>
    <row r="27" ht="15" customHeight="1">
      <c r="A27" t="inlineStr">
        <is>
          <t>A 4164-2023</t>
        </is>
      </c>
      <c r="B27" s="1" t="n">
        <v>44953</v>
      </c>
      <c r="C27" s="1" t="n">
        <v>46115</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46115</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46115</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46115</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46115</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46115</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46115</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46115</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46115</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46115</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34885-2025</t>
        </is>
      </c>
      <c r="B37" s="1" t="n">
        <v>45849.47128472223</v>
      </c>
      <c r="C37" s="1" t="n">
        <v>46115</v>
      </c>
      <c r="D37" t="inlineStr">
        <is>
          <t>KALMAR LÄN</t>
        </is>
      </c>
      <c r="E37" t="inlineStr">
        <is>
          <t>BORGHOLM</t>
        </is>
      </c>
      <c r="G37" t="n">
        <v>4.4</v>
      </c>
      <c r="H37" t="n">
        <v>0</v>
      </c>
      <c r="I37" t="n">
        <v>0</v>
      </c>
      <c r="J37" t="n">
        <v>1</v>
      </c>
      <c r="K37" t="n">
        <v>0</v>
      </c>
      <c r="L37" t="n">
        <v>0</v>
      </c>
      <c r="M37" t="n">
        <v>0</v>
      </c>
      <c r="N37" t="n">
        <v>0</v>
      </c>
      <c r="O37" t="n">
        <v>1</v>
      </c>
      <c r="P37" t="n">
        <v>0</v>
      </c>
      <c r="Q37" t="n">
        <v>1</v>
      </c>
      <c r="R37" s="2" t="inlineStr">
        <is>
          <t>Backfryle</t>
        </is>
      </c>
      <c r="S37">
        <f>HYPERLINK("https://klasma.github.io/Logging_0885/artfynd/A 34885-2025 artfynd.xlsx", "A 34885-2025")</f>
        <v/>
      </c>
      <c r="T37">
        <f>HYPERLINK("https://klasma.github.io/Logging_0885/kartor/A 34885-2025 karta.png", "A 34885-2025")</f>
        <v/>
      </c>
      <c r="V37">
        <f>HYPERLINK("https://klasma.github.io/Logging_0885/klagomål/A 34885-2025 FSC-klagomål.docx", "A 34885-2025")</f>
        <v/>
      </c>
      <c r="W37">
        <f>HYPERLINK("https://klasma.github.io/Logging_0885/klagomålsmail/A 34885-2025 FSC-klagomål mail.docx", "A 34885-2025")</f>
        <v/>
      </c>
      <c r="X37">
        <f>HYPERLINK("https://klasma.github.io/Logging_0885/tillsyn/A 34885-2025 tillsynsbegäran.docx", "A 34885-2025")</f>
        <v/>
      </c>
      <c r="Y37">
        <f>HYPERLINK("https://klasma.github.io/Logging_0885/tillsynsmail/A 34885-2025 tillsynsbegäran mail.docx", "A 34885-2025")</f>
        <v/>
      </c>
    </row>
    <row r="38" ht="15" customHeight="1">
      <c r="A38" t="inlineStr">
        <is>
          <t>A 45693-2025</t>
        </is>
      </c>
      <c r="B38" s="1" t="n">
        <v>45923</v>
      </c>
      <c r="C38" s="1" t="n">
        <v>46115</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13558-2025</t>
        </is>
      </c>
      <c r="B39" s="1" t="n">
        <v>45736.54974537037</v>
      </c>
      <c r="C39" s="1" t="n">
        <v>46115</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24701-2023</t>
        </is>
      </c>
      <c r="B40" s="1" t="n">
        <v>45084</v>
      </c>
      <c r="C40" s="1" t="n">
        <v>46115</v>
      </c>
      <c r="D40" t="inlineStr">
        <is>
          <t>KALMAR LÄN</t>
        </is>
      </c>
      <c r="E40" t="inlineStr">
        <is>
          <t>BORGHOLM</t>
        </is>
      </c>
      <c r="G40" t="n">
        <v>3</v>
      </c>
      <c r="H40" t="n">
        <v>0</v>
      </c>
      <c r="I40" t="n">
        <v>0</v>
      </c>
      <c r="J40" t="n">
        <v>0</v>
      </c>
      <c r="K40" t="n">
        <v>0</v>
      </c>
      <c r="L40" t="n">
        <v>1</v>
      </c>
      <c r="M40" t="n">
        <v>0</v>
      </c>
      <c r="N40" t="n">
        <v>0</v>
      </c>
      <c r="O40" t="n">
        <v>1</v>
      </c>
      <c r="P40" t="n">
        <v>1</v>
      </c>
      <c r="Q40" t="n">
        <v>1</v>
      </c>
      <c r="R40" s="2" t="inlineStr">
        <is>
          <t>Ask</t>
        </is>
      </c>
      <c r="S40">
        <f>HYPERLINK("https://klasma.github.io/Logging_0885/artfynd/A 24701-2023 artfynd.xlsx", "A 24701-2023")</f>
        <v/>
      </c>
      <c r="T40">
        <f>HYPERLINK("https://klasma.github.io/Logging_0885/kartor/A 24701-2023 karta.png", "A 24701-2023")</f>
        <v/>
      </c>
      <c r="V40">
        <f>HYPERLINK("https://klasma.github.io/Logging_0885/klagomål/A 24701-2023 FSC-klagomål.docx", "A 24701-2023")</f>
        <v/>
      </c>
      <c r="W40">
        <f>HYPERLINK("https://klasma.github.io/Logging_0885/klagomålsmail/A 24701-2023 FSC-klagomål mail.docx", "A 24701-2023")</f>
        <v/>
      </c>
      <c r="X40">
        <f>HYPERLINK("https://klasma.github.io/Logging_0885/tillsyn/A 24701-2023 tillsynsbegäran.docx", "A 24701-2023")</f>
        <v/>
      </c>
      <c r="Y40">
        <f>HYPERLINK("https://klasma.github.io/Logging_0885/tillsynsmail/A 24701-2023 tillsynsbegäran mail.docx", "A 24701-2023")</f>
        <v/>
      </c>
    </row>
    <row r="41" ht="15" customHeight="1">
      <c r="A41" t="inlineStr">
        <is>
          <t>A 43603-2024</t>
        </is>
      </c>
      <c r="B41" s="1" t="n">
        <v>45569.44700231482</v>
      </c>
      <c r="C41" s="1" t="n">
        <v>46115</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24704-2023</t>
        </is>
      </c>
      <c r="B42" s="1" t="n">
        <v>45084</v>
      </c>
      <c r="C42" s="1" t="n">
        <v>46115</v>
      </c>
      <c r="D42" t="inlineStr">
        <is>
          <t>KALMAR LÄN</t>
        </is>
      </c>
      <c r="E42" t="inlineStr">
        <is>
          <t>BORGHOLM</t>
        </is>
      </c>
      <c r="G42" t="n">
        <v>3.5</v>
      </c>
      <c r="H42" t="n">
        <v>0</v>
      </c>
      <c r="I42" t="n">
        <v>0</v>
      </c>
      <c r="J42" t="n">
        <v>0</v>
      </c>
      <c r="K42" t="n">
        <v>0</v>
      </c>
      <c r="L42" t="n">
        <v>1</v>
      </c>
      <c r="M42" t="n">
        <v>0</v>
      </c>
      <c r="N42" t="n">
        <v>0</v>
      </c>
      <c r="O42" t="n">
        <v>1</v>
      </c>
      <c r="P42" t="n">
        <v>1</v>
      </c>
      <c r="Q42" t="n">
        <v>1</v>
      </c>
      <c r="R42" s="2" t="inlineStr">
        <is>
          <t>Ask</t>
        </is>
      </c>
      <c r="S42">
        <f>HYPERLINK("https://klasma.github.io/Logging_0885/artfynd/A 24704-2023 artfynd.xlsx", "A 24704-2023")</f>
        <v/>
      </c>
      <c r="T42">
        <f>HYPERLINK("https://klasma.github.io/Logging_0885/kartor/A 24704-2023 karta.png", "A 24704-2023")</f>
        <v/>
      </c>
      <c r="V42">
        <f>HYPERLINK("https://klasma.github.io/Logging_0885/klagomål/A 24704-2023 FSC-klagomål.docx", "A 24704-2023")</f>
        <v/>
      </c>
      <c r="W42">
        <f>HYPERLINK("https://klasma.github.io/Logging_0885/klagomålsmail/A 24704-2023 FSC-klagomål mail.docx", "A 24704-2023")</f>
        <v/>
      </c>
      <c r="X42">
        <f>HYPERLINK("https://klasma.github.io/Logging_0885/tillsyn/A 24704-2023 tillsynsbegäran.docx", "A 24704-2023")</f>
        <v/>
      </c>
      <c r="Y42">
        <f>HYPERLINK("https://klasma.github.io/Logging_0885/tillsynsmail/A 24704-2023 tillsynsbegäran mail.docx", "A 24704-2023")</f>
        <v/>
      </c>
    </row>
    <row r="43" ht="15" customHeight="1">
      <c r="A43" t="inlineStr">
        <is>
          <t>A 3302-2026</t>
        </is>
      </c>
      <c r="B43" s="1" t="n">
        <v>46041</v>
      </c>
      <c r="C43" s="1" t="n">
        <v>46115</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42761-2021</t>
        </is>
      </c>
      <c r="B44" s="1" t="n">
        <v>44428</v>
      </c>
      <c r="C44" s="1" t="n">
        <v>46115</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46115</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46115</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46115</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46115</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46115</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46115</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46115</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46115</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46115</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46115</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46115</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46115</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46115</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46115</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17978-2021</t>
        </is>
      </c>
      <c r="B59" s="1" t="n">
        <v>44301</v>
      </c>
      <c r="C59" s="1" t="n">
        <v>46115</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26160-2024</t>
        </is>
      </c>
      <c r="B60" s="1" t="n">
        <v>45468</v>
      </c>
      <c r="C60" s="1" t="n">
        <v>46115</v>
      </c>
      <c r="D60" t="inlineStr">
        <is>
          <t>KALMAR LÄN</t>
        </is>
      </c>
      <c r="E60" t="inlineStr">
        <is>
          <t>BORGHOLM</t>
        </is>
      </c>
      <c r="G60" t="n">
        <v>0.4</v>
      </c>
      <c r="H60" t="n">
        <v>0</v>
      </c>
      <c r="I60" t="n">
        <v>0</v>
      </c>
      <c r="J60" t="n">
        <v>0</v>
      </c>
      <c r="K60" t="n">
        <v>0</v>
      </c>
      <c r="L60" t="n">
        <v>0</v>
      </c>
      <c r="M60" t="n">
        <v>0</v>
      </c>
      <c r="N60" t="n">
        <v>0</v>
      </c>
      <c r="O60" t="n">
        <v>0</v>
      </c>
      <c r="P60" t="n">
        <v>0</v>
      </c>
      <c r="Q60" t="n">
        <v>0</v>
      </c>
      <c r="R60" s="2" t="inlineStr"/>
      <c r="T60">
        <f>HYPERLINK("https://klasma.github.io/Logging_0885/kartor/A 26160-2024 karta.png", "A 26160-2024")</f>
        <v/>
      </c>
      <c r="V60">
        <f>HYPERLINK("https://klasma.github.io/Logging_0885/klagomål/A 26160-2024 FSC-klagomål.docx", "A 26160-2024")</f>
        <v/>
      </c>
      <c r="W60">
        <f>HYPERLINK("https://klasma.github.io/Logging_0885/klagomålsmail/A 26160-2024 FSC-klagomål mail.docx", "A 26160-2024")</f>
        <v/>
      </c>
      <c r="X60">
        <f>HYPERLINK("https://klasma.github.io/Logging_0885/tillsyn/A 26160-2024 tillsynsbegäran.docx", "A 26160-2024")</f>
        <v/>
      </c>
      <c r="Y60">
        <f>HYPERLINK("https://klasma.github.io/Logging_0885/tillsynsmail/A 26160-2024 tillsynsbegäran mail.docx", "A 26160-2024")</f>
        <v/>
      </c>
    </row>
    <row r="61" ht="15" customHeight="1">
      <c r="A61" t="inlineStr">
        <is>
          <t>A 22785-2025</t>
        </is>
      </c>
      <c r="B61" s="1" t="n">
        <v>45789.64186342592</v>
      </c>
      <c r="C61" s="1" t="n">
        <v>46115</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12534-2022</t>
        </is>
      </c>
      <c r="B62" s="1" t="n">
        <v>44638</v>
      </c>
      <c r="C62" s="1" t="n">
        <v>46115</v>
      </c>
      <c r="D62" t="inlineStr">
        <is>
          <t>KALMAR LÄN</t>
        </is>
      </c>
      <c r="E62" t="inlineStr">
        <is>
          <t>BORGHOLM</t>
        </is>
      </c>
      <c r="G62" t="n">
        <v>8.6</v>
      </c>
      <c r="H62" t="n">
        <v>0</v>
      </c>
      <c r="I62" t="n">
        <v>0</v>
      </c>
      <c r="J62" t="n">
        <v>0</v>
      </c>
      <c r="K62" t="n">
        <v>0</v>
      </c>
      <c r="L62" t="n">
        <v>0</v>
      </c>
      <c r="M62" t="n">
        <v>0</v>
      </c>
      <c r="N62" t="n">
        <v>0</v>
      </c>
      <c r="O62" t="n">
        <v>0</v>
      </c>
      <c r="P62" t="n">
        <v>0</v>
      </c>
      <c r="Q62" t="n">
        <v>0</v>
      </c>
      <c r="R62" s="2" t="inlineStr"/>
    </row>
    <row r="63" ht="15" customHeight="1">
      <c r="A63" t="inlineStr">
        <is>
          <t>A 40339-2023</t>
        </is>
      </c>
      <c r="B63" s="1" t="n">
        <v>45169.62733796296</v>
      </c>
      <c r="C63" s="1" t="n">
        <v>46115</v>
      </c>
      <c r="D63" t="inlineStr">
        <is>
          <t>KALMAR LÄN</t>
        </is>
      </c>
      <c r="E63" t="inlineStr">
        <is>
          <t>BORGHOLM</t>
        </is>
      </c>
      <c r="G63" t="n">
        <v>3.8</v>
      </c>
      <c r="H63" t="n">
        <v>0</v>
      </c>
      <c r="I63" t="n">
        <v>0</v>
      </c>
      <c r="J63" t="n">
        <v>0</v>
      </c>
      <c r="K63" t="n">
        <v>0</v>
      </c>
      <c r="L63" t="n">
        <v>0</v>
      </c>
      <c r="M63" t="n">
        <v>0</v>
      </c>
      <c r="N63" t="n">
        <v>0</v>
      </c>
      <c r="O63" t="n">
        <v>0</v>
      </c>
      <c r="P63" t="n">
        <v>0</v>
      </c>
      <c r="Q63" t="n">
        <v>0</v>
      </c>
      <c r="R63" s="2" t="inlineStr"/>
    </row>
    <row r="64" ht="15" customHeight="1">
      <c r="A64" t="inlineStr">
        <is>
          <t>A 20878-2024</t>
        </is>
      </c>
      <c r="B64" s="1" t="n">
        <v>45439.44748842593</v>
      </c>
      <c r="C64" s="1" t="n">
        <v>46115</v>
      </c>
      <c r="D64" t="inlineStr">
        <is>
          <t>KALMAR LÄN</t>
        </is>
      </c>
      <c r="E64" t="inlineStr">
        <is>
          <t>BORGHOLM</t>
        </is>
      </c>
      <c r="G64" t="n">
        <v>1.9</v>
      </c>
      <c r="H64" t="n">
        <v>0</v>
      </c>
      <c r="I64" t="n">
        <v>0</v>
      </c>
      <c r="J64" t="n">
        <v>0</v>
      </c>
      <c r="K64" t="n">
        <v>0</v>
      </c>
      <c r="L64" t="n">
        <v>0</v>
      </c>
      <c r="M64" t="n">
        <v>0</v>
      </c>
      <c r="N64" t="n">
        <v>0</v>
      </c>
      <c r="O64" t="n">
        <v>0</v>
      </c>
      <c r="P64" t="n">
        <v>0</v>
      </c>
      <c r="Q64" t="n">
        <v>0</v>
      </c>
      <c r="R64" s="2" t="inlineStr"/>
    </row>
    <row r="65" ht="15" customHeight="1">
      <c r="A65" t="inlineStr">
        <is>
          <t>A 24166-2022</t>
        </is>
      </c>
      <c r="B65" s="1" t="n">
        <v>44725</v>
      </c>
      <c r="C65" s="1" t="n">
        <v>46115</v>
      </c>
      <c r="D65" t="inlineStr">
        <is>
          <t>KALMAR LÄN</t>
        </is>
      </c>
      <c r="E65" t="inlineStr">
        <is>
          <t>BORGHOLM</t>
        </is>
      </c>
      <c r="G65" t="n">
        <v>10.7</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46115</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46115</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46115</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26160-2025</t>
        </is>
      </c>
      <c r="B69" s="1" t="n">
        <v>45805.4490162037</v>
      </c>
      <c r="C69" s="1" t="n">
        <v>46115</v>
      </c>
      <c r="D69" t="inlineStr">
        <is>
          <t>KALMAR LÄN</t>
        </is>
      </c>
      <c r="E69" t="inlineStr">
        <is>
          <t>BORGHOLM</t>
        </is>
      </c>
      <c r="G69" t="n">
        <v>3.7</v>
      </c>
      <c r="H69" t="n">
        <v>0</v>
      </c>
      <c r="I69" t="n">
        <v>0</v>
      </c>
      <c r="J69" t="n">
        <v>0</v>
      </c>
      <c r="K69" t="n">
        <v>0</v>
      </c>
      <c r="L69" t="n">
        <v>0</v>
      </c>
      <c r="M69" t="n">
        <v>0</v>
      </c>
      <c r="N69" t="n">
        <v>0</v>
      </c>
      <c r="O69" t="n">
        <v>0</v>
      </c>
      <c r="P69" t="n">
        <v>0</v>
      </c>
      <c r="Q69" t="n">
        <v>0</v>
      </c>
      <c r="R69" s="2" t="inlineStr"/>
    </row>
    <row r="70" ht="15" customHeight="1">
      <c r="A70" t="inlineStr">
        <is>
          <t>A 26190-2025</t>
        </is>
      </c>
      <c r="B70" s="1" t="n">
        <v>45805.48349537037</v>
      </c>
      <c r="C70" s="1" t="n">
        <v>46115</v>
      </c>
      <c r="D70" t="inlineStr">
        <is>
          <t>KALMAR LÄN</t>
        </is>
      </c>
      <c r="E70" t="inlineStr">
        <is>
          <t>BORGHOLM</t>
        </is>
      </c>
      <c r="G70" t="n">
        <v>3.2</v>
      </c>
      <c r="H70" t="n">
        <v>0</v>
      </c>
      <c r="I70" t="n">
        <v>0</v>
      </c>
      <c r="J70" t="n">
        <v>0</v>
      </c>
      <c r="K70" t="n">
        <v>0</v>
      </c>
      <c r="L70" t="n">
        <v>0</v>
      </c>
      <c r="M70" t="n">
        <v>0</v>
      </c>
      <c r="N70" t="n">
        <v>0</v>
      </c>
      <c r="O70" t="n">
        <v>0</v>
      </c>
      <c r="P70" t="n">
        <v>0</v>
      </c>
      <c r="Q70" t="n">
        <v>0</v>
      </c>
      <c r="R70" s="2" t="inlineStr"/>
    </row>
    <row r="71" ht="15" customHeight="1">
      <c r="A71" t="inlineStr">
        <is>
          <t>A 27357-2025</t>
        </is>
      </c>
      <c r="B71" s="1" t="n">
        <v>45812.63650462963</v>
      </c>
      <c r="C71" s="1" t="n">
        <v>46115</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46115</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4159-2024</t>
        </is>
      </c>
      <c r="B73" s="1" t="n">
        <v>45323</v>
      </c>
      <c r="C73" s="1" t="n">
        <v>46115</v>
      </c>
      <c r="D73" t="inlineStr">
        <is>
          <t>KALMAR LÄN</t>
        </is>
      </c>
      <c r="E73" t="inlineStr">
        <is>
          <t>BORGHOLM</t>
        </is>
      </c>
      <c r="G73" t="n">
        <v>0.5</v>
      </c>
      <c r="H73" t="n">
        <v>0</v>
      </c>
      <c r="I73" t="n">
        <v>0</v>
      </c>
      <c r="J73" t="n">
        <v>0</v>
      </c>
      <c r="K73" t="n">
        <v>0</v>
      </c>
      <c r="L73" t="n">
        <v>0</v>
      </c>
      <c r="M73" t="n">
        <v>0</v>
      </c>
      <c r="N73" t="n">
        <v>0</v>
      </c>
      <c r="O73" t="n">
        <v>0</v>
      </c>
      <c r="P73" t="n">
        <v>0</v>
      </c>
      <c r="Q73" t="n">
        <v>0</v>
      </c>
      <c r="R73" s="2" t="inlineStr"/>
    </row>
    <row r="74" ht="15" customHeight="1">
      <c r="A74" t="inlineStr">
        <is>
          <t>A 43542-2025</t>
        </is>
      </c>
      <c r="B74" s="1" t="n">
        <v>45911.61123842592</v>
      </c>
      <c r="C74" s="1" t="n">
        <v>46115</v>
      </c>
      <c r="D74" t="inlineStr">
        <is>
          <t>KALMAR LÄN</t>
        </is>
      </c>
      <c r="E74" t="inlineStr">
        <is>
          <t>BORGHOLM</t>
        </is>
      </c>
      <c r="G74" t="n">
        <v>2.4</v>
      </c>
      <c r="H74" t="n">
        <v>0</v>
      </c>
      <c r="I74" t="n">
        <v>0</v>
      </c>
      <c r="J74" t="n">
        <v>0</v>
      </c>
      <c r="K74" t="n">
        <v>0</v>
      </c>
      <c r="L74" t="n">
        <v>0</v>
      </c>
      <c r="M74" t="n">
        <v>0</v>
      </c>
      <c r="N74" t="n">
        <v>0</v>
      </c>
      <c r="O74" t="n">
        <v>0</v>
      </c>
      <c r="P74" t="n">
        <v>0</v>
      </c>
      <c r="Q74" t="n">
        <v>0</v>
      </c>
      <c r="R74" s="2" t="inlineStr"/>
    </row>
    <row r="75" ht="15" customHeight="1">
      <c r="A75" t="inlineStr">
        <is>
          <t>A 28782-2025</t>
        </is>
      </c>
      <c r="B75" s="1" t="n">
        <v>45820.45572916666</v>
      </c>
      <c r="C75" s="1" t="n">
        <v>46115</v>
      </c>
      <c r="D75" t="inlineStr">
        <is>
          <t>KALMAR LÄN</t>
        </is>
      </c>
      <c r="E75" t="inlineStr">
        <is>
          <t>BORGHOLM</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53050-2021</t>
        </is>
      </c>
      <c r="B76" s="1" t="n">
        <v>44467</v>
      </c>
      <c r="C76" s="1" t="n">
        <v>46115</v>
      </c>
      <c r="D76" t="inlineStr">
        <is>
          <t>KALMAR LÄN</t>
        </is>
      </c>
      <c r="E76" t="inlineStr">
        <is>
          <t>BORGHOLM</t>
        </is>
      </c>
      <c r="G76" t="n">
        <v>3.6</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46115</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46115</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31720-2022</t>
        </is>
      </c>
      <c r="B79" s="1" t="n">
        <v>44776</v>
      </c>
      <c r="C79" s="1" t="n">
        <v>46115</v>
      </c>
      <c r="D79" t="inlineStr">
        <is>
          <t>KALMAR LÄN</t>
        </is>
      </c>
      <c r="E79" t="inlineStr">
        <is>
          <t>BORGHOLM</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46115</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29656-2023</t>
        </is>
      </c>
      <c r="B81" s="1" t="n">
        <v>45107</v>
      </c>
      <c r="C81" s="1" t="n">
        <v>46115</v>
      </c>
      <c r="D81" t="inlineStr">
        <is>
          <t>KALMAR LÄN</t>
        </is>
      </c>
      <c r="E81" t="inlineStr">
        <is>
          <t>BORGHOLM</t>
        </is>
      </c>
      <c r="G81" t="n">
        <v>4.1</v>
      </c>
      <c r="H81" t="n">
        <v>0</v>
      </c>
      <c r="I81" t="n">
        <v>0</v>
      </c>
      <c r="J81" t="n">
        <v>0</v>
      </c>
      <c r="K81" t="n">
        <v>0</v>
      </c>
      <c r="L81" t="n">
        <v>0</v>
      </c>
      <c r="M81" t="n">
        <v>0</v>
      </c>
      <c r="N81" t="n">
        <v>0</v>
      </c>
      <c r="O81" t="n">
        <v>0</v>
      </c>
      <c r="P81" t="n">
        <v>0</v>
      </c>
      <c r="Q81" t="n">
        <v>0</v>
      </c>
      <c r="R81" s="2" t="inlineStr"/>
    </row>
    <row r="82" ht="15" customHeight="1">
      <c r="A82" t="inlineStr">
        <is>
          <t>A 4165-2023</t>
        </is>
      </c>
      <c r="B82" s="1" t="n">
        <v>44953</v>
      </c>
      <c r="C82" s="1" t="n">
        <v>46115</v>
      </c>
      <c r="D82" t="inlineStr">
        <is>
          <t>KALMAR LÄN</t>
        </is>
      </c>
      <c r="E82" t="inlineStr">
        <is>
          <t>BORGHOLM</t>
        </is>
      </c>
      <c r="G82" t="n">
        <v>0.6</v>
      </c>
      <c r="H82" t="n">
        <v>0</v>
      </c>
      <c r="I82" t="n">
        <v>0</v>
      </c>
      <c r="J82" t="n">
        <v>0</v>
      </c>
      <c r="K82" t="n">
        <v>0</v>
      </c>
      <c r="L82" t="n">
        <v>0</v>
      </c>
      <c r="M82" t="n">
        <v>0</v>
      </c>
      <c r="N82" t="n">
        <v>0</v>
      </c>
      <c r="O82" t="n">
        <v>0</v>
      </c>
      <c r="P82" t="n">
        <v>0</v>
      </c>
      <c r="Q82" t="n">
        <v>0</v>
      </c>
      <c r="R82" s="2" t="inlineStr"/>
    </row>
    <row r="83" ht="15" customHeight="1">
      <c r="A83" t="inlineStr">
        <is>
          <t>A 36269-2025</t>
        </is>
      </c>
      <c r="B83" s="1" t="n">
        <v>45867.61736111111</v>
      </c>
      <c r="C83" s="1" t="n">
        <v>46115</v>
      </c>
      <c r="D83" t="inlineStr">
        <is>
          <t>KALMAR LÄN</t>
        </is>
      </c>
      <c r="E83" t="inlineStr">
        <is>
          <t>BORGHOLM</t>
        </is>
      </c>
      <c r="F83" t="inlineStr">
        <is>
          <t>Sveaskog</t>
        </is>
      </c>
      <c r="G83" t="n">
        <v>3.3</v>
      </c>
      <c r="H83" t="n">
        <v>0</v>
      </c>
      <c r="I83" t="n">
        <v>0</v>
      </c>
      <c r="J83" t="n">
        <v>0</v>
      </c>
      <c r="K83" t="n">
        <v>0</v>
      </c>
      <c r="L83" t="n">
        <v>0</v>
      </c>
      <c r="M83" t="n">
        <v>0</v>
      </c>
      <c r="N83" t="n">
        <v>0</v>
      </c>
      <c r="O83" t="n">
        <v>0</v>
      </c>
      <c r="P83" t="n">
        <v>0</v>
      </c>
      <c r="Q83" t="n">
        <v>0</v>
      </c>
      <c r="R83" s="2" t="inlineStr"/>
    </row>
    <row r="84" ht="15" customHeight="1">
      <c r="A84" t="inlineStr">
        <is>
          <t>A 13548-2025</t>
        </is>
      </c>
      <c r="B84" s="1" t="n">
        <v>45736.53827546296</v>
      </c>
      <c r="C84" s="1" t="n">
        <v>46115</v>
      </c>
      <c r="D84" t="inlineStr">
        <is>
          <t>KALMAR LÄN</t>
        </is>
      </c>
      <c r="E84" t="inlineStr">
        <is>
          <t>BORGHOLM</t>
        </is>
      </c>
      <c r="G84" t="n">
        <v>1</v>
      </c>
      <c r="H84" t="n">
        <v>0</v>
      </c>
      <c r="I84" t="n">
        <v>0</v>
      </c>
      <c r="J84" t="n">
        <v>0</v>
      </c>
      <c r="K84" t="n">
        <v>0</v>
      </c>
      <c r="L84" t="n">
        <v>0</v>
      </c>
      <c r="M84" t="n">
        <v>0</v>
      </c>
      <c r="N84" t="n">
        <v>0</v>
      </c>
      <c r="O84" t="n">
        <v>0</v>
      </c>
      <c r="P84" t="n">
        <v>0</v>
      </c>
      <c r="Q84" t="n">
        <v>0</v>
      </c>
      <c r="R84" s="2" t="inlineStr"/>
    </row>
    <row r="85" ht="15" customHeight="1">
      <c r="A85" t="inlineStr">
        <is>
          <t>A 32921-2023</t>
        </is>
      </c>
      <c r="B85" s="1" t="n">
        <v>45125</v>
      </c>
      <c r="C85" s="1" t="n">
        <v>46115</v>
      </c>
      <c r="D85" t="inlineStr">
        <is>
          <t>KALMAR LÄN</t>
        </is>
      </c>
      <c r="E85" t="inlineStr">
        <is>
          <t>BORGHOLM</t>
        </is>
      </c>
      <c r="G85" t="n">
        <v>2.9</v>
      </c>
      <c r="H85" t="n">
        <v>0</v>
      </c>
      <c r="I85" t="n">
        <v>0</v>
      </c>
      <c r="J85" t="n">
        <v>0</v>
      </c>
      <c r="K85" t="n">
        <v>0</v>
      </c>
      <c r="L85" t="n">
        <v>0</v>
      </c>
      <c r="M85" t="n">
        <v>0</v>
      </c>
      <c r="N85" t="n">
        <v>0</v>
      </c>
      <c r="O85" t="n">
        <v>0</v>
      </c>
      <c r="P85" t="n">
        <v>0</v>
      </c>
      <c r="Q85" t="n">
        <v>0</v>
      </c>
      <c r="R85" s="2" t="inlineStr"/>
    </row>
    <row r="86" ht="15" customHeight="1">
      <c r="A86" t="inlineStr">
        <is>
          <t>A 31840-2021</t>
        </is>
      </c>
      <c r="B86" s="1" t="n">
        <v>44370</v>
      </c>
      <c r="C86" s="1" t="n">
        <v>46115</v>
      </c>
      <c r="D86" t="inlineStr">
        <is>
          <t>KALMAR LÄN</t>
        </is>
      </c>
      <c r="E86" t="inlineStr">
        <is>
          <t>BORGHOLM</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46115</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60141-2025</t>
        </is>
      </c>
      <c r="B88" s="1" t="n">
        <v>45994.36873842592</v>
      </c>
      <c r="C88" s="1" t="n">
        <v>46115</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46115</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64303-2023</t>
        </is>
      </c>
      <c r="B90" s="1" t="n">
        <v>45280</v>
      </c>
      <c r="C90" s="1" t="n">
        <v>46115</v>
      </c>
      <c r="D90" t="inlineStr">
        <is>
          <t>KALMAR LÄN</t>
        </is>
      </c>
      <c r="E90" t="inlineStr">
        <is>
          <t>BORGHOLM</t>
        </is>
      </c>
      <c r="G90" t="n">
        <v>1.2</v>
      </c>
      <c r="H90" t="n">
        <v>0</v>
      </c>
      <c r="I90" t="n">
        <v>0</v>
      </c>
      <c r="J90" t="n">
        <v>0</v>
      </c>
      <c r="K90" t="n">
        <v>0</v>
      </c>
      <c r="L90" t="n">
        <v>0</v>
      </c>
      <c r="M90" t="n">
        <v>0</v>
      </c>
      <c r="N90" t="n">
        <v>0</v>
      </c>
      <c r="O90" t="n">
        <v>0</v>
      </c>
      <c r="P90" t="n">
        <v>0</v>
      </c>
      <c r="Q90" t="n">
        <v>0</v>
      </c>
      <c r="R90" s="2" t="inlineStr"/>
    </row>
    <row r="91" ht="15" customHeight="1">
      <c r="A91" t="inlineStr">
        <is>
          <t>A 44547-2021</t>
        </is>
      </c>
      <c r="B91" s="1" t="n">
        <v>44435</v>
      </c>
      <c r="C91" s="1" t="n">
        <v>46115</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63075-2023</t>
        </is>
      </c>
      <c r="B92" s="1" t="n">
        <v>45273</v>
      </c>
      <c r="C92" s="1" t="n">
        <v>46115</v>
      </c>
      <c r="D92" t="inlineStr">
        <is>
          <t>KALMAR LÄN</t>
        </is>
      </c>
      <c r="E92" t="inlineStr">
        <is>
          <t>BORGHOLM</t>
        </is>
      </c>
      <c r="G92" t="n">
        <v>1.1</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46115</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9905-2026</t>
        </is>
      </c>
      <c r="B94" s="1" t="n">
        <v>46073.4108912037</v>
      </c>
      <c r="C94" s="1" t="n">
        <v>46115</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1757-2025</t>
        </is>
      </c>
      <c r="B95" s="1" t="n">
        <v>45671.42195601852</v>
      </c>
      <c r="C95" s="1" t="n">
        <v>46115</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17699-2025</t>
        </is>
      </c>
      <c r="B96" s="1" t="n">
        <v>45758.41846064815</v>
      </c>
      <c r="C96" s="1" t="n">
        <v>46115</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46115</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34780-2022</t>
        </is>
      </c>
      <c r="B98" s="1" t="n">
        <v>44795</v>
      </c>
      <c r="C98" s="1" t="n">
        <v>46115</v>
      </c>
      <c r="D98" t="inlineStr">
        <is>
          <t>KALMAR LÄN</t>
        </is>
      </c>
      <c r="E98" t="inlineStr">
        <is>
          <t>BORGHOLM</t>
        </is>
      </c>
      <c r="F98" t="inlineStr">
        <is>
          <t>Sveaskog</t>
        </is>
      </c>
      <c r="G98" t="n">
        <v>6.7</v>
      </c>
      <c r="H98" t="n">
        <v>0</v>
      </c>
      <c r="I98" t="n">
        <v>0</v>
      </c>
      <c r="J98" t="n">
        <v>0</v>
      </c>
      <c r="K98" t="n">
        <v>0</v>
      </c>
      <c r="L98" t="n">
        <v>0</v>
      </c>
      <c r="M98" t="n">
        <v>0</v>
      </c>
      <c r="N98" t="n">
        <v>0</v>
      </c>
      <c r="O98" t="n">
        <v>0</v>
      </c>
      <c r="P98" t="n">
        <v>0</v>
      </c>
      <c r="Q98" t="n">
        <v>0</v>
      </c>
      <c r="R98" s="2" t="inlineStr"/>
    </row>
    <row r="99" ht="15" customHeight="1">
      <c r="A99" t="inlineStr">
        <is>
          <t>A 55367-2024</t>
        </is>
      </c>
      <c r="B99" s="1" t="n">
        <v>45621.87075231481</v>
      </c>
      <c r="C99" s="1" t="n">
        <v>46115</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20287-2025</t>
        </is>
      </c>
      <c r="B100" s="1" t="n">
        <v>45774.60741898148</v>
      </c>
      <c r="C100" s="1" t="n">
        <v>46115</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9076-2025</t>
        </is>
      </c>
      <c r="B101" s="1" t="n">
        <v>45713.6596875</v>
      </c>
      <c r="C101" s="1" t="n">
        <v>46115</v>
      </c>
      <c r="D101" t="inlineStr">
        <is>
          <t>KALMAR LÄN</t>
        </is>
      </c>
      <c r="E101" t="inlineStr">
        <is>
          <t>BORGHOLM</t>
        </is>
      </c>
      <c r="F101" t="inlineStr">
        <is>
          <t>Sveaskog</t>
        </is>
      </c>
      <c r="G101" t="n">
        <v>4.2</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46115</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7481-2026</t>
        </is>
      </c>
      <c r="B103" s="1" t="n">
        <v>46059.51359953704</v>
      </c>
      <c r="C103" s="1" t="n">
        <v>46115</v>
      </c>
      <c r="D103" t="inlineStr">
        <is>
          <t>KALMAR LÄN</t>
        </is>
      </c>
      <c r="E103" t="inlineStr">
        <is>
          <t>BORGHOLM</t>
        </is>
      </c>
      <c r="G103" t="n">
        <v>1.9</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46115</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15264-2026</t>
        </is>
      </c>
      <c r="B105" s="1" t="n">
        <v>46105.59372685185</v>
      </c>
      <c r="C105" s="1" t="n">
        <v>46115</v>
      </c>
      <c r="D105" t="inlineStr">
        <is>
          <t>KALMAR LÄN</t>
        </is>
      </c>
      <c r="E105" t="inlineStr">
        <is>
          <t>BORGHOLM</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15272-2026</t>
        </is>
      </c>
      <c r="B106" s="1" t="n">
        <v>46105.60017361111</v>
      </c>
      <c r="C106" s="1" t="n">
        <v>46115</v>
      </c>
      <c r="D106" t="inlineStr">
        <is>
          <t>KALMAR LÄN</t>
        </is>
      </c>
      <c r="E106" t="inlineStr">
        <is>
          <t>BORGHOLM</t>
        </is>
      </c>
      <c r="F106" t="inlineStr">
        <is>
          <t>Sveaskog</t>
        </is>
      </c>
      <c r="G106" t="n">
        <v>2.9</v>
      </c>
      <c r="H106" t="n">
        <v>0</v>
      </c>
      <c r="I106" t="n">
        <v>0</v>
      </c>
      <c r="J106" t="n">
        <v>0</v>
      </c>
      <c r="K106" t="n">
        <v>0</v>
      </c>
      <c r="L106" t="n">
        <v>0</v>
      </c>
      <c r="M106" t="n">
        <v>0</v>
      </c>
      <c r="N106" t="n">
        <v>0</v>
      </c>
      <c r="O106" t="n">
        <v>0</v>
      </c>
      <c r="P106" t="n">
        <v>0</v>
      </c>
      <c r="Q106" t="n">
        <v>0</v>
      </c>
      <c r="R106" s="2" t="inlineStr"/>
    </row>
    <row r="107" ht="15" customHeight="1">
      <c r="A107" t="inlineStr">
        <is>
          <t>A 15279-2026</t>
        </is>
      </c>
      <c r="B107" s="1" t="n">
        <v>46105.61030092592</v>
      </c>
      <c r="C107" s="1" t="n">
        <v>46115</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34951-2022</t>
        </is>
      </c>
      <c r="B108" s="1" t="n">
        <v>44796</v>
      </c>
      <c r="C108" s="1" t="n">
        <v>46115</v>
      </c>
      <c r="D108" t="inlineStr">
        <is>
          <t>KALMAR LÄN</t>
        </is>
      </c>
      <c r="E108" t="inlineStr">
        <is>
          <t>BORGHOLM</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9034-2025</t>
        </is>
      </c>
      <c r="B109" s="1" t="n">
        <v>45713</v>
      </c>
      <c r="C109" s="1" t="n">
        <v>46115</v>
      </c>
      <c r="D109" t="inlineStr">
        <is>
          <t>KALMAR LÄN</t>
        </is>
      </c>
      <c r="E109" t="inlineStr">
        <is>
          <t>BORGHOLM</t>
        </is>
      </c>
      <c r="F109" t="inlineStr">
        <is>
          <t>Sveaskog</t>
        </is>
      </c>
      <c r="G109" t="n">
        <v>6.8</v>
      </c>
      <c r="H109" t="n">
        <v>0</v>
      </c>
      <c r="I109" t="n">
        <v>0</v>
      </c>
      <c r="J109" t="n">
        <v>0</v>
      </c>
      <c r="K109" t="n">
        <v>0</v>
      </c>
      <c r="L109" t="n">
        <v>0</v>
      </c>
      <c r="M109" t="n">
        <v>0</v>
      </c>
      <c r="N109" t="n">
        <v>0</v>
      </c>
      <c r="O109" t="n">
        <v>0</v>
      </c>
      <c r="P109" t="n">
        <v>0</v>
      </c>
      <c r="Q109" t="n">
        <v>0</v>
      </c>
      <c r="R109" s="2" t="inlineStr"/>
    </row>
    <row r="110" ht="15" customHeight="1">
      <c r="A110" t="inlineStr">
        <is>
          <t>A 5175-2024</t>
        </is>
      </c>
      <c r="B110" s="1" t="n">
        <v>45330</v>
      </c>
      <c r="C110" s="1" t="n">
        <v>46115</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9104-2026</t>
        </is>
      </c>
      <c r="B111" s="1" t="n">
        <v>46069</v>
      </c>
      <c r="C111" s="1" t="n">
        <v>46115</v>
      </c>
      <c r="D111" t="inlineStr">
        <is>
          <t>KALMAR LÄN</t>
        </is>
      </c>
      <c r="E111" t="inlineStr">
        <is>
          <t>BORGHOLM</t>
        </is>
      </c>
      <c r="G111" t="n">
        <v>1.3</v>
      </c>
      <c r="H111" t="n">
        <v>0</v>
      </c>
      <c r="I111" t="n">
        <v>0</v>
      </c>
      <c r="J111" t="n">
        <v>0</v>
      </c>
      <c r="K111" t="n">
        <v>0</v>
      </c>
      <c r="L111" t="n">
        <v>0</v>
      </c>
      <c r="M111" t="n">
        <v>0</v>
      </c>
      <c r="N111" t="n">
        <v>0</v>
      </c>
      <c r="O111" t="n">
        <v>0</v>
      </c>
      <c r="P111" t="n">
        <v>0</v>
      </c>
      <c r="Q111" t="n">
        <v>0</v>
      </c>
      <c r="R111" s="2" t="inlineStr"/>
    </row>
    <row r="112" ht="15" customHeight="1">
      <c r="A112" t="inlineStr">
        <is>
          <t>A 9259-2026</t>
        </is>
      </c>
      <c r="B112" s="1" t="n">
        <v>46070.51917824074</v>
      </c>
      <c r="C112" s="1" t="n">
        <v>46115</v>
      </c>
      <c r="D112" t="inlineStr">
        <is>
          <t>KALMAR LÄN</t>
        </is>
      </c>
      <c r="E112" t="inlineStr">
        <is>
          <t>BORGHOLM</t>
        </is>
      </c>
      <c r="G112" t="n">
        <v>1.6</v>
      </c>
      <c r="H112" t="n">
        <v>0</v>
      </c>
      <c r="I112" t="n">
        <v>0</v>
      </c>
      <c r="J112" t="n">
        <v>0</v>
      </c>
      <c r="K112" t="n">
        <v>0</v>
      </c>
      <c r="L112" t="n">
        <v>0</v>
      </c>
      <c r="M112" t="n">
        <v>0</v>
      </c>
      <c r="N112" t="n">
        <v>0</v>
      </c>
      <c r="O112" t="n">
        <v>0</v>
      </c>
      <c r="P112" t="n">
        <v>0</v>
      </c>
      <c r="Q112" t="n">
        <v>0</v>
      </c>
      <c r="R112" s="2" t="inlineStr"/>
    </row>
    <row r="113" ht="15" customHeight="1">
      <c r="A113" t="inlineStr">
        <is>
          <t>A 3878-2023</t>
        </is>
      </c>
      <c r="B113" s="1" t="n">
        <v>44951</v>
      </c>
      <c r="C113" s="1" t="n">
        <v>46115</v>
      </c>
      <c r="D113" t="inlineStr">
        <is>
          <t>KALMAR LÄN</t>
        </is>
      </c>
      <c r="E113" t="inlineStr">
        <is>
          <t>BORGHOLM</t>
        </is>
      </c>
      <c r="G113" t="n">
        <v>1.7</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46115</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46115</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12937-2022</t>
        </is>
      </c>
      <c r="B116" s="1" t="n">
        <v>44642</v>
      </c>
      <c r="C116" s="1" t="n">
        <v>46115</v>
      </c>
      <c r="D116" t="inlineStr">
        <is>
          <t>KALMAR LÄN</t>
        </is>
      </c>
      <c r="E116" t="inlineStr">
        <is>
          <t>BORGHOLM</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7960-2023</t>
        </is>
      </c>
      <c r="B117" s="1" t="n">
        <v>44973</v>
      </c>
      <c r="C117" s="1" t="n">
        <v>46115</v>
      </c>
      <c r="D117" t="inlineStr">
        <is>
          <t>KALMAR LÄN</t>
        </is>
      </c>
      <c r="E117" t="inlineStr">
        <is>
          <t>BORGHOLM</t>
        </is>
      </c>
      <c r="G117" t="n">
        <v>2.1</v>
      </c>
      <c r="H117" t="n">
        <v>0</v>
      </c>
      <c r="I117" t="n">
        <v>0</v>
      </c>
      <c r="J117" t="n">
        <v>0</v>
      </c>
      <c r="K117" t="n">
        <v>0</v>
      </c>
      <c r="L117" t="n">
        <v>0</v>
      </c>
      <c r="M117" t="n">
        <v>0</v>
      </c>
      <c r="N117" t="n">
        <v>0</v>
      </c>
      <c r="O117" t="n">
        <v>0</v>
      </c>
      <c r="P117" t="n">
        <v>0</v>
      </c>
      <c r="Q117" t="n">
        <v>0</v>
      </c>
      <c r="R117" s="2" t="inlineStr"/>
    </row>
    <row r="118" ht="15" customHeight="1">
      <c r="A118" t="inlineStr">
        <is>
          <t>A 61438-2023</t>
        </is>
      </c>
      <c r="B118" s="1" t="n">
        <v>45264</v>
      </c>
      <c r="C118" s="1" t="n">
        <v>46115</v>
      </c>
      <c r="D118" t="inlineStr">
        <is>
          <t>KALMAR LÄN</t>
        </is>
      </c>
      <c r="E118" t="inlineStr">
        <is>
          <t>BORGHOLM</t>
        </is>
      </c>
      <c r="G118" t="n">
        <v>1.1</v>
      </c>
      <c r="H118" t="n">
        <v>0</v>
      </c>
      <c r="I118" t="n">
        <v>0</v>
      </c>
      <c r="J118" t="n">
        <v>0</v>
      </c>
      <c r="K118" t="n">
        <v>0</v>
      </c>
      <c r="L118" t="n">
        <v>0</v>
      </c>
      <c r="M118" t="n">
        <v>0</v>
      </c>
      <c r="N118" t="n">
        <v>0</v>
      </c>
      <c r="O118" t="n">
        <v>0</v>
      </c>
      <c r="P118" t="n">
        <v>0</v>
      </c>
      <c r="Q118" t="n">
        <v>0</v>
      </c>
      <c r="R118" s="2" t="inlineStr"/>
    </row>
    <row r="119" ht="15" customHeight="1">
      <c r="A119" t="inlineStr">
        <is>
          <t>A 13041-2024</t>
        </is>
      </c>
      <c r="B119" s="1" t="n">
        <v>45385.60065972222</v>
      </c>
      <c r="C119" s="1" t="n">
        <v>46115</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1614-2025</t>
        </is>
      </c>
      <c r="B120" s="1" t="n">
        <v>45670.60094907408</v>
      </c>
      <c r="C120" s="1" t="n">
        <v>46115</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63276-2023</t>
        </is>
      </c>
      <c r="B121" s="1" t="n">
        <v>45273.82195601852</v>
      </c>
      <c r="C121" s="1" t="n">
        <v>46115</v>
      </c>
      <c r="D121" t="inlineStr">
        <is>
          <t>KALMAR LÄN</t>
        </is>
      </c>
      <c r="E121" t="inlineStr">
        <is>
          <t>BORGHOLM</t>
        </is>
      </c>
      <c r="G121" t="n">
        <v>5</v>
      </c>
      <c r="H121" t="n">
        <v>0</v>
      </c>
      <c r="I121" t="n">
        <v>0</v>
      </c>
      <c r="J121" t="n">
        <v>0</v>
      </c>
      <c r="K121" t="n">
        <v>0</v>
      </c>
      <c r="L121" t="n">
        <v>0</v>
      </c>
      <c r="M121" t="n">
        <v>0</v>
      </c>
      <c r="N121" t="n">
        <v>0</v>
      </c>
      <c r="O121" t="n">
        <v>0</v>
      </c>
      <c r="P121" t="n">
        <v>0</v>
      </c>
      <c r="Q121" t="n">
        <v>0</v>
      </c>
      <c r="R121" s="2" t="inlineStr"/>
    </row>
    <row r="122" ht="15" customHeight="1">
      <c r="A122" t="inlineStr">
        <is>
          <t>A 9050-2025</t>
        </is>
      </c>
      <c r="B122" s="1" t="n">
        <v>45713.63512731482</v>
      </c>
      <c r="C122" s="1" t="n">
        <v>46115</v>
      </c>
      <c r="D122" t="inlineStr">
        <is>
          <t>KALMAR LÄN</t>
        </is>
      </c>
      <c r="E122" t="inlineStr">
        <is>
          <t>BORGHOLM</t>
        </is>
      </c>
      <c r="F122" t="inlineStr">
        <is>
          <t>Sveaskog</t>
        </is>
      </c>
      <c r="G122" t="n">
        <v>2.5</v>
      </c>
      <c r="H122" t="n">
        <v>0</v>
      </c>
      <c r="I122" t="n">
        <v>0</v>
      </c>
      <c r="J122" t="n">
        <v>0</v>
      </c>
      <c r="K122" t="n">
        <v>0</v>
      </c>
      <c r="L122" t="n">
        <v>0</v>
      </c>
      <c r="M122" t="n">
        <v>0</v>
      </c>
      <c r="N122" t="n">
        <v>0</v>
      </c>
      <c r="O122" t="n">
        <v>0</v>
      </c>
      <c r="P122" t="n">
        <v>0</v>
      </c>
      <c r="Q122" t="n">
        <v>0</v>
      </c>
      <c r="R122" s="2" t="inlineStr"/>
    </row>
    <row r="123">
      <c r="A123" t="inlineStr">
        <is>
          <t>A 13043-2024</t>
        </is>
      </c>
      <c r="B123" s="1" t="n">
        <v>45385.60111111111</v>
      </c>
      <c r="C123" s="1" t="n">
        <v>46115</v>
      </c>
      <c r="D123" t="inlineStr">
        <is>
          <t>KALMAR LÄN</t>
        </is>
      </c>
      <c r="E123" t="inlineStr">
        <is>
          <t>BORGHOLM</t>
        </is>
      </c>
      <c r="G123" t="n">
        <v>0.4</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2026-04-03T10:43:28Z</dcterms:created>
  <dcterms:modified xmlns:dcterms="http://purl.org/dc/terms/" xmlns:xsi="http://www.w3.org/2001/XMLSchema-instance" xsi:type="dcterms:W3CDTF">2026-04-03T10:43:28Z</dcterms:modified>
</cp:coreProperties>
</file>