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46252</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46252</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46252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46252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46252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46252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46252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46252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46252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46252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46252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46252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46252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46252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46252</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46252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46252</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46252</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46252</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46252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46252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46252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31558-2026</t>
        </is>
      </c>
      <c r="B32" t="inlineStr">
        <is>
          <t>avverkningsanmälan</t>
        </is>
      </c>
      <c r="C32" t="inlineStr">
        <is>
          <t>Avverkning för att bevara och utveckla /försöksver</t>
        </is>
      </c>
      <c r="D32" s="1" t="n">
        <v>46224</v>
      </c>
      <c r="E32" s="1" t="n">
        <v>46252</v>
      </c>
      <c r="F32" t="inlineStr">
        <is>
          <t>KALMAR LÄN</t>
        </is>
      </c>
      <c r="G32" t="inlineStr">
        <is>
          <t>BORGHOLM</t>
        </is>
      </c>
      <c r="H32" t="inlineStr">
        <is>
          <t>Sveaskog</t>
        </is>
      </c>
      <c r="I32" t="n">
        <v>1</v>
      </c>
      <c r="J32" t="n">
        <v>2</v>
      </c>
      <c r="K32" t="n">
        <v>2</v>
      </c>
      <c r="L32" t="n">
        <v>3</v>
      </c>
      <c r="M32" t="n">
        <v>0</v>
      </c>
      <c r="N32" t="n">
        <v>0</v>
      </c>
      <c r="O32" t="n">
        <v>0</v>
      </c>
      <c r="P32" t="n">
        <v>0</v>
      </c>
      <c r="Q32" t="n">
        <v>3</v>
      </c>
      <c r="R32" t="n">
        <v>0</v>
      </c>
      <c r="S32" t="n">
        <v>6</v>
      </c>
      <c r="T32" t="n">
        <v>7</v>
      </c>
      <c r="U32" t="n">
        <v>0</v>
      </c>
      <c r="V32" s="2" t="inlineStr">
        <is>
          <t>Blå slemspindling
Sårläka
Vårärt
Anisspindling
Skogsknipprot
Grönvit nattviol</t>
        </is>
      </c>
      <c r="W32">
        <f>HYPERLINK("https://klasma.github.io/Logging_0885/artfynd/A 31558-2026 artfynd.xlsx", "A 31558-2026")</f>
        <v/>
      </c>
      <c r="X32">
        <f>HYPERLINK("https://klasma.github.io/Logging_0885/kartor/A 31558-2026 karta.png", "A 31558-2026")</f>
        <v/>
      </c>
      <c r="Y32">
        <f>HYPERLINK("https://klasma.github.io/Logging_0885/kartor_geotiff/A 31558-2026 georefererad karta.tif", "A 31558-2026")</f>
        <v/>
      </c>
      <c r="AA32">
        <f>HYPERLINK("https://klasma.github.io/Logging_0885/klagomål/A 31558-2026 FSC-klagomål.docx", "A 31558-2026")</f>
        <v/>
      </c>
      <c r="AB32">
        <f>HYPERLINK("https://klasma.github.io/Logging_0885/klagomålsmail/A 31558-2026 FSC-klagomål mail.docx", "A 31558-2026")</f>
        <v/>
      </c>
      <c r="AC32">
        <f>HYPERLINK("https://klasma.github.io/Logging_0885/tillsyn/A 31558-2026 tillsynsbegäran.docx", "A 31558-2026")</f>
        <v/>
      </c>
      <c r="AD32">
        <f>HYPERLINK("https://klasma.github.io/Logging_0885/tillsynsmail/A 31558-2026 tillsynsbegäran mail.docx", "A 31558-2026")</f>
        <v/>
      </c>
    </row>
    <row r="33" ht="15" customHeight="1">
      <c r="A33" t="inlineStr">
        <is>
          <t>A 27298-2026</t>
        </is>
      </c>
      <c r="B33" t="inlineStr">
        <is>
          <t>avverkningsanmälan</t>
        </is>
      </c>
      <c r="C33" t="inlineStr">
        <is>
          <t>Avverkning för att bevara och utveckla /försöksver</t>
        </is>
      </c>
      <c r="D33" s="1" t="n">
        <v>46188</v>
      </c>
      <c r="E33" s="1" t="n">
        <v>46252</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46252</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46794-2025</t>
        </is>
      </c>
      <c r="B35" t="inlineStr">
        <is>
          <t>avverkningsanmälan</t>
        </is>
      </c>
      <c r="C35" t="inlineStr">
        <is>
          <t>Avverkning för annat ändamål</t>
        </is>
      </c>
      <c r="D35" s="1" t="n">
        <v>45926</v>
      </c>
      <c r="E35" s="1" t="n">
        <v>46252</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S 2737-2022</t>
        </is>
      </c>
      <c r="B36" t="inlineStr">
        <is>
          <t>samrådsanmälan</t>
        </is>
      </c>
      <c r="C36" t="inlineStr">
        <is>
          <t>Annan skogsbruksåtgärd</t>
        </is>
      </c>
      <c r="D36" s="1" t="n">
        <v>44704</v>
      </c>
      <c r="E36" s="1" t="n">
        <v>46252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46252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46252</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46252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46252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46252</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7960-2023</t>
        </is>
      </c>
      <c r="B42" t="inlineStr">
        <is>
          <t>avverkningsanmälan</t>
        </is>
      </c>
      <c r="C42" t="inlineStr">
        <is>
          <t>Föryngringsavverkning</t>
        </is>
      </c>
      <c r="D42" s="1" t="n">
        <v>44973</v>
      </c>
      <c r="E42" s="1" t="n">
        <v>46252</v>
      </c>
      <c r="F42" t="inlineStr">
        <is>
          <t>KALMAR LÄN</t>
        </is>
      </c>
      <c r="G42" t="inlineStr">
        <is>
          <t>BORGHOLM</t>
        </is>
      </c>
      <c r="I42" t="n">
        <v>2.1</v>
      </c>
      <c r="J42" t="n">
        <v>0</v>
      </c>
      <c r="K42" t="n">
        <v>1</v>
      </c>
      <c r="L42" t="n">
        <v>2</v>
      </c>
      <c r="M42" t="n">
        <v>0</v>
      </c>
      <c r="N42" t="n">
        <v>0</v>
      </c>
      <c r="O42" t="n">
        <v>1</v>
      </c>
      <c r="P42" t="n">
        <v>0</v>
      </c>
      <c r="Q42" t="n">
        <v>3</v>
      </c>
      <c r="R42" t="n">
        <v>1</v>
      </c>
      <c r="S42" t="n">
        <v>4</v>
      </c>
      <c r="T42" t="n">
        <v>4</v>
      </c>
      <c r="U42" t="n">
        <v>3</v>
      </c>
      <c r="V42" s="2" t="inlineStr">
        <is>
          <t>Vresalm
Pilfotsspindling
Vippärt
Strävlosta</t>
        </is>
      </c>
      <c r="W42">
        <f>HYPERLINK("https://klasma.github.io/Logging_0885/artfynd/A 7960-2023 artfynd.xlsx", "A 7960-2023")</f>
        <v/>
      </c>
      <c r="X42">
        <f>HYPERLINK("https://klasma.github.io/Logging_0885/kartor/A 7960-2023 karta.png", "A 7960-2023")</f>
        <v/>
      </c>
      <c r="Y42">
        <f>HYPERLINK("https://klasma.github.io/Logging_0885/kartor_geotiff/A 7960-2023 georefererad karta.tif", "A 7960-2023")</f>
        <v/>
      </c>
      <c r="AA42">
        <f>HYPERLINK("https://klasma.github.io/Logging_0885/klagomål/A 7960-2023 FSC-klagomål.docx", "A 7960-2023")</f>
        <v/>
      </c>
      <c r="AB42">
        <f>HYPERLINK("https://klasma.github.io/Logging_0885/klagomålsmail/A 7960-2023 FSC-klagomål mail.docx", "A 7960-2023")</f>
        <v/>
      </c>
      <c r="AC42">
        <f>HYPERLINK("https://klasma.github.io/Logging_0885/tillsyn/A 7960-2023 tillsynsbegäran.docx", "A 7960-2023")</f>
        <v/>
      </c>
      <c r="AD42">
        <f>HYPERLINK("https://klasma.github.io/Logging_0885/tillsynsmail/A 7960-2023 tillsynsbegäran mail.docx", "A 7960-2023")</f>
        <v/>
      </c>
    </row>
    <row r="43" ht="15" customHeight="1">
      <c r="A43" t="inlineStr">
        <is>
          <t>A 13556-2025</t>
        </is>
      </c>
      <c r="B43" t="inlineStr">
        <is>
          <t>avverkningsanmälan</t>
        </is>
      </c>
      <c r="C43" t="inlineStr">
        <is>
          <t>Föryngringsavverkning</t>
        </is>
      </c>
      <c r="D43" s="1" t="n">
        <v>45736</v>
      </c>
      <c r="E43" s="1" t="n">
        <v>46252</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27290-2026</t>
        </is>
      </c>
      <c r="B44" t="inlineStr">
        <is>
          <t>avverkningsanmälan</t>
        </is>
      </c>
      <c r="C44" t="inlineStr">
        <is>
          <t>Avverkning för att bevara och utveckla /försöksver</t>
        </is>
      </c>
      <c r="D44" s="1" t="n">
        <v>46188</v>
      </c>
      <c r="E44" s="1" t="n">
        <v>46252</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46252</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46252</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46252</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46252</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46252</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46252</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46252</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46252</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46252</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31520-2026</t>
        </is>
      </c>
      <c r="B54" t="inlineStr">
        <is>
          <t>avverkningsanmälan</t>
        </is>
      </c>
      <c r="C54" t="inlineStr">
        <is>
          <t>Avverkning för att bevara och utveckla /försöksver</t>
        </is>
      </c>
      <c r="D54" s="1" t="n">
        <v>46223</v>
      </c>
      <c r="E54" s="1" t="n">
        <v>46252</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27283-2026</t>
        </is>
      </c>
      <c r="B55" t="inlineStr">
        <is>
          <t>avverkningsanmälan</t>
        </is>
      </c>
      <c r="C55" t="inlineStr">
        <is>
          <t>Avverkning för att bevara och utveckla /försöksver</t>
        </is>
      </c>
      <c r="D55" s="1" t="n">
        <v>46188</v>
      </c>
      <c r="E55" s="1" t="n">
        <v>46252</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26849-2026</t>
        </is>
      </c>
      <c r="B56" t="inlineStr">
        <is>
          <t>avverkningsanmälan</t>
        </is>
      </c>
      <c r="C56" t="inlineStr">
        <is>
          <t>Föryngringsavverkning</t>
        </is>
      </c>
      <c r="D56" s="1" t="n">
        <v>46185</v>
      </c>
      <c r="E56" s="1" t="n">
        <v>46252</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15285-2026</t>
        </is>
      </c>
      <c r="B57" t="inlineStr">
        <is>
          <t>avverkningsanmälan</t>
        </is>
      </c>
      <c r="C57" t="inlineStr">
        <is>
          <t>Avverkning för att bevara och utveckla /försöksver</t>
        </is>
      </c>
      <c r="D57" s="1" t="n">
        <v>46105</v>
      </c>
      <c r="E57" s="1" t="n">
        <v>46252</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24048-2025</t>
        </is>
      </c>
      <c r="B58" t="inlineStr">
        <is>
          <t>avverkningsanmälan</t>
        </is>
      </c>
      <c r="C58" t="inlineStr">
        <is>
          <t>Föryngringsavverkning</t>
        </is>
      </c>
      <c r="D58" s="1" t="n">
        <v>45796</v>
      </c>
      <c r="E58" s="1" t="n">
        <v>46252</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46252</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46252</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46252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46252</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46252</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46252</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46252</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46252</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50129-2021</t>
        </is>
      </c>
      <c r="B67" t="inlineStr">
        <is>
          <t>avverkningsanmälan</t>
        </is>
      </c>
      <c r="C67" t="inlineStr">
        <is>
          <t>Avverkning för annat ändamål</t>
        </is>
      </c>
      <c r="D67" s="1" t="n">
        <v>44456</v>
      </c>
      <c r="E67" s="1" t="n">
        <v>46252</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9253-2026</t>
        </is>
      </c>
      <c r="B68" t="inlineStr">
        <is>
          <t>avverkningsanmälan</t>
        </is>
      </c>
      <c r="C68" t="inlineStr">
        <is>
          <t>Föryngringsavverkning</t>
        </is>
      </c>
      <c r="D68" s="1" t="n">
        <v>46070</v>
      </c>
      <c r="E68" s="1" t="n">
        <v>46252</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17699-2025</t>
        </is>
      </c>
      <c r="B69" t="inlineStr">
        <is>
          <t>avverkningsanmälan</t>
        </is>
      </c>
      <c r="C69" t="inlineStr">
        <is>
          <t>Föryngringsavverkning</t>
        </is>
      </c>
      <c r="D69" s="1" t="n">
        <v>45758</v>
      </c>
      <c r="E69" s="1" t="n">
        <v>46252</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29411-2026</t>
        </is>
      </c>
      <c r="B70" t="inlineStr">
        <is>
          <t>avverkningsanmälan</t>
        </is>
      </c>
      <c r="C70" t="inlineStr">
        <is>
          <t>Avverkning för att bevara och utveckla /försöksver</t>
        </is>
      </c>
      <c r="D70" s="1" t="n">
        <v>46203</v>
      </c>
      <c r="E70" s="1" t="n">
        <v>46252</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29434-2026</t>
        </is>
      </c>
      <c r="B71" t="inlineStr">
        <is>
          <t>avverkningsanmälan</t>
        </is>
      </c>
      <c r="C71" t="inlineStr">
        <is>
          <t>Avverkning för att bevara och utveckla /försöksver</t>
        </is>
      </c>
      <c r="D71" s="1" t="n">
        <v>46203</v>
      </c>
      <c r="E71" s="1" t="n">
        <v>46252</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24322-2026</t>
        </is>
      </c>
      <c r="B72" t="inlineStr">
        <is>
          <t>avverkningsanmälan</t>
        </is>
      </c>
      <c r="C72" t="inlineStr">
        <is>
          <t>Föryngringsavverkning</t>
        </is>
      </c>
      <c r="D72" s="1" t="n">
        <v>46169</v>
      </c>
      <c r="E72" s="1" t="n">
        <v>46252</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24166-2022</t>
        </is>
      </c>
      <c r="B73" t="inlineStr">
        <is>
          <t>avverkningsanmälan</t>
        </is>
      </c>
      <c r="C73" t="inlineStr">
        <is>
          <t>Avverkning för annat ändamål</t>
        </is>
      </c>
      <c r="D73" s="1" t="n">
        <v>44725</v>
      </c>
      <c r="E73" s="1" t="n">
        <v>46252</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46252</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46252</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46252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46252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46252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46252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28785-2025</t>
        </is>
      </c>
      <c r="B80" t="inlineStr">
        <is>
          <t>avverkningsanmälan</t>
        </is>
      </c>
      <c r="C80" t="inlineStr">
        <is>
          <t>Avverkning för att bevara och utveckla /försöksver</t>
        </is>
      </c>
      <c r="D80" s="1" t="n">
        <v>45820</v>
      </c>
      <c r="E80" s="1" t="n">
        <v>46252</v>
      </c>
      <c r="F80" t="inlineStr">
        <is>
          <t>KALMAR LÄN</t>
        </is>
      </c>
      <c r="G80" t="inlineStr">
        <is>
          <t>BORGHOLM</t>
        </is>
      </c>
      <c r="H80" t="inlineStr">
        <is>
          <t>Sveaskog</t>
        </is>
      </c>
      <c r="I80" t="n">
        <v>2.3</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HYPERLINK("https://klasma.github.io/Logging_0885/artfynd/A 28785-2025 artfynd.xlsx", "A 28785-2025")</f>
        <v/>
      </c>
      <c r="X80">
        <f>HYPERLINK("https://klasma.github.io/Logging_0885/kartor/A 28785-2025 karta.png", "A 28785-2025")</f>
        <v/>
      </c>
      <c r="Y80">
        <f>HYPERLINK("https://klasma.github.io/Logging_0885/kartor_geotiff/A 28785-2025 georefererad karta.tif", "A 28785-2025")</f>
        <v/>
      </c>
      <c r="AA80">
        <f>HYPERLINK("https://klasma.github.io/Logging_0885/klagomål/A 28785-2025 FSC-klagomål.docx", "A 28785-2025")</f>
        <v/>
      </c>
      <c r="AB80">
        <f>HYPERLINK("https://klasma.github.io/Logging_0885/klagomålsmail/A 28785-2025 FSC-klagomål mail.docx", "A 28785-2025")</f>
        <v/>
      </c>
      <c r="AC80">
        <f>HYPERLINK("https://klasma.github.io/Logging_0885/tillsyn/A 28785-2025 tillsynsbegäran.docx", "A 28785-2025")</f>
        <v/>
      </c>
      <c r="AD80">
        <f>HYPERLINK("https://klasma.github.io/Logging_0885/tillsynsmail/A 28785-2025 tillsynsbegäran mail.docx", "A 28785-2025")</f>
        <v/>
      </c>
      <c r="AE80">
        <f>HYPERLINK("https://klasma.github.io/Logging_0885/fåglar/A 28785-2025 prioriterade fågelarter.docx", "A 28785-2025")</f>
        <v/>
      </c>
    </row>
    <row r="81" ht="15" customHeight="1">
      <c r="A81" t="inlineStr">
        <is>
          <t>A 28782-2025</t>
        </is>
      </c>
      <c r="B81" t="inlineStr">
        <is>
          <t>avverkningsanmälan</t>
        </is>
      </c>
      <c r="C81" t="inlineStr">
        <is>
          <t>Avverkning för att bevara och utveckla /försöksver</t>
        </is>
      </c>
      <c r="D81" s="1" t="n">
        <v>45820</v>
      </c>
      <c r="E81" s="1" t="n">
        <v>46252</v>
      </c>
      <c r="F81" t="inlineStr">
        <is>
          <t>KALMAR LÄN</t>
        </is>
      </c>
      <c r="G81" t="inlineStr">
        <is>
          <t>BORGHOLM</t>
        </is>
      </c>
      <c r="H81" t="inlineStr">
        <is>
          <t>Sveaskog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28782-2025 artfynd.xlsx", "A 28782-2025")</f>
        <v/>
      </c>
      <c r="X81">
        <f>HYPERLINK("https://klasma.github.io/Logging_0885/kartor/A 28782-2025 karta.png", "A 28782-2025")</f>
        <v/>
      </c>
      <c r="Y81">
        <f>HYPERLINK("https://klasma.github.io/Logging_0885/kartor_geotiff/A 28782-2025 georefererad karta.tif", "A 28782-2025")</f>
        <v/>
      </c>
      <c r="AA81">
        <f>HYPERLINK("https://klasma.github.io/Logging_0885/klagomål/A 28782-2025 FSC-klagomål.docx", "A 28782-2025")</f>
        <v/>
      </c>
      <c r="AB81">
        <f>HYPERLINK("https://klasma.github.io/Logging_0885/klagomålsmail/A 28782-2025 FSC-klagomål mail.docx", "A 28782-2025")</f>
        <v/>
      </c>
      <c r="AC81">
        <f>HYPERLINK("https://klasma.github.io/Logging_0885/tillsyn/A 28782-2025 tillsynsbegäran.docx", "A 28782-2025")</f>
        <v/>
      </c>
      <c r="AD81">
        <f>HYPERLINK("https://klasma.github.io/Logging_0885/tillsynsmail/A 28782-2025 tillsynsbegäran mail.docx", "A 28782-2025")</f>
        <v/>
      </c>
      <c r="AE81">
        <f>HYPERLINK("https://klasma.github.io/Logging_0885/fåglar/A 28782-2025 prioriterade fågelarter.docx", "A 28782-2025")</f>
        <v/>
      </c>
    </row>
    <row r="82" ht="15" customHeight="1">
      <c r="A82" t="inlineStr">
        <is>
          <t>A 42785-2021</t>
        </is>
      </c>
      <c r="B82" t="inlineStr">
        <is>
          <t>avverkningsanmälan</t>
        </is>
      </c>
      <c r="C82" t="inlineStr">
        <is>
          <t>Föryngringsavverkning</t>
        </is>
      </c>
      <c r="D82" s="1" t="n">
        <v>44428</v>
      </c>
      <c r="E82" s="1" t="n">
        <v>46252</v>
      </c>
      <c r="F82" t="inlineStr">
        <is>
          <t>KALMAR LÄN</t>
        </is>
      </c>
      <c r="G82" t="inlineStr">
        <is>
          <t>BORGHOLM</t>
        </is>
      </c>
      <c r="I82" t="n">
        <v>2.8</v>
      </c>
      <c r="J82" t="n">
        <v>1</v>
      </c>
      <c r="K82" t="n">
        <v>0</v>
      </c>
      <c r="L82" t="n">
        <v>1</v>
      </c>
      <c r="M82" t="n">
        <v>0</v>
      </c>
      <c r="N82" t="n">
        <v>0</v>
      </c>
      <c r="O82" t="n">
        <v>0</v>
      </c>
      <c r="P82" t="n">
        <v>0</v>
      </c>
      <c r="Q82" t="n">
        <v>1</v>
      </c>
      <c r="R82" t="n">
        <v>0</v>
      </c>
      <c r="S82" t="n">
        <v>1</v>
      </c>
      <c r="T82" t="n">
        <v>1</v>
      </c>
      <c r="U82" t="n">
        <v>0</v>
      </c>
      <c r="V82" s="2" t="inlineStr">
        <is>
          <t>Grönsångare</t>
        </is>
      </c>
      <c r="W82">
        <f>HYPERLINK("https://klasma.github.io/Logging_0885/artfynd/A 42785-2021 artfynd.xlsx", "A 42785-2021")</f>
        <v/>
      </c>
      <c r="X82">
        <f>HYPERLINK("https://klasma.github.io/Logging_0885/kartor/A 42785-2021 karta.png", "A 42785-2021")</f>
        <v/>
      </c>
      <c r="Y82">
        <f>HYPERLINK("https://klasma.github.io/Logging_0885/kartor_geotiff/A 42785-2021 georefererad karta.tif", "A 42785-2021")</f>
        <v/>
      </c>
      <c r="AA82">
        <f>HYPERLINK("https://klasma.github.io/Logging_0885/klagomål/A 42785-2021 FSC-klagomål.docx", "A 42785-2021")</f>
        <v/>
      </c>
      <c r="AB82">
        <f>HYPERLINK("https://klasma.github.io/Logging_0885/klagomålsmail/A 42785-2021 FSC-klagomål mail.docx", "A 42785-2021")</f>
        <v/>
      </c>
      <c r="AC82">
        <f>HYPERLINK("https://klasma.github.io/Logging_0885/tillsyn/A 42785-2021 tillsynsbegäran.docx", "A 42785-2021")</f>
        <v/>
      </c>
      <c r="AD82">
        <f>HYPERLINK("https://klasma.github.io/Logging_0885/tillsynsmail/A 42785-2021 tillsynsbegäran mail.docx", "A 42785-2021")</f>
        <v/>
      </c>
      <c r="AE82">
        <f>HYPERLINK("https://klasma.github.io/Logging_0885/fåglar/A 42785-2021 prioriterade fågelarter.docx", "A 42785-2021")</f>
        <v/>
      </c>
    </row>
    <row r="83" ht="15" customHeight="1">
      <c r="A83" t="inlineStr">
        <is>
          <t>A 41831-2025</t>
        </is>
      </c>
      <c r="B83" t="inlineStr">
        <is>
          <t>avverkningsanmälan</t>
        </is>
      </c>
      <c r="C83" t="inlineStr">
        <is>
          <t>Föryngringsavverkning</t>
        </is>
      </c>
      <c r="D83" s="1" t="n">
        <v>45902</v>
      </c>
      <c r="E83" s="1" t="n">
        <v>46252</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24701-2023</t>
        </is>
      </c>
      <c r="B84" t="inlineStr">
        <is>
          <t>avverkningsanmälan</t>
        </is>
      </c>
      <c r="C84" t="inlineStr">
        <is>
          <t>Föryngringsavverkning</t>
        </is>
      </c>
      <c r="D84" s="1" t="n">
        <v>45084</v>
      </c>
      <c r="E84" s="1" t="n">
        <v>46252</v>
      </c>
      <c r="F84" t="inlineStr">
        <is>
          <t>KALMAR LÄN</t>
        </is>
      </c>
      <c r="G84" t="inlineStr">
        <is>
          <t>BORGHOLM</t>
        </is>
      </c>
      <c r="I84" t="n">
        <v>3</v>
      </c>
      <c r="J84" t="n">
        <v>0</v>
      </c>
      <c r="K84" t="n">
        <v>0</v>
      </c>
      <c r="L84" t="n">
        <v>0</v>
      </c>
      <c r="M84" t="n">
        <v>0</v>
      </c>
      <c r="N84" t="n">
        <v>1</v>
      </c>
      <c r="O84" t="n">
        <v>0</v>
      </c>
      <c r="P84" t="n">
        <v>0</v>
      </c>
      <c r="Q84" t="n">
        <v>1</v>
      </c>
      <c r="R84" t="n">
        <v>1</v>
      </c>
      <c r="S84" t="n">
        <v>1</v>
      </c>
      <c r="T84" t="n">
        <v>3</v>
      </c>
      <c r="U84" t="n">
        <v>0</v>
      </c>
      <c r="V84" s="2" t="inlineStr">
        <is>
          <t>Ask</t>
        </is>
      </c>
      <c r="W84">
        <f>HYPERLINK("https://klasma.github.io/Logging_0885/artfynd/A 24701-2023 artfynd.xlsx", "A 24701-2023")</f>
        <v/>
      </c>
      <c r="X84">
        <f>HYPERLINK("https://klasma.github.io/Logging_0885/kartor/A 24701-2023 karta.png", "A 24701-2023")</f>
        <v/>
      </c>
      <c r="Y84">
        <f>HYPERLINK("https://klasma.github.io/Logging_0885/kartor_geotiff/A 24701-2023 georefererad karta.tif", "A 24701-2023")</f>
        <v/>
      </c>
      <c r="AA84">
        <f>HYPERLINK("https://klasma.github.io/Logging_0885/klagomål/A 24701-2023 FSC-klagomål.docx", "A 24701-2023")</f>
        <v/>
      </c>
      <c r="AB84">
        <f>HYPERLINK("https://klasma.github.io/Logging_0885/klagomålsmail/A 24701-2023 FSC-klagomål mail.docx", "A 24701-2023")</f>
        <v/>
      </c>
      <c r="AC84">
        <f>HYPERLINK("https://klasma.github.io/Logging_0885/tillsyn/A 24701-2023 tillsynsbegäran.docx", "A 24701-2023")</f>
        <v/>
      </c>
      <c r="AD84">
        <f>HYPERLINK("https://klasma.github.io/Logging_0885/tillsynsmail/A 24701-2023 tillsynsbegäran mail.docx", "A 24701-2023")</f>
        <v/>
      </c>
    </row>
    <row r="85" ht="15" customHeight="1">
      <c r="A85" t="inlineStr">
        <is>
          <t>A 9745-2023</t>
        </is>
      </c>
      <c r="B85" t="inlineStr">
        <is>
          <t>avverkningsanmälan</t>
        </is>
      </c>
      <c r="C85" t="inlineStr">
        <is>
          <t>Föryngringsavverkning</t>
        </is>
      </c>
      <c r="D85" s="1" t="n">
        <v>44984</v>
      </c>
      <c r="E85" s="1" t="n">
        <v>46252</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31720-2022</t>
        </is>
      </c>
      <c r="B86" t="inlineStr">
        <is>
          <t>avverkningsanmälan</t>
        </is>
      </c>
      <c r="C86" t="inlineStr">
        <is>
          <t>Föryngringsavverkning</t>
        </is>
      </c>
      <c r="D86" s="1" t="n">
        <v>44776</v>
      </c>
      <c r="E86" s="1" t="n">
        <v>46252</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63276-2023</t>
        </is>
      </c>
      <c r="B87" t="inlineStr">
        <is>
          <t>avverkningsanmälan</t>
        </is>
      </c>
      <c r="C87" t="inlineStr">
        <is>
          <t>Föryngringsavverkning</t>
        </is>
      </c>
      <c r="D87" s="1" t="n">
        <v>45273</v>
      </c>
      <c r="E87" s="1" t="n">
        <v>46252</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19867-2024</t>
        </is>
      </c>
      <c r="B88" t="inlineStr">
        <is>
          <t>avverkningsanmälan</t>
        </is>
      </c>
      <c r="C88" t="inlineStr">
        <is>
          <t>Föryngringsavverkning</t>
        </is>
      </c>
      <c r="D88" s="1" t="n">
        <v>45433</v>
      </c>
      <c r="E88" s="1" t="n">
        <v>46252</v>
      </c>
      <c r="F88" t="inlineStr">
        <is>
          <t>KALMAR LÄN</t>
        </is>
      </c>
      <c r="G88" t="inlineStr">
        <is>
          <t>BORGHOLM</t>
        </is>
      </c>
      <c r="I88" t="n">
        <v>3.9</v>
      </c>
      <c r="J88" t="n">
        <v>0</v>
      </c>
      <c r="K88" t="n">
        <v>0</v>
      </c>
      <c r="L88" t="n">
        <v>1</v>
      </c>
      <c r="M88" t="n">
        <v>0</v>
      </c>
      <c r="N88" t="n">
        <v>0</v>
      </c>
      <c r="O88" t="n">
        <v>0</v>
      </c>
      <c r="P88" t="n">
        <v>0</v>
      </c>
      <c r="Q88" t="n">
        <v>1</v>
      </c>
      <c r="R88" t="n">
        <v>0</v>
      </c>
      <c r="S88" t="n">
        <v>1</v>
      </c>
      <c r="T88" t="n">
        <v>1</v>
      </c>
      <c r="U88" t="n">
        <v>1</v>
      </c>
      <c r="V88" s="2" t="inlineStr">
        <is>
          <t>Åkerkulla</t>
        </is>
      </c>
      <c r="W88">
        <f>HYPERLINK("https://klasma.github.io/Logging_0885/artfynd/A 19867-2024 artfynd.xlsx", "A 19867-2024")</f>
        <v/>
      </c>
      <c r="X88">
        <f>HYPERLINK("https://klasma.github.io/Logging_0885/kartor/A 19867-2024 karta.png", "A 19867-2024")</f>
        <v/>
      </c>
      <c r="Y88">
        <f>HYPERLINK("https://klasma.github.io/Logging_0885/kartor_geotiff/A 19867-2024 georefererad karta.tif", "A 19867-2024")</f>
        <v/>
      </c>
      <c r="AA88">
        <f>HYPERLINK("https://klasma.github.io/Logging_0885/klagomål/A 19867-2024 FSC-klagomål.docx", "A 19867-2024")</f>
        <v/>
      </c>
      <c r="AB88">
        <f>HYPERLINK("https://klasma.github.io/Logging_0885/klagomålsmail/A 19867-2024 FSC-klagomål mail.docx", "A 19867-2024")</f>
        <v/>
      </c>
      <c r="AC88">
        <f>HYPERLINK("https://klasma.github.io/Logging_0885/tillsyn/A 19867-2024 tillsynsbegäran.docx", "A 19867-2024")</f>
        <v/>
      </c>
      <c r="AD88">
        <f>HYPERLINK("https://klasma.github.io/Logging_0885/tillsynsmail/A 19867-2024 tillsynsbegäran mail.docx", "A 19867-2024")</f>
        <v/>
      </c>
    </row>
    <row r="89" ht="15" customHeight="1">
      <c r="A89" t="inlineStr">
        <is>
          <t>A 3302-2026</t>
        </is>
      </c>
      <c r="B89" t="inlineStr">
        <is>
          <t>avverkningsanmälan</t>
        </is>
      </c>
      <c r="C89" t="inlineStr">
        <is>
          <t>Avverkning för annat ändamål</t>
        </is>
      </c>
      <c r="D89" s="1" t="n">
        <v>46041</v>
      </c>
      <c r="E89" s="1" t="n">
        <v>46252</v>
      </c>
      <c r="F89" t="inlineStr">
        <is>
          <t>KALMAR LÄN</t>
        </is>
      </c>
      <c r="G89" t="inlineStr">
        <is>
          <t>BORGHOLM</t>
        </is>
      </c>
      <c r="I89" t="n">
        <v>3.9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HYPERLINK("https://klasma.github.io/Logging_0885/artfynd/A 3302-2026 artfynd.xlsx", "A 3302-2026")</f>
        <v/>
      </c>
      <c r="X89">
        <f>HYPERLINK("https://klasma.github.io/Logging_0885/kartor/A 3302-2026 karta.png", "A 3302-2026")</f>
        <v/>
      </c>
      <c r="Y89">
        <f>HYPERLINK("https://klasma.github.io/Logging_0885/kartor_geotiff/A 3302-2026 georefererad karta.tif", "A 3302-2026")</f>
        <v/>
      </c>
      <c r="AA89">
        <f>HYPERLINK("https://klasma.github.io/Logging_0885/klagomål/A 3302-2026 FSC-klagomål.docx", "A 3302-2026")</f>
        <v/>
      </c>
      <c r="AB89">
        <f>HYPERLINK("https://klasma.github.io/Logging_0885/klagomålsmail/A 3302-2026 FSC-klagomål mail.docx", "A 3302-2026")</f>
        <v/>
      </c>
      <c r="AC89">
        <f>HYPERLINK("https://klasma.github.io/Logging_0885/tillsyn/A 3302-2026 tillsynsbegäran.docx", "A 3302-2026")</f>
        <v/>
      </c>
      <c r="AD89">
        <f>HYPERLINK("https://klasma.github.io/Logging_0885/tillsynsmail/A 3302-2026 tillsynsbegäran mail.docx", "A 3302-2026")</f>
        <v/>
      </c>
    </row>
    <row r="90" ht="15" customHeight="1">
      <c r="A90" t="inlineStr">
        <is>
          <t>A 24704-2023</t>
        </is>
      </c>
      <c r="B90" t="inlineStr">
        <is>
          <t>avverkningsanmälan</t>
        </is>
      </c>
      <c r="C90" t="inlineStr">
        <is>
          <t>Föryngringsavverkning</t>
        </is>
      </c>
      <c r="D90" s="1" t="n">
        <v>45084</v>
      </c>
      <c r="E90" s="1" t="n">
        <v>46252</v>
      </c>
      <c r="F90" t="inlineStr">
        <is>
          <t>KALMAR LÄN</t>
        </is>
      </c>
      <c r="G90" t="inlineStr">
        <is>
          <t>BORGHOLM</t>
        </is>
      </c>
      <c r="I90" t="n">
        <v>3.5</v>
      </c>
      <c r="J90" t="n">
        <v>0</v>
      </c>
      <c r="K90" t="n">
        <v>0</v>
      </c>
      <c r="L90" t="n">
        <v>0</v>
      </c>
      <c r="M90" t="n">
        <v>0</v>
      </c>
      <c r="N90" t="n">
        <v>1</v>
      </c>
      <c r="O90" t="n">
        <v>0</v>
      </c>
      <c r="P90" t="n">
        <v>0</v>
      </c>
      <c r="Q90" t="n">
        <v>1</v>
      </c>
      <c r="R90" t="n">
        <v>1</v>
      </c>
      <c r="S90" t="n">
        <v>1</v>
      </c>
      <c r="T90" t="n">
        <v>2</v>
      </c>
      <c r="U90" t="n">
        <v>0</v>
      </c>
      <c r="V90" s="2" t="inlineStr">
        <is>
          <t>Ask</t>
        </is>
      </c>
      <c r="W90">
        <f>HYPERLINK("https://klasma.github.io/Logging_0885/artfynd/A 24704-2023 artfynd.xlsx", "A 24704-2023")</f>
        <v/>
      </c>
      <c r="X90">
        <f>HYPERLINK("https://klasma.github.io/Logging_0885/kartor/A 24704-2023 karta.png", "A 24704-2023")</f>
        <v/>
      </c>
      <c r="Y90">
        <f>HYPERLINK("https://klasma.github.io/Logging_0885/kartor_geotiff/A 24704-2023 georefererad karta.tif", "A 24704-2023")</f>
        <v/>
      </c>
      <c r="AA90">
        <f>HYPERLINK("https://klasma.github.io/Logging_0885/klagomål/A 24704-2023 FSC-klagomål.docx", "A 24704-2023")</f>
        <v/>
      </c>
      <c r="AB90">
        <f>HYPERLINK("https://klasma.github.io/Logging_0885/klagomålsmail/A 24704-2023 FSC-klagomål mail.docx", "A 24704-2023")</f>
        <v/>
      </c>
      <c r="AC90">
        <f>HYPERLINK("https://klasma.github.io/Logging_0885/tillsyn/A 24704-2023 tillsynsbegäran.docx", "A 24704-2023")</f>
        <v/>
      </c>
      <c r="AD90">
        <f>HYPERLINK("https://klasma.github.io/Logging_0885/tillsynsmail/A 24704-2023 tillsynsbegäran mail.docx", "A 24704-2023")</f>
        <v/>
      </c>
    </row>
    <row r="91" ht="15" customHeight="1">
      <c r="A91" t="inlineStr">
        <is>
          <t>A 7481-2026</t>
        </is>
      </c>
      <c r="B91" t="inlineStr">
        <is>
          <t>avverkningsanmälan</t>
        </is>
      </c>
      <c r="C91" t="inlineStr">
        <is>
          <t>Föryngringsavverkning</t>
        </is>
      </c>
      <c r="D91" s="1" t="n">
        <v>46059</v>
      </c>
      <c r="E91" s="1" t="n">
        <v>46252</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9104-2026</t>
        </is>
      </c>
      <c r="B92" t="inlineStr">
        <is>
          <t>avverkningsanmälan</t>
        </is>
      </c>
      <c r="C92" t="inlineStr">
        <is>
          <t>Avverkning för annat ändamål</t>
        </is>
      </c>
      <c r="D92" s="1" t="n">
        <v>46069</v>
      </c>
      <c r="E92" s="1" t="n">
        <v>46252</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46252</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26840-2026</t>
        </is>
      </c>
      <c r="B94" t="inlineStr">
        <is>
          <t>avverkningsanmälan</t>
        </is>
      </c>
      <c r="C94" t="inlineStr">
        <is>
          <t>Avverkning för att bevara och utveckla /försöksver</t>
        </is>
      </c>
      <c r="D94" s="1" t="n">
        <v>46185</v>
      </c>
      <c r="E94" s="1" t="n">
        <v>46252</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13043-2024</t>
        </is>
      </c>
      <c r="B95" t="inlineStr">
        <is>
          <t>avverkningsanmälan</t>
        </is>
      </c>
      <c r="C95" t="inlineStr">
        <is>
          <t>Föryngringsavverkning</t>
        </is>
      </c>
      <c r="D95" s="1" t="n">
        <v>45385</v>
      </c>
      <c r="E95" s="1" t="n">
        <v>46252</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28374-2026</t>
        </is>
      </c>
      <c r="B96" t="inlineStr">
        <is>
          <t>avverkningsanmälan</t>
        </is>
      </c>
      <c r="C96" t="inlineStr">
        <is>
          <t>Avverkning för att bevara och utveckla /försöksver</t>
        </is>
      </c>
      <c r="D96" s="1" t="n">
        <v>46196</v>
      </c>
      <c r="E96" s="1" t="n">
        <v>46252</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46252</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20878-2024</t>
        </is>
      </c>
      <c r="B98" t="inlineStr">
        <is>
          <t>avverkningsanmälan</t>
        </is>
      </c>
      <c r="C98" t="inlineStr">
        <is>
          <t>Föryngringsavverkning</t>
        </is>
      </c>
      <c r="D98" s="1" t="n">
        <v>45439</v>
      </c>
      <c r="E98" s="1" t="n">
        <v>46252</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A 33293-2026</t>
        </is>
      </c>
      <c r="B99" t="inlineStr">
        <is>
          <t>avverkningsanmälan</t>
        </is>
      </c>
      <c r="C99" t="inlineStr">
        <is>
          <t>Avverkning för att bevara och utveckla /försöksver</t>
        </is>
      </c>
      <c r="D99" s="1" t="n">
        <v>46246</v>
      </c>
      <c r="E99" s="1" t="n">
        <v>46252</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46252</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46252</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46252</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46252</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46252</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46252</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46252</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46252</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46252</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46252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46252</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46252</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46252</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46252</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46252</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9076-2025</t>
        </is>
      </c>
      <c r="B115" t="inlineStr">
        <is>
          <t>avverkningsanmälan</t>
        </is>
      </c>
      <c r="C115" t="inlineStr">
        <is>
          <t>Föryngringsavverkning</t>
        </is>
      </c>
      <c r="D115" s="1" t="n">
        <v>45713</v>
      </c>
      <c r="E115" s="1" t="n">
        <v>46252</v>
      </c>
      <c r="F115" t="inlineStr">
        <is>
          <t>KALMAR LÄN</t>
        </is>
      </c>
      <c r="G115" t="inlineStr">
        <is>
          <t>BORGHOLM</t>
        </is>
      </c>
      <c r="H115" t="inlineStr">
        <is>
          <t>Sveaskog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1757-2025</t>
        </is>
      </c>
      <c r="B116" t="inlineStr">
        <is>
          <t>avverkningsanmälan</t>
        </is>
      </c>
      <c r="C116" t="inlineStr">
        <is>
          <t>Föryngringsavverkning</t>
        </is>
      </c>
      <c r="D116" s="1" t="n">
        <v>45671</v>
      </c>
      <c r="E116" s="1" t="n">
        <v>46252</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3878-2023</t>
        </is>
      </c>
      <c r="B117" t="inlineStr">
        <is>
          <t>avverkningsanmälan</t>
        </is>
      </c>
      <c r="C117" t="inlineStr">
        <is>
          <t>Föryngringsavverkning</t>
        </is>
      </c>
      <c r="D117" s="1" t="n">
        <v>44951</v>
      </c>
      <c r="E117" s="1" t="n">
        <v>46252</v>
      </c>
      <c r="F117" t="inlineStr">
        <is>
          <t>KALMAR LÄN</t>
        </is>
      </c>
      <c r="G117" t="inlineStr">
        <is>
          <t>BORGHOLM</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12937-2022</t>
        </is>
      </c>
      <c r="B118" t="inlineStr">
        <is>
          <t>avverkningsanmälan</t>
        </is>
      </c>
      <c r="C118" t="inlineStr">
        <is>
          <t>Föryngringsavverkning</t>
        </is>
      </c>
      <c r="D118" s="1" t="n">
        <v>44642</v>
      </c>
      <c r="E118" s="1" t="n">
        <v>46252</v>
      </c>
      <c r="F118" t="inlineStr">
        <is>
          <t>KALMAR LÄN</t>
        </is>
      </c>
      <c r="G118" t="inlineStr">
        <is>
          <t>BORGHOLM</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46252</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46252</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9050-2025</t>
        </is>
      </c>
      <c r="B121" t="inlineStr">
        <is>
          <t>avverkningsanmälan</t>
        </is>
      </c>
      <c r="C121" t="inlineStr">
        <is>
          <t>Avverkning för att bevara och utveckla /försöksver</t>
        </is>
      </c>
      <c r="D121" s="1" t="n">
        <v>45713</v>
      </c>
      <c r="E121" s="1" t="n">
        <v>46252</v>
      </c>
      <c r="F121" t="inlineStr">
        <is>
          <t>KALMAR LÄN</t>
        </is>
      </c>
      <c r="G121" t="inlineStr">
        <is>
          <t>BORGHOLM</t>
        </is>
      </c>
      <c r="H121" t="inlineStr">
        <is>
          <t>Sveaskog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46252</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46252</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43603-2024</t>
        </is>
      </c>
      <c r="B124" t="inlineStr">
        <is>
          <t>avverkningsanmälan</t>
        </is>
      </c>
      <c r="C124" t="inlineStr">
        <is>
          <t>Föryngringsavverkning</t>
        </is>
      </c>
      <c r="D124" s="1" t="n">
        <v>45569</v>
      </c>
      <c r="E124" s="1" t="n">
        <v>46252</v>
      </c>
      <c r="F124" t="inlineStr">
        <is>
          <t>KALMAR LÄN</t>
        </is>
      </c>
      <c r="G124" t="inlineStr">
        <is>
          <t>BORGHOLM</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64303-2023</t>
        </is>
      </c>
      <c r="B125" t="inlineStr">
        <is>
          <t>avverkningsanmälan</t>
        </is>
      </c>
      <c r="C125" t="inlineStr">
        <is>
          <t>Avverkning för annat ändamål</t>
        </is>
      </c>
      <c r="D125" s="1" t="n">
        <v>45280</v>
      </c>
      <c r="E125" s="1" t="n">
        <v>46252</v>
      </c>
      <c r="F125" t="inlineStr">
        <is>
          <t>KALMAR LÄN</t>
        </is>
      </c>
      <c r="G125" t="inlineStr">
        <is>
          <t>BORGHOLM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55367-2024</t>
        </is>
      </c>
      <c r="B126" t="inlineStr">
        <is>
          <t>avverkningsanmälan</t>
        </is>
      </c>
      <c r="C126" t="inlineStr">
        <is>
          <t>Föryngringsavverkning</t>
        </is>
      </c>
      <c r="D126" s="1" t="n">
        <v>45621</v>
      </c>
      <c r="E126" s="1" t="n">
        <v>46252</v>
      </c>
      <c r="F126" t="inlineStr">
        <is>
          <t>KALMAR LÄN</t>
        </is>
      </c>
      <c r="G126" t="inlineStr">
        <is>
          <t>BORGHOLM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4159-2024</t>
        </is>
      </c>
      <c r="B127" t="inlineStr">
        <is>
          <t>avverkningsanmälan</t>
        </is>
      </c>
      <c r="C127" t="inlineStr">
        <is>
          <t>Föryngringsavverkning</t>
        </is>
      </c>
      <c r="D127" s="1" t="n">
        <v>45323</v>
      </c>
      <c r="E127" s="1" t="n">
        <v>46252</v>
      </c>
      <c r="F127" t="inlineStr">
        <is>
          <t>KALMAR LÄN</t>
        </is>
      </c>
      <c r="G127" t="inlineStr">
        <is>
          <t>BORGHOLM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32919-2023</t>
        </is>
      </c>
      <c r="B128" t="inlineStr">
        <is>
          <t>avverkningsanmälan</t>
        </is>
      </c>
      <c r="C128" t="inlineStr">
        <is>
          <t>Föryngringsavverkning</t>
        </is>
      </c>
      <c r="D128" s="1" t="n">
        <v>45125</v>
      </c>
      <c r="E128" s="1" t="n">
        <v>46252</v>
      </c>
      <c r="F128" t="inlineStr">
        <is>
          <t>KALMAR LÄN</t>
        </is>
      </c>
      <c r="G128" t="inlineStr">
        <is>
          <t>BORGHOLM</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32921-2023</t>
        </is>
      </c>
      <c r="B129" t="inlineStr">
        <is>
          <t>avverkningsanmälan</t>
        </is>
      </c>
      <c r="C129" t="inlineStr">
        <is>
          <t>Föryngringsavverkning</t>
        </is>
      </c>
      <c r="D129" s="1" t="n">
        <v>45125</v>
      </c>
      <c r="E129" s="1" t="n">
        <v>46252</v>
      </c>
      <c r="F129" t="inlineStr">
        <is>
          <t>KALMAR LÄN</t>
        </is>
      </c>
      <c r="G129" t="inlineStr">
        <is>
          <t>BORGHOLM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31699-2022</t>
        </is>
      </c>
      <c r="B130" t="inlineStr">
        <is>
          <t>avverkningsanmälan</t>
        </is>
      </c>
      <c r="C130" t="inlineStr">
        <is>
          <t>Föryngringsavverkning</t>
        </is>
      </c>
      <c r="D130" s="1" t="n">
        <v>44776</v>
      </c>
      <c r="E130" s="1" t="n">
        <v>46252</v>
      </c>
      <c r="F130" t="inlineStr">
        <is>
          <t>KALMAR LÄN</t>
        </is>
      </c>
      <c r="G130" t="inlineStr">
        <is>
          <t>BORGHOLM</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44547-2021</t>
        </is>
      </c>
      <c r="B131" t="inlineStr">
        <is>
          <t>avverkningsanmälan</t>
        </is>
      </c>
      <c r="C131" t="inlineStr">
        <is>
          <t>Avverkning för annat ändamål</t>
        </is>
      </c>
      <c r="D131" s="1" t="n">
        <v>44435</v>
      </c>
      <c r="E131" s="1" t="n">
        <v>46252</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5175-2024</t>
        </is>
      </c>
      <c r="B132" t="inlineStr">
        <is>
          <t>avverkningsanmälan</t>
        </is>
      </c>
      <c r="C132" t="inlineStr">
        <is>
          <t>Föryngringsavverkning</t>
        </is>
      </c>
      <c r="D132" s="1" t="n">
        <v>45330</v>
      </c>
      <c r="E132" s="1" t="n">
        <v>46252</v>
      </c>
      <c r="F132" t="inlineStr">
        <is>
          <t>KALMAR LÄN</t>
        </is>
      </c>
      <c r="G132" t="inlineStr">
        <is>
          <t>BORGHOLM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34951-2022</t>
        </is>
      </c>
      <c r="B133" t="inlineStr">
        <is>
          <t>avverkningsanmälan</t>
        </is>
      </c>
      <c r="C133" t="inlineStr">
        <is>
          <t>Avverkning för att bevara och utveckla /försöksver</t>
        </is>
      </c>
      <c r="D133" s="1" t="n">
        <v>44796</v>
      </c>
      <c r="E133" s="1" t="n">
        <v>46252</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1614-2025</t>
        </is>
      </c>
      <c r="B134" t="inlineStr">
        <is>
          <t>avverkningsanmälan</t>
        </is>
      </c>
      <c r="C134" t="inlineStr">
        <is>
          <t>Föryngringsavverkning</t>
        </is>
      </c>
      <c r="D134" s="1" t="n">
        <v>45670</v>
      </c>
      <c r="E134" s="1" t="n">
        <v>46252</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13383-2023</t>
        </is>
      </c>
      <c r="B135" t="inlineStr">
        <is>
          <t>avverkningsanmälan</t>
        </is>
      </c>
      <c r="C135" t="inlineStr">
        <is>
          <t>Föryngringsavverkning</t>
        </is>
      </c>
      <c r="D135" s="1" t="n">
        <v>45005</v>
      </c>
      <c r="E135" s="1" t="n">
        <v>46252</v>
      </c>
      <c r="F135" t="inlineStr">
        <is>
          <t>KALMAR LÄN</t>
        </is>
      </c>
      <c r="G135" t="inlineStr">
        <is>
          <t>BORGHOLM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61438-2023</t>
        </is>
      </c>
      <c r="B136" t="inlineStr">
        <is>
          <t>avverkningsanmälan</t>
        </is>
      </c>
      <c r="C136" t="inlineStr">
        <is>
          <t>Avverkning för annat ändamål</t>
        </is>
      </c>
      <c r="D136" s="1" t="n">
        <v>45264</v>
      </c>
      <c r="E136" s="1" t="n">
        <v>46252</v>
      </c>
      <c r="F136" t="inlineStr">
        <is>
          <t>KALMAR LÄN</t>
        </is>
      </c>
      <c r="G136" t="inlineStr">
        <is>
          <t>BORGHOLM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13041-2024</t>
        </is>
      </c>
      <c r="B137" t="inlineStr">
        <is>
          <t>avverkningsanmälan</t>
        </is>
      </c>
      <c r="C137" t="inlineStr">
        <is>
          <t>Föryngringsavverkning</t>
        </is>
      </c>
      <c r="D137" s="1" t="n">
        <v>45385</v>
      </c>
      <c r="E137" s="1" t="n">
        <v>46252</v>
      </c>
      <c r="F137" t="inlineStr">
        <is>
          <t>KALMAR LÄN</t>
        </is>
      </c>
      <c r="G137" t="inlineStr">
        <is>
          <t>BORGHOLM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53050-2021</t>
        </is>
      </c>
      <c r="B138" t="inlineStr">
        <is>
          <t>avverkningsanmälan</t>
        </is>
      </c>
      <c r="C138" t="inlineStr">
        <is>
          <t>Föryngringsavverkning</t>
        </is>
      </c>
      <c r="D138" s="1" t="n">
        <v>44467</v>
      </c>
      <c r="E138" s="1" t="n">
        <v>46252</v>
      </c>
      <c r="F138" t="inlineStr">
        <is>
          <t>KALMAR LÄN</t>
        </is>
      </c>
      <c r="G138" t="inlineStr">
        <is>
          <t>BORGHOLM</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4165-2023</t>
        </is>
      </c>
      <c r="B139" t="inlineStr">
        <is>
          <t>avverkningsanmälan</t>
        </is>
      </c>
      <c r="C139" t="inlineStr">
        <is>
          <t>Föryngringsavverkning</t>
        </is>
      </c>
      <c r="D139" s="1" t="n">
        <v>44953</v>
      </c>
      <c r="E139" s="1" t="n">
        <v>46252</v>
      </c>
      <c r="F139" t="inlineStr">
        <is>
          <t>KALMAR LÄN</t>
        </is>
      </c>
      <c r="G139" t="inlineStr">
        <is>
          <t>BORGHOLM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9259-2026</t>
        </is>
      </c>
      <c r="B140" t="inlineStr">
        <is>
          <t>avverkningsanmälan</t>
        </is>
      </c>
      <c r="C140" t="inlineStr">
        <is>
          <t>Föryngringsavverkning</t>
        </is>
      </c>
      <c r="D140" s="1" t="n">
        <v>46070</v>
      </c>
      <c r="E140" s="1" t="n">
        <v>46252</v>
      </c>
      <c r="F140" t="inlineStr">
        <is>
          <t>KALMAR LÄN</t>
        </is>
      </c>
      <c r="G140" t="inlineStr">
        <is>
          <t>BORGHOLM</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34780-2022</t>
        </is>
      </c>
      <c r="B141" t="inlineStr">
        <is>
          <t>avverkningsanmälan</t>
        </is>
      </c>
      <c r="C141" t="inlineStr">
        <is>
          <t>Föryngringsavverkning</t>
        </is>
      </c>
      <c r="D141" s="1" t="n">
        <v>44795</v>
      </c>
      <c r="E141" s="1" t="n">
        <v>46252</v>
      </c>
      <c r="F141" t="inlineStr">
        <is>
          <t>KALMAR LÄN</t>
        </is>
      </c>
      <c r="G141" t="inlineStr">
        <is>
          <t>BORGHOLM</t>
        </is>
      </c>
      <c r="H141" t="inlineStr">
        <is>
          <t>Sveaskog</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15272-2026</t>
        </is>
      </c>
      <c r="B142" t="inlineStr">
        <is>
          <t>avverkningsanmälan</t>
        </is>
      </c>
      <c r="C142" t="inlineStr">
        <is>
          <t>Avverkning för att bevara och utveckla /försöksver</t>
        </is>
      </c>
      <c r="D142" s="1" t="n">
        <v>46105</v>
      </c>
      <c r="E142" s="1" t="n">
        <v>46252</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15279-2026</t>
        </is>
      </c>
      <c r="B143" t="inlineStr">
        <is>
          <t>avverkningsanmälan</t>
        </is>
      </c>
      <c r="C143" t="inlineStr">
        <is>
          <t>Avverkning för att bevara och utveckla /försöksver</t>
        </is>
      </c>
      <c r="D143" s="1" t="n">
        <v>46105</v>
      </c>
      <c r="E143" s="1" t="n">
        <v>46252</v>
      </c>
      <c r="F143" t="inlineStr">
        <is>
          <t>KALMAR LÄN</t>
        </is>
      </c>
      <c r="G143" t="inlineStr">
        <is>
          <t>BORGHOLM</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15264-2026</t>
        </is>
      </c>
      <c r="B144" t="inlineStr">
        <is>
          <t>avverkningsanmälan</t>
        </is>
      </c>
      <c r="C144" t="inlineStr">
        <is>
          <t>Avverkning för att bevara och utveckla /försöksver</t>
        </is>
      </c>
      <c r="D144" s="1" t="n">
        <v>46105</v>
      </c>
      <c r="E144" s="1" t="n">
        <v>46252</v>
      </c>
      <c r="F144" t="inlineStr">
        <is>
          <t>KALMAR LÄN</t>
        </is>
      </c>
      <c r="G144" t="inlineStr">
        <is>
          <t>BORGHOLM</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28381-2026</t>
        </is>
      </c>
      <c r="B145" t="inlineStr">
        <is>
          <t>avverkningsanmälan</t>
        </is>
      </c>
      <c r="C145" t="inlineStr">
        <is>
          <t>Avverkning för att bevara och utveckla /försöksver</t>
        </is>
      </c>
      <c r="D145" s="1" t="n">
        <v>46196</v>
      </c>
      <c r="E145" s="1" t="n">
        <v>46252</v>
      </c>
      <c r="F145" t="inlineStr">
        <is>
          <t>KALMAR LÄN</t>
        </is>
      </c>
      <c r="G145" t="inlineStr">
        <is>
          <t>BORGHOLM</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28380-2026</t>
        </is>
      </c>
      <c r="B146" t="inlineStr">
        <is>
          <t>avverkningsanmälan</t>
        </is>
      </c>
      <c r="C146" t="inlineStr">
        <is>
          <t>Avverkning för att bevara och utveckla /försöksver</t>
        </is>
      </c>
      <c r="D146" s="1" t="n">
        <v>46196</v>
      </c>
      <c r="E146" s="1" t="n">
        <v>46252</v>
      </c>
      <c r="F146" t="inlineStr">
        <is>
          <t>KALMAR LÄN</t>
        </is>
      </c>
      <c r="G146" t="inlineStr">
        <is>
          <t>BORGHOLM</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28411-2026</t>
        </is>
      </c>
      <c r="B147" t="inlineStr">
        <is>
          <t>avverkningsanmälan</t>
        </is>
      </c>
      <c r="C147" t="inlineStr">
        <is>
          <t>Avverkning för att bevara och utveckla /försöksver</t>
        </is>
      </c>
      <c r="D147" s="1" t="n">
        <v>46197</v>
      </c>
      <c r="E147" s="1" t="n">
        <v>46252</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46252</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26160-2024</t>
        </is>
      </c>
      <c r="B149" t="inlineStr">
        <is>
          <t>avverkningsanmälan</t>
        </is>
      </c>
      <c r="C149" t="inlineStr">
        <is>
          <t>Avverkning för annat ändamål</t>
        </is>
      </c>
      <c r="D149" s="1" t="n">
        <v>45468</v>
      </c>
      <c r="E149" s="1" t="n">
        <v>46252</v>
      </c>
      <c r="F149" t="inlineStr">
        <is>
          <t>KALMAR LÄN</t>
        </is>
      </c>
      <c r="G149" t="inlineStr">
        <is>
          <t>BORGHOLM</t>
        </is>
      </c>
      <c r="I149" t="n">
        <v>0.4</v>
      </c>
      <c r="J149" t="n">
        <v>0</v>
      </c>
      <c r="K149" t="n">
        <v>0</v>
      </c>
      <c r="L149" t="n">
        <v>0</v>
      </c>
      <c r="M149" t="n">
        <v>0</v>
      </c>
      <c r="N149" t="n">
        <v>0</v>
      </c>
      <c r="O149" t="n">
        <v>0</v>
      </c>
      <c r="P149" t="n">
        <v>0</v>
      </c>
      <c r="Q149" t="n">
        <v>0</v>
      </c>
      <c r="R149" t="n">
        <v>0</v>
      </c>
      <c r="S149" t="n">
        <v>0</v>
      </c>
      <c r="T149" t="n">
        <v>0</v>
      </c>
      <c r="U149" t="n">
        <v>0</v>
      </c>
      <c r="V149" s="2" t="inlineStr"/>
      <c r="X149">
        <f>HYPERLINK("https://klasma.github.io/Logging_0885/kartor/A 26160-2024 karta.png", "A 26160-2024")</f>
        <v/>
      </c>
      <c r="Y149">
        <f>HYPERLINK("https://klasma.github.io/Logging_0885/kartor_geotiff/A 26160-2024 georefererad karta.tif", "A 26160-2024")</f>
        <v/>
      </c>
      <c r="AA149">
        <f>HYPERLINK("https://klasma.github.io/Logging_0885/klagomål/A 26160-2024 FSC-klagomål.docx", "A 26160-2024")</f>
        <v/>
      </c>
      <c r="AB149">
        <f>HYPERLINK("https://klasma.github.io/Logging_0885/klagomålsmail/A 26160-2024 FSC-klagomål mail.docx", "A 26160-2024")</f>
        <v/>
      </c>
      <c r="AC149">
        <f>HYPERLINK("https://klasma.github.io/Logging_0885/tillsyn/A 26160-2024 tillsynsbegäran.docx", "A 26160-2024")</f>
        <v/>
      </c>
      <c r="AD149">
        <f>HYPERLINK("https://klasma.github.io/Logging_0885/tillsynsmail/A 26160-2024 tillsynsbegäran mail.docx", "A 26160-2024")</f>
        <v/>
      </c>
    </row>
    <row r="150" ht="15" customHeight="1">
      <c r="A150" t="inlineStr">
        <is>
          <t>A 29413-2026</t>
        </is>
      </c>
      <c r="B150" t="inlineStr">
        <is>
          <t>avverkningsanmälan</t>
        </is>
      </c>
      <c r="C150" t="inlineStr">
        <is>
          <t>Avverkning för att bevara och utveckla /försöksver</t>
        </is>
      </c>
      <c r="D150" s="1" t="n">
        <v>46203</v>
      </c>
      <c r="E150" s="1" t="n">
        <v>46252</v>
      </c>
      <c r="F150" t="inlineStr">
        <is>
          <t>KALMAR LÄN</t>
        </is>
      </c>
      <c r="G150" t="inlineStr">
        <is>
          <t>BORGHOLM</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29414-2026</t>
        </is>
      </c>
      <c r="B151" t="inlineStr">
        <is>
          <t>avverkningsanmälan</t>
        </is>
      </c>
      <c r="C151" t="inlineStr">
        <is>
          <t>Avverkning för att bevara och utveckla /försöksver</t>
        </is>
      </c>
      <c r="D151" s="1" t="n">
        <v>46203</v>
      </c>
      <c r="E151" s="1" t="n">
        <v>46252</v>
      </c>
      <c r="F151" t="inlineStr">
        <is>
          <t>KALMAR LÄN</t>
        </is>
      </c>
      <c r="G151" t="inlineStr">
        <is>
          <t>BORGHOLM</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29431-2026</t>
        </is>
      </c>
      <c r="B152" t="inlineStr">
        <is>
          <t>avverkningsanmälan</t>
        </is>
      </c>
      <c r="C152" t="inlineStr">
        <is>
          <t>Avverkning för att bevara och utveckla /försöksver</t>
        </is>
      </c>
      <c r="D152" s="1" t="n">
        <v>46203</v>
      </c>
      <c r="E152" s="1" t="n">
        <v>46252</v>
      </c>
      <c r="F152" t="inlineStr">
        <is>
          <t>KALMAR LÄN</t>
        </is>
      </c>
      <c r="G152" t="inlineStr">
        <is>
          <t>BORGHOLM</t>
        </is>
      </c>
      <c r="H152" t="inlineStr">
        <is>
          <t>Sveaskog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29410-2026</t>
        </is>
      </c>
      <c r="B153" t="inlineStr">
        <is>
          <t>avverkningsanmälan</t>
        </is>
      </c>
      <c r="C153" t="inlineStr">
        <is>
          <t>Avverkning för att bevara och utveckla /försöksver</t>
        </is>
      </c>
      <c r="D153" s="1" t="n">
        <v>46203</v>
      </c>
      <c r="E153" s="1" t="n">
        <v>46252</v>
      </c>
      <c r="F153" t="inlineStr">
        <is>
          <t>KALMAR LÄN</t>
        </is>
      </c>
      <c r="G153" t="inlineStr">
        <is>
          <t>BORGHOLM</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63075-2023</t>
        </is>
      </c>
      <c r="B154" t="inlineStr">
        <is>
          <t>avverkningsanmälan</t>
        </is>
      </c>
      <c r="C154" t="inlineStr">
        <is>
          <t>Avverkning för annat ändamål</t>
        </is>
      </c>
      <c r="D154" s="1" t="n">
        <v>45273</v>
      </c>
      <c r="E154" s="1" t="n">
        <v>46252</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27357-2025</t>
        </is>
      </c>
      <c r="B155" t="inlineStr">
        <is>
          <t>avverkningsanmälan</t>
        </is>
      </c>
      <c r="C155" t="inlineStr">
        <is>
          <t>Avverkning för att bevara och utveckla /försöksver</t>
        </is>
      </c>
      <c r="D155" s="1" t="n">
        <v>45812</v>
      </c>
      <c r="E155" s="1" t="n">
        <v>46252</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7669-2024</t>
        </is>
      </c>
      <c r="B156" t="inlineStr">
        <is>
          <t>avverkningsanmälan</t>
        </is>
      </c>
      <c r="C156" t="inlineStr">
        <is>
          <t>Föryngringsavverkning</t>
        </is>
      </c>
      <c r="D156" s="1" t="n">
        <v>45348</v>
      </c>
      <c r="E156" s="1" t="n">
        <v>46252</v>
      </c>
      <c r="F156" t="inlineStr">
        <is>
          <t>KALMAR LÄN</t>
        </is>
      </c>
      <c r="G156" t="inlineStr">
        <is>
          <t>BORGHOLM</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46252</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24323-2026</t>
        </is>
      </c>
      <c r="B158" t="inlineStr">
        <is>
          <t>avverkningsanmälan</t>
        </is>
      </c>
      <c r="C158" t="inlineStr">
        <is>
          <t>Föryngringsavverkning</t>
        </is>
      </c>
      <c r="D158" s="1" t="n">
        <v>46169</v>
      </c>
      <c r="E158" s="1" t="n">
        <v>46252</v>
      </c>
      <c r="F158" t="inlineStr">
        <is>
          <t>KALMAR LÄN</t>
        </is>
      </c>
      <c r="G158" t="inlineStr">
        <is>
          <t>BORGHOLM</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24345-2026</t>
        </is>
      </c>
      <c r="B159" t="inlineStr">
        <is>
          <t>avverkningsanmälan</t>
        </is>
      </c>
      <c r="C159" t="inlineStr">
        <is>
          <t>Avverkning för att bevara och utveckla /försöksver</t>
        </is>
      </c>
      <c r="D159" s="1" t="n">
        <v>46169</v>
      </c>
      <c r="E159" s="1" t="n">
        <v>46252</v>
      </c>
      <c r="F159" t="inlineStr">
        <is>
          <t>KALMAR LÄN</t>
        </is>
      </c>
      <c r="G159" t="inlineStr">
        <is>
          <t>BORGHOLM</t>
        </is>
      </c>
      <c r="H159" t="inlineStr">
        <is>
          <t>Sveaskog</t>
        </is>
      </c>
      <c r="I159" t="n">
        <v>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24338-2026</t>
        </is>
      </c>
      <c r="B160" t="inlineStr">
        <is>
          <t>avverkningsanmälan</t>
        </is>
      </c>
      <c r="C160" t="inlineStr">
        <is>
          <t>Avverkning för att bevara och utveckla /försöksver</t>
        </is>
      </c>
      <c r="D160" s="1" t="n">
        <v>46169</v>
      </c>
      <c r="E160" s="1" t="n">
        <v>46252</v>
      </c>
      <c r="F160" t="inlineStr">
        <is>
          <t>KALMAR LÄN</t>
        </is>
      </c>
      <c r="G160" t="inlineStr">
        <is>
          <t>BORGHOLM</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40339-2023</t>
        </is>
      </c>
      <c r="B161" t="inlineStr">
        <is>
          <t>avverkningsanmälan</t>
        </is>
      </c>
      <c r="C161" t="inlineStr">
        <is>
          <t>Föryngringsavverkning</t>
        </is>
      </c>
      <c r="D161" s="1" t="n">
        <v>45169</v>
      </c>
      <c r="E161" s="1" t="n">
        <v>46252</v>
      </c>
      <c r="F161" t="inlineStr">
        <is>
          <t>KALMAR LÄN</t>
        </is>
      </c>
      <c r="G161" t="inlineStr">
        <is>
          <t>BORGHOLM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26190-2025</t>
        </is>
      </c>
      <c r="B162" t="inlineStr">
        <is>
          <t>avverkningsanmälan</t>
        </is>
      </c>
      <c r="C162" t="inlineStr">
        <is>
          <t>Föryngringsavverkning</t>
        </is>
      </c>
      <c r="D162" s="1" t="n">
        <v>45805</v>
      </c>
      <c r="E162" s="1" t="n">
        <v>46252</v>
      </c>
      <c r="F162" t="inlineStr">
        <is>
          <t>KALMAR LÄN</t>
        </is>
      </c>
      <c r="G162" t="inlineStr">
        <is>
          <t>BORGHOLM</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46252</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46252</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46252</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46252</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46252</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46252</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46252</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46252</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46252</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1806-2026</t>
        </is>
      </c>
      <c r="B172" t="inlineStr">
        <is>
          <t>samrådsanmälan</t>
        </is>
      </c>
      <c r="C172" t="inlineStr">
        <is>
          <t>Annan skogsbruksåtgärd</t>
        </is>
      </c>
      <c r="D172" s="1" t="n">
        <v>46196</v>
      </c>
      <c r="E172" s="1" t="n">
        <v>46252</v>
      </c>
      <c r="F172" t="inlineStr">
        <is>
          <t>KALMAR LÄN</t>
        </is>
      </c>
      <c r="G172" t="inlineStr">
        <is>
          <t>BORGHOLM</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1807-2026</t>
        </is>
      </c>
      <c r="B173" t="inlineStr">
        <is>
          <t>samrådsanmälan</t>
        </is>
      </c>
      <c r="C173" t="inlineStr">
        <is>
          <t>Annan skogsbruksåtgärd</t>
        </is>
      </c>
      <c r="D173" s="1" t="n">
        <v>46196</v>
      </c>
      <c r="E173" s="1" t="n">
        <v>46252</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1812-2026</t>
        </is>
      </c>
      <c r="B174" t="inlineStr">
        <is>
          <t>samrådsanmälan</t>
        </is>
      </c>
      <c r="C174" t="inlineStr">
        <is>
          <t>Annan skogsbruksåtgärd</t>
        </is>
      </c>
      <c r="D174" s="1" t="n">
        <v>46197</v>
      </c>
      <c r="E174" s="1" t="n">
        <v>46252</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46252</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46252</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46252</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46252</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2026-08-18T01:44:54Z</dcterms:created>
  <dcterms:modified xmlns:dcterms="http://purl.org/dc/terms/" xmlns:xsi="http://www.w3.org/2001/XMLSchema-instance" xsi:type="dcterms:W3CDTF">2026-08-18T01:44:54Z</dcterms:modified>
</cp:coreProperties>
</file>