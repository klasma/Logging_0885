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45890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45890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45890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45890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45890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45890</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45890</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45890</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45890</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45890</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45890</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45890</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45890</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45890</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45890</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45890</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4164-2023</t>
        </is>
      </c>
      <c r="B18" s="1" t="n">
        <v>44953</v>
      </c>
      <c r="C18" s="1" t="n">
        <v>45890</v>
      </c>
      <c r="D18" t="inlineStr">
        <is>
          <t>KALMAR LÄN</t>
        </is>
      </c>
      <c r="E18" t="inlineStr">
        <is>
          <t>BORGHOLM</t>
        </is>
      </c>
      <c r="G18" t="n">
        <v>3.3</v>
      </c>
      <c r="H18" t="n">
        <v>1</v>
      </c>
      <c r="I18" t="n">
        <v>1</v>
      </c>
      <c r="J18" t="n">
        <v>0</v>
      </c>
      <c r="K18" t="n">
        <v>0</v>
      </c>
      <c r="L18" t="n">
        <v>0</v>
      </c>
      <c r="M18" t="n">
        <v>0</v>
      </c>
      <c r="N18" t="n">
        <v>0</v>
      </c>
      <c r="O18" t="n">
        <v>0</v>
      </c>
      <c r="P18" t="n">
        <v>0</v>
      </c>
      <c r="Q18" t="n">
        <v>2</v>
      </c>
      <c r="R18" s="2" t="inlineStr">
        <is>
          <t>Murgröna
Blåsippa</t>
        </is>
      </c>
      <c r="S18">
        <f>HYPERLINK("https://klasma.github.io/Logging_0885/artfynd/A 4164-2023 artfynd.xlsx", "A 4164-2023")</f>
        <v/>
      </c>
      <c r="T18">
        <f>HYPERLINK("https://klasma.github.io/Logging_0885/kartor/A 4164-2023 karta.png", "A 4164-2023")</f>
        <v/>
      </c>
      <c r="V18">
        <f>HYPERLINK("https://klasma.github.io/Logging_0885/klagomål/A 4164-2023 FSC-klagomål.docx", "A 4164-2023")</f>
        <v/>
      </c>
      <c r="W18">
        <f>HYPERLINK("https://klasma.github.io/Logging_0885/klagomålsmail/A 4164-2023 FSC-klagomål mail.docx", "A 4164-2023")</f>
        <v/>
      </c>
      <c r="X18">
        <f>HYPERLINK("https://klasma.github.io/Logging_0885/tillsyn/A 4164-2023 tillsynsbegäran.docx", "A 4164-2023")</f>
        <v/>
      </c>
      <c r="Y18">
        <f>HYPERLINK("https://klasma.github.io/Logging_0885/tillsynsmail/A 4164-2023 tillsynsbegäran mail.docx", "A 4164-2023")</f>
        <v/>
      </c>
    </row>
    <row r="19" ht="15" customHeight="1">
      <c r="A19" t="inlineStr">
        <is>
          <t>A 34944-2022</t>
        </is>
      </c>
      <c r="B19" s="1" t="n">
        <v>44796</v>
      </c>
      <c r="C19" s="1" t="n">
        <v>45890</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13556-2025</t>
        </is>
      </c>
      <c r="B20" s="1" t="n">
        <v>45736.54759259259</v>
      </c>
      <c r="C20" s="1" t="n">
        <v>45890</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32174-2022</t>
        </is>
      </c>
      <c r="B21" s="1" t="n">
        <v>44781</v>
      </c>
      <c r="C21" s="1" t="n">
        <v>45890</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43756-2022</t>
        </is>
      </c>
      <c r="B22" s="1" t="n">
        <v>44837</v>
      </c>
      <c r="C22" s="1" t="n">
        <v>45890</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28779-2025</t>
        </is>
      </c>
      <c r="B23" s="1" t="n">
        <v>45820.44920138889</v>
      </c>
      <c r="C23" s="1" t="n">
        <v>45890</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38860-2025</t>
        </is>
      </c>
      <c r="B24" s="1" t="n">
        <v>45887.5609375</v>
      </c>
      <c r="C24" s="1" t="n">
        <v>45890</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44008-2022</t>
        </is>
      </c>
      <c r="B25" s="1" t="n">
        <v>44838</v>
      </c>
      <c r="C25" s="1" t="n">
        <v>45890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45890</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45890</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45890</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45890</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13558-2025</t>
        </is>
      </c>
      <c r="B30" s="1" t="n">
        <v>45736.54974537037</v>
      </c>
      <c r="C30" s="1" t="n">
        <v>45890</v>
      </c>
      <c r="D30" t="inlineStr">
        <is>
          <t>KALMAR LÄN</t>
        </is>
      </c>
      <c r="E30" t="inlineStr">
        <is>
          <t>BORGHOLM</t>
        </is>
      </c>
      <c r="G30" t="n">
        <v>0.7</v>
      </c>
      <c r="H30" t="n">
        <v>0</v>
      </c>
      <c r="I30" t="n">
        <v>0</v>
      </c>
      <c r="J30" t="n">
        <v>1</v>
      </c>
      <c r="K30" t="n">
        <v>0</v>
      </c>
      <c r="L30" t="n">
        <v>0</v>
      </c>
      <c r="M30" t="n">
        <v>0</v>
      </c>
      <c r="N30" t="n">
        <v>0</v>
      </c>
      <c r="O30" t="n">
        <v>1</v>
      </c>
      <c r="P30" t="n">
        <v>0</v>
      </c>
      <c r="Q30" t="n">
        <v>1</v>
      </c>
      <c r="R30" s="2" t="inlineStr">
        <is>
          <t>Backruta</t>
        </is>
      </c>
      <c r="S30">
        <f>HYPERLINK("https://klasma.github.io/Logging_0885/artfynd/A 13558-2025 artfynd.xlsx", "A 13558-2025")</f>
        <v/>
      </c>
      <c r="T30">
        <f>HYPERLINK("https://klasma.github.io/Logging_0885/kartor/A 13558-2025 karta.png", "A 13558-2025")</f>
        <v/>
      </c>
      <c r="V30">
        <f>HYPERLINK("https://klasma.github.io/Logging_0885/klagomål/A 13558-2025 FSC-klagomål.docx", "A 13558-2025")</f>
        <v/>
      </c>
      <c r="W30">
        <f>HYPERLINK("https://klasma.github.io/Logging_0885/klagomålsmail/A 13558-2025 FSC-klagomål mail.docx", "A 13558-2025")</f>
        <v/>
      </c>
      <c r="X30">
        <f>HYPERLINK("https://klasma.github.io/Logging_0885/tillsyn/A 13558-2025 tillsynsbegäran.docx", "A 13558-2025")</f>
        <v/>
      </c>
      <c r="Y30">
        <f>HYPERLINK("https://klasma.github.io/Logging_0885/tillsynsmail/A 13558-2025 tillsynsbegäran mail.docx", "A 13558-2025")</f>
        <v/>
      </c>
    </row>
    <row r="31" ht="15" customHeight="1">
      <c r="A31" t="inlineStr">
        <is>
          <t>A 43603-2024</t>
        </is>
      </c>
      <c r="B31" s="1" t="n">
        <v>45569.44700231482</v>
      </c>
      <c r="C31" s="1" t="n">
        <v>45890</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14789-2021</t>
        </is>
      </c>
      <c r="B32" s="1" t="n">
        <v>44280</v>
      </c>
      <c r="C32" s="1" t="n">
        <v>45890</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45890</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45890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34885-2025</t>
        </is>
      </c>
      <c r="B35" s="1" t="n">
        <v>45849.47128472223</v>
      </c>
      <c r="C35" s="1" t="n">
        <v>45890</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28785-2025</t>
        </is>
      </c>
      <c r="B36" s="1" t="n">
        <v>45820.46159722222</v>
      </c>
      <c r="C36" s="1" t="n">
        <v>45890</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45890</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24704-2023</t>
        </is>
      </c>
      <c r="B38" s="1" t="n">
        <v>45084</v>
      </c>
      <c r="C38" s="1" t="n">
        <v>45890</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12785-2021</t>
        </is>
      </c>
      <c r="B39" s="1" t="n">
        <v>44270</v>
      </c>
      <c r="C39" s="1" t="n">
        <v>45890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9745-2023</t>
        </is>
      </c>
      <c r="B40" s="1" t="n">
        <v>44984</v>
      </c>
      <c r="C40" s="1" t="n">
        <v>45890</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58113-2020</t>
        </is>
      </c>
      <c r="B41" s="1" t="n">
        <v>44144</v>
      </c>
      <c r="C41" s="1" t="n">
        <v>45890</v>
      </c>
      <c r="D41" t="inlineStr">
        <is>
          <t>KALMAR LÄN</t>
        </is>
      </c>
      <c r="E41" t="inlineStr">
        <is>
          <t>BORGHOLM</t>
        </is>
      </c>
      <c r="F41" t="inlineStr">
        <is>
          <t>Sveaskog</t>
        </is>
      </c>
      <c r="G41" t="n">
        <v>3</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45890</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56499-2020</t>
        </is>
      </c>
      <c r="B43" s="1" t="n">
        <v>44137</v>
      </c>
      <c r="C43" s="1" t="n">
        <v>45890</v>
      </c>
      <c r="D43" t="inlineStr">
        <is>
          <t>KALMAR LÄN</t>
        </is>
      </c>
      <c r="E43" t="inlineStr">
        <is>
          <t>BORGHOLM</t>
        </is>
      </c>
      <c r="F43" t="inlineStr">
        <is>
          <t>Sveaskog</t>
        </is>
      </c>
      <c r="G43" t="n">
        <v>0.5</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45890</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45890</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45890</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45890</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45890</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45890</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45890</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45890</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45890</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45890</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45890</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45890</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45890</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45890</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45890</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45890</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45890</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45890</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45890</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45890</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58253-2020</t>
        </is>
      </c>
      <c r="B64" s="1" t="n">
        <v>44144</v>
      </c>
      <c r="C64" s="1" t="n">
        <v>45890</v>
      </c>
      <c r="D64" t="inlineStr">
        <is>
          <t>KALMAR LÄN</t>
        </is>
      </c>
      <c r="E64" t="inlineStr">
        <is>
          <t>BORGHOLM</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56479-2020</t>
        </is>
      </c>
      <c r="B65" s="1" t="n">
        <v>44137</v>
      </c>
      <c r="C65" s="1" t="n">
        <v>45890</v>
      </c>
      <c r="D65" t="inlineStr">
        <is>
          <t>KALMAR LÄN</t>
        </is>
      </c>
      <c r="E65" t="inlineStr">
        <is>
          <t>BORGHOLM</t>
        </is>
      </c>
      <c r="F65" t="inlineStr">
        <is>
          <t>Sveaskog</t>
        </is>
      </c>
      <c r="G65" t="n">
        <v>2.6</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45890</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45890</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3878-2023</t>
        </is>
      </c>
      <c r="B68" s="1" t="n">
        <v>44951</v>
      </c>
      <c r="C68" s="1" t="n">
        <v>45890</v>
      </c>
      <c r="D68" t="inlineStr">
        <is>
          <t>KALMAR LÄN</t>
        </is>
      </c>
      <c r="E68" t="inlineStr">
        <is>
          <t>BORGHOLM</t>
        </is>
      </c>
      <c r="G68" t="n">
        <v>1.7</v>
      </c>
      <c r="H68" t="n">
        <v>0</v>
      </c>
      <c r="I68" t="n">
        <v>0</v>
      </c>
      <c r="J68" t="n">
        <v>0</v>
      </c>
      <c r="K68" t="n">
        <v>0</v>
      </c>
      <c r="L68" t="n">
        <v>0</v>
      </c>
      <c r="M68" t="n">
        <v>0</v>
      </c>
      <c r="N68" t="n">
        <v>0</v>
      </c>
      <c r="O68" t="n">
        <v>0</v>
      </c>
      <c r="P68" t="n">
        <v>0</v>
      </c>
      <c r="Q68" t="n">
        <v>0</v>
      </c>
      <c r="R68" s="2" t="inlineStr"/>
    </row>
    <row r="69" ht="15" customHeight="1">
      <c r="A69" t="inlineStr">
        <is>
          <t>A 27437-2022</t>
        </is>
      </c>
      <c r="B69" s="1" t="n">
        <v>44742.55567129629</v>
      </c>
      <c r="C69" s="1" t="n">
        <v>45890</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45890</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17699-2025</t>
        </is>
      </c>
      <c r="B71" s="1" t="n">
        <v>45758.41846064815</v>
      </c>
      <c r="C71" s="1" t="n">
        <v>45890</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20287-2025</t>
        </is>
      </c>
      <c r="B72" s="1" t="n">
        <v>45774.60741898148</v>
      </c>
      <c r="C72" s="1" t="n">
        <v>45890</v>
      </c>
      <c r="D72" t="inlineStr">
        <is>
          <t>KALMAR LÄN</t>
        </is>
      </c>
      <c r="E72" t="inlineStr">
        <is>
          <t>BORGHOLM</t>
        </is>
      </c>
      <c r="G72" t="n">
        <v>0.6</v>
      </c>
      <c r="H72" t="n">
        <v>0</v>
      </c>
      <c r="I72" t="n">
        <v>0</v>
      </c>
      <c r="J72" t="n">
        <v>0</v>
      </c>
      <c r="K72" t="n">
        <v>0</v>
      </c>
      <c r="L72" t="n">
        <v>0</v>
      </c>
      <c r="M72" t="n">
        <v>0</v>
      </c>
      <c r="N72" t="n">
        <v>0</v>
      </c>
      <c r="O72" t="n">
        <v>0</v>
      </c>
      <c r="P72" t="n">
        <v>0</v>
      </c>
      <c r="Q72" t="n">
        <v>0</v>
      </c>
      <c r="R72" s="2" t="inlineStr"/>
    </row>
    <row r="73" ht="15" customHeight="1">
      <c r="A73" t="inlineStr">
        <is>
          <t>A 9050-2025</t>
        </is>
      </c>
      <c r="B73" s="1" t="n">
        <v>45713.63512731482</v>
      </c>
      <c r="C73" s="1" t="n">
        <v>45890</v>
      </c>
      <c r="D73" t="inlineStr">
        <is>
          <t>KALMAR LÄN</t>
        </is>
      </c>
      <c r="E73" t="inlineStr">
        <is>
          <t>BORGHOLM</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12937-2022</t>
        </is>
      </c>
      <c r="B74" s="1" t="n">
        <v>44642</v>
      </c>
      <c r="C74" s="1" t="n">
        <v>45890</v>
      </c>
      <c r="D74" t="inlineStr">
        <is>
          <t>KALMAR LÄN</t>
        </is>
      </c>
      <c r="E74" t="inlineStr">
        <is>
          <t>BORGHOLM</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26160-2024</t>
        </is>
      </c>
      <c r="B75" s="1" t="n">
        <v>45468</v>
      </c>
      <c r="C75" s="1" t="n">
        <v>45890</v>
      </c>
      <c r="D75" t="inlineStr">
        <is>
          <t>KALMAR LÄN</t>
        </is>
      </c>
      <c r="E75" t="inlineStr">
        <is>
          <t>BORGHOLM</t>
        </is>
      </c>
      <c r="G75" t="n">
        <v>0.4</v>
      </c>
      <c r="H75" t="n">
        <v>0</v>
      </c>
      <c r="I75" t="n">
        <v>0</v>
      </c>
      <c r="J75" t="n">
        <v>0</v>
      </c>
      <c r="K75" t="n">
        <v>0</v>
      </c>
      <c r="L75" t="n">
        <v>0</v>
      </c>
      <c r="M75" t="n">
        <v>0</v>
      </c>
      <c r="N75" t="n">
        <v>0</v>
      </c>
      <c r="O75" t="n">
        <v>0</v>
      </c>
      <c r="P75" t="n">
        <v>0</v>
      </c>
      <c r="Q75" t="n">
        <v>0</v>
      </c>
      <c r="R75" s="2" t="inlineStr"/>
      <c r="T75">
        <f>HYPERLINK("https://klasma.github.io/Logging_0885/kartor/A 26160-2024 karta.png", "A 26160-2024")</f>
        <v/>
      </c>
      <c r="V75">
        <f>HYPERLINK("https://klasma.github.io/Logging_0885/klagomål/A 26160-2024 FSC-klagomål.docx", "A 26160-2024")</f>
        <v/>
      </c>
      <c r="W75">
        <f>HYPERLINK("https://klasma.github.io/Logging_0885/klagomålsmail/A 26160-2024 FSC-klagomål mail.docx", "A 26160-2024")</f>
        <v/>
      </c>
      <c r="X75">
        <f>HYPERLINK("https://klasma.github.io/Logging_0885/tillsyn/A 26160-2024 tillsynsbegäran.docx", "A 26160-2024")</f>
        <v/>
      </c>
      <c r="Y75">
        <f>HYPERLINK("https://klasma.github.io/Logging_0885/tillsynsmail/A 26160-2024 tillsynsbegäran mail.docx", "A 26160-2024")</f>
        <v/>
      </c>
    </row>
    <row r="76" ht="15" customHeight="1">
      <c r="A76" t="inlineStr">
        <is>
          <t>A 9034-2025</t>
        </is>
      </c>
      <c r="B76" s="1" t="n">
        <v>45713</v>
      </c>
      <c r="C76" s="1" t="n">
        <v>45890</v>
      </c>
      <c r="D76" t="inlineStr">
        <is>
          <t>KALMAR LÄN</t>
        </is>
      </c>
      <c r="E76" t="inlineStr">
        <is>
          <t>BORGHOLM</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13548-2025</t>
        </is>
      </c>
      <c r="B77" s="1" t="n">
        <v>45736.53827546296</v>
      </c>
      <c r="C77" s="1" t="n">
        <v>45890</v>
      </c>
      <c r="D77" t="inlineStr">
        <is>
          <t>KALMAR LÄN</t>
        </is>
      </c>
      <c r="E77" t="inlineStr">
        <is>
          <t>BORGHOLM</t>
        </is>
      </c>
      <c r="G77" t="n">
        <v>1</v>
      </c>
      <c r="H77" t="n">
        <v>0</v>
      </c>
      <c r="I77" t="n">
        <v>0</v>
      </c>
      <c r="J77" t="n">
        <v>0</v>
      </c>
      <c r="K77" t="n">
        <v>0</v>
      </c>
      <c r="L77" t="n">
        <v>0</v>
      </c>
      <c r="M77" t="n">
        <v>0</v>
      </c>
      <c r="N77" t="n">
        <v>0</v>
      </c>
      <c r="O77" t="n">
        <v>0</v>
      </c>
      <c r="P77" t="n">
        <v>0</v>
      </c>
      <c r="Q77" t="n">
        <v>0</v>
      </c>
      <c r="R77" s="2" t="inlineStr"/>
    </row>
    <row r="78" ht="15" customHeight="1">
      <c r="A78" t="inlineStr">
        <is>
          <t>A 9028-2025</t>
        </is>
      </c>
      <c r="B78" s="1" t="n">
        <v>45713</v>
      </c>
      <c r="C78" s="1" t="n">
        <v>45890</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45890</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63075-2023</t>
        </is>
      </c>
      <c r="B80" s="1" t="n">
        <v>45273</v>
      </c>
      <c r="C80" s="1" t="n">
        <v>45890</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31840-2021</t>
        </is>
      </c>
      <c r="B81" s="1" t="n">
        <v>44370</v>
      </c>
      <c r="C81" s="1" t="n">
        <v>45890</v>
      </c>
      <c r="D81" t="inlineStr">
        <is>
          <t>KALMAR LÄN</t>
        </is>
      </c>
      <c r="E81" t="inlineStr">
        <is>
          <t>BORGHOLM</t>
        </is>
      </c>
      <c r="F81" t="inlineStr">
        <is>
          <t>Sveaskog</t>
        </is>
      </c>
      <c r="G81" t="n">
        <v>2.8</v>
      </c>
      <c r="H81" t="n">
        <v>0</v>
      </c>
      <c r="I81" t="n">
        <v>0</v>
      </c>
      <c r="J81" t="n">
        <v>0</v>
      </c>
      <c r="K81" t="n">
        <v>0</v>
      </c>
      <c r="L81" t="n">
        <v>0</v>
      </c>
      <c r="M81" t="n">
        <v>0</v>
      </c>
      <c r="N81" t="n">
        <v>0</v>
      </c>
      <c r="O81" t="n">
        <v>0</v>
      </c>
      <c r="P81" t="n">
        <v>0</v>
      </c>
      <c r="Q81" t="n">
        <v>0</v>
      </c>
      <c r="R81" s="2" t="inlineStr"/>
    </row>
    <row r="82" ht="15" customHeight="1">
      <c r="A82" t="inlineStr">
        <is>
          <t>A 64303-2023</t>
        </is>
      </c>
      <c r="B82" s="1" t="n">
        <v>45280</v>
      </c>
      <c r="C82" s="1" t="n">
        <v>45890</v>
      </c>
      <c r="D82" t="inlineStr">
        <is>
          <t>KALMAR LÄN</t>
        </is>
      </c>
      <c r="E82" t="inlineStr">
        <is>
          <t>BORGHOLM</t>
        </is>
      </c>
      <c r="G82" t="n">
        <v>1.2</v>
      </c>
      <c r="H82" t="n">
        <v>0</v>
      </c>
      <c r="I82" t="n">
        <v>0</v>
      </c>
      <c r="J82" t="n">
        <v>0</v>
      </c>
      <c r="K82" t="n">
        <v>0</v>
      </c>
      <c r="L82" t="n">
        <v>0</v>
      </c>
      <c r="M82" t="n">
        <v>0</v>
      </c>
      <c r="N82" t="n">
        <v>0</v>
      </c>
      <c r="O82" t="n">
        <v>0</v>
      </c>
      <c r="P82" t="n">
        <v>0</v>
      </c>
      <c r="Q82" t="n">
        <v>0</v>
      </c>
      <c r="R82" s="2" t="inlineStr"/>
    </row>
    <row r="83" ht="15" customHeight="1">
      <c r="A83" t="inlineStr">
        <is>
          <t>A 17978-2021</t>
        </is>
      </c>
      <c r="B83" s="1" t="n">
        <v>44301</v>
      </c>
      <c r="C83" s="1" t="n">
        <v>45890</v>
      </c>
      <c r="D83" t="inlineStr">
        <is>
          <t>KALMAR LÄN</t>
        </is>
      </c>
      <c r="E83" t="inlineStr">
        <is>
          <t>BORGHOLM</t>
        </is>
      </c>
      <c r="G83" t="n">
        <v>6</v>
      </c>
      <c r="H83" t="n">
        <v>0</v>
      </c>
      <c r="I83" t="n">
        <v>0</v>
      </c>
      <c r="J83" t="n">
        <v>0</v>
      </c>
      <c r="K83" t="n">
        <v>0</v>
      </c>
      <c r="L83" t="n">
        <v>0</v>
      </c>
      <c r="M83" t="n">
        <v>0</v>
      </c>
      <c r="N83" t="n">
        <v>0</v>
      </c>
      <c r="O83" t="n">
        <v>0</v>
      </c>
      <c r="P83" t="n">
        <v>0</v>
      </c>
      <c r="Q83" t="n">
        <v>0</v>
      </c>
      <c r="R83" s="2" t="inlineStr"/>
    </row>
    <row r="84" ht="15" customHeight="1">
      <c r="A84" t="inlineStr">
        <is>
          <t>A 22785-2025</t>
        </is>
      </c>
      <c r="B84" s="1" t="n">
        <v>45789.64186342592</v>
      </c>
      <c r="C84" s="1" t="n">
        <v>45890</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21908-2022</t>
        </is>
      </c>
      <c r="B85" s="1" t="n">
        <v>44711</v>
      </c>
      <c r="C85" s="1" t="n">
        <v>45890</v>
      </c>
      <c r="D85" t="inlineStr">
        <is>
          <t>KALMAR LÄN</t>
        </is>
      </c>
      <c r="E85" t="inlineStr">
        <is>
          <t>BORGHOLM</t>
        </is>
      </c>
      <c r="G85" t="n">
        <v>4.7</v>
      </c>
      <c r="H85" t="n">
        <v>0</v>
      </c>
      <c r="I85" t="n">
        <v>0</v>
      </c>
      <c r="J85" t="n">
        <v>0</v>
      </c>
      <c r="K85" t="n">
        <v>0</v>
      </c>
      <c r="L85" t="n">
        <v>0</v>
      </c>
      <c r="M85" t="n">
        <v>0</v>
      </c>
      <c r="N85" t="n">
        <v>0</v>
      </c>
      <c r="O85" t="n">
        <v>0</v>
      </c>
      <c r="P85" t="n">
        <v>0</v>
      </c>
      <c r="Q85" t="n">
        <v>0</v>
      </c>
      <c r="R85" s="2" t="inlineStr"/>
    </row>
    <row r="86" ht="15" customHeight="1">
      <c r="A86" t="inlineStr">
        <is>
          <t>A 55367-2024</t>
        </is>
      </c>
      <c r="B86" s="1" t="n">
        <v>45621.87075231481</v>
      </c>
      <c r="C86" s="1" t="n">
        <v>45890</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12534-2022</t>
        </is>
      </c>
      <c r="B87" s="1" t="n">
        <v>44638</v>
      </c>
      <c r="C87" s="1" t="n">
        <v>45890</v>
      </c>
      <c r="D87" t="inlineStr">
        <is>
          <t>KALMAR LÄN</t>
        </is>
      </c>
      <c r="E87" t="inlineStr">
        <is>
          <t>BORGHOLM</t>
        </is>
      </c>
      <c r="G87" t="n">
        <v>8.6</v>
      </c>
      <c r="H87" t="n">
        <v>0</v>
      </c>
      <c r="I87" t="n">
        <v>0</v>
      </c>
      <c r="J87" t="n">
        <v>0</v>
      </c>
      <c r="K87" t="n">
        <v>0</v>
      </c>
      <c r="L87" t="n">
        <v>0</v>
      </c>
      <c r="M87" t="n">
        <v>0</v>
      </c>
      <c r="N87" t="n">
        <v>0</v>
      </c>
      <c r="O87" t="n">
        <v>0</v>
      </c>
      <c r="P87" t="n">
        <v>0</v>
      </c>
      <c r="Q87" t="n">
        <v>0</v>
      </c>
      <c r="R87" s="2" t="inlineStr"/>
    </row>
    <row r="88" ht="15" customHeight="1">
      <c r="A88" t="inlineStr">
        <is>
          <t>A 32919-2023</t>
        </is>
      </c>
      <c r="B88" s="1" t="n">
        <v>45125</v>
      </c>
      <c r="C88" s="1" t="n">
        <v>45890</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44678-2022</t>
        </is>
      </c>
      <c r="B89" s="1" t="n">
        <v>44840.65100694444</v>
      </c>
      <c r="C89" s="1" t="n">
        <v>45890</v>
      </c>
      <c r="D89" t="inlineStr">
        <is>
          <t>KALMAR LÄN</t>
        </is>
      </c>
      <c r="E89" t="inlineStr">
        <is>
          <t>BORGHOLM</t>
        </is>
      </c>
      <c r="G89" t="n">
        <v>2.4</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45890</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31720-2022</t>
        </is>
      </c>
      <c r="B91" s="1" t="n">
        <v>44776</v>
      </c>
      <c r="C91" s="1" t="n">
        <v>45890</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40339-2023</t>
        </is>
      </c>
      <c r="B92" s="1" t="n">
        <v>45169.62733796296</v>
      </c>
      <c r="C92" s="1" t="n">
        <v>45890</v>
      </c>
      <c r="D92" t="inlineStr">
        <is>
          <t>KALMAR LÄN</t>
        </is>
      </c>
      <c r="E92" t="inlineStr">
        <is>
          <t>BORGHOLM</t>
        </is>
      </c>
      <c r="G92" t="n">
        <v>3.8</v>
      </c>
      <c r="H92" t="n">
        <v>0</v>
      </c>
      <c r="I92" t="n">
        <v>0</v>
      </c>
      <c r="J92" t="n">
        <v>0</v>
      </c>
      <c r="K92" t="n">
        <v>0</v>
      </c>
      <c r="L92" t="n">
        <v>0</v>
      </c>
      <c r="M92" t="n">
        <v>0</v>
      </c>
      <c r="N92" t="n">
        <v>0</v>
      </c>
      <c r="O92" t="n">
        <v>0</v>
      </c>
      <c r="P92" t="n">
        <v>0</v>
      </c>
      <c r="Q92" t="n">
        <v>0</v>
      </c>
      <c r="R92" s="2" t="inlineStr"/>
    </row>
    <row r="93" ht="15" customHeight="1">
      <c r="A93" t="inlineStr">
        <is>
          <t>A 24166-2022</t>
        </is>
      </c>
      <c r="B93" s="1" t="n">
        <v>44725</v>
      </c>
      <c r="C93" s="1" t="n">
        <v>45890</v>
      </c>
      <c r="D93" t="inlineStr">
        <is>
          <t>KALMAR LÄN</t>
        </is>
      </c>
      <c r="E93" t="inlineStr">
        <is>
          <t>BORGHOLM</t>
        </is>
      </c>
      <c r="G93" t="n">
        <v>10.7</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45890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5175-2024</t>
        </is>
      </c>
      <c r="B95" s="1" t="n">
        <v>45330</v>
      </c>
      <c r="C95" s="1" t="n">
        <v>45890</v>
      </c>
      <c r="D95" t="inlineStr">
        <is>
          <t>KALMAR LÄN</t>
        </is>
      </c>
      <c r="E95" t="inlineStr">
        <is>
          <t>BORGHOLM</t>
        </is>
      </c>
      <c r="G95" t="n">
        <v>1.5</v>
      </c>
      <c r="H95" t="n">
        <v>0</v>
      </c>
      <c r="I95" t="n">
        <v>0</v>
      </c>
      <c r="J95" t="n">
        <v>0</v>
      </c>
      <c r="K95" t="n">
        <v>0</v>
      </c>
      <c r="L95" t="n">
        <v>0</v>
      </c>
      <c r="M95" t="n">
        <v>0</v>
      </c>
      <c r="N95" t="n">
        <v>0</v>
      </c>
      <c r="O95" t="n">
        <v>0</v>
      </c>
      <c r="P95" t="n">
        <v>0</v>
      </c>
      <c r="Q95" t="n">
        <v>0</v>
      </c>
      <c r="R95" s="2" t="inlineStr"/>
    </row>
    <row r="96" ht="15" customHeight="1">
      <c r="A96" t="inlineStr">
        <is>
          <t>A 26190-2025</t>
        </is>
      </c>
      <c r="B96" s="1" t="n">
        <v>45805.48349537037</v>
      </c>
      <c r="C96" s="1" t="n">
        <v>45890</v>
      </c>
      <c r="D96" t="inlineStr">
        <is>
          <t>KALMAR LÄN</t>
        </is>
      </c>
      <c r="E96" t="inlineStr">
        <is>
          <t>BORGHOLM</t>
        </is>
      </c>
      <c r="G96" t="n">
        <v>3.2</v>
      </c>
      <c r="H96" t="n">
        <v>0</v>
      </c>
      <c r="I96" t="n">
        <v>0</v>
      </c>
      <c r="J96" t="n">
        <v>0</v>
      </c>
      <c r="K96" t="n">
        <v>0</v>
      </c>
      <c r="L96" t="n">
        <v>0</v>
      </c>
      <c r="M96" t="n">
        <v>0</v>
      </c>
      <c r="N96" t="n">
        <v>0</v>
      </c>
      <c r="O96" t="n">
        <v>0</v>
      </c>
      <c r="P96" t="n">
        <v>0</v>
      </c>
      <c r="Q96" t="n">
        <v>0</v>
      </c>
      <c r="R96" s="2" t="inlineStr"/>
    </row>
    <row r="97" ht="15" customHeight="1">
      <c r="A97" t="inlineStr">
        <is>
          <t>A 65144-2020</t>
        </is>
      </c>
      <c r="B97" s="1" t="n">
        <v>44172</v>
      </c>
      <c r="C97" s="1" t="n">
        <v>45890</v>
      </c>
      <c r="D97" t="inlineStr">
        <is>
          <t>KALMAR LÄN</t>
        </is>
      </c>
      <c r="E97" t="inlineStr">
        <is>
          <t>BORGHOLM</t>
        </is>
      </c>
      <c r="G97" t="n">
        <v>1.7</v>
      </c>
      <c r="H97" t="n">
        <v>0</v>
      </c>
      <c r="I97" t="n">
        <v>0</v>
      </c>
      <c r="J97" t="n">
        <v>0</v>
      </c>
      <c r="K97" t="n">
        <v>0</v>
      </c>
      <c r="L97" t="n">
        <v>0</v>
      </c>
      <c r="M97" t="n">
        <v>0</v>
      </c>
      <c r="N97" t="n">
        <v>0</v>
      </c>
      <c r="O97" t="n">
        <v>0</v>
      </c>
      <c r="P97" t="n">
        <v>0</v>
      </c>
      <c r="Q97" t="n">
        <v>0</v>
      </c>
      <c r="R97" s="2" t="inlineStr"/>
    </row>
    <row r="98" ht="15" customHeight="1">
      <c r="A98" t="inlineStr">
        <is>
          <t>A 34951-2022</t>
        </is>
      </c>
      <c r="B98" s="1" t="n">
        <v>44796</v>
      </c>
      <c r="C98" s="1" t="n">
        <v>45890</v>
      </c>
      <c r="D98" t="inlineStr">
        <is>
          <t>KALMAR LÄN</t>
        </is>
      </c>
      <c r="E98" t="inlineStr">
        <is>
          <t>BORGHOLM</t>
        </is>
      </c>
      <c r="F98" t="inlineStr">
        <is>
          <t>Sveaskog</t>
        </is>
      </c>
      <c r="G98" t="n">
        <v>4.6</v>
      </c>
      <c r="H98" t="n">
        <v>0</v>
      </c>
      <c r="I98" t="n">
        <v>0</v>
      </c>
      <c r="J98" t="n">
        <v>0</v>
      </c>
      <c r="K98" t="n">
        <v>0</v>
      </c>
      <c r="L98" t="n">
        <v>0</v>
      </c>
      <c r="M98" t="n">
        <v>0</v>
      </c>
      <c r="N98" t="n">
        <v>0</v>
      </c>
      <c r="O98" t="n">
        <v>0</v>
      </c>
      <c r="P98" t="n">
        <v>0</v>
      </c>
      <c r="Q98" t="n">
        <v>0</v>
      </c>
      <c r="R98" s="2" t="inlineStr"/>
    </row>
    <row r="99" ht="15" customHeight="1">
      <c r="A99" t="inlineStr">
        <is>
          <t>A 19867-2024</t>
        </is>
      </c>
      <c r="B99" s="1" t="n">
        <v>45433</v>
      </c>
      <c r="C99" s="1" t="n">
        <v>45890</v>
      </c>
      <c r="D99" t="inlineStr">
        <is>
          <t>KALMAR LÄN</t>
        </is>
      </c>
      <c r="E99" t="inlineStr">
        <is>
          <t>BORGHOLM</t>
        </is>
      </c>
      <c r="G99" t="n">
        <v>3.9</v>
      </c>
      <c r="H99" t="n">
        <v>0</v>
      </c>
      <c r="I99" t="n">
        <v>0</v>
      </c>
      <c r="J99" t="n">
        <v>0</v>
      </c>
      <c r="K99" t="n">
        <v>0</v>
      </c>
      <c r="L99" t="n">
        <v>0</v>
      </c>
      <c r="M99" t="n">
        <v>0</v>
      </c>
      <c r="N99" t="n">
        <v>0</v>
      </c>
      <c r="O99" t="n">
        <v>0</v>
      </c>
      <c r="P99" t="n">
        <v>0</v>
      </c>
      <c r="Q99" t="n">
        <v>0</v>
      </c>
      <c r="R99" s="2" t="inlineStr"/>
    </row>
    <row r="100" ht="15" customHeight="1">
      <c r="A100" t="inlineStr">
        <is>
          <t>A 26160-2025</t>
        </is>
      </c>
      <c r="B100" s="1" t="n">
        <v>45805.4490162037</v>
      </c>
      <c r="C100" s="1" t="n">
        <v>45890</v>
      </c>
      <c r="D100" t="inlineStr">
        <is>
          <t>KALMAR LÄN</t>
        </is>
      </c>
      <c r="E100" t="inlineStr">
        <is>
          <t>BORGHOLM</t>
        </is>
      </c>
      <c r="G100" t="n">
        <v>3.7</v>
      </c>
      <c r="H100" t="n">
        <v>0</v>
      </c>
      <c r="I100" t="n">
        <v>0</v>
      </c>
      <c r="J100" t="n">
        <v>0</v>
      </c>
      <c r="K100" t="n">
        <v>0</v>
      </c>
      <c r="L100" t="n">
        <v>0</v>
      </c>
      <c r="M100" t="n">
        <v>0</v>
      </c>
      <c r="N100" t="n">
        <v>0</v>
      </c>
      <c r="O100" t="n">
        <v>0</v>
      </c>
      <c r="P100" t="n">
        <v>0</v>
      </c>
      <c r="Q100" t="n">
        <v>0</v>
      </c>
      <c r="R100" s="2" t="inlineStr"/>
    </row>
    <row r="101" ht="15" customHeight="1">
      <c r="A101" t="inlineStr">
        <is>
          <t>A 4159-2024</t>
        </is>
      </c>
      <c r="B101" s="1" t="n">
        <v>45323</v>
      </c>
      <c r="C101" s="1" t="n">
        <v>45890</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27357-2025</t>
        </is>
      </c>
      <c r="B102" s="1" t="n">
        <v>45812.63650462963</v>
      </c>
      <c r="C102" s="1" t="n">
        <v>45890</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45890</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27366-2025</t>
        </is>
      </c>
      <c r="B104" s="1" t="n">
        <v>45812.64475694444</v>
      </c>
      <c r="C104" s="1" t="n">
        <v>45890</v>
      </c>
      <c r="D104" t="inlineStr">
        <is>
          <t>KALMAR LÄN</t>
        </is>
      </c>
      <c r="E104" t="inlineStr">
        <is>
          <t>BORGHOLM</t>
        </is>
      </c>
      <c r="F104" t="inlineStr">
        <is>
          <t>Sveaskog</t>
        </is>
      </c>
      <c r="G104" t="n">
        <v>2.5</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45890</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45890</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45890</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32921-2023</t>
        </is>
      </c>
      <c r="B108" s="1" t="n">
        <v>45125</v>
      </c>
      <c r="C108" s="1" t="n">
        <v>45890</v>
      </c>
      <c r="D108" t="inlineStr">
        <is>
          <t>KALMAR LÄN</t>
        </is>
      </c>
      <c r="E108" t="inlineStr">
        <is>
          <t>BORGHOLM</t>
        </is>
      </c>
      <c r="G108" t="n">
        <v>2.9</v>
      </c>
      <c r="H108" t="n">
        <v>0</v>
      </c>
      <c r="I108" t="n">
        <v>0</v>
      </c>
      <c r="J108" t="n">
        <v>0</v>
      </c>
      <c r="K108" t="n">
        <v>0</v>
      </c>
      <c r="L108" t="n">
        <v>0</v>
      </c>
      <c r="M108" t="n">
        <v>0</v>
      </c>
      <c r="N108" t="n">
        <v>0</v>
      </c>
      <c r="O108" t="n">
        <v>0</v>
      </c>
      <c r="P108" t="n">
        <v>0</v>
      </c>
      <c r="Q108" t="n">
        <v>0</v>
      </c>
      <c r="R108" s="2" t="inlineStr"/>
    </row>
    <row r="109" ht="15" customHeight="1">
      <c r="A109" t="inlineStr">
        <is>
          <t>A 4165-2023</t>
        </is>
      </c>
      <c r="B109" s="1" t="n">
        <v>44953</v>
      </c>
      <c r="C109" s="1" t="n">
        <v>45890</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50129-2021</t>
        </is>
      </c>
      <c r="B110" s="1" t="n">
        <v>44456</v>
      </c>
      <c r="C110" s="1" t="n">
        <v>45890</v>
      </c>
      <c r="D110" t="inlineStr">
        <is>
          <t>KALMAR LÄN</t>
        </is>
      </c>
      <c r="E110" t="inlineStr">
        <is>
          <t>BORGHOLM</t>
        </is>
      </c>
      <c r="G110" t="n">
        <v>1.6</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45890</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63276-2023</t>
        </is>
      </c>
      <c r="B112" s="1" t="n">
        <v>45273.82195601852</v>
      </c>
      <c r="C112" s="1" t="n">
        <v>45890</v>
      </c>
      <c r="D112" t="inlineStr">
        <is>
          <t>KALMAR LÄN</t>
        </is>
      </c>
      <c r="E112" t="inlineStr">
        <is>
          <t>BORGHOLM</t>
        </is>
      </c>
      <c r="G112" t="n">
        <v>5</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45890</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36269-2025</t>
        </is>
      </c>
      <c r="B114" s="1" t="n">
        <v>45867.61736111111</v>
      </c>
      <c r="C114" s="1" t="n">
        <v>45890</v>
      </c>
      <c r="D114" t="inlineStr">
        <is>
          <t>KALMAR LÄN</t>
        </is>
      </c>
      <c r="E114" t="inlineStr">
        <is>
          <t>BORGHOLM</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12481-2025</t>
        </is>
      </c>
      <c r="B115" s="1" t="n">
        <v>45730.57878472222</v>
      </c>
      <c r="C115" s="1" t="n">
        <v>45890</v>
      </c>
      <c r="D115" t="inlineStr">
        <is>
          <t>KALMAR LÄN</t>
        </is>
      </c>
      <c r="E115" t="inlineStr">
        <is>
          <t>BORGHOLM</t>
        </is>
      </c>
      <c r="G115" t="n">
        <v>7.2</v>
      </c>
      <c r="H115" t="n">
        <v>0</v>
      </c>
      <c r="I115" t="n">
        <v>0</v>
      </c>
      <c r="J115" t="n">
        <v>0</v>
      </c>
      <c r="K115" t="n">
        <v>0</v>
      </c>
      <c r="L115" t="n">
        <v>0</v>
      </c>
      <c r="M115" t="n">
        <v>0</v>
      </c>
      <c r="N115" t="n">
        <v>0</v>
      </c>
      <c r="O115" t="n">
        <v>0</v>
      </c>
      <c r="P115" t="n">
        <v>0</v>
      </c>
      <c r="Q115" t="n">
        <v>0</v>
      </c>
      <c r="R115" s="2" t="inlineStr"/>
    </row>
    <row r="116" ht="15" customHeight="1">
      <c r="A116" t="inlineStr">
        <is>
          <t>A 27326-2025</t>
        </is>
      </c>
      <c r="B116" s="1" t="n">
        <v>45812</v>
      </c>
      <c r="C116" s="1" t="n">
        <v>45890</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45890</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45890</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45890</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9076-2025</t>
        </is>
      </c>
      <c r="B120" s="1" t="n">
        <v>45713.6596875</v>
      </c>
      <c r="C120" s="1" t="n">
        <v>45890</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1757-2025</t>
        </is>
      </c>
      <c r="B121" s="1" t="n">
        <v>45671.42195601852</v>
      </c>
      <c r="C121" s="1" t="n">
        <v>45890</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45890</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9044-2025</t>
        </is>
      </c>
      <c r="B123" s="1" t="n">
        <v>45713.6275</v>
      </c>
      <c r="C123" s="1" t="n">
        <v>45890</v>
      </c>
      <c r="D123" t="inlineStr">
        <is>
          <t>KALMAR LÄN</t>
        </is>
      </c>
      <c r="E123" t="inlineStr">
        <is>
          <t>BORGHOLM</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20878-2024</t>
        </is>
      </c>
      <c r="B124" s="1" t="n">
        <v>45439.44748842593</v>
      </c>
      <c r="C124" s="1" t="n">
        <v>45890</v>
      </c>
      <c r="D124" t="inlineStr">
        <is>
          <t>KALMAR LÄN</t>
        </is>
      </c>
      <c r="E124" t="inlineStr">
        <is>
          <t>BORGHOLM</t>
        </is>
      </c>
      <c r="G124" t="n">
        <v>1.9</v>
      </c>
      <c r="H124" t="n">
        <v>0</v>
      </c>
      <c r="I124" t="n">
        <v>0</v>
      </c>
      <c r="J124" t="n">
        <v>0</v>
      </c>
      <c r="K124" t="n">
        <v>0</v>
      </c>
      <c r="L124" t="n">
        <v>0</v>
      </c>
      <c r="M124" t="n">
        <v>0</v>
      </c>
      <c r="N124" t="n">
        <v>0</v>
      </c>
      <c r="O124" t="n">
        <v>0</v>
      </c>
      <c r="P124" t="n">
        <v>0</v>
      </c>
      <c r="Q124" t="n">
        <v>0</v>
      </c>
      <c r="R124" s="2" t="inlineStr"/>
    </row>
    <row r="125">
      <c r="A125" t="inlineStr">
        <is>
          <t>A 29656-2023</t>
        </is>
      </c>
      <c r="B125" s="1" t="n">
        <v>45107</v>
      </c>
      <c r="C125" s="1" t="n">
        <v>45890</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2025-08-21T08:30:51Z</dcterms:created>
  <dcterms:modified xmlns:dcterms="http://purl.org/dc/terms/" xmlns:xsi="http://www.w3.org/2001/XMLSchema-instance" xsi:type="dcterms:W3CDTF">2025-08-21T08:30:51Z</dcterms:modified>
</cp:coreProperties>
</file>