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46053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46053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46053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46053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46053</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46053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45006-2025</t>
        </is>
      </c>
      <c r="B8" s="1" t="n">
        <v>45918</v>
      </c>
      <c r="C8" s="1" t="n">
        <v>46053</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44885-2025</t>
        </is>
      </c>
      <c r="B9" s="1" t="n">
        <v>45918.49010416667</v>
      </c>
      <c r="C9" s="1" t="n">
        <v>46053</v>
      </c>
      <c r="D9" t="inlineStr">
        <is>
          <t>KALMAR LÄN</t>
        </is>
      </c>
      <c r="E9" t="inlineStr">
        <is>
          <t>BORGHOLM</t>
        </is>
      </c>
      <c r="G9" t="n">
        <v>4.4</v>
      </c>
      <c r="H9" t="n">
        <v>2</v>
      </c>
      <c r="I9" t="n">
        <v>4</v>
      </c>
      <c r="J9" t="n">
        <v>0</v>
      </c>
      <c r="K9" t="n">
        <v>0</v>
      </c>
      <c r="L9" t="n">
        <v>1</v>
      </c>
      <c r="M9" t="n">
        <v>1</v>
      </c>
      <c r="N9" t="n">
        <v>0</v>
      </c>
      <c r="O9" t="n">
        <v>2</v>
      </c>
      <c r="P9" t="n">
        <v>2</v>
      </c>
      <c r="Q9" t="n">
        <v>7</v>
      </c>
      <c r="R9" s="2" t="inlineStr">
        <is>
          <t>Skogsalm
Ask
Murgröna
Myskmadra
Skogsknipprot
Strävlosta
Blåsippa</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31837-2021</t>
        </is>
      </c>
      <c r="B10" s="1" t="n">
        <v>44370</v>
      </c>
      <c r="C10" s="1" t="n">
        <v>46053</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46053</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46053</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46053</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46053</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46053</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46053</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46053</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46053</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46053</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28779-2025</t>
        </is>
      </c>
      <c r="B20" s="1" t="n">
        <v>45820.44920138889</v>
      </c>
      <c r="C20" s="1" t="n">
        <v>46053</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32174-2022</t>
        </is>
      </c>
      <c r="B21" s="1" t="n">
        <v>44781</v>
      </c>
      <c r="C21" s="1" t="n">
        <v>46053</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13556-2025</t>
        </is>
      </c>
      <c r="B22" s="1" t="n">
        <v>45736.54759259259</v>
      </c>
      <c r="C22" s="1" t="n">
        <v>46053</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60140-2025</t>
        </is>
      </c>
      <c r="B23" s="1" t="n">
        <v>45994.36274305556</v>
      </c>
      <c r="C23" s="1" t="n">
        <v>46053</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34944-2022</t>
        </is>
      </c>
      <c r="B24" s="1" t="n">
        <v>44796</v>
      </c>
      <c r="C24" s="1" t="n">
        <v>46053</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4164-2023</t>
        </is>
      </c>
      <c r="B25" s="1" t="n">
        <v>44953</v>
      </c>
      <c r="C25" s="1" t="n">
        <v>46053</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43756-2022</t>
        </is>
      </c>
      <c r="B26" s="1" t="n">
        <v>44837</v>
      </c>
      <c r="C26" s="1" t="n">
        <v>46053</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44008-2022</t>
        </is>
      </c>
      <c r="B27" s="1" t="n">
        <v>44838</v>
      </c>
      <c r="C27" s="1" t="n">
        <v>46053</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44008-2022 artfynd.xlsx", "A 44008-2022")</f>
        <v/>
      </c>
      <c r="T27">
        <f>HYPERLINK("https://klasma.github.io/Logging_0885/kartor/A 44008-2022 karta.png", "A 44008-2022")</f>
        <v/>
      </c>
      <c r="V27">
        <f>HYPERLINK("https://klasma.github.io/Logging_0885/klagomål/A 44008-2022 FSC-klagomål.docx", "A 44008-2022")</f>
        <v/>
      </c>
      <c r="W27">
        <f>HYPERLINK("https://klasma.github.io/Logging_0885/klagomålsmail/A 44008-2022 FSC-klagomål mail.docx", "A 44008-2022")</f>
        <v/>
      </c>
      <c r="X27">
        <f>HYPERLINK("https://klasma.github.io/Logging_0885/tillsyn/A 44008-2022 tillsynsbegäran.docx", "A 44008-2022")</f>
        <v/>
      </c>
      <c r="Y27">
        <f>HYPERLINK("https://klasma.github.io/Logging_0885/tillsynsmail/A 44008-2022 tillsynsbegäran mail.docx", "A 44008-2022")</f>
        <v/>
      </c>
      <c r="Z27">
        <f>HYPERLINK("https://klasma.github.io/Logging_0885/fåglar/A 44008-2022 prioriterade fågelarter.docx", "A 44008-2022")</f>
        <v/>
      </c>
    </row>
    <row r="28" ht="15" customHeight="1">
      <c r="A28" t="inlineStr">
        <is>
          <t>A 31790-2021</t>
        </is>
      </c>
      <c r="B28" s="1" t="n">
        <v>44370</v>
      </c>
      <c r="C28" s="1" t="n">
        <v>46053</v>
      </c>
      <c r="D28" t="inlineStr">
        <is>
          <t>KALMAR LÄN</t>
        </is>
      </c>
      <c r="E28" t="inlineStr">
        <is>
          <t>BORGHOLM</t>
        </is>
      </c>
      <c r="F28" t="inlineStr">
        <is>
          <t>Sveaskog</t>
        </is>
      </c>
      <c r="G28" t="n">
        <v>3.3</v>
      </c>
      <c r="H28" t="n">
        <v>1</v>
      </c>
      <c r="I28" t="n">
        <v>1</v>
      </c>
      <c r="J28" t="n">
        <v>0</v>
      </c>
      <c r="K28" t="n">
        <v>0</v>
      </c>
      <c r="L28" t="n">
        <v>0</v>
      </c>
      <c r="M28" t="n">
        <v>0</v>
      </c>
      <c r="N28" t="n">
        <v>0</v>
      </c>
      <c r="O28" t="n">
        <v>0</v>
      </c>
      <c r="P28" t="n">
        <v>0</v>
      </c>
      <c r="Q28" t="n">
        <v>1</v>
      </c>
      <c r="R28" s="2" t="inlineStr">
        <is>
          <t>Skogsknipprot</t>
        </is>
      </c>
      <c r="S28">
        <f>HYPERLINK("https://klasma.github.io/Logging_0885/artfynd/A 31790-2021 artfynd.xlsx", "A 31790-2021")</f>
        <v/>
      </c>
      <c r="T28">
        <f>HYPERLINK("https://klasma.github.io/Logging_0885/kartor/A 31790-2021 karta.png", "A 31790-2021")</f>
        <v/>
      </c>
      <c r="V28">
        <f>HYPERLINK("https://klasma.github.io/Logging_0885/klagomål/A 31790-2021 FSC-klagomål.docx", "A 31790-2021")</f>
        <v/>
      </c>
      <c r="W28">
        <f>HYPERLINK("https://klasma.github.io/Logging_0885/klagomålsmail/A 31790-2021 FSC-klagomål mail.docx", "A 31790-2021")</f>
        <v/>
      </c>
      <c r="X28">
        <f>HYPERLINK("https://klasma.github.io/Logging_0885/tillsyn/A 31790-2021 tillsynsbegäran.docx", "A 31790-2021")</f>
        <v/>
      </c>
      <c r="Y28">
        <f>HYPERLINK("https://klasma.github.io/Logging_0885/tillsynsmail/A 31790-2021 tillsynsbegäran mail.docx", "A 31790-2021")</f>
        <v/>
      </c>
    </row>
    <row r="29" ht="15" customHeight="1">
      <c r="A29" t="inlineStr">
        <is>
          <t>A 31295-2022</t>
        </is>
      </c>
      <c r="B29" s="1" t="n">
        <v>44772</v>
      </c>
      <c r="C29" s="1" t="n">
        <v>46053</v>
      </c>
      <c r="D29" t="inlineStr">
        <is>
          <t>KALMAR LÄN</t>
        </is>
      </c>
      <c r="E29" t="inlineStr">
        <is>
          <t>BORGHOLM</t>
        </is>
      </c>
      <c r="F29" t="inlineStr">
        <is>
          <t>Sveaskog</t>
        </is>
      </c>
      <c r="G29" t="n">
        <v>6.1</v>
      </c>
      <c r="H29" t="n">
        <v>0</v>
      </c>
      <c r="I29" t="n">
        <v>0</v>
      </c>
      <c r="J29" t="n">
        <v>0</v>
      </c>
      <c r="K29" t="n">
        <v>0</v>
      </c>
      <c r="L29" t="n">
        <v>1</v>
      </c>
      <c r="M29" t="n">
        <v>0</v>
      </c>
      <c r="N29" t="n">
        <v>0</v>
      </c>
      <c r="O29" t="n">
        <v>1</v>
      </c>
      <c r="P29" t="n">
        <v>1</v>
      </c>
      <c r="Q29" t="n">
        <v>1</v>
      </c>
      <c r="R29" s="2" t="inlineStr">
        <is>
          <t>Skärrande gräshoppa</t>
        </is>
      </c>
      <c r="S29">
        <f>HYPERLINK("https://klasma.github.io/Logging_0885/artfynd/A 31295-2022 artfynd.xlsx", "A 31295-2022")</f>
        <v/>
      </c>
      <c r="T29">
        <f>HYPERLINK("https://klasma.github.io/Logging_0885/kartor/A 31295-2022 karta.png", "A 31295-2022")</f>
        <v/>
      </c>
      <c r="V29">
        <f>HYPERLINK("https://klasma.github.io/Logging_0885/klagomål/A 31295-2022 FSC-klagomål.docx", "A 31295-2022")</f>
        <v/>
      </c>
      <c r="W29">
        <f>HYPERLINK("https://klasma.github.io/Logging_0885/klagomålsmail/A 31295-2022 FSC-klagomål mail.docx", "A 31295-2022")</f>
        <v/>
      </c>
      <c r="X29">
        <f>HYPERLINK("https://klasma.github.io/Logging_0885/tillsyn/A 31295-2022 tillsynsbegäran.docx", "A 31295-2022")</f>
        <v/>
      </c>
      <c r="Y29">
        <f>HYPERLINK("https://klasma.github.io/Logging_0885/tillsynsmail/A 31295-2022 tillsynsbegäran mail.docx", "A 31295-2022")</f>
        <v/>
      </c>
    </row>
    <row r="30" ht="15" customHeight="1">
      <c r="A30" t="inlineStr">
        <is>
          <t>A 14789-2021</t>
        </is>
      </c>
      <c r="B30" s="1" t="n">
        <v>44280</v>
      </c>
      <c r="C30" s="1" t="n">
        <v>46053</v>
      </c>
      <c r="D30" t="inlineStr">
        <is>
          <t>KALMAR LÄN</t>
        </is>
      </c>
      <c r="E30" t="inlineStr">
        <is>
          <t>BORGHOLM</t>
        </is>
      </c>
      <c r="G30" t="n">
        <v>1</v>
      </c>
      <c r="H30" t="n">
        <v>1</v>
      </c>
      <c r="I30" t="n">
        <v>1</v>
      </c>
      <c r="J30" t="n">
        <v>0</v>
      </c>
      <c r="K30" t="n">
        <v>0</v>
      </c>
      <c r="L30" t="n">
        <v>0</v>
      </c>
      <c r="M30" t="n">
        <v>0</v>
      </c>
      <c r="N30" t="n">
        <v>0</v>
      </c>
      <c r="O30" t="n">
        <v>0</v>
      </c>
      <c r="P30" t="n">
        <v>0</v>
      </c>
      <c r="Q30" t="n">
        <v>1</v>
      </c>
      <c r="R30" s="2" t="inlineStr">
        <is>
          <t>Skogsknipprot</t>
        </is>
      </c>
      <c r="S30">
        <f>HYPERLINK("https://klasma.github.io/Logging_0885/artfynd/A 14789-2021 artfynd.xlsx", "A 14789-2021")</f>
        <v/>
      </c>
      <c r="T30">
        <f>HYPERLINK("https://klasma.github.io/Logging_0885/kartor/A 14789-2021 karta.png", "A 14789-2021")</f>
        <v/>
      </c>
      <c r="V30">
        <f>HYPERLINK("https://klasma.github.io/Logging_0885/klagomål/A 14789-2021 FSC-klagomål.docx", "A 14789-2021")</f>
        <v/>
      </c>
      <c r="W30">
        <f>HYPERLINK("https://klasma.github.io/Logging_0885/klagomålsmail/A 14789-2021 FSC-klagomål mail.docx", "A 14789-2021")</f>
        <v/>
      </c>
      <c r="X30">
        <f>HYPERLINK("https://klasma.github.io/Logging_0885/tillsyn/A 14789-2021 tillsynsbegäran.docx", "A 14789-2021")</f>
        <v/>
      </c>
      <c r="Y30">
        <f>HYPERLINK("https://klasma.github.io/Logging_0885/tillsynsmail/A 14789-2021 tillsynsbegäran mail.docx", "A 14789-2021")</f>
        <v/>
      </c>
    </row>
    <row r="31" ht="15" customHeight="1">
      <c r="A31" t="inlineStr">
        <is>
          <t>A 24048-2025</t>
        </is>
      </c>
      <c r="B31" s="1" t="n">
        <v>45796.4959375</v>
      </c>
      <c r="C31" s="1" t="n">
        <v>46053</v>
      </c>
      <c r="D31" t="inlineStr">
        <is>
          <t>KALMAR LÄN</t>
        </is>
      </c>
      <c r="E31" t="inlineStr">
        <is>
          <t>BORGHOLM</t>
        </is>
      </c>
      <c r="G31" t="n">
        <v>2</v>
      </c>
      <c r="H31" t="n">
        <v>0</v>
      </c>
      <c r="I31" t="n">
        <v>0</v>
      </c>
      <c r="J31" t="n">
        <v>1</v>
      </c>
      <c r="K31" t="n">
        <v>0</v>
      </c>
      <c r="L31" t="n">
        <v>0</v>
      </c>
      <c r="M31" t="n">
        <v>0</v>
      </c>
      <c r="N31" t="n">
        <v>0</v>
      </c>
      <c r="O31" t="n">
        <v>1</v>
      </c>
      <c r="P31" t="n">
        <v>0</v>
      </c>
      <c r="Q31" t="n">
        <v>1</v>
      </c>
      <c r="R31" s="2" t="inlineStr">
        <is>
          <t>Loppstarr</t>
        </is>
      </c>
      <c r="S31">
        <f>HYPERLINK("https://klasma.github.io/Logging_0885/artfynd/A 24048-2025 artfynd.xlsx", "A 24048-2025")</f>
        <v/>
      </c>
      <c r="T31">
        <f>HYPERLINK("https://klasma.github.io/Logging_0885/kartor/A 24048-2025 karta.png", "A 24048-2025")</f>
        <v/>
      </c>
      <c r="V31">
        <f>HYPERLINK("https://klasma.github.io/Logging_0885/klagomål/A 24048-2025 FSC-klagomål.docx", "A 24048-2025")</f>
        <v/>
      </c>
      <c r="W31">
        <f>HYPERLINK("https://klasma.github.io/Logging_0885/klagomålsmail/A 24048-2025 FSC-klagomål mail.docx", "A 24048-2025")</f>
        <v/>
      </c>
      <c r="X31">
        <f>HYPERLINK("https://klasma.github.io/Logging_0885/tillsyn/A 24048-2025 tillsynsbegäran.docx", "A 24048-2025")</f>
        <v/>
      </c>
      <c r="Y31">
        <f>HYPERLINK("https://klasma.github.io/Logging_0885/tillsynsmail/A 24048-2025 tillsynsbegäran mail.docx", "A 24048-2025")</f>
        <v/>
      </c>
    </row>
    <row r="32" ht="15" customHeight="1">
      <c r="A32" t="inlineStr">
        <is>
          <t>A 9745-2023</t>
        </is>
      </c>
      <c r="B32" s="1" t="n">
        <v>44984</v>
      </c>
      <c r="C32" s="1" t="n">
        <v>46053</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41640-2023</t>
        </is>
      </c>
      <c r="B33" s="1" t="n">
        <v>45175</v>
      </c>
      <c r="C33" s="1" t="n">
        <v>46053</v>
      </c>
      <c r="D33" t="inlineStr">
        <is>
          <t>KALMAR LÄN</t>
        </is>
      </c>
      <c r="E33" t="inlineStr">
        <is>
          <t>BORGHOLM</t>
        </is>
      </c>
      <c r="G33" t="n">
        <v>5</v>
      </c>
      <c r="H33" t="n">
        <v>1</v>
      </c>
      <c r="I33" t="n">
        <v>0</v>
      </c>
      <c r="J33" t="n">
        <v>0</v>
      </c>
      <c r="K33" t="n">
        <v>0</v>
      </c>
      <c r="L33" t="n">
        <v>0</v>
      </c>
      <c r="M33" t="n">
        <v>0</v>
      </c>
      <c r="N33" t="n">
        <v>0</v>
      </c>
      <c r="O33" t="n">
        <v>0</v>
      </c>
      <c r="P33" t="n">
        <v>0</v>
      </c>
      <c r="Q33" t="n">
        <v>1</v>
      </c>
      <c r="R33" s="2" t="inlineStr">
        <is>
          <t>Johannesnycklar</t>
        </is>
      </c>
      <c r="S33">
        <f>HYPERLINK("https://klasma.github.io/Logging_0885/artfynd/A 41640-2023 artfynd.xlsx", "A 41640-2023")</f>
        <v/>
      </c>
      <c r="T33">
        <f>HYPERLINK("https://klasma.github.io/Logging_0885/kartor/A 41640-2023 karta.png", "A 41640-2023")</f>
        <v/>
      </c>
      <c r="V33">
        <f>HYPERLINK("https://klasma.github.io/Logging_0885/klagomål/A 41640-2023 FSC-klagomål.docx", "A 41640-2023")</f>
        <v/>
      </c>
      <c r="W33">
        <f>HYPERLINK("https://klasma.github.io/Logging_0885/klagomålsmail/A 41640-2023 FSC-klagomål mail.docx", "A 41640-2023")</f>
        <v/>
      </c>
      <c r="X33">
        <f>HYPERLINK("https://klasma.github.io/Logging_0885/tillsyn/A 41640-2023 tillsynsbegäran.docx", "A 41640-2023")</f>
        <v/>
      </c>
      <c r="Y33">
        <f>HYPERLINK("https://klasma.github.io/Logging_0885/tillsynsmail/A 41640-2023 tillsynsbegäran mail.docx", "A 41640-2023")</f>
        <v/>
      </c>
    </row>
    <row r="34" ht="15" customHeight="1">
      <c r="A34" t="inlineStr">
        <is>
          <t>A 45693-2025</t>
        </is>
      </c>
      <c r="B34" s="1" t="n">
        <v>45923</v>
      </c>
      <c r="C34" s="1" t="n">
        <v>46053</v>
      </c>
      <c r="D34" t="inlineStr">
        <is>
          <t>KALMAR LÄN</t>
        </is>
      </c>
      <c r="E34" t="inlineStr">
        <is>
          <t>BORGHOLM</t>
        </is>
      </c>
      <c r="G34" t="n">
        <v>4.8</v>
      </c>
      <c r="H34" t="n">
        <v>0</v>
      </c>
      <c r="I34" t="n">
        <v>0</v>
      </c>
      <c r="J34" t="n">
        <v>1</v>
      </c>
      <c r="K34" t="n">
        <v>0</v>
      </c>
      <c r="L34" t="n">
        <v>0</v>
      </c>
      <c r="M34" t="n">
        <v>0</v>
      </c>
      <c r="N34" t="n">
        <v>0</v>
      </c>
      <c r="O34" t="n">
        <v>1</v>
      </c>
      <c r="P34" t="n">
        <v>0</v>
      </c>
      <c r="Q34" t="n">
        <v>1</v>
      </c>
      <c r="R34" s="2" t="inlineStr">
        <is>
          <t>Stjälkröksvamp</t>
        </is>
      </c>
      <c r="S34">
        <f>HYPERLINK("https://klasma.github.io/Logging_0885/artfynd/A 45693-2025 artfynd.xlsx", "A 45693-2025")</f>
        <v/>
      </c>
      <c r="T34">
        <f>HYPERLINK("https://klasma.github.io/Logging_0885/kartor/A 45693-2025 karta.png", "A 45693-2025")</f>
        <v/>
      </c>
      <c r="V34">
        <f>HYPERLINK("https://klasma.github.io/Logging_0885/klagomål/A 45693-2025 FSC-klagomål.docx", "A 45693-2025")</f>
        <v/>
      </c>
      <c r="W34">
        <f>HYPERLINK("https://klasma.github.io/Logging_0885/klagomålsmail/A 45693-2025 FSC-klagomål mail.docx", "A 45693-2025")</f>
        <v/>
      </c>
      <c r="X34">
        <f>HYPERLINK("https://klasma.github.io/Logging_0885/tillsyn/A 45693-2025 tillsynsbegäran.docx", "A 45693-2025")</f>
        <v/>
      </c>
      <c r="Y34">
        <f>HYPERLINK("https://klasma.github.io/Logging_0885/tillsynsmail/A 45693-2025 tillsynsbegäran mail.docx", "A 45693-2025")</f>
        <v/>
      </c>
    </row>
    <row r="35" ht="15" customHeight="1">
      <c r="A35" t="inlineStr">
        <is>
          <t>A 28785-2025</t>
        </is>
      </c>
      <c r="B35" s="1" t="n">
        <v>45820.46159722222</v>
      </c>
      <c r="C35" s="1" t="n">
        <v>46053</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46053</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12785-2021</t>
        </is>
      </c>
      <c r="B37" s="1" t="n">
        <v>44270</v>
      </c>
      <c r="C37" s="1" t="n">
        <v>46053</v>
      </c>
      <c r="D37" t="inlineStr">
        <is>
          <t>KALMAR LÄN</t>
        </is>
      </c>
      <c r="E37" t="inlineStr">
        <is>
          <t>BORGHOLM</t>
        </is>
      </c>
      <c r="G37" t="n">
        <v>1.2</v>
      </c>
      <c r="H37" t="n">
        <v>0</v>
      </c>
      <c r="I37" t="n">
        <v>0</v>
      </c>
      <c r="J37" t="n">
        <v>0</v>
      </c>
      <c r="K37" t="n">
        <v>0</v>
      </c>
      <c r="L37" t="n">
        <v>1</v>
      </c>
      <c r="M37" t="n">
        <v>0</v>
      </c>
      <c r="N37" t="n">
        <v>0</v>
      </c>
      <c r="O37" t="n">
        <v>1</v>
      </c>
      <c r="P37" t="n">
        <v>1</v>
      </c>
      <c r="Q37" t="n">
        <v>1</v>
      </c>
      <c r="R37" s="2" t="inlineStr">
        <is>
          <t>Ask</t>
        </is>
      </c>
      <c r="S37">
        <f>HYPERLINK("https://klasma.github.io/Logging_0885/artfynd/A 12785-2021 artfynd.xlsx", "A 12785-2021")</f>
        <v/>
      </c>
      <c r="T37">
        <f>HYPERLINK("https://klasma.github.io/Logging_0885/kartor/A 12785-2021 karta.png", "A 12785-2021")</f>
        <v/>
      </c>
      <c r="V37">
        <f>HYPERLINK("https://klasma.github.io/Logging_0885/klagomål/A 12785-2021 FSC-klagomål.docx", "A 12785-2021")</f>
        <v/>
      </c>
      <c r="W37">
        <f>HYPERLINK("https://klasma.github.io/Logging_0885/klagomålsmail/A 12785-2021 FSC-klagomål mail.docx", "A 12785-2021")</f>
        <v/>
      </c>
      <c r="X37">
        <f>HYPERLINK("https://klasma.github.io/Logging_0885/tillsyn/A 12785-2021 tillsynsbegäran.docx", "A 12785-2021")</f>
        <v/>
      </c>
      <c r="Y37">
        <f>HYPERLINK("https://klasma.github.io/Logging_0885/tillsynsmail/A 12785-2021 tillsynsbegäran mail.docx", "A 12785-2021")</f>
        <v/>
      </c>
    </row>
    <row r="38" ht="15" customHeight="1">
      <c r="A38" t="inlineStr">
        <is>
          <t>A 34885-2025</t>
        </is>
      </c>
      <c r="B38" s="1" t="n">
        <v>45849.47128472223</v>
      </c>
      <c r="C38" s="1" t="n">
        <v>46053</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13558-2025</t>
        </is>
      </c>
      <c r="B39" s="1" t="n">
        <v>45736.54974537037</v>
      </c>
      <c r="C39" s="1" t="n">
        <v>46053</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24701-2023</t>
        </is>
      </c>
      <c r="B40" s="1" t="n">
        <v>45084</v>
      </c>
      <c r="C40" s="1" t="n">
        <v>46053</v>
      </c>
      <c r="D40" t="inlineStr">
        <is>
          <t>KALMAR LÄN</t>
        </is>
      </c>
      <c r="E40" t="inlineStr">
        <is>
          <t>BORGHOLM</t>
        </is>
      </c>
      <c r="G40" t="n">
        <v>3</v>
      </c>
      <c r="H40" t="n">
        <v>0</v>
      </c>
      <c r="I40" t="n">
        <v>0</v>
      </c>
      <c r="J40" t="n">
        <v>0</v>
      </c>
      <c r="K40" t="n">
        <v>0</v>
      </c>
      <c r="L40" t="n">
        <v>1</v>
      </c>
      <c r="M40" t="n">
        <v>0</v>
      </c>
      <c r="N40" t="n">
        <v>0</v>
      </c>
      <c r="O40" t="n">
        <v>1</v>
      </c>
      <c r="P40" t="n">
        <v>1</v>
      </c>
      <c r="Q40" t="n">
        <v>1</v>
      </c>
      <c r="R40" s="2" t="inlineStr">
        <is>
          <t>Ask</t>
        </is>
      </c>
      <c r="S40">
        <f>HYPERLINK("https://klasma.github.io/Logging_0885/artfynd/A 24701-2023 artfynd.xlsx", "A 24701-2023")</f>
        <v/>
      </c>
      <c r="T40">
        <f>HYPERLINK("https://klasma.github.io/Logging_0885/kartor/A 24701-2023 karta.png", "A 24701-2023")</f>
        <v/>
      </c>
      <c r="V40">
        <f>HYPERLINK("https://klasma.github.io/Logging_0885/klagomål/A 24701-2023 FSC-klagomål.docx", "A 24701-2023")</f>
        <v/>
      </c>
      <c r="W40">
        <f>HYPERLINK("https://klasma.github.io/Logging_0885/klagomålsmail/A 24701-2023 FSC-klagomål mail.docx", "A 24701-2023")</f>
        <v/>
      </c>
      <c r="X40">
        <f>HYPERLINK("https://klasma.github.io/Logging_0885/tillsyn/A 24701-2023 tillsynsbegäran.docx", "A 24701-2023")</f>
        <v/>
      </c>
      <c r="Y40">
        <f>HYPERLINK("https://klasma.github.io/Logging_0885/tillsynsmail/A 24701-2023 tillsynsbegäran mail.docx", "A 24701-2023")</f>
        <v/>
      </c>
    </row>
    <row r="41" ht="15" customHeight="1">
      <c r="A41" t="inlineStr">
        <is>
          <t>A 43603-2024</t>
        </is>
      </c>
      <c r="B41" s="1" t="n">
        <v>45569.44700231482</v>
      </c>
      <c r="C41" s="1" t="n">
        <v>46053</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24704-2023</t>
        </is>
      </c>
      <c r="B42" s="1" t="n">
        <v>45084</v>
      </c>
      <c r="C42" s="1" t="n">
        <v>46053</v>
      </c>
      <c r="D42" t="inlineStr">
        <is>
          <t>KALMAR LÄN</t>
        </is>
      </c>
      <c r="E42" t="inlineStr">
        <is>
          <t>BORGHOLM</t>
        </is>
      </c>
      <c r="G42" t="n">
        <v>3.5</v>
      </c>
      <c r="H42" t="n">
        <v>0</v>
      </c>
      <c r="I42" t="n">
        <v>0</v>
      </c>
      <c r="J42" t="n">
        <v>0</v>
      </c>
      <c r="K42" t="n">
        <v>0</v>
      </c>
      <c r="L42" t="n">
        <v>1</v>
      </c>
      <c r="M42" t="n">
        <v>0</v>
      </c>
      <c r="N42" t="n">
        <v>0</v>
      </c>
      <c r="O42" t="n">
        <v>1</v>
      </c>
      <c r="P42" t="n">
        <v>1</v>
      </c>
      <c r="Q42" t="n">
        <v>1</v>
      </c>
      <c r="R42" s="2" t="inlineStr">
        <is>
          <t>Ask</t>
        </is>
      </c>
      <c r="S42">
        <f>HYPERLINK("https://klasma.github.io/Logging_0885/artfynd/A 24704-2023 artfynd.xlsx", "A 24704-2023")</f>
        <v/>
      </c>
      <c r="T42">
        <f>HYPERLINK("https://klasma.github.io/Logging_0885/kartor/A 24704-2023 karta.png", "A 24704-2023")</f>
        <v/>
      </c>
      <c r="V42">
        <f>HYPERLINK("https://klasma.github.io/Logging_0885/klagomål/A 24704-2023 FSC-klagomål.docx", "A 24704-2023")</f>
        <v/>
      </c>
      <c r="W42">
        <f>HYPERLINK("https://klasma.github.io/Logging_0885/klagomålsmail/A 24704-2023 FSC-klagomål mail.docx", "A 24704-2023")</f>
        <v/>
      </c>
      <c r="X42">
        <f>HYPERLINK("https://klasma.github.io/Logging_0885/tillsyn/A 24704-2023 tillsynsbegäran.docx", "A 24704-2023")</f>
        <v/>
      </c>
      <c r="Y42">
        <f>HYPERLINK("https://klasma.github.io/Logging_0885/tillsynsmail/A 24704-2023 tillsynsbegäran mail.docx", "A 24704-2023")</f>
        <v/>
      </c>
    </row>
    <row r="43" ht="15" customHeight="1">
      <c r="A43" t="inlineStr">
        <is>
          <t>A 3302-2026</t>
        </is>
      </c>
      <c r="B43" s="1" t="n">
        <v>46041</v>
      </c>
      <c r="C43" s="1" t="n">
        <v>46053</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12711-2021</t>
        </is>
      </c>
      <c r="B44" s="1" t="n">
        <v>44270</v>
      </c>
      <c r="C44" s="1" t="n">
        <v>46053</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42761-2021</t>
        </is>
      </c>
      <c r="B45" s="1" t="n">
        <v>44428</v>
      </c>
      <c r="C45" s="1" t="n">
        <v>46053</v>
      </c>
      <c r="D45" t="inlineStr">
        <is>
          <t>KALMAR LÄN</t>
        </is>
      </c>
      <c r="E45" t="inlineStr">
        <is>
          <t>BORGHOLM</t>
        </is>
      </c>
      <c r="G45" t="n">
        <v>1.5</v>
      </c>
      <c r="H45" t="n">
        <v>0</v>
      </c>
      <c r="I45" t="n">
        <v>0</v>
      </c>
      <c r="J45" t="n">
        <v>0</v>
      </c>
      <c r="K45" t="n">
        <v>0</v>
      </c>
      <c r="L45" t="n">
        <v>0</v>
      </c>
      <c r="M45" t="n">
        <v>0</v>
      </c>
      <c r="N45" t="n">
        <v>0</v>
      </c>
      <c r="O45" t="n">
        <v>0</v>
      </c>
      <c r="P45" t="n">
        <v>0</v>
      </c>
      <c r="Q45" t="n">
        <v>0</v>
      </c>
      <c r="R45" s="2" t="inlineStr"/>
    </row>
    <row r="46" ht="15" customHeight="1">
      <c r="A46" t="inlineStr">
        <is>
          <t>A 13325-2021</t>
        </is>
      </c>
      <c r="B46" s="1" t="n">
        <v>44273</v>
      </c>
      <c r="C46" s="1" t="n">
        <v>46053</v>
      </c>
      <c r="D46" t="inlineStr">
        <is>
          <t>KALMAR LÄN</t>
        </is>
      </c>
      <c r="E46" t="inlineStr">
        <is>
          <t>BORGHOLM</t>
        </is>
      </c>
      <c r="G46" t="n">
        <v>0.7</v>
      </c>
      <c r="H46" t="n">
        <v>0</v>
      </c>
      <c r="I46" t="n">
        <v>0</v>
      </c>
      <c r="J46" t="n">
        <v>0</v>
      </c>
      <c r="K46" t="n">
        <v>0</v>
      </c>
      <c r="L46" t="n">
        <v>0</v>
      </c>
      <c r="M46" t="n">
        <v>0</v>
      </c>
      <c r="N46" t="n">
        <v>0</v>
      </c>
      <c r="O46" t="n">
        <v>0</v>
      </c>
      <c r="P46" t="n">
        <v>0</v>
      </c>
      <c r="Q46" t="n">
        <v>0</v>
      </c>
      <c r="R46" s="2" t="inlineStr"/>
    </row>
    <row r="47" ht="15" customHeight="1">
      <c r="A47" t="inlineStr">
        <is>
          <t>A 32665-2022</t>
        </is>
      </c>
      <c r="B47" s="1" t="n">
        <v>44783</v>
      </c>
      <c r="C47" s="1" t="n">
        <v>46053</v>
      </c>
      <c r="D47" t="inlineStr">
        <is>
          <t>KALMAR LÄN</t>
        </is>
      </c>
      <c r="E47" t="inlineStr">
        <is>
          <t>BORGHOLM</t>
        </is>
      </c>
      <c r="F47" t="inlineStr">
        <is>
          <t>Sveaskog</t>
        </is>
      </c>
      <c r="G47" t="n">
        <v>4.2</v>
      </c>
      <c r="H47" t="n">
        <v>0</v>
      </c>
      <c r="I47" t="n">
        <v>0</v>
      </c>
      <c r="J47" t="n">
        <v>0</v>
      </c>
      <c r="K47" t="n">
        <v>0</v>
      </c>
      <c r="L47" t="n">
        <v>0</v>
      </c>
      <c r="M47" t="n">
        <v>0</v>
      </c>
      <c r="N47" t="n">
        <v>0</v>
      </c>
      <c r="O47" t="n">
        <v>0</v>
      </c>
      <c r="P47" t="n">
        <v>0</v>
      </c>
      <c r="Q47" t="n">
        <v>0</v>
      </c>
      <c r="R47" s="2" t="inlineStr"/>
    </row>
    <row r="48" ht="15" customHeight="1">
      <c r="A48" t="inlineStr">
        <is>
          <t>A 10348-2022</t>
        </is>
      </c>
      <c r="B48" s="1" t="n">
        <v>44623</v>
      </c>
      <c r="C48" s="1" t="n">
        <v>46053</v>
      </c>
      <c r="D48" t="inlineStr">
        <is>
          <t>KALMAR LÄN</t>
        </is>
      </c>
      <c r="E48" t="inlineStr">
        <is>
          <t>BORGHOLM</t>
        </is>
      </c>
      <c r="G48" t="n">
        <v>0.4</v>
      </c>
      <c r="H48" t="n">
        <v>0</v>
      </c>
      <c r="I48" t="n">
        <v>0</v>
      </c>
      <c r="J48" t="n">
        <v>0</v>
      </c>
      <c r="K48" t="n">
        <v>0</v>
      </c>
      <c r="L48" t="n">
        <v>0</v>
      </c>
      <c r="M48" t="n">
        <v>0</v>
      </c>
      <c r="N48" t="n">
        <v>0</v>
      </c>
      <c r="O48" t="n">
        <v>0</v>
      </c>
      <c r="P48" t="n">
        <v>0</v>
      </c>
      <c r="Q48" t="n">
        <v>0</v>
      </c>
      <c r="R48" s="2" t="inlineStr"/>
    </row>
    <row r="49" ht="15" customHeight="1">
      <c r="A49" t="inlineStr">
        <is>
          <t>A 28345-2022</t>
        </is>
      </c>
      <c r="B49" s="1" t="n">
        <v>44747</v>
      </c>
      <c r="C49" s="1" t="n">
        <v>46053</v>
      </c>
      <c r="D49" t="inlineStr">
        <is>
          <t>KALMAR LÄN</t>
        </is>
      </c>
      <c r="E49" t="inlineStr">
        <is>
          <t>BORGHOLM</t>
        </is>
      </c>
      <c r="G49" t="n">
        <v>1.5</v>
      </c>
      <c r="H49" t="n">
        <v>0</v>
      </c>
      <c r="I49" t="n">
        <v>0</v>
      </c>
      <c r="J49" t="n">
        <v>0</v>
      </c>
      <c r="K49" t="n">
        <v>0</v>
      </c>
      <c r="L49" t="n">
        <v>0</v>
      </c>
      <c r="M49" t="n">
        <v>0</v>
      </c>
      <c r="N49" t="n">
        <v>0</v>
      </c>
      <c r="O49" t="n">
        <v>0</v>
      </c>
      <c r="P49" t="n">
        <v>0</v>
      </c>
      <c r="Q49" t="n">
        <v>0</v>
      </c>
      <c r="R49" s="2" t="inlineStr"/>
    </row>
    <row r="50" ht="15" customHeight="1">
      <c r="A50" t="inlineStr">
        <is>
          <t>A 44681-2022</t>
        </is>
      </c>
      <c r="B50" s="1" t="n">
        <v>44840</v>
      </c>
      <c r="C50" s="1" t="n">
        <v>46053</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32608-2022</t>
        </is>
      </c>
      <c r="B51" s="1" t="n">
        <v>44783</v>
      </c>
      <c r="C51" s="1" t="n">
        <v>46053</v>
      </c>
      <c r="D51" t="inlineStr">
        <is>
          <t>KALMAR LÄN</t>
        </is>
      </c>
      <c r="E51" t="inlineStr">
        <is>
          <t>BORGHOLM</t>
        </is>
      </c>
      <c r="F51" t="inlineStr">
        <is>
          <t>Sveaskog</t>
        </is>
      </c>
      <c r="G51" t="n">
        <v>1.6</v>
      </c>
      <c r="H51" t="n">
        <v>0</v>
      </c>
      <c r="I51" t="n">
        <v>0</v>
      </c>
      <c r="J51" t="n">
        <v>0</v>
      </c>
      <c r="K51" t="n">
        <v>0</v>
      </c>
      <c r="L51" t="n">
        <v>0</v>
      </c>
      <c r="M51" t="n">
        <v>0</v>
      </c>
      <c r="N51" t="n">
        <v>0</v>
      </c>
      <c r="O51" t="n">
        <v>0</v>
      </c>
      <c r="P51" t="n">
        <v>0</v>
      </c>
      <c r="Q51" t="n">
        <v>0</v>
      </c>
      <c r="R51" s="2" t="inlineStr"/>
    </row>
    <row r="52" ht="15" customHeight="1">
      <c r="A52" t="inlineStr">
        <is>
          <t>A 61828-2021</t>
        </is>
      </c>
      <c r="B52" s="1" t="n">
        <v>44501</v>
      </c>
      <c r="C52" s="1" t="n">
        <v>46053</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56188-2021</t>
        </is>
      </c>
      <c r="B53" s="1" t="n">
        <v>44477.83525462963</v>
      </c>
      <c r="C53" s="1" t="n">
        <v>46053</v>
      </c>
      <c r="D53" t="inlineStr">
        <is>
          <t>KALMAR LÄN</t>
        </is>
      </c>
      <c r="E53" t="inlineStr">
        <is>
          <t>BORGHOLM</t>
        </is>
      </c>
      <c r="G53" t="n">
        <v>1.8</v>
      </c>
      <c r="H53" t="n">
        <v>0</v>
      </c>
      <c r="I53" t="n">
        <v>0</v>
      </c>
      <c r="J53" t="n">
        <v>0</v>
      </c>
      <c r="K53" t="n">
        <v>0</v>
      </c>
      <c r="L53" t="n">
        <v>0</v>
      </c>
      <c r="M53" t="n">
        <v>0</v>
      </c>
      <c r="N53" t="n">
        <v>0</v>
      </c>
      <c r="O53" t="n">
        <v>0</v>
      </c>
      <c r="P53" t="n">
        <v>0</v>
      </c>
      <c r="Q53" t="n">
        <v>0</v>
      </c>
      <c r="R53" s="2" t="inlineStr"/>
    </row>
    <row r="54" ht="15" customHeight="1">
      <c r="A54" t="inlineStr">
        <is>
          <t>A 56983-2021</t>
        </is>
      </c>
      <c r="B54" s="1" t="n">
        <v>44482</v>
      </c>
      <c r="C54" s="1" t="n">
        <v>46053</v>
      </c>
      <c r="D54" t="inlineStr">
        <is>
          <t>KALMAR LÄN</t>
        </is>
      </c>
      <c r="E54" t="inlineStr">
        <is>
          <t>BORGHOLM</t>
        </is>
      </c>
      <c r="G54" t="n">
        <v>1.2</v>
      </c>
      <c r="H54" t="n">
        <v>0</v>
      </c>
      <c r="I54" t="n">
        <v>0</v>
      </c>
      <c r="J54" t="n">
        <v>0</v>
      </c>
      <c r="K54" t="n">
        <v>0</v>
      </c>
      <c r="L54" t="n">
        <v>0</v>
      </c>
      <c r="M54" t="n">
        <v>0</v>
      </c>
      <c r="N54" t="n">
        <v>0</v>
      </c>
      <c r="O54" t="n">
        <v>0</v>
      </c>
      <c r="P54" t="n">
        <v>0</v>
      </c>
      <c r="Q54" t="n">
        <v>0</v>
      </c>
      <c r="R54" s="2" t="inlineStr"/>
    </row>
    <row r="55" ht="15" customHeight="1">
      <c r="A55" t="inlineStr">
        <is>
          <t>A 27437-2022</t>
        </is>
      </c>
      <c r="B55" s="1" t="n">
        <v>44742.55567129629</v>
      </c>
      <c r="C55" s="1" t="n">
        <v>46053</v>
      </c>
      <c r="D55" t="inlineStr">
        <is>
          <t>KALMAR LÄN</t>
        </is>
      </c>
      <c r="E55" t="inlineStr">
        <is>
          <t>BORGHOLM</t>
        </is>
      </c>
      <c r="G55" t="n">
        <v>0.6</v>
      </c>
      <c r="H55" t="n">
        <v>0</v>
      </c>
      <c r="I55" t="n">
        <v>0</v>
      </c>
      <c r="J55" t="n">
        <v>0</v>
      </c>
      <c r="K55" t="n">
        <v>0</v>
      </c>
      <c r="L55" t="n">
        <v>0</v>
      </c>
      <c r="M55" t="n">
        <v>0</v>
      </c>
      <c r="N55" t="n">
        <v>0</v>
      </c>
      <c r="O55" t="n">
        <v>0</v>
      </c>
      <c r="P55" t="n">
        <v>0</v>
      </c>
      <c r="Q55" t="n">
        <v>0</v>
      </c>
      <c r="R55" s="2" t="inlineStr"/>
    </row>
    <row r="56" ht="15" customHeight="1">
      <c r="A56" t="inlineStr">
        <is>
          <t>A 62631-2021</t>
        </is>
      </c>
      <c r="B56" s="1" t="n">
        <v>44503</v>
      </c>
      <c r="C56" s="1" t="n">
        <v>46053</v>
      </c>
      <c r="D56" t="inlineStr">
        <is>
          <t>KALMAR LÄN</t>
        </is>
      </c>
      <c r="E56" t="inlineStr">
        <is>
          <t>BORGHOLM</t>
        </is>
      </c>
      <c r="G56" t="n">
        <v>1</v>
      </c>
      <c r="H56" t="n">
        <v>0</v>
      </c>
      <c r="I56" t="n">
        <v>0</v>
      </c>
      <c r="J56" t="n">
        <v>0</v>
      </c>
      <c r="K56" t="n">
        <v>0</v>
      </c>
      <c r="L56" t="n">
        <v>0</v>
      </c>
      <c r="M56" t="n">
        <v>0</v>
      </c>
      <c r="N56" t="n">
        <v>0</v>
      </c>
      <c r="O56" t="n">
        <v>0</v>
      </c>
      <c r="P56" t="n">
        <v>0</v>
      </c>
      <c r="Q56" t="n">
        <v>0</v>
      </c>
      <c r="R56" s="2" t="inlineStr"/>
    </row>
    <row r="57" ht="15" customHeight="1">
      <c r="A57" t="inlineStr">
        <is>
          <t>A 32180-2022</t>
        </is>
      </c>
      <c r="B57" s="1" t="n">
        <v>44781</v>
      </c>
      <c r="C57" s="1" t="n">
        <v>46053</v>
      </c>
      <c r="D57" t="inlineStr">
        <is>
          <t>KALMAR LÄN</t>
        </is>
      </c>
      <c r="E57" t="inlineStr">
        <is>
          <t>BORGHOLM</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42785-2021</t>
        </is>
      </c>
      <c r="B58" s="1" t="n">
        <v>44428</v>
      </c>
      <c r="C58" s="1" t="n">
        <v>46053</v>
      </c>
      <c r="D58" t="inlineStr">
        <is>
          <t>KALMAR LÄN</t>
        </is>
      </c>
      <c r="E58" t="inlineStr">
        <is>
          <t>BORGHOLM</t>
        </is>
      </c>
      <c r="G58" t="n">
        <v>2.8</v>
      </c>
      <c r="H58" t="n">
        <v>0</v>
      </c>
      <c r="I58" t="n">
        <v>0</v>
      </c>
      <c r="J58" t="n">
        <v>0</v>
      </c>
      <c r="K58" t="n">
        <v>0</v>
      </c>
      <c r="L58" t="n">
        <v>0</v>
      </c>
      <c r="M58" t="n">
        <v>0</v>
      </c>
      <c r="N58" t="n">
        <v>0</v>
      </c>
      <c r="O58" t="n">
        <v>0</v>
      </c>
      <c r="P58" t="n">
        <v>0</v>
      </c>
      <c r="Q58" t="n">
        <v>0</v>
      </c>
      <c r="R58" s="2" t="inlineStr"/>
    </row>
    <row r="59" ht="15" customHeight="1">
      <c r="A59" t="inlineStr">
        <is>
          <t>A 31699-2022</t>
        </is>
      </c>
      <c r="B59" s="1" t="n">
        <v>44776</v>
      </c>
      <c r="C59" s="1" t="n">
        <v>46053</v>
      </c>
      <c r="D59" t="inlineStr">
        <is>
          <t>KALMAR LÄN</t>
        </is>
      </c>
      <c r="E59" t="inlineStr">
        <is>
          <t>BORGHOLM</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9044-2025</t>
        </is>
      </c>
      <c r="B60" s="1" t="n">
        <v>45713.6275</v>
      </c>
      <c r="C60" s="1" t="n">
        <v>46053</v>
      </c>
      <c r="D60" t="inlineStr">
        <is>
          <t>KALMAR LÄN</t>
        </is>
      </c>
      <c r="E60" t="inlineStr">
        <is>
          <t>BORGHOLM</t>
        </is>
      </c>
      <c r="F60" t="inlineStr">
        <is>
          <t>Sveaskog</t>
        </is>
      </c>
      <c r="G60" t="n">
        <v>4</v>
      </c>
      <c r="H60" t="n">
        <v>0</v>
      </c>
      <c r="I60" t="n">
        <v>0</v>
      </c>
      <c r="J60" t="n">
        <v>0</v>
      </c>
      <c r="K60" t="n">
        <v>0</v>
      </c>
      <c r="L60" t="n">
        <v>0</v>
      </c>
      <c r="M60" t="n">
        <v>0</v>
      </c>
      <c r="N60" t="n">
        <v>0</v>
      </c>
      <c r="O60" t="n">
        <v>0</v>
      </c>
      <c r="P60" t="n">
        <v>0</v>
      </c>
      <c r="Q60" t="n">
        <v>0</v>
      </c>
      <c r="R60" s="2" t="inlineStr"/>
    </row>
    <row r="61" ht="15" customHeight="1">
      <c r="A61" t="inlineStr">
        <is>
          <t>A 13043-2024</t>
        </is>
      </c>
      <c r="B61" s="1" t="n">
        <v>45385.60111111111</v>
      </c>
      <c r="C61" s="1" t="n">
        <v>46053</v>
      </c>
      <c r="D61" t="inlineStr">
        <is>
          <t>KALMAR LÄN</t>
        </is>
      </c>
      <c r="E61" t="inlineStr">
        <is>
          <t>BORGHOLM</t>
        </is>
      </c>
      <c r="G61" t="n">
        <v>0.4</v>
      </c>
      <c r="H61" t="n">
        <v>0</v>
      </c>
      <c r="I61" t="n">
        <v>0</v>
      </c>
      <c r="J61" t="n">
        <v>0</v>
      </c>
      <c r="K61" t="n">
        <v>0</v>
      </c>
      <c r="L61" t="n">
        <v>0</v>
      </c>
      <c r="M61" t="n">
        <v>0</v>
      </c>
      <c r="N61" t="n">
        <v>0</v>
      </c>
      <c r="O61" t="n">
        <v>0</v>
      </c>
      <c r="P61" t="n">
        <v>0</v>
      </c>
      <c r="Q61" t="n">
        <v>0</v>
      </c>
      <c r="R61" s="2" t="inlineStr"/>
    </row>
    <row r="62" ht="15" customHeight="1">
      <c r="A62" t="inlineStr">
        <is>
          <t>A 17978-2021</t>
        </is>
      </c>
      <c r="B62" s="1" t="n">
        <v>44301</v>
      </c>
      <c r="C62" s="1" t="n">
        <v>46053</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26160-2024</t>
        </is>
      </c>
      <c r="B63" s="1" t="n">
        <v>45468</v>
      </c>
      <c r="C63" s="1" t="n">
        <v>46053</v>
      </c>
      <c r="D63" t="inlineStr">
        <is>
          <t>KALMAR LÄN</t>
        </is>
      </c>
      <c r="E63" t="inlineStr">
        <is>
          <t>BORGHOLM</t>
        </is>
      </c>
      <c r="G63" t="n">
        <v>0.4</v>
      </c>
      <c r="H63" t="n">
        <v>0</v>
      </c>
      <c r="I63" t="n">
        <v>0</v>
      </c>
      <c r="J63" t="n">
        <v>0</v>
      </c>
      <c r="K63" t="n">
        <v>0</v>
      </c>
      <c r="L63" t="n">
        <v>0</v>
      </c>
      <c r="M63" t="n">
        <v>0</v>
      </c>
      <c r="N63" t="n">
        <v>0</v>
      </c>
      <c r="O63" t="n">
        <v>0</v>
      </c>
      <c r="P63" t="n">
        <v>0</v>
      </c>
      <c r="Q63" t="n">
        <v>0</v>
      </c>
      <c r="R63" s="2" t="inlineStr"/>
      <c r="T63">
        <f>HYPERLINK("https://klasma.github.io/Logging_0885/kartor/A 26160-2024 karta.png", "A 26160-2024")</f>
        <v/>
      </c>
      <c r="V63">
        <f>HYPERLINK("https://klasma.github.io/Logging_0885/klagomål/A 26160-2024 FSC-klagomål.docx", "A 26160-2024")</f>
        <v/>
      </c>
      <c r="W63">
        <f>HYPERLINK("https://klasma.github.io/Logging_0885/klagomålsmail/A 26160-2024 FSC-klagomål mail.docx", "A 26160-2024")</f>
        <v/>
      </c>
      <c r="X63">
        <f>HYPERLINK("https://klasma.github.io/Logging_0885/tillsyn/A 26160-2024 tillsynsbegäran.docx", "A 26160-2024")</f>
        <v/>
      </c>
      <c r="Y63">
        <f>HYPERLINK("https://klasma.github.io/Logging_0885/tillsynsmail/A 26160-2024 tillsynsbegäran mail.docx", "A 26160-2024")</f>
        <v/>
      </c>
    </row>
    <row r="64" ht="15" customHeight="1">
      <c r="A64" t="inlineStr">
        <is>
          <t>A 22785-2025</t>
        </is>
      </c>
      <c r="B64" s="1" t="n">
        <v>45789.64186342592</v>
      </c>
      <c r="C64" s="1" t="n">
        <v>46053</v>
      </c>
      <c r="D64" t="inlineStr">
        <is>
          <t>KALMAR LÄN</t>
        </is>
      </c>
      <c r="E64" t="inlineStr">
        <is>
          <t>BORGHOLM</t>
        </is>
      </c>
      <c r="G64" t="n">
        <v>0.6</v>
      </c>
      <c r="H64" t="n">
        <v>0</v>
      </c>
      <c r="I64" t="n">
        <v>0</v>
      </c>
      <c r="J64" t="n">
        <v>0</v>
      </c>
      <c r="K64" t="n">
        <v>0</v>
      </c>
      <c r="L64" t="n">
        <v>0</v>
      </c>
      <c r="M64" t="n">
        <v>0</v>
      </c>
      <c r="N64" t="n">
        <v>0</v>
      </c>
      <c r="O64" t="n">
        <v>0</v>
      </c>
      <c r="P64" t="n">
        <v>0</v>
      </c>
      <c r="Q64" t="n">
        <v>0</v>
      </c>
      <c r="R64" s="2" t="inlineStr"/>
    </row>
    <row r="65" ht="15" customHeight="1">
      <c r="A65" t="inlineStr">
        <is>
          <t>A 12534-2022</t>
        </is>
      </c>
      <c r="B65" s="1" t="n">
        <v>44638</v>
      </c>
      <c r="C65" s="1" t="n">
        <v>46053</v>
      </c>
      <c r="D65" t="inlineStr">
        <is>
          <t>KALMAR LÄN</t>
        </is>
      </c>
      <c r="E65" t="inlineStr">
        <is>
          <t>BORGHOLM</t>
        </is>
      </c>
      <c r="G65" t="n">
        <v>8.6</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46053</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42232-2025</t>
        </is>
      </c>
      <c r="B67" s="1" t="n">
        <v>45904.55591435185</v>
      </c>
      <c r="C67" s="1" t="n">
        <v>46053</v>
      </c>
      <c r="D67" t="inlineStr">
        <is>
          <t>KALMAR LÄN</t>
        </is>
      </c>
      <c r="E67" t="inlineStr">
        <is>
          <t>BORGHOLM</t>
        </is>
      </c>
      <c r="F67" t="inlineStr">
        <is>
          <t>Sveaskog</t>
        </is>
      </c>
      <c r="G67" t="n">
        <v>1.7</v>
      </c>
      <c r="H67" t="n">
        <v>0</v>
      </c>
      <c r="I67" t="n">
        <v>0</v>
      </c>
      <c r="J67" t="n">
        <v>0</v>
      </c>
      <c r="K67" t="n">
        <v>0</v>
      </c>
      <c r="L67" t="n">
        <v>0</v>
      </c>
      <c r="M67" t="n">
        <v>0</v>
      </c>
      <c r="N67" t="n">
        <v>0</v>
      </c>
      <c r="O67" t="n">
        <v>0</v>
      </c>
      <c r="P67" t="n">
        <v>0</v>
      </c>
      <c r="Q67" t="n">
        <v>0</v>
      </c>
      <c r="R67" s="2" t="inlineStr"/>
    </row>
    <row r="68" ht="15" customHeight="1">
      <c r="A68" t="inlineStr">
        <is>
          <t>A 41950-2025</t>
        </is>
      </c>
      <c r="B68" s="1" t="n">
        <v>45903.45767361111</v>
      </c>
      <c r="C68" s="1" t="n">
        <v>46053</v>
      </c>
      <c r="D68" t="inlineStr">
        <is>
          <t>KALMAR LÄN</t>
        </is>
      </c>
      <c r="E68" t="inlineStr">
        <is>
          <t>BORGHOLM</t>
        </is>
      </c>
      <c r="G68" t="n">
        <v>1.8</v>
      </c>
      <c r="H68" t="n">
        <v>0</v>
      </c>
      <c r="I68" t="n">
        <v>0</v>
      </c>
      <c r="J68" t="n">
        <v>0</v>
      </c>
      <c r="K68" t="n">
        <v>0</v>
      </c>
      <c r="L68" t="n">
        <v>0</v>
      </c>
      <c r="M68" t="n">
        <v>0</v>
      </c>
      <c r="N68" t="n">
        <v>0</v>
      </c>
      <c r="O68" t="n">
        <v>0</v>
      </c>
      <c r="P68" t="n">
        <v>0</v>
      </c>
      <c r="Q68" t="n">
        <v>0</v>
      </c>
      <c r="R68" s="2" t="inlineStr"/>
    </row>
    <row r="69" ht="15" customHeight="1">
      <c r="A69" t="inlineStr">
        <is>
          <t>A 40339-2023</t>
        </is>
      </c>
      <c r="B69" s="1" t="n">
        <v>45169.62733796296</v>
      </c>
      <c r="C69" s="1" t="n">
        <v>46053</v>
      </c>
      <c r="D69" t="inlineStr">
        <is>
          <t>KALMAR LÄN</t>
        </is>
      </c>
      <c r="E69" t="inlineStr">
        <is>
          <t>BORGHOLM</t>
        </is>
      </c>
      <c r="G69" t="n">
        <v>3.8</v>
      </c>
      <c r="H69" t="n">
        <v>0</v>
      </c>
      <c r="I69" t="n">
        <v>0</v>
      </c>
      <c r="J69" t="n">
        <v>0</v>
      </c>
      <c r="K69" t="n">
        <v>0</v>
      </c>
      <c r="L69" t="n">
        <v>0</v>
      </c>
      <c r="M69" t="n">
        <v>0</v>
      </c>
      <c r="N69" t="n">
        <v>0</v>
      </c>
      <c r="O69" t="n">
        <v>0</v>
      </c>
      <c r="P69" t="n">
        <v>0</v>
      </c>
      <c r="Q69" t="n">
        <v>0</v>
      </c>
      <c r="R69" s="2" t="inlineStr"/>
    </row>
    <row r="70" ht="15" customHeight="1">
      <c r="A70" t="inlineStr">
        <is>
          <t>A 20878-2024</t>
        </is>
      </c>
      <c r="B70" s="1" t="n">
        <v>45439.44748842593</v>
      </c>
      <c r="C70" s="1" t="n">
        <v>46053</v>
      </c>
      <c r="D70" t="inlineStr">
        <is>
          <t>KALMAR LÄN</t>
        </is>
      </c>
      <c r="E70" t="inlineStr">
        <is>
          <t>BORGHOLM</t>
        </is>
      </c>
      <c r="G70" t="n">
        <v>1.9</v>
      </c>
      <c r="H70" t="n">
        <v>0</v>
      </c>
      <c r="I70" t="n">
        <v>0</v>
      </c>
      <c r="J70" t="n">
        <v>0</v>
      </c>
      <c r="K70" t="n">
        <v>0</v>
      </c>
      <c r="L70" t="n">
        <v>0</v>
      </c>
      <c r="M70" t="n">
        <v>0</v>
      </c>
      <c r="N70" t="n">
        <v>0</v>
      </c>
      <c r="O70" t="n">
        <v>0</v>
      </c>
      <c r="P70" t="n">
        <v>0</v>
      </c>
      <c r="Q70" t="n">
        <v>0</v>
      </c>
      <c r="R70" s="2" t="inlineStr"/>
    </row>
    <row r="71" ht="15" customHeight="1">
      <c r="A71" t="inlineStr">
        <is>
          <t>A 24166-2022</t>
        </is>
      </c>
      <c r="B71" s="1" t="n">
        <v>44725</v>
      </c>
      <c r="C71" s="1" t="n">
        <v>46053</v>
      </c>
      <c r="D71" t="inlineStr">
        <is>
          <t>KALMAR LÄN</t>
        </is>
      </c>
      <c r="E71" t="inlineStr">
        <is>
          <t>BORGHOLM</t>
        </is>
      </c>
      <c r="G71" t="n">
        <v>10.7</v>
      </c>
      <c r="H71" t="n">
        <v>0</v>
      </c>
      <c r="I71" t="n">
        <v>0</v>
      </c>
      <c r="J71" t="n">
        <v>0</v>
      </c>
      <c r="K71" t="n">
        <v>0</v>
      </c>
      <c r="L71" t="n">
        <v>0</v>
      </c>
      <c r="M71" t="n">
        <v>0</v>
      </c>
      <c r="N71" t="n">
        <v>0</v>
      </c>
      <c r="O71" t="n">
        <v>0</v>
      </c>
      <c r="P71" t="n">
        <v>0</v>
      </c>
      <c r="Q71" t="n">
        <v>0</v>
      </c>
      <c r="R71" s="2" t="inlineStr"/>
    </row>
    <row r="72" ht="15" customHeight="1">
      <c r="A72" t="inlineStr">
        <is>
          <t>A 43542-2025</t>
        </is>
      </c>
      <c r="B72" s="1" t="n">
        <v>45911.61123842592</v>
      </c>
      <c r="C72" s="1" t="n">
        <v>46053</v>
      </c>
      <c r="D72" t="inlineStr">
        <is>
          <t>KALMAR LÄN</t>
        </is>
      </c>
      <c r="E72" t="inlineStr">
        <is>
          <t>BORGHOLM</t>
        </is>
      </c>
      <c r="G72" t="n">
        <v>2.4</v>
      </c>
      <c r="H72" t="n">
        <v>0</v>
      </c>
      <c r="I72" t="n">
        <v>0</v>
      </c>
      <c r="J72" t="n">
        <v>0</v>
      </c>
      <c r="K72" t="n">
        <v>0</v>
      </c>
      <c r="L72" t="n">
        <v>0</v>
      </c>
      <c r="M72" t="n">
        <v>0</v>
      </c>
      <c r="N72" t="n">
        <v>0</v>
      </c>
      <c r="O72" t="n">
        <v>0</v>
      </c>
      <c r="P72" t="n">
        <v>0</v>
      </c>
      <c r="Q72" t="n">
        <v>0</v>
      </c>
      <c r="R72" s="2" t="inlineStr"/>
    </row>
    <row r="73" ht="15" customHeight="1">
      <c r="A73" t="inlineStr">
        <is>
          <t>A 26160-2025</t>
        </is>
      </c>
      <c r="B73" s="1" t="n">
        <v>45805.4490162037</v>
      </c>
      <c r="C73" s="1" t="n">
        <v>46053</v>
      </c>
      <c r="D73" t="inlineStr">
        <is>
          <t>KALMAR LÄN</t>
        </is>
      </c>
      <c r="E73" t="inlineStr">
        <is>
          <t>BORGHOLM</t>
        </is>
      </c>
      <c r="G73" t="n">
        <v>3.7</v>
      </c>
      <c r="H73" t="n">
        <v>0</v>
      </c>
      <c r="I73" t="n">
        <v>0</v>
      </c>
      <c r="J73" t="n">
        <v>0</v>
      </c>
      <c r="K73" t="n">
        <v>0</v>
      </c>
      <c r="L73" t="n">
        <v>0</v>
      </c>
      <c r="M73" t="n">
        <v>0</v>
      </c>
      <c r="N73" t="n">
        <v>0</v>
      </c>
      <c r="O73" t="n">
        <v>0</v>
      </c>
      <c r="P73" t="n">
        <v>0</v>
      </c>
      <c r="Q73" t="n">
        <v>0</v>
      </c>
      <c r="R73" s="2" t="inlineStr"/>
    </row>
    <row r="74" ht="15" customHeight="1">
      <c r="A74" t="inlineStr">
        <is>
          <t>A 26190-2025</t>
        </is>
      </c>
      <c r="B74" s="1" t="n">
        <v>45805.48349537037</v>
      </c>
      <c r="C74" s="1" t="n">
        <v>46053</v>
      </c>
      <c r="D74" t="inlineStr">
        <is>
          <t>KALMAR LÄN</t>
        </is>
      </c>
      <c r="E74" t="inlineStr">
        <is>
          <t>BORGHOLM</t>
        </is>
      </c>
      <c r="G74" t="n">
        <v>3.2</v>
      </c>
      <c r="H74" t="n">
        <v>0</v>
      </c>
      <c r="I74" t="n">
        <v>0</v>
      </c>
      <c r="J74" t="n">
        <v>0</v>
      </c>
      <c r="K74" t="n">
        <v>0</v>
      </c>
      <c r="L74" t="n">
        <v>0</v>
      </c>
      <c r="M74" t="n">
        <v>0</v>
      </c>
      <c r="N74" t="n">
        <v>0</v>
      </c>
      <c r="O74" t="n">
        <v>0</v>
      </c>
      <c r="P74" t="n">
        <v>0</v>
      </c>
      <c r="Q74" t="n">
        <v>0</v>
      </c>
      <c r="R74" s="2" t="inlineStr"/>
    </row>
    <row r="75" ht="15" customHeight="1">
      <c r="A75" t="inlineStr">
        <is>
          <t>A 27357-2025</t>
        </is>
      </c>
      <c r="B75" s="1" t="n">
        <v>45812.63650462963</v>
      </c>
      <c r="C75" s="1" t="n">
        <v>46053</v>
      </c>
      <c r="D75" t="inlineStr">
        <is>
          <t>KALMAR LÄN</t>
        </is>
      </c>
      <c r="E75" t="inlineStr">
        <is>
          <t>BORGHOLM</t>
        </is>
      </c>
      <c r="F75" t="inlineStr">
        <is>
          <t>Sveaskog</t>
        </is>
      </c>
      <c r="G75" t="n">
        <v>4.5</v>
      </c>
      <c r="H75" t="n">
        <v>0</v>
      </c>
      <c r="I75" t="n">
        <v>0</v>
      </c>
      <c r="J75" t="n">
        <v>0</v>
      </c>
      <c r="K75" t="n">
        <v>0</v>
      </c>
      <c r="L75" t="n">
        <v>0</v>
      </c>
      <c r="M75" t="n">
        <v>0</v>
      </c>
      <c r="N75" t="n">
        <v>0</v>
      </c>
      <c r="O75" t="n">
        <v>0</v>
      </c>
      <c r="P75" t="n">
        <v>0</v>
      </c>
      <c r="Q75" t="n">
        <v>0</v>
      </c>
      <c r="R75" s="2" t="inlineStr"/>
    </row>
    <row r="76" ht="15" customHeight="1">
      <c r="A76" t="inlineStr">
        <is>
          <t>A 27366-2025</t>
        </is>
      </c>
      <c r="B76" s="1" t="n">
        <v>45812.64475694444</v>
      </c>
      <c r="C76" s="1" t="n">
        <v>46053</v>
      </c>
      <c r="D76" t="inlineStr">
        <is>
          <t>KALMAR LÄN</t>
        </is>
      </c>
      <c r="E76" t="inlineStr">
        <is>
          <t>BORGHOLM</t>
        </is>
      </c>
      <c r="F76" t="inlineStr">
        <is>
          <t>Sveaskog</t>
        </is>
      </c>
      <c r="G76" t="n">
        <v>2.5</v>
      </c>
      <c r="H76" t="n">
        <v>0</v>
      </c>
      <c r="I76" t="n">
        <v>0</v>
      </c>
      <c r="J76" t="n">
        <v>0</v>
      </c>
      <c r="K76" t="n">
        <v>0</v>
      </c>
      <c r="L76" t="n">
        <v>0</v>
      </c>
      <c r="M76" t="n">
        <v>0</v>
      </c>
      <c r="N76" t="n">
        <v>0</v>
      </c>
      <c r="O76" t="n">
        <v>0</v>
      </c>
      <c r="P76" t="n">
        <v>0</v>
      </c>
      <c r="Q76" t="n">
        <v>0</v>
      </c>
      <c r="R76" s="2" t="inlineStr"/>
    </row>
    <row r="77" ht="15" customHeight="1">
      <c r="A77" t="inlineStr">
        <is>
          <t>A 45734-2025</t>
        </is>
      </c>
      <c r="B77" s="1" t="n">
        <v>45923.46512731481</v>
      </c>
      <c r="C77" s="1" t="n">
        <v>46053</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4159-2024</t>
        </is>
      </c>
      <c r="B78" s="1" t="n">
        <v>45323</v>
      </c>
      <c r="C78" s="1" t="n">
        <v>46053</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45869-2025</t>
        </is>
      </c>
      <c r="B79" s="1" t="n">
        <v>45923.65313657407</v>
      </c>
      <c r="C79" s="1" t="n">
        <v>46053</v>
      </c>
      <c r="D79" t="inlineStr">
        <is>
          <t>KALMAR LÄN</t>
        </is>
      </c>
      <c r="E79" t="inlineStr">
        <is>
          <t>BORGHOLM</t>
        </is>
      </c>
      <c r="G79" t="n">
        <v>4.5</v>
      </c>
      <c r="H79" t="n">
        <v>0</v>
      </c>
      <c r="I79" t="n">
        <v>0</v>
      </c>
      <c r="J79" t="n">
        <v>0</v>
      </c>
      <c r="K79" t="n">
        <v>0</v>
      </c>
      <c r="L79" t="n">
        <v>0</v>
      </c>
      <c r="M79" t="n">
        <v>0</v>
      </c>
      <c r="N79" t="n">
        <v>0</v>
      </c>
      <c r="O79" t="n">
        <v>0</v>
      </c>
      <c r="P79" t="n">
        <v>0</v>
      </c>
      <c r="Q79" t="n">
        <v>0</v>
      </c>
      <c r="R79" s="2" t="inlineStr"/>
    </row>
    <row r="80" ht="15" customHeight="1">
      <c r="A80" t="inlineStr">
        <is>
          <t>A 28782-2025</t>
        </is>
      </c>
      <c r="B80" s="1" t="n">
        <v>45820.45572916666</v>
      </c>
      <c r="C80" s="1" t="n">
        <v>46053</v>
      </c>
      <c r="D80" t="inlineStr">
        <is>
          <t>KALMAR LÄN</t>
        </is>
      </c>
      <c r="E80" t="inlineStr">
        <is>
          <t>BORGHOLM</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46845-2025</t>
        </is>
      </c>
      <c r="B81" s="1" t="n">
        <v>45928</v>
      </c>
      <c r="C81" s="1" t="n">
        <v>46053</v>
      </c>
      <c r="D81" t="inlineStr">
        <is>
          <t>KALMAR LÄN</t>
        </is>
      </c>
      <c r="E81" t="inlineStr">
        <is>
          <t>BORGHOLM</t>
        </is>
      </c>
      <c r="G81" t="n">
        <v>2.7</v>
      </c>
      <c r="H81" t="n">
        <v>0</v>
      </c>
      <c r="I81" t="n">
        <v>0</v>
      </c>
      <c r="J81" t="n">
        <v>0</v>
      </c>
      <c r="K81" t="n">
        <v>0</v>
      </c>
      <c r="L81" t="n">
        <v>0</v>
      </c>
      <c r="M81" t="n">
        <v>0</v>
      </c>
      <c r="N81" t="n">
        <v>0</v>
      </c>
      <c r="O81" t="n">
        <v>0</v>
      </c>
      <c r="P81" t="n">
        <v>0</v>
      </c>
      <c r="Q81" t="n">
        <v>0</v>
      </c>
      <c r="R81" s="2" t="inlineStr"/>
    </row>
    <row r="82" ht="15" customHeight="1">
      <c r="A82" t="inlineStr">
        <is>
          <t>A 53050-2021</t>
        </is>
      </c>
      <c r="B82" s="1" t="n">
        <v>44467</v>
      </c>
      <c r="C82" s="1" t="n">
        <v>46053</v>
      </c>
      <c r="D82" t="inlineStr">
        <is>
          <t>KALMAR LÄN</t>
        </is>
      </c>
      <c r="E82" t="inlineStr">
        <is>
          <t>BORGHOLM</t>
        </is>
      </c>
      <c r="G82" t="n">
        <v>3.6</v>
      </c>
      <c r="H82" t="n">
        <v>0</v>
      </c>
      <c r="I82" t="n">
        <v>0</v>
      </c>
      <c r="J82" t="n">
        <v>0</v>
      </c>
      <c r="K82" t="n">
        <v>0</v>
      </c>
      <c r="L82" t="n">
        <v>0</v>
      </c>
      <c r="M82" t="n">
        <v>0</v>
      </c>
      <c r="N82" t="n">
        <v>0</v>
      </c>
      <c r="O82" t="n">
        <v>0</v>
      </c>
      <c r="P82" t="n">
        <v>0</v>
      </c>
      <c r="Q82" t="n">
        <v>0</v>
      </c>
      <c r="R82" s="2" t="inlineStr"/>
    </row>
    <row r="83" ht="15" customHeight="1">
      <c r="A83" t="inlineStr">
        <is>
          <t>A 31720-2022</t>
        </is>
      </c>
      <c r="B83" s="1" t="n">
        <v>44776</v>
      </c>
      <c r="C83" s="1" t="n">
        <v>46053</v>
      </c>
      <c r="D83" t="inlineStr">
        <is>
          <t>KALMAR LÄN</t>
        </is>
      </c>
      <c r="E83" t="inlineStr">
        <is>
          <t>BORGHOLM</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29656-2023</t>
        </is>
      </c>
      <c r="B84" s="1" t="n">
        <v>45107</v>
      </c>
      <c r="C84" s="1" t="n">
        <v>46053</v>
      </c>
      <c r="D84" t="inlineStr">
        <is>
          <t>KALMAR LÄN</t>
        </is>
      </c>
      <c r="E84" t="inlineStr">
        <is>
          <t>BORGHOLM</t>
        </is>
      </c>
      <c r="G84" t="n">
        <v>4.1</v>
      </c>
      <c r="H84" t="n">
        <v>0</v>
      </c>
      <c r="I84" t="n">
        <v>0</v>
      </c>
      <c r="J84" t="n">
        <v>0</v>
      </c>
      <c r="K84" t="n">
        <v>0</v>
      </c>
      <c r="L84" t="n">
        <v>0</v>
      </c>
      <c r="M84" t="n">
        <v>0</v>
      </c>
      <c r="N84" t="n">
        <v>0</v>
      </c>
      <c r="O84" t="n">
        <v>0</v>
      </c>
      <c r="P84" t="n">
        <v>0</v>
      </c>
      <c r="Q84" t="n">
        <v>0</v>
      </c>
      <c r="R84" s="2" t="inlineStr"/>
    </row>
    <row r="85" ht="15" customHeight="1">
      <c r="A85" t="inlineStr">
        <is>
          <t>A 4165-2023</t>
        </is>
      </c>
      <c r="B85" s="1" t="n">
        <v>44953</v>
      </c>
      <c r="C85" s="1" t="n">
        <v>46053</v>
      </c>
      <c r="D85" t="inlineStr">
        <is>
          <t>KALMAR LÄN</t>
        </is>
      </c>
      <c r="E85" t="inlineStr">
        <is>
          <t>BORGHOLM</t>
        </is>
      </c>
      <c r="G85" t="n">
        <v>0.6</v>
      </c>
      <c r="H85" t="n">
        <v>0</v>
      </c>
      <c r="I85" t="n">
        <v>0</v>
      </c>
      <c r="J85" t="n">
        <v>0</v>
      </c>
      <c r="K85" t="n">
        <v>0</v>
      </c>
      <c r="L85" t="n">
        <v>0</v>
      </c>
      <c r="M85" t="n">
        <v>0</v>
      </c>
      <c r="N85" t="n">
        <v>0</v>
      </c>
      <c r="O85" t="n">
        <v>0</v>
      </c>
      <c r="P85" t="n">
        <v>0</v>
      </c>
      <c r="Q85" t="n">
        <v>0</v>
      </c>
      <c r="R85" s="2" t="inlineStr"/>
    </row>
    <row r="86" ht="15" customHeight="1">
      <c r="A86" t="inlineStr">
        <is>
          <t>A 36269-2025</t>
        </is>
      </c>
      <c r="B86" s="1" t="n">
        <v>45867.61736111111</v>
      </c>
      <c r="C86" s="1" t="n">
        <v>46053</v>
      </c>
      <c r="D86" t="inlineStr">
        <is>
          <t>KALMAR LÄN</t>
        </is>
      </c>
      <c r="E86" t="inlineStr">
        <is>
          <t>BORGHOLM</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13548-2025</t>
        </is>
      </c>
      <c r="B87" s="1" t="n">
        <v>45736.53827546296</v>
      </c>
      <c r="C87" s="1" t="n">
        <v>46053</v>
      </c>
      <c r="D87" t="inlineStr">
        <is>
          <t>KALMAR LÄN</t>
        </is>
      </c>
      <c r="E87" t="inlineStr">
        <is>
          <t>BORGHOLM</t>
        </is>
      </c>
      <c r="G87" t="n">
        <v>1</v>
      </c>
      <c r="H87" t="n">
        <v>0</v>
      </c>
      <c r="I87" t="n">
        <v>0</v>
      </c>
      <c r="J87" t="n">
        <v>0</v>
      </c>
      <c r="K87" t="n">
        <v>0</v>
      </c>
      <c r="L87" t="n">
        <v>0</v>
      </c>
      <c r="M87" t="n">
        <v>0</v>
      </c>
      <c r="N87" t="n">
        <v>0</v>
      </c>
      <c r="O87" t="n">
        <v>0</v>
      </c>
      <c r="P87" t="n">
        <v>0</v>
      </c>
      <c r="Q87" t="n">
        <v>0</v>
      </c>
      <c r="R87" s="2" t="inlineStr"/>
    </row>
    <row r="88" ht="15" customHeight="1">
      <c r="A88" t="inlineStr">
        <is>
          <t>A 32921-2023</t>
        </is>
      </c>
      <c r="B88" s="1" t="n">
        <v>45125</v>
      </c>
      <c r="C88" s="1" t="n">
        <v>46053</v>
      </c>
      <c r="D88" t="inlineStr">
        <is>
          <t>KALMAR LÄN</t>
        </is>
      </c>
      <c r="E88" t="inlineStr">
        <is>
          <t>BORGHOLM</t>
        </is>
      </c>
      <c r="G88" t="n">
        <v>2.9</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46053</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44678-2022</t>
        </is>
      </c>
      <c r="B90" s="1" t="n">
        <v>44840.65100694444</v>
      </c>
      <c r="C90" s="1" t="n">
        <v>46053</v>
      </c>
      <c r="D90" t="inlineStr">
        <is>
          <t>KALMAR LÄN</t>
        </is>
      </c>
      <c r="E90" t="inlineStr">
        <is>
          <t>BORGHOLM</t>
        </is>
      </c>
      <c r="G90" t="n">
        <v>2.4</v>
      </c>
      <c r="H90" t="n">
        <v>0</v>
      </c>
      <c r="I90" t="n">
        <v>0</v>
      </c>
      <c r="J90" t="n">
        <v>0</v>
      </c>
      <c r="K90" t="n">
        <v>0</v>
      </c>
      <c r="L90" t="n">
        <v>0</v>
      </c>
      <c r="M90" t="n">
        <v>0</v>
      </c>
      <c r="N90" t="n">
        <v>0</v>
      </c>
      <c r="O90" t="n">
        <v>0</v>
      </c>
      <c r="P90" t="n">
        <v>0</v>
      </c>
      <c r="Q90" t="n">
        <v>0</v>
      </c>
      <c r="R90" s="2" t="inlineStr"/>
    </row>
    <row r="91" ht="15" customHeight="1">
      <c r="A91" t="inlineStr">
        <is>
          <t>A 64303-2023</t>
        </is>
      </c>
      <c r="B91" s="1" t="n">
        <v>45280</v>
      </c>
      <c r="C91" s="1" t="n">
        <v>46053</v>
      </c>
      <c r="D91" t="inlineStr">
        <is>
          <t>KALMAR LÄN</t>
        </is>
      </c>
      <c r="E91" t="inlineStr">
        <is>
          <t>BORGHOLM</t>
        </is>
      </c>
      <c r="G91" t="n">
        <v>1.2</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46053</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60141-2025</t>
        </is>
      </c>
      <c r="B93" s="1" t="n">
        <v>45994.36873842592</v>
      </c>
      <c r="C93" s="1" t="n">
        <v>46053</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63075-2023</t>
        </is>
      </c>
      <c r="B94" s="1" t="n">
        <v>45273</v>
      </c>
      <c r="C94" s="1" t="n">
        <v>46053</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46053</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61723-2025</t>
        </is>
      </c>
      <c r="B96" s="1" t="n">
        <v>46002.58388888889</v>
      </c>
      <c r="C96" s="1" t="n">
        <v>46053</v>
      </c>
      <c r="D96" t="inlineStr">
        <is>
          <t>KALMAR LÄN</t>
        </is>
      </c>
      <c r="E96" t="inlineStr">
        <is>
          <t>BORGHOLM</t>
        </is>
      </c>
      <c r="G96" t="n">
        <v>1.1</v>
      </c>
      <c r="H96" t="n">
        <v>0</v>
      </c>
      <c r="I96" t="n">
        <v>0</v>
      </c>
      <c r="J96" t="n">
        <v>0</v>
      </c>
      <c r="K96" t="n">
        <v>0</v>
      </c>
      <c r="L96" t="n">
        <v>0</v>
      </c>
      <c r="M96" t="n">
        <v>0</v>
      </c>
      <c r="N96" t="n">
        <v>0</v>
      </c>
      <c r="O96" t="n">
        <v>0</v>
      </c>
      <c r="P96" t="n">
        <v>0</v>
      </c>
      <c r="Q96" t="n">
        <v>0</v>
      </c>
      <c r="R96" s="2" t="inlineStr"/>
    </row>
    <row r="97" ht="15" customHeight="1">
      <c r="A97" t="inlineStr">
        <is>
          <t>A 1757-2025</t>
        </is>
      </c>
      <c r="B97" s="1" t="n">
        <v>45671.42195601852</v>
      </c>
      <c r="C97" s="1" t="n">
        <v>46053</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17699-2025</t>
        </is>
      </c>
      <c r="B98" s="1" t="n">
        <v>45758.41846064815</v>
      </c>
      <c r="C98" s="1" t="n">
        <v>46053</v>
      </c>
      <c r="D98" t="inlineStr">
        <is>
          <t>KALMAR LÄN</t>
        </is>
      </c>
      <c r="E98" t="inlineStr">
        <is>
          <t>BORGHOLM</t>
        </is>
      </c>
      <c r="G98" t="n">
        <v>0.7</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46053</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34780-2022</t>
        </is>
      </c>
      <c r="B100" s="1" t="n">
        <v>44795</v>
      </c>
      <c r="C100" s="1" t="n">
        <v>46053</v>
      </c>
      <c r="D100" t="inlineStr">
        <is>
          <t>KALMAR LÄN</t>
        </is>
      </c>
      <c r="E100" t="inlineStr">
        <is>
          <t>BORGHOLM</t>
        </is>
      </c>
      <c r="F100" t="inlineStr">
        <is>
          <t>Sveaskog</t>
        </is>
      </c>
      <c r="G100" t="n">
        <v>6.7</v>
      </c>
      <c r="H100" t="n">
        <v>0</v>
      </c>
      <c r="I100" t="n">
        <v>0</v>
      </c>
      <c r="J100" t="n">
        <v>0</v>
      </c>
      <c r="K100" t="n">
        <v>0</v>
      </c>
      <c r="L100" t="n">
        <v>0</v>
      </c>
      <c r="M100" t="n">
        <v>0</v>
      </c>
      <c r="N100" t="n">
        <v>0</v>
      </c>
      <c r="O100" t="n">
        <v>0</v>
      </c>
      <c r="P100" t="n">
        <v>0</v>
      </c>
      <c r="Q100" t="n">
        <v>0</v>
      </c>
      <c r="R100" s="2" t="inlineStr"/>
    </row>
    <row r="101" ht="15" customHeight="1">
      <c r="A101" t="inlineStr">
        <is>
          <t>A 55367-2024</t>
        </is>
      </c>
      <c r="B101" s="1" t="n">
        <v>45621.87075231481</v>
      </c>
      <c r="C101" s="1" t="n">
        <v>46053</v>
      </c>
      <c r="D101" t="inlineStr">
        <is>
          <t>KALMAR LÄN</t>
        </is>
      </c>
      <c r="E101" t="inlineStr">
        <is>
          <t>BORGHOLM</t>
        </is>
      </c>
      <c r="G101" t="n">
        <v>0.7</v>
      </c>
      <c r="H101" t="n">
        <v>0</v>
      </c>
      <c r="I101" t="n">
        <v>0</v>
      </c>
      <c r="J101" t="n">
        <v>0</v>
      </c>
      <c r="K101" t="n">
        <v>0</v>
      </c>
      <c r="L101" t="n">
        <v>0</v>
      </c>
      <c r="M101" t="n">
        <v>0</v>
      </c>
      <c r="N101" t="n">
        <v>0</v>
      </c>
      <c r="O101" t="n">
        <v>0</v>
      </c>
      <c r="P101" t="n">
        <v>0</v>
      </c>
      <c r="Q101" t="n">
        <v>0</v>
      </c>
      <c r="R101" s="2" t="inlineStr"/>
    </row>
    <row r="102" ht="15" customHeight="1">
      <c r="A102" t="inlineStr">
        <is>
          <t>A 20287-2025</t>
        </is>
      </c>
      <c r="B102" s="1" t="n">
        <v>45774.60741898148</v>
      </c>
      <c r="C102" s="1" t="n">
        <v>46053</v>
      </c>
      <c r="D102" t="inlineStr">
        <is>
          <t>KALMAR LÄN</t>
        </is>
      </c>
      <c r="E102" t="inlineStr">
        <is>
          <t>BORGHOLM</t>
        </is>
      </c>
      <c r="G102" t="n">
        <v>0.6</v>
      </c>
      <c r="H102" t="n">
        <v>0</v>
      </c>
      <c r="I102" t="n">
        <v>0</v>
      </c>
      <c r="J102" t="n">
        <v>0</v>
      </c>
      <c r="K102" t="n">
        <v>0</v>
      </c>
      <c r="L102" t="n">
        <v>0</v>
      </c>
      <c r="M102" t="n">
        <v>0</v>
      </c>
      <c r="N102" t="n">
        <v>0</v>
      </c>
      <c r="O102" t="n">
        <v>0</v>
      </c>
      <c r="P102" t="n">
        <v>0</v>
      </c>
      <c r="Q102" t="n">
        <v>0</v>
      </c>
      <c r="R102" s="2" t="inlineStr"/>
    </row>
    <row r="103" ht="15" customHeight="1">
      <c r="A103" t="inlineStr">
        <is>
          <t>A 9076-2025</t>
        </is>
      </c>
      <c r="B103" s="1" t="n">
        <v>45713.6596875</v>
      </c>
      <c r="C103" s="1" t="n">
        <v>46053</v>
      </c>
      <c r="D103" t="inlineStr">
        <is>
          <t>KALMAR LÄN</t>
        </is>
      </c>
      <c r="E103" t="inlineStr">
        <is>
          <t>BORGHOLM</t>
        </is>
      </c>
      <c r="F103" t="inlineStr">
        <is>
          <t>Sveaskog</t>
        </is>
      </c>
      <c r="G103" t="n">
        <v>4.2</v>
      </c>
      <c r="H103" t="n">
        <v>0</v>
      </c>
      <c r="I103" t="n">
        <v>0</v>
      </c>
      <c r="J103" t="n">
        <v>0</v>
      </c>
      <c r="K103" t="n">
        <v>0</v>
      </c>
      <c r="L103" t="n">
        <v>0</v>
      </c>
      <c r="M103" t="n">
        <v>0</v>
      </c>
      <c r="N103" t="n">
        <v>0</v>
      </c>
      <c r="O103" t="n">
        <v>0</v>
      </c>
      <c r="P103" t="n">
        <v>0</v>
      </c>
      <c r="Q103" t="n">
        <v>0</v>
      </c>
      <c r="R103" s="2" t="inlineStr"/>
    </row>
    <row r="104" ht="15" customHeight="1">
      <c r="A104" t="inlineStr">
        <is>
          <t>A 32919-2023</t>
        </is>
      </c>
      <c r="B104" s="1" t="n">
        <v>45125</v>
      </c>
      <c r="C104" s="1" t="n">
        <v>46053</v>
      </c>
      <c r="D104" t="inlineStr">
        <is>
          <t>KALMAR LÄN</t>
        </is>
      </c>
      <c r="E104" t="inlineStr">
        <is>
          <t>BORGHOLM</t>
        </is>
      </c>
      <c r="G104" t="n">
        <v>2.7</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46053</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46053</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9034-2025</t>
        </is>
      </c>
      <c r="B107" s="1" t="n">
        <v>45713</v>
      </c>
      <c r="C107" s="1" t="n">
        <v>46053</v>
      </c>
      <c r="D107" t="inlineStr">
        <is>
          <t>KALMAR LÄN</t>
        </is>
      </c>
      <c r="E107" t="inlineStr">
        <is>
          <t>BORGHOLM</t>
        </is>
      </c>
      <c r="F107" t="inlineStr">
        <is>
          <t>Sveaskog</t>
        </is>
      </c>
      <c r="G107" t="n">
        <v>6.8</v>
      </c>
      <c r="H107" t="n">
        <v>0</v>
      </c>
      <c r="I107" t="n">
        <v>0</v>
      </c>
      <c r="J107" t="n">
        <v>0</v>
      </c>
      <c r="K107" t="n">
        <v>0</v>
      </c>
      <c r="L107" t="n">
        <v>0</v>
      </c>
      <c r="M107" t="n">
        <v>0</v>
      </c>
      <c r="N107" t="n">
        <v>0</v>
      </c>
      <c r="O107" t="n">
        <v>0</v>
      </c>
      <c r="P107" t="n">
        <v>0</v>
      </c>
      <c r="Q107" t="n">
        <v>0</v>
      </c>
      <c r="R107" s="2" t="inlineStr"/>
    </row>
    <row r="108" ht="15" customHeight="1">
      <c r="A108" t="inlineStr">
        <is>
          <t>A 5175-2024</t>
        </is>
      </c>
      <c r="B108" s="1" t="n">
        <v>45330</v>
      </c>
      <c r="C108" s="1" t="n">
        <v>46053</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3878-2023</t>
        </is>
      </c>
      <c r="B109" s="1" t="n">
        <v>44951</v>
      </c>
      <c r="C109" s="1" t="n">
        <v>46053</v>
      </c>
      <c r="D109" t="inlineStr">
        <is>
          <t>KALMAR LÄN</t>
        </is>
      </c>
      <c r="E109" t="inlineStr">
        <is>
          <t>BORGHOLM</t>
        </is>
      </c>
      <c r="G109" t="n">
        <v>1.7</v>
      </c>
      <c r="H109" t="n">
        <v>0</v>
      </c>
      <c r="I109" t="n">
        <v>0</v>
      </c>
      <c r="J109" t="n">
        <v>0</v>
      </c>
      <c r="K109" t="n">
        <v>0</v>
      </c>
      <c r="L109" t="n">
        <v>0</v>
      </c>
      <c r="M109" t="n">
        <v>0</v>
      </c>
      <c r="N109" t="n">
        <v>0</v>
      </c>
      <c r="O109" t="n">
        <v>0</v>
      </c>
      <c r="P109" t="n">
        <v>0</v>
      </c>
      <c r="Q109" t="n">
        <v>0</v>
      </c>
      <c r="R109" s="2" t="inlineStr"/>
    </row>
    <row r="110" ht="15" customHeight="1">
      <c r="A110" t="inlineStr">
        <is>
          <t>A 19867-2024</t>
        </is>
      </c>
      <c r="B110" s="1" t="n">
        <v>45433</v>
      </c>
      <c r="C110" s="1" t="n">
        <v>46053</v>
      </c>
      <c r="D110" t="inlineStr">
        <is>
          <t>KALMAR LÄN</t>
        </is>
      </c>
      <c r="E110" t="inlineStr">
        <is>
          <t>BORGHOLM</t>
        </is>
      </c>
      <c r="G110" t="n">
        <v>3.9</v>
      </c>
      <c r="H110" t="n">
        <v>0</v>
      </c>
      <c r="I110" t="n">
        <v>0</v>
      </c>
      <c r="J110" t="n">
        <v>0</v>
      </c>
      <c r="K110" t="n">
        <v>0</v>
      </c>
      <c r="L110" t="n">
        <v>0</v>
      </c>
      <c r="M110" t="n">
        <v>0</v>
      </c>
      <c r="N110" t="n">
        <v>0</v>
      </c>
      <c r="O110" t="n">
        <v>0</v>
      </c>
      <c r="P110" t="n">
        <v>0</v>
      </c>
      <c r="Q110" t="n">
        <v>0</v>
      </c>
      <c r="R110" s="2" t="inlineStr"/>
    </row>
    <row r="111" ht="15" customHeight="1">
      <c r="A111" t="inlineStr">
        <is>
          <t>A 13383-2023</t>
        </is>
      </c>
      <c r="B111" s="1" t="n">
        <v>45005</v>
      </c>
      <c r="C111" s="1" t="n">
        <v>46053</v>
      </c>
      <c r="D111" t="inlineStr">
        <is>
          <t>KALMAR LÄN</t>
        </is>
      </c>
      <c r="E111" t="inlineStr">
        <is>
          <t>BORGHOLM</t>
        </is>
      </c>
      <c r="G111" t="n">
        <v>0.8</v>
      </c>
      <c r="H111" t="n">
        <v>0</v>
      </c>
      <c r="I111" t="n">
        <v>0</v>
      </c>
      <c r="J111" t="n">
        <v>0</v>
      </c>
      <c r="K111" t="n">
        <v>0</v>
      </c>
      <c r="L111" t="n">
        <v>0</v>
      </c>
      <c r="M111" t="n">
        <v>0</v>
      </c>
      <c r="N111" t="n">
        <v>0</v>
      </c>
      <c r="O111" t="n">
        <v>0</v>
      </c>
      <c r="P111" t="n">
        <v>0</v>
      </c>
      <c r="Q111" t="n">
        <v>0</v>
      </c>
      <c r="R111" s="2" t="inlineStr"/>
    </row>
    <row r="112" ht="15" customHeight="1">
      <c r="A112" t="inlineStr">
        <is>
          <t>A 12937-2022</t>
        </is>
      </c>
      <c r="B112" s="1" t="n">
        <v>44642</v>
      </c>
      <c r="C112" s="1" t="n">
        <v>46053</v>
      </c>
      <c r="D112" t="inlineStr">
        <is>
          <t>KALMAR LÄN</t>
        </is>
      </c>
      <c r="E112" t="inlineStr">
        <is>
          <t>BORGHOLM</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7960-2023</t>
        </is>
      </c>
      <c r="B113" s="1" t="n">
        <v>44973</v>
      </c>
      <c r="C113" s="1" t="n">
        <v>46053</v>
      </c>
      <c r="D113" t="inlineStr">
        <is>
          <t>KALMAR LÄN</t>
        </is>
      </c>
      <c r="E113" t="inlineStr">
        <is>
          <t>BORGHOLM</t>
        </is>
      </c>
      <c r="G113" t="n">
        <v>2.1</v>
      </c>
      <c r="H113" t="n">
        <v>0</v>
      </c>
      <c r="I113" t="n">
        <v>0</v>
      </c>
      <c r="J113" t="n">
        <v>0</v>
      </c>
      <c r="K113" t="n">
        <v>0</v>
      </c>
      <c r="L113" t="n">
        <v>0</v>
      </c>
      <c r="M113" t="n">
        <v>0</v>
      </c>
      <c r="N113" t="n">
        <v>0</v>
      </c>
      <c r="O113" t="n">
        <v>0</v>
      </c>
      <c r="P113" t="n">
        <v>0</v>
      </c>
      <c r="Q113" t="n">
        <v>0</v>
      </c>
      <c r="R113" s="2" t="inlineStr"/>
    </row>
    <row r="114" ht="15" customHeight="1">
      <c r="A114" t="inlineStr">
        <is>
          <t>A 61438-2023</t>
        </is>
      </c>
      <c r="B114" s="1" t="n">
        <v>45264</v>
      </c>
      <c r="C114" s="1" t="n">
        <v>46053</v>
      </c>
      <c r="D114" t="inlineStr">
        <is>
          <t>KALMAR LÄN</t>
        </is>
      </c>
      <c r="E114" t="inlineStr">
        <is>
          <t>BORGHOLM</t>
        </is>
      </c>
      <c r="G114" t="n">
        <v>1.1</v>
      </c>
      <c r="H114" t="n">
        <v>0</v>
      </c>
      <c r="I114" t="n">
        <v>0</v>
      </c>
      <c r="J114" t="n">
        <v>0</v>
      </c>
      <c r="K114" t="n">
        <v>0</v>
      </c>
      <c r="L114" t="n">
        <v>0</v>
      </c>
      <c r="M114" t="n">
        <v>0</v>
      </c>
      <c r="N114" t="n">
        <v>0</v>
      </c>
      <c r="O114" t="n">
        <v>0</v>
      </c>
      <c r="P114" t="n">
        <v>0</v>
      </c>
      <c r="Q114" t="n">
        <v>0</v>
      </c>
      <c r="R114" s="2" t="inlineStr"/>
    </row>
    <row r="115" ht="15" customHeight="1">
      <c r="A115" t="inlineStr">
        <is>
          <t>A 13041-2024</t>
        </is>
      </c>
      <c r="B115" s="1" t="n">
        <v>45385.60065972222</v>
      </c>
      <c r="C115" s="1" t="n">
        <v>46053</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1614-2025</t>
        </is>
      </c>
      <c r="B116" s="1" t="n">
        <v>45670.60094907408</v>
      </c>
      <c r="C116" s="1" t="n">
        <v>46053</v>
      </c>
      <c r="D116" t="inlineStr">
        <is>
          <t>KALMAR LÄN</t>
        </is>
      </c>
      <c r="E116" t="inlineStr">
        <is>
          <t>BORGHOLM</t>
        </is>
      </c>
      <c r="G116" t="n">
        <v>1.4</v>
      </c>
      <c r="H116" t="n">
        <v>0</v>
      </c>
      <c r="I116" t="n">
        <v>0</v>
      </c>
      <c r="J116" t="n">
        <v>0</v>
      </c>
      <c r="K116" t="n">
        <v>0</v>
      </c>
      <c r="L116" t="n">
        <v>0</v>
      </c>
      <c r="M116" t="n">
        <v>0</v>
      </c>
      <c r="N116" t="n">
        <v>0</v>
      </c>
      <c r="O116" t="n">
        <v>0</v>
      </c>
      <c r="P116" t="n">
        <v>0</v>
      </c>
      <c r="Q116" t="n">
        <v>0</v>
      </c>
      <c r="R116" s="2" t="inlineStr"/>
    </row>
    <row r="117" ht="15" customHeight="1">
      <c r="A117" t="inlineStr">
        <is>
          <t>A 63276-2023</t>
        </is>
      </c>
      <c r="B117" s="1" t="n">
        <v>45273.82195601852</v>
      </c>
      <c r="C117" s="1" t="n">
        <v>46053</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c r="A118" t="inlineStr">
        <is>
          <t>A 9050-2025</t>
        </is>
      </c>
      <c r="B118" s="1" t="n">
        <v>45713.63512731482</v>
      </c>
      <c r="C118" s="1" t="n">
        <v>46053</v>
      </c>
      <c r="D118" t="inlineStr">
        <is>
          <t>KALMAR LÄN</t>
        </is>
      </c>
      <c r="E118" t="inlineStr">
        <is>
          <t>BORGHOLM</t>
        </is>
      </c>
      <c r="F118" t="inlineStr">
        <is>
          <t>Sveaskog</t>
        </is>
      </c>
      <c r="G118" t="n">
        <v>2.5</v>
      </c>
      <c r="H118" t="n">
        <v>0</v>
      </c>
      <c r="I118" t="n">
        <v>0</v>
      </c>
      <c r="J118" t="n">
        <v>0</v>
      </c>
      <c r="K118" t="n">
        <v>0</v>
      </c>
      <c r="L118" t="n">
        <v>0</v>
      </c>
      <c r="M118" t="n">
        <v>0</v>
      </c>
      <c r="N118" t="n">
        <v>0</v>
      </c>
      <c r="O118" t="n">
        <v>0</v>
      </c>
      <c r="P118" t="n">
        <v>0</v>
      </c>
      <c r="Q118" t="n">
        <v>0</v>
      </c>
      <c r="R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2026-01-31T11:03:45Z</dcterms:created>
  <dcterms:modified xmlns:dcterms="http://purl.org/dc/terms/" xmlns:xsi="http://www.w3.org/2001/XMLSchema-instance" xsi:type="dcterms:W3CDTF">2026-01-31T11:03:45Z</dcterms:modified>
</cp:coreProperties>
</file>