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46050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46050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46050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46050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46050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46050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46050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46050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46050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46050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46050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46050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46050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46050</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46050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46050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46050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46050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46050</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46050</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46050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46050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46050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46050</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46050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46050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46050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46050</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46050</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46050</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46050</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46050</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46050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46050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46050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46050</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24704-2023</t>
        </is>
      </c>
      <c r="B38" s="1" t="n">
        <v>45084</v>
      </c>
      <c r="C38" s="1" t="n">
        <v>46050</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45693-2025</t>
        </is>
      </c>
      <c r="B39" s="1" t="n">
        <v>45923</v>
      </c>
      <c r="C39" s="1" t="n">
        <v>46050</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9745-2023</t>
        </is>
      </c>
      <c r="B40" s="1" t="n">
        <v>44984</v>
      </c>
      <c r="C40" s="1" t="n">
        <v>46050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46050</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14789-2021</t>
        </is>
      </c>
      <c r="B42" s="1" t="n">
        <v>44280</v>
      </c>
      <c r="C42" s="1" t="n">
        <v>46050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3302-2026</t>
        </is>
      </c>
      <c r="B43" s="1" t="n">
        <v>46041</v>
      </c>
      <c r="C43" s="1" t="n">
        <v>46050</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12785-2021</t>
        </is>
      </c>
      <c r="B44" s="1" t="n">
        <v>44270</v>
      </c>
      <c r="C44" s="1" t="n">
        <v>46050</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46050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46050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46050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46050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46050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46050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46050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46050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46050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46050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46050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46050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46050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46050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46050</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46050</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46050</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46050</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46050</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46050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46050</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46050</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21908-2022</t>
        </is>
      </c>
      <c r="B67" s="1" t="n">
        <v>44711</v>
      </c>
      <c r="C67" s="1" t="n">
        <v>46050</v>
      </c>
      <c r="D67" t="inlineStr">
        <is>
          <t>KALMAR LÄN</t>
        </is>
      </c>
      <c r="E67" t="inlineStr">
        <is>
          <t>BORGHOLM</t>
        </is>
      </c>
      <c r="G67" t="n">
        <v>4.7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46050</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55367-2024</t>
        </is>
      </c>
      <c r="B69" s="1" t="n">
        <v>45621.87075231481</v>
      </c>
      <c r="C69" s="1" t="n">
        <v>46050</v>
      </c>
      <c r="D69" t="inlineStr">
        <is>
          <t>KALMAR LÄN</t>
        </is>
      </c>
      <c r="E69" t="inlineStr">
        <is>
          <t>BORGHOLM</t>
        </is>
      </c>
      <c r="G69" t="n">
        <v>0.7</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46050</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46050</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46050</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4878-2021</t>
        </is>
      </c>
      <c r="B73" s="1" t="n">
        <v>44225</v>
      </c>
      <c r="C73" s="1" t="n">
        <v>46050</v>
      </c>
      <c r="D73" t="inlineStr">
        <is>
          <t>KALMAR LÄN</t>
        </is>
      </c>
      <c r="E73" t="inlineStr">
        <is>
          <t>BORGHOLM</t>
        </is>
      </c>
      <c r="G73" t="n">
        <v>3</v>
      </c>
      <c r="H73" t="n">
        <v>0</v>
      </c>
      <c r="I73" t="n">
        <v>0</v>
      </c>
      <c r="J73" t="n">
        <v>0</v>
      </c>
      <c r="K73" t="n">
        <v>0</v>
      </c>
      <c r="L73" t="n">
        <v>0</v>
      </c>
      <c r="M73" t="n">
        <v>0</v>
      </c>
      <c r="N73" t="n">
        <v>0</v>
      </c>
      <c r="O73" t="n">
        <v>0</v>
      </c>
      <c r="P73" t="n">
        <v>0</v>
      </c>
      <c r="Q73" t="n">
        <v>0</v>
      </c>
      <c r="R73" s="2" t="inlineStr"/>
    </row>
    <row r="74" ht="15" customHeight="1">
      <c r="A74" t="inlineStr">
        <is>
          <t>A 28782-2025</t>
        </is>
      </c>
      <c r="B74" s="1" t="n">
        <v>45820.45572916666</v>
      </c>
      <c r="C74" s="1" t="n">
        <v>46050</v>
      </c>
      <c r="D74" t="inlineStr">
        <is>
          <t>KALMAR LÄN</t>
        </is>
      </c>
      <c r="E74" t="inlineStr">
        <is>
          <t>BORGHOLM</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41831-2025</t>
        </is>
      </c>
      <c r="B75" s="1" t="n">
        <v>45902.67887731481</v>
      </c>
      <c r="C75" s="1" t="n">
        <v>46050</v>
      </c>
      <c r="D75" t="inlineStr">
        <is>
          <t>KALMAR LÄN</t>
        </is>
      </c>
      <c r="E75" t="inlineStr">
        <is>
          <t>BORGHOLM</t>
        </is>
      </c>
      <c r="G75" t="n">
        <v>1.5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46050</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42232-2025</t>
        </is>
      </c>
      <c r="B77" s="1" t="n">
        <v>45904.55591435185</v>
      </c>
      <c r="C77" s="1" t="n">
        <v>46050</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46050</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46050</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46050</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46050</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46050</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46050</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46050</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46050</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36269-2025</t>
        </is>
      </c>
      <c r="B86" s="1" t="n">
        <v>45867.61736111111</v>
      </c>
      <c r="C86" s="1" t="n">
        <v>46050</v>
      </c>
      <c r="D86" t="inlineStr">
        <is>
          <t>KALMAR LÄN</t>
        </is>
      </c>
      <c r="E86" t="inlineStr">
        <is>
          <t>BORGHOLM</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46050</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46050</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46050</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7960-2023</t>
        </is>
      </c>
      <c r="B90" s="1" t="n">
        <v>44973</v>
      </c>
      <c r="C90" s="1" t="n">
        <v>46050</v>
      </c>
      <c r="D90" t="inlineStr">
        <is>
          <t>KALMAR LÄN</t>
        </is>
      </c>
      <c r="E90" t="inlineStr">
        <is>
          <t>BORGHOLM</t>
        </is>
      </c>
      <c r="G90" t="n">
        <v>2.1</v>
      </c>
      <c r="H90" t="n">
        <v>0</v>
      </c>
      <c r="I90" t="n">
        <v>0</v>
      </c>
      <c r="J90" t="n">
        <v>0</v>
      </c>
      <c r="K90" t="n">
        <v>0</v>
      </c>
      <c r="L90" t="n">
        <v>0</v>
      </c>
      <c r="M90" t="n">
        <v>0</v>
      </c>
      <c r="N90" t="n">
        <v>0</v>
      </c>
      <c r="O90" t="n">
        <v>0</v>
      </c>
      <c r="P90" t="n">
        <v>0</v>
      </c>
      <c r="Q90" t="n">
        <v>0</v>
      </c>
      <c r="R90" s="2" t="inlineStr"/>
    </row>
    <row r="91" ht="15" customHeight="1">
      <c r="A91" t="inlineStr">
        <is>
          <t>A 29656-2023</t>
        </is>
      </c>
      <c r="B91" s="1" t="n">
        <v>45107</v>
      </c>
      <c r="C91" s="1" t="n">
        <v>46050</v>
      </c>
      <c r="D91" t="inlineStr">
        <is>
          <t>KALMAR LÄN</t>
        </is>
      </c>
      <c r="E91" t="inlineStr">
        <is>
          <t>BORGHOLM</t>
        </is>
      </c>
      <c r="G91" t="n">
        <v>4.1</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46050</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46050</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60141-2025</t>
        </is>
      </c>
      <c r="B94" s="1" t="n">
        <v>45994.36873842592</v>
      </c>
      <c r="C94" s="1" t="n">
        <v>46050</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46050</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61723-2025</t>
        </is>
      </c>
      <c r="B96" s="1" t="n">
        <v>46002.58388888889</v>
      </c>
      <c r="C96" s="1" t="n">
        <v>46050</v>
      </c>
      <c r="D96" t="inlineStr">
        <is>
          <t>KALMAR LÄN</t>
        </is>
      </c>
      <c r="E96" t="inlineStr">
        <is>
          <t>BORGHOLM</t>
        </is>
      </c>
      <c r="G96" t="n">
        <v>1.1</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46050</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46050</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46050</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46050</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46050</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46050</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46050</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46050</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46050</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46050</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46050</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46050</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46050</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46050</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46050</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9044-2025</t>
        </is>
      </c>
      <c r="B112" s="1" t="n">
        <v>45713.6275</v>
      </c>
      <c r="C112" s="1" t="n">
        <v>46050</v>
      </c>
      <c r="D112" t="inlineStr">
        <is>
          <t>KALMAR LÄN</t>
        </is>
      </c>
      <c r="E112" t="inlineStr">
        <is>
          <t>BORGHOLM</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20878-2024</t>
        </is>
      </c>
      <c r="B113" s="1" t="n">
        <v>45439.44748842593</v>
      </c>
      <c r="C113" s="1" t="n">
        <v>46050</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17699-2025</t>
        </is>
      </c>
      <c r="B114" s="1" t="n">
        <v>45758.41846064815</v>
      </c>
      <c r="C114" s="1" t="n">
        <v>46050</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20287-2025</t>
        </is>
      </c>
      <c r="B115" s="1" t="n">
        <v>45774.60741898148</v>
      </c>
      <c r="C115" s="1" t="n">
        <v>46050</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26160-2024</t>
        </is>
      </c>
      <c r="B116" s="1" t="n">
        <v>45468</v>
      </c>
      <c r="C116" s="1" t="n">
        <v>46050</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c r="T116">
        <f>HYPERLINK("https://klasma.github.io/Logging_0885/kartor/A 26160-2024 karta.png", "A 26160-2024")</f>
        <v/>
      </c>
      <c r="V116">
        <f>HYPERLINK("https://klasma.github.io/Logging_0885/klagomål/A 26160-2024 FSC-klagomål.docx", "A 26160-2024")</f>
        <v/>
      </c>
      <c r="W116">
        <f>HYPERLINK("https://klasma.github.io/Logging_0885/klagomålsmail/A 26160-2024 FSC-klagomål mail.docx", "A 26160-2024")</f>
        <v/>
      </c>
      <c r="X116">
        <f>HYPERLINK("https://klasma.github.io/Logging_0885/tillsyn/A 26160-2024 tillsynsbegäran.docx", "A 26160-2024")</f>
        <v/>
      </c>
      <c r="Y116">
        <f>HYPERLINK("https://klasma.github.io/Logging_0885/tillsynsmail/A 26160-2024 tillsynsbegäran mail.docx", "A 26160-2024")</f>
        <v/>
      </c>
    </row>
    <row r="117" ht="15" customHeight="1">
      <c r="A117" t="inlineStr">
        <is>
          <t>A 63075-2023</t>
        </is>
      </c>
      <c r="B117" s="1" t="n">
        <v>45273</v>
      </c>
      <c r="C117" s="1" t="n">
        <v>46050</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46050</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46050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c r="A120" t="inlineStr">
        <is>
          <t>A 12534-2022</t>
        </is>
      </c>
      <c r="B120" s="1" t="n">
        <v>44638</v>
      </c>
      <c r="C120" s="1" t="n">
        <v>46050</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2026-01-28T10:58:08Z</dcterms:created>
  <dcterms:modified xmlns:dcterms="http://purl.org/dc/terms/" xmlns:xsi="http://www.w3.org/2001/XMLSchema-instance" xsi:type="dcterms:W3CDTF">2026-01-28T10:58:09Z</dcterms:modified>
</cp:coreProperties>
</file>