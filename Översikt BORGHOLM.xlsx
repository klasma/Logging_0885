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46052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46052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46052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46052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46052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46052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46052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46052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46052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46052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46052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46052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46052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46052</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46052</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46052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46052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32174-2022</t>
        </is>
      </c>
      <c r="B19" s="1" t="n">
        <v>44781</v>
      </c>
      <c r="C19" s="1" t="n">
        <v>46052</v>
      </c>
      <c r="D19" t="inlineStr">
        <is>
          <t>KALMAR LÄN</t>
        </is>
      </c>
      <c r="E19" t="inlineStr">
        <is>
          <t>BORGHOLM</t>
        </is>
      </c>
      <c r="F19" t="inlineStr">
        <is>
          <t>Sveaskog</t>
        </is>
      </c>
      <c r="G19" t="n">
        <v>1.6</v>
      </c>
      <c r="H19" t="n">
        <v>1</v>
      </c>
      <c r="I19" t="n">
        <v>1</v>
      </c>
      <c r="J19" t="n">
        <v>1</v>
      </c>
      <c r="K19" t="n">
        <v>0</v>
      </c>
      <c r="L19" t="n">
        <v>0</v>
      </c>
      <c r="M19" t="n">
        <v>0</v>
      </c>
      <c r="N19" t="n">
        <v>0</v>
      </c>
      <c r="O19" t="n">
        <v>1</v>
      </c>
      <c r="P19" t="n">
        <v>0</v>
      </c>
      <c r="Q19" t="n">
        <v>2</v>
      </c>
      <c r="R19" s="2" t="inlineStr">
        <is>
          <t>Backklöver
Tvåblad</t>
        </is>
      </c>
      <c r="S19">
        <f>HYPERLINK("https://klasma.github.io/Logging_0885/artfynd/A 32174-2022 artfynd.xlsx", "A 32174-2022")</f>
        <v/>
      </c>
      <c r="T19">
        <f>HYPERLINK("https://klasma.github.io/Logging_0885/kartor/A 32174-2022 karta.png", "A 32174-2022")</f>
        <v/>
      </c>
      <c r="V19">
        <f>HYPERLINK("https://klasma.github.io/Logging_0885/klagomål/A 32174-2022 FSC-klagomål.docx", "A 32174-2022")</f>
        <v/>
      </c>
      <c r="W19">
        <f>HYPERLINK("https://klasma.github.io/Logging_0885/klagomålsmail/A 32174-2022 FSC-klagomål mail.docx", "A 32174-2022")</f>
        <v/>
      </c>
      <c r="X19">
        <f>HYPERLINK("https://klasma.github.io/Logging_0885/tillsyn/A 32174-2022 tillsynsbegäran.docx", "A 32174-2022")</f>
        <v/>
      </c>
      <c r="Y19">
        <f>HYPERLINK("https://klasma.github.io/Logging_0885/tillsynsmail/A 32174-2022 tillsynsbegäran mail.docx", "A 32174-2022")</f>
        <v/>
      </c>
    </row>
    <row r="20" ht="15" customHeight="1">
      <c r="A20" t="inlineStr">
        <is>
          <t>A 43756-2022</t>
        </is>
      </c>
      <c r="B20" s="1" t="n">
        <v>44837</v>
      </c>
      <c r="C20" s="1" t="n">
        <v>46052</v>
      </c>
      <c r="D20" t="inlineStr">
        <is>
          <t>KALMAR LÄN</t>
        </is>
      </c>
      <c r="E20" t="inlineStr">
        <is>
          <t>BORGHOLM</t>
        </is>
      </c>
      <c r="G20" t="n">
        <v>2.2</v>
      </c>
      <c r="H20" t="n">
        <v>1</v>
      </c>
      <c r="I20" t="n">
        <v>1</v>
      </c>
      <c r="J20" t="n">
        <v>0</v>
      </c>
      <c r="K20" t="n">
        <v>0</v>
      </c>
      <c r="L20" t="n">
        <v>0</v>
      </c>
      <c r="M20" t="n">
        <v>0</v>
      </c>
      <c r="N20" t="n">
        <v>0</v>
      </c>
      <c r="O20" t="n">
        <v>0</v>
      </c>
      <c r="P20" t="n">
        <v>0</v>
      </c>
      <c r="Q20" t="n">
        <v>2</v>
      </c>
      <c r="R20" s="2" t="inlineStr">
        <is>
          <t>Murgröna
Blåsippa</t>
        </is>
      </c>
      <c r="S20">
        <f>HYPERLINK("https://klasma.github.io/Logging_0885/artfynd/A 43756-2022 artfynd.xlsx", "A 43756-2022")</f>
        <v/>
      </c>
      <c r="T20">
        <f>HYPERLINK("https://klasma.github.io/Logging_0885/kartor/A 43756-2022 karta.png", "A 43756-2022")</f>
        <v/>
      </c>
      <c r="V20">
        <f>HYPERLINK("https://klasma.github.io/Logging_0885/klagomål/A 43756-2022 FSC-klagomål.docx", "A 43756-2022")</f>
        <v/>
      </c>
      <c r="W20">
        <f>HYPERLINK("https://klasma.github.io/Logging_0885/klagomålsmail/A 43756-2022 FSC-klagomål mail.docx", "A 43756-2022")</f>
        <v/>
      </c>
      <c r="X20">
        <f>HYPERLINK("https://klasma.github.io/Logging_0885/tillsyn/A 43756-2022 tillsynsbegäran.docx", "A 43756-2022")</f>
        <v/>
      </c>
      <c r="Y20">
        <f>HYPERLINK("https://klasma.github.io/Logging_0885/tillsynsmail/A 43756-2022 tillsynsbegäran mail.docx", "A 43756-2022")</f>
        <v/>
      </c>
    </row>
    <row r="21" ht="15" customHeight="1">
      <c r="A21" t="inlineStr">
        <is>
          <t>A 13556-2025</t>
        </is>
      </c>
      <c r="B21" s="1" t="n">
        <v>45736.54759259259</v>
      </c>
      <c r="C21" s="1" t="n">
        <v>46052</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38860-2025</t>
        </is>
      </c>
      <c r="B22" s="1" t="n">
        <v>45887.5609375</v>
      </c>
      <c r="C22" s="1" t="n">
        <v>46052</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28779-2025</t>
        </is>
      </c>
      <c r="B23" s="1" t="n">
        <v>45820.44920138889</v>
      </c>
      <c r="C23" s="1" t="n">
        <v>46052</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44008-2022</t>
        </is>
      </c>
      <c r="B24" s="1" t="n">
        <v>44838</v>
      </c>
      <c r="C24" s="1" t="n">
        <v>46052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4164-2023</t>
        </is>
      </c>
      <c r="B25" s="1" t="n">
        <v>44953</v>
      </c>
      <c r="C25" s="1" t="n">
        <v>46052</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34944-2022</t>
        </is>
      </c>
      <c r="B26" s="1" t="n">
        <v>44796</v>
      </c>
      <c r="C26" s="1" t="n">
        <v>46052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60140-2025</t>
        </is>
      </c>
      <c r="B27" s="1" t="n">
        <v>45994.36274305556</v>
      </c>
      <c r="C27" s="1" t="n">
        <v>46052</v>
      </c>
      <c r="D27" t="inlineStr">
        <is>
          <t>KALMAR LÄN</t>
        </is>
      </c>
      <c r="E27" t="inlineStr">
        <is>
          <t>BORGHOLM</t>
        </is>
      </c>
      <c r="G27" t="n">
        <v>0.8</v>
      </c>
      <c r="H27" t="n">
        <v>1</v>
      </c>
      <c r="I27" t="n">
        <v>2</v>
      </c>
      <c r="J27" t="n">
        <v>0</v>
      </c>
      <c r="K27" t="n">
        <v>0</v>
      </c>
      <c r="L27" t="n">
        <v>0</v>
      </c>
      <c r="M27" t="n">
        <v>0</v>
      </c>
      <c r="N27" t="n">
        <v>0</v>
      </c>
      <c r="O27" t="n">
        <v>0</v>
      </c>
      <c r="P27" t="n">
        <v>0</v>
      </c>
      <c r="Q27" t="n">
        <v>2</v>
      </c>
      <c r="R27" s="2" t="inlineStr">
        <is>
          <t>Skogsknipprot
Strävlosta</t>
        </is>
      </c>
      <c r="S27">
        <f>HYPERLINK("https://klasma.github.io/Logging_0885/artfynd/A 60140-2025 artfynd.xlsx", "A 60140-2025")</f>
        <v/>
      </c>
      <c r="T27">
        <f>HYPERLINK("https://klasma.github.io/Logging_0885/kartor/A 60140-2025 karta.png", "A 60140-2025")</f>
        <v/>
      </c>
      <c r="V27">
        <f>HYPERLINK("https://klasma.github.io/Logging_0885/klagomål/A 60140-2025 FSC-klagomål.docx", "A 60140-2025")</f>
        <v/>
      </c>
      <c r="W27">
        <f>HYPERLINK("https://klasma.github.io/Logging_0885/klagomålsmail/A 60140-2025 FSC-klagomål mail.docx", "A 60140-2025")</f>
        <v/>
      </c>
      <c r="X27">
        <f>HYPERLINK("https://klasma.github.io/Logging_0885/tillsyn/A 60140-2025 tillsynsbegäran.docx", "A 60140-2025")</f>
        <v/>
      </c>
      <c r="Y27">
        <f>HYPERLINK("https://klasma.github.io/Logging_0885/tillsynsmail/A 60140-2025 tillsynsbegäran mail.docx", "A 60140-2025")</f>
        <v/>
      </c>
    </row>
    <row r="28" ht="15" customHeight="1">
      <c r="A28" t="inlineStr">
        <is>
          <t>A 31790-2021</t>
        </is>
      </c>
      <c r="B28" s="1" t="n">
        <v>44370</v>
      </c>
      <c r="C28" s="1" t="n">
        <v>46052</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46052</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24701-2023</t>
        </is>
      </c>
      <c r="B30" s="1" t="n">
        <v>45084</v>
      </c>
      <c r="C30" s="1" t="n">
        <v>46052</v>
      </c>
      <c r="D30" t="inlineStr">
        <is>
          <t>KALMAR LÄN</t>
        </is>
      </c>
      <c r="E30" t="inlineStr">
        <is>
          <t>BORGHOLM</t>
        </is>
      </c>
      <c r="G30" t="n">
        <v>3</v>
      </c>
      <c r="H30" t="n">
        <v>0</v>
      </c>
      <c r="I30" t="n">
        <v>0</v>
      </c>
      <c r="J30" t="n">
        <v>0</v>
      </c>
      <c r="K30" t="n">
        <v>0</v>
      </c>
      <c r="L30" t="n">
        <v>1</v>
      </c>
      <c r="M30" t="n">
        <v>0</v>
      </c>
      <c r="N30" t="n">
        <v>0</v>
      </c>
      <c r="O30" t="n">
        <v>1</v>
      </c>
      <c r="P30" t="n">
        <v>1</v>
      </c>
      <c r="Q30" t="n">
        <v>1</v>
      </c>
      <c r="R30" s="2" t="inlineStr">
        <is>
          <t>Ask</t>
        </is>
      </c>
      <c r="S30">
        <f>HYPERLINK("https://klasma.github.io/Logging_0885/artfynd/A 24701-2023 artfynd.xlsx", "A 24701-2023")</f>
        <v/>
      </c>
      <c r="T30">
        <f>HYPERLINK("https://klasma.github.io/Logging_0885/kartor/A 24701-2023 karta.png", "A 24701-2023")</f>
        <v/>
      </c>
      <c r="V30">
        <f>HYPERLINK("https://klasma.github.io/Logging_0885/klagomål/A 24701-2023 FSC-klagomål.docx", "A 24701-2023")</f>
        <v/>
      </c>
      <c r="W30">
        <f>HYPERLINK("https://klasma.github.io/Logging_0885/klagomålsmail/A 24701-2023 FSC-klagomål mail.docx", "A 24701-2023")</f>
        <v/>
      </c>
      <c r="X30">
        <f>HYPERLINK("https://klasma.github.io/Logging_0885/tillsyn/A 24701-2023 tillsynsbegäran.docx", "A 24701-2023")</f>
        <v/>
      </c>
      <c r="Y30">
        <f>HYPERLINK("https://klasma.github.io/Logging_0885/tillsynsmail/A 24701-2023 tillsynsbegäran mail.docx", "A 24701-2023")</f>
        <v/>
      </c>
    </row>
    <row r="31" ht="15" customHeight="1">
      <c r="A31" t="inlineStr">
        <is>
          <t>A 14789-2021</t>
        </is>
      </c>
      <c r="B31" s="1" t="n">
        <v>44280</v>
      </c>
      <c r="C31" s="1" t="n">
        <v>46052</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13558-2025</t>
        </is>
      </c>
      <c r="B32" s="1" t="n">
        <v>45736.54974537037</v>
      </c>
      <c r="C32" s="1" t="n">
        <v>46052</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46052</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46052</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46052</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46052</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34885-2025</t>
        </is>
      </c>
      <c r="B37" s="1" t="n">
        <v>45849.47128472223</v>
      </c>
      <c r="C37" s="1" t="n">
        <v>46052</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24704-2023</t>
        </is>
      </c>
      <c r="B38" s="1" t="n">
        <v>45084</v>
      </c>
      <c r="C38" s="1" t="n">
        <v>46052</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12785-2021</t>
        </is>
      </c>
      <c r="B39" s="1" t="n">
        <v>44270</v>
      </c>
      <c r="C39" s="1" t="n">
        <v>46052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9745-2023</t>
        </is>
      </c>
      <c r="B40" s="1" t="n">
        <v>44984</v>
      </c>
      <c r="C40" s="1" t="n">
        <v>46052</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43603-2024</t>
        </is>
      </c>
      <c r="B41" s="1" t="n">
        <v>45569.44700231482</v>
      </c>
      <c r="C41" s="1" t="n">
        <v>46052</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45693-2025</t>
        </is>
      </c>
      <c r="B42" s="1" t="n">
        <v>45923</v>
      </c>
      <c r="C42" s="1" t="n">
        <v>46052</v>
      </c>
      <c r="D42" t="inlineStr">
        <is>
          <t>KALMAR LÄN</t>
        </is>
      </c>
      <c r="E42" t="inlineStr">
        <is>
          <t>BORGHOLM</t>
        </is>
      </c>
      <c r="G42" t="n">
        <v>4.8</v>
      </c>
      <c r="H42" t="n">
        <v>0</v>
      </c>
      <c r="I42" t="n">
        <v>0</v>
      </c>
      <c r="J42" t="n">
        <v>1</v>
      </c>
      <c r="K42" t="n">
        <v>0</v>
      </c>
      <c r="L42" t="n">
        <v>0</v>
      </c>
      <c r="M42" t="n">
        <v>0</v>
      </c>
      <c r="N42" t="n">
        <v>0</v>
      </c>
      <c r="O42" t="n">
        <v>1</v>
      </c>
      <c r="P42" t="n">
        <v>0</v>
      </c>
      <c r="Q42" t="n">
        <v>1</v>
      </c>
      <c r="R42" s="2" t="inlineStr">
        <is>
          <t>Stjälkröksvamp</t>
        </is>
      </c>
      <c r="S42">
        <f>HYPERLINK("https://klasma.github.io/Logging_0885/artfynd/A 45693-2025 artfynd.xlsx", "A 45693-2025")</f>
        <v/>
      </c>
      <c r="T42">
        <f>HYPERLINK("https://klasma.github.io/Logging_0885/kartor/A 45693-2025 karta.png", "A 45693-2025")</f>
        <v/>
      </c>
      <c r="V42">
        <f>HYPERLINK("https://klasma.github.io/Logging_0885/klagomål/A 45693-2025 FSC-klagomål.docx", "A 45693-2025")</f>
        <v/>
      </c>
      <c r="W42">
        <f>HYPERLINK("https://klasma.github.io/Logging_0885/klagomålsmail/A 45693-2025 FSC-klagomål mail.docx", "A 45693-2025")</f>
        <v/>
      </c>
      <c r="X42">
        <f>HYPERLINK("https://klasma.github.io/Logging_0885/tillsyn/A 45693-2025 tillsynsbegäran.docx", "A 45693-2025")</f>
        <v/>
      </c>
      <c r="Y42">
        <f>HYPERLINK("https://klasma.github.io/Logging_0885/tillsynsmail/A 45693-2025 tillsynsbegäran mail.docx", "A 45693-2025")</f>
        <v/>
      </c>
    </row>
    <row r="43" ht="15" customHeight="1">
      <c r="A43" t="inlineStr">
        <is>
          <t>A 3302-2026</t>
        </is>
      </c>
      <c r="B43" s="1" t="n">
        <v>46041</v>
      </c>
      <c r="C43" s="1" t="n">
        <v>46052</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12711-2021</t>
        </is>
      </c>
      <c r="B44" s="1" t="n">
        <v>44270</v>
      </c>
      <c r="C44" s="1" t="n">
        <v>46052</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42761-2021</t>
        </is>
      </c>
      <c r="B45" s="1" t="n">
        <v>44428</v>
      </c>
      <c r="C45" s="1" t="n">
        <v>46052</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13325-2021</t>
        </is>
      </c>
      <c r="B46" s="1" t="n">
        <v>44273</v>
      </c>
      <c r="C46" s="1" t="n">
        <v>46052</v>
      </c>
      <c r="D46" t="inlineStr">
        <is>
          <t>KALMAR LÄN</t>
        </is>
      </c>
      <c r="E46" t="inlineStr">
        <is>
          <t>BORGHOLM</t>
        </is>
      </c>
      <c r="G46" t="n">
        <v>0.7</v>
      </c>
      <c r="H46" t="n">
        <v>0</v>
      </c>
      <c r="I46" t="n">
        <v>0</v>
      </c>
      <c r="J46" t="n">
        <v>0</v>
      </c>
      <c r="K46" t="n">
        <v>0</v>
      </c>
      <c r="L46" t="n">
        <v>0</v>
      </c>
      <c r="M46" t="n">
        <v>0</v>
      </c>
      <c r="N46" t="n">
        <v>0</v>
      </c>
      <c r="O46" t="n">
        <v>0</v>
      </c>
      <c r="P46" t="n">
        <v>0</v>
      </c>
      <c r="Q46" t="n">
        <v>0</v>
      </c>
      <c r="R46" s="2" t="inlineStr"/>
    </row>
    <row r="47" ht="15" customHeight="1">
      <c r="A47" t="inlineStr">
        <is>
          <t>A 32665-2022</t>
        </is>
      </c>
      <c r="B47" s="1" t="n">
        <v>44783</v>
      </c>
      <c r="C47" s="1" t="n">
        <v>46052</v>
      </c>
      <c r="D47" t="inlineStr">
        <is>
          <t>KALMAR LÄN</t>
        </is>
      </c>
      <c r="E47" t="inlineStr">
        <is>
          <t>BORGHOLM</t>
        </is>
      </c>
      <c r="F47" t="inlineStr">
        <is>
          <t>Sveaskog</t>
        </is>
      </c>
      <c r="G47" t="n">
        <v>4.2</v>
      </c>
      <c r="H47" t="n">
        <v>0</v>
      </c>
      <c r="I47" t="n">
        <v>0</v>
      </c>
      <c r="J47" t="n">
        <v>0</v>
      </c>
      <c r="K47" t="n">
        <v>0</v>
      </c>
      <c r="L47" t="n">
        <v>0</v>
      </c>
      <c r="M47" t="n">
        <v>0</v>
      </c>
      <c r="N47" t="n">
        <v>0</v>
      </c>
      <c r="O47" t="n">
        <v>0</v>
      </c>
      <c r="P47" t="n">
        <v>0</v>
      </c>
      <c r="Q47" t="n">
        <v>0</v>
      </c>
      <c r="R47" s="2" t="inlineStr"/>
    </row>
    <row r="48" ht="15" customHeight="1">
      <c r="A48" t="inlineStr">
        <is>
          <t>A 10348-2022</t>
        </is>
      </c>
      <c r="B48" s="1" t="n">
        <v>44623</v>
      </c>
      <c r="C48" s="1" t="n">
        <v>46052</v>
      </c>
      <c r="D48" t="inlineStr">
        <is>
          <t>KALMAR LÄN</t>
        </is>
      </c>
      <c r="E48" t="inlineStr">
        <is>
          <t>BORGHOLM</t>
        </is>
      </c>
      <c r="G48" t="n">
        <v>0.4</v>
      </c>
      <c r="H48" t="n">
        <v>0</v>
      </c>
      <c r="I48" t="n">
        <v>0</v>
      </c>
      <c r="J48" t="n">
        <v>0</v>
      </c>
      <c r="K48" t="n">
        <v>0</v>
      </c>
      <c r="L48" t="n">
        <v>0</v>
      </c>
      <c r="M48" t="n">
        <v>0</v>
      </c>
      <c r="N48" t="n">
        <v>0</v>
      </c>
      <c r="O48" t="n">
        <v>0</v>
      </c>
      <c r="P48" t="n">
        <v>0</v>
      </c>
      <c r="Q48" t="n">
        <v>0</v>
      </c>
      <c r="R48" s="2" t="inlineStr"/>
    </row>
    <row r="49" ht="15" customHeight="1">
      <c r="A49" t="inlineStr">
        <is>
          <t>A 28345-2022</t>
        </is>
      </c>
      <c r="B49" s="1" t="n">
        <v>44747</v>
      </c>
      <c r="C49" s="1" t="n">
        <v>46052</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46052</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46052</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46052</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56188-2021</t>
        </is>
      </c>
      <c r="B53" s="1" t="n">
        <v>44477.83525462963</v>
      </c>
      <c r="C53" s="1" t="n">
        <v>46052</v>
      </c>
      <c r="D53" t="inlineStr">
        <is>
          <t>KALMAR LÄN</t>
        </is>
      </c>
      <c r="E53" t="inlineStr">
        <is>
          <t>BORGHOLM</t>
        </is>
      </c>
      <c r="G53" t="n">
        <v>1.8</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46052</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46052</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32180-2022</t>
        </is>
      </c>
      <c r="B56" s="1" t="n">
        <v>44781</v>
      </c>
      <c r="C56" s="1" t="n">
        <v>46052</v>
      </c>
      <c r="D56" t="inlineStr">
        <is>
          <t>KALMAR LÄN</t>
        </is>
      </c>
      <c r="E56" t="inlineStr">
        <is>
          <t>BORGHOLM</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27437-2022</t>
        </is>
      </c>
      <c r="B57" s="1" t="n">
        <v>44742.55567129629</v>
      </c>
      <c r="C57" s="1" t="n">
        <v>46052</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46052</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62631-2021</t>
        </is>
      </c>
      <c r="B59" s="1" t="n">
        <v>44503</v>
      </c>
      <c r="C59" s="1" t="n">
        <v>46052</v>
      </c>
      <c r="D59" t="inlineStr">
        <is>
          <t>KALMAR LÄN</t>
        </is>
      </c>
      <c r="E59" t="inlineStr">
        <is>
          <t>BORGHOLM</t>
        </is>
      </c>
      <c r="G59" t="n">
        <v>1</v>
      </c>
      <c r="H59" t="n">
        <v>0</v>
      </c>
      <c r="I59" t="n">
        <v>0</v>
      </c>
      <c r="J59" t="n">
        <v>0</v>
      </c>
      <c r="K59" t="n">
        <v>0</v>
      </c>
      <c r="L59" t="n">
        <v>0</v>
      </c>
      <c r="M59" t="n">
        <v>0</v>
      </c>
      <c r="N59" t="n">
        <v>0</v>
      </c>
      <c r="O59" t="n">
        <v>0</v>
      </c>
      <c r="P59" t="n">
        <v>0</v>
      </c>
      <c r="Q59" t="n">
        <v>0</v>
      </c>
      <c r="R59" s="2" t="inlineStr"/>
    </row>
    <row r="60" ht="15" customHeight="1">
      <c r="A60" t="inlineStr">
        <is>
          <t>A 9034-2025</t>
        </is>
      </c>
      <c r="B60" s="1" t="n">
        <v>45713</v>
      </c>
      <c r="C60" s="1" t="n">
        <v>46052</v>
      </c>
      <c r="D60" t="inlineStr">
        <is>
          <t>KALMAR LÄN</t>
        </is>
      </c>
      <c r="E60" t="inlineStr">
        <is>
          <t>BORGHOLM</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13548-2025</t>
        </is>
      </c>
      <c r="B61" s="1" t="n">
        <v>45736.53827546296</v>
      </c>
      <c r="C61" s="1" t="n">
        <v>46052</v>
      </c>
      <c r="D61" t="inlineStr">
        <is>
          <t>KALMAR LÄN</t>
        </is>
      </c>
      <c r="E61" t="inlineStr">
        <is>
          <t>BORGHOLM</t>
        </is>
      </c>
      <c r="G61" t="n">
        <v>1</v>
      </c>
      <c r="H61" t="n">
        <v>0</v>
      </c>
      <c r="I61" t="n">
        <v>0</v>
      </c>
      <c r="J61" t="n">
        <v>0</v>
      </c>
      <c r="K61" t="n">
        <v>0</v>
      </c>
      <c r="L61" t="n">
        <v>0</v>
      </c>
      <c r="M61" t="n">
        <v>0</v>
      </c>
      <c r="N61" t="n">
        <v>0</v>
      </c>
      <c r="O61" t="n">
        <v>0</v>
      </c>
      <c r="P61" t="n">
        <v>0</v>
      </c>
      <c r="Q61" t="n">
        <v>0</v>
      </c>
      <c r="R61" s="2" t="inlineStr"/>
    </row>
    <row r="62" ht="15" customHeight="1">
      <c r="A62" t="inlineStr">
        <is>
          <t>A 31840-2021</t>
        </is>
      </c>
      <c r="B62" s="1" t="n">
        <v>44370</v>
      </c>
      <c r="C62" s="1" t="n">
        <v>46052</v>
      </c>
      <c r="D62" t="inlineStr">
        <is>
          <t>KALMAR LÄN</t>
        </is>
      </c>
      <c r="E62" t="inlineStr">
        <is>
          <t>BORGHOLM</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17978-2021</t>
        </is>
      </c>
      <c r="B63" s="1" t="n">
        <v>44301</v>
      </c>
      <c r="C63" s="1" t="n">
        <v>46052</v>
      </c>
      <c r="D63" t="inlineStr">
        <is>
          <t>KALMAR LÄN</t>
        </is>
      </c>
      <c r="E63" t="inlineStr">
        <is>
          <t>BORGHOLM</t>
        </is>
      </c>
      <c r="G63" t="n">
        <v>6</v>
      </c>
      <c r="H63" t="n">
        <v>0</v>
      </c>
      <c r="I63" t="n">
        <v>0</v>
      </c>
      <c r="J63" t="n">
        <v>0</v>
      </c>
      <c r="K63" t="n">
        <v>0</v>
      </c>
      <c r="L63" t="n">
        <v>0</v>
      </c>
      <c r="M63" t="n">
        <v>0</v>
      </c>
      <c r="N63" t="n">
        <v>0</v>
      </c>
      <c r="O63" t="n">
        <v>0</v>
      </c>
      <c r="P63" t="n">
        <v>0</v>
      </c>
      <c r="Q63" t="n">
        <v>0</v>
      </c>
      <c r="R63" s="2" t="inlineStr"/>
    </row>
    <row r="64" ht="15" customHeight="1">
      <c r="A64" t="inlineStr">
        <is>
          <t>A 22785-2025</t>
        </is>
      </c>
      <c r="B64" s="1" t="n">
        <v>45789.64186342592</v>
      </c>
      <c r="C64" s="1" t="n">
        <v>46052</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3878-2023</t>
        </is>
      </c>
      <c r="B65" s="1" t="n">
        <v>44951</v>
      </c>
      <c r="C65" s="1" t="n">
        <v>46052</v>
      </c>
      <c r="D65" t="inlineStr">
        <is>
          <t>KALMAR LÄN</t>
        </is>
      </c>
      <c r="E65" t="inlineStr">
        <is>
          <t>BORGHOLM</t>
        </is>
      </c>
      <c r="G65" t="n">
        <v>1.7</v>
      </c>
      <c r="H65" t="n">
        <v>0</v>
      </c>
      <c r="I65" t="n">
        <v>0</v>
      </c>
      <c r="J65" t="n">
        <v>0</v>
      </c>
      <c r="K65" t="n">
        <v>0</v>
      </c>
      <c r="L65" t="n">
        <v>0</v>
      </c>
      <c r="M65" t="n">
        <v>0</v>
      </c>
      <c r="N65" t="n">
        <v>0</v>
      </c>
      <c r="O65" t="n">
        <v>0</v>
      </c>
      <c r="P65" t="n">
        <v>0</v>
      </c>
      <c r="Q65" t="n">
        <v>0</v>
      </c>
      <c r="R65" s="2" t="inlineStr"/>
    </row>
    <row r="66" ht="15" customHeight="1">
      <c r="A66" t="inlineStr">
        <is>
          <t>A 12534-2022</t>
        </is>
      </c>
      <c r="B66" s="1" t="n">
        <v>44638</v>
      </c>
      <c r="C66" s="1" t="n">
        <v>46052</v>
      </c>
      <c r="D66" t="inlineStr">
        <is>
          <t>KALMAR LÄN</t>
        </is>
      </c>
      <c r="E66" t="inlineStr">
        <is>
          <t>BORGHOLM</t>
        </is>
      </c>
      <c r="G66" t="n">
        <v>8.6</v>
      </c>
      <c r="H66" t="n">
        <v>0</v>
      </c>
      <c r="I66" t="n">
        <v>0</v>
      </c>
      <c r="J66" t="n">
        <v>0</v>
      </c>
      <c r="K66" t="n">
        <v>0</v>
      </c>
      <c r="L66" t="n">
        <v>0</v>
      </c>
      <c r="M66" t="n">
        <v>0</v>
      </c>
      <c r="N66" t="n">
        <v>0</v>
      </c>
      <c r="O66" t="n">
        <v>0</v>
      </c>
      <c r="P66" t="n">
        <v>0</v>
      </c>
      <c r="Q66" t="n">
        <v>0</v>
      </c>
      <c r="R66" s="2" t="inlineStr"/>
    </row>
    <row r="67" ht="15" customHeight="1">
      <c r="A67" t="inlineStr">
        <is>
          <t>A 64303-2023</t>
        </is>
      </c>
      <c r="B67" s="1" t="n">
        <v>45280</v>
      </c>
      <c r="C67" s="1" t="n">
        <v>46052</v>
      </c>
      <c r="D67" t="inlineStr">
        <is>
          <t>KALMAR LÄN</t>
        </is>
      </c>
      <c r="E67" t="inlineStr">
        <is>
          <t>BORGHOLM</t>
        </is>
      </c>
      <c r="G67" t="n">
        <v>1.2</v>
      </c>
      <c r="H67" t="n">
        <v>0</v>
      </c>
      <c r="I67" t="n">
        <v>0</v>
      </c>
      <c r="J67" t="n">
        <v>0</v>
      </c>
      <c r="K67" t="n">
        <v>0</v>
      </c>
      <c r="L67" t="n">
        <v>0</v>
      </c>
      <c r="M67" t="n">
        <v>0</v>
      </c>
      <c r="N67" t="n">
        <v>0</v>
      </c>
      <c r="O67" t="n">
        <v>0</v>
      </c>
      <c r="P67" t="n">
        <v>0</v>
      </c>
      <c r="Q67" t="n">
        <v>0</v>
      </c>
      <c r="R67" s="2" t="inlineStr"/>
    </row>
    <row r="68" ht="15" customHeight="1">
      <c r="A68" t="inlineStr">
        <is>
          <t>A 32919-2023</t>
        </is>
      </c>
      <c r="B68" s="1" t="n">
        <v>45125</v>
      </c>
      <c r="C68" s="1" t="n">
        <v>46052</v>
      </c>
      <c r="D68" t="inlineStr">
        <is>
          <t>KALMAR LÄN</t>
        </is>
      </c>
      <c r="E68" t="inlineStr">
        <is>
          <t>BORGHOLM</t>
        </is>
      </c>
      <c r="G68" t="n">
        <v>2.7</v>
      </c>
      <c r="H68" t="n">
        <v>0</v>
      </c>
      <c r="I68" t="n">
        <v>0</v>
      </c>
      <c r="J68" t="n">
        <v>0</v>
      </c>
      <c r="K68" t="n">
        <v>0</v>
      </c>
      <c r="L68" t="n">
        <v>0</v>
      </c>
      <c r="M68" t="n">
        <v>0</v>
      </c>
      <c r="N68" t="n">
        <v>0</v>
      </c>
      <c r="O68" t="n">
        <v>0</v>
      </c>
      <c r="P68" t="n">
        <v>0</v>
      </c>
      <c r="Q68" t="n">
        <v>0</v>
      </c>
      <c r="R68" s="2" t="inlineStr"/>
    </row>
    <row r="69" ht="15" customHeight="1">
      <c r="A69" t="inlineStr">
        <is>
          <t>A 40339-2023</t>
        </is>
      </c>
      <c r="B69" s="1" t="n">
        <v>45169.62733796296</v>
      </c>
      <c r="C69" s="1" t="n">
        <v>46052</v>
      </c>
      <c r="D69" t="inlineStr">
        <is>
          <t>KALMAR LÄN</t>
        </is>
      </c>
      <c r="E69" t="inlineStr">
        <is>
          <t>BORGHOLM</t>
        </is>
      </c>
      <c r="G69" t="n">
        <v>3.8</v>
      </c>
      <c r="H69" t="n">
        <v>0</v>
      </c>
      <c r="I69" t="n">
        <v>0</v>
      </c>
      <c r="J69" t="n">
        <v>0</v>
      </c>
      <c r="K69" t="n">
        <v>0</v>
      </c>
      <c r="L69" t="n">
        <v>0</v>
      </c>
      <c r="M69" t="n">
        <v>0</v>
      </c>
      <c r="N69" t="n">
        <v>0</v>
      </c>
      <c r="O69" t="n">
        <v>0</v>
      </c>
      <c r="P69" t="n">
        <v>0</v>
      </c>
      <c r="Q69" t="n">
        <v>0</v>
      </c>
      <c r="R69" s="2" t="inlineStr"/>
    </row>
    <row r="70" ht="15" customHeight="1">
      <c r="A70" t="inlineStr">
        <is>
          <t>A 24166-2022</t>
        </is>
      </c>
      <c r="B70" s="1" t="n">
        <v>44725</v>
      </c>
      <c r="C70" s="1" t="n">
        <v>46052</v>
      </c>
      <c r="D70" t="inlineStr">
        <is>
          <t>KALMAR LÄN</t>
        </is>
      </c>
      <c r="E70" t="inlineStr">
        <is>
          <t>BORGHOLM</t>
        </is>
      </c>
      <c r="G70" t="n">
        <v>10.7</v>
      </c>
      <c r="H70" t="n">
        <v>0</v>
      </c>
      <c r="I70" t="n">
        <v>0</v>
      </c>
      <c r="J70" t="n">
        <v>0</v>
      </c>
      <c r="K70" t="n">
        <v>0</v>
      </c>
      <c r="L70" t="n">
        <v>0</v>
      </c>
      <c r="M70" t="n">
        <v>0</v>
      </c>
      <c r="N70" t="n">
        <v>0</v>
      </c>
      <c r="O70" t="n">
        <v>0</v>
      </c>
      <c r="P70" t="n">
        <v>0</v>
      </c>
      <c r="Q70" t="n">
        <v>0</v>
      </c>
      <c r="R70" s="2" t="inlineStr"/>
    </row>
    <row r="71" ht="15" customHeight="1">
      <c r="A71" t="inlineStr">
        <is>
          <t>A 44678-2022</t>
        </is>
      </c>
      <c r="B71" s="1" t="n">
        <v>44840.65100694444</v>
      </c>
      <c r="C71" s="1" t="n">
        <v>46052</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31720-2022</t>
        </is>
      </c>
      <c r="B72" s="1" t="n">
        <v>44776</v>
      </c>
      <c r="C72" s="1" t="n">
        <v>46052</v>
      </c>
      <c r="D72" t="inlineStr">
        <is>
          <t>KALMAR LÄN</t>
        </is>
      </c>
      <c r="E72" t="inlineStr">
        <is>
          <t>BORGHOLM</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21908-2022</t>
        </is>
      </c>
      <c r="B73" s="1" t="n">
        <v>44711</v>
      </c>
      <c r="C73" s="1" t="n">
        <v>46052</v>
      </c>
      <c r="D73" t="inlineStr">
        <is>
          <t>KALMAR LÄN</t>
        </is>
      </c>
      <c r="E73" t="inlineStr">
        <is>
          <t>BORGHOLM</t>
        </is>
      </c>
      <c r="G73" t="n">
        <v>4.7</v>
      </c>
      <c r="H73" t="n">
        <v>0</v>
      </c>
      <c r="I73" t="n">
        <v>0</v>
      </c>
      <c r="J73" t="n">
        <v>0</v>
      </c>
      <c r="K73" t="n">
        <v>0</v>
      </c>
      <c r="L73" t="n">
        <v>0</v>
      </c>
      <c r="M73" t="n">
        <v>0</v>
      </c>
      <c r="N73" t="n">
        <v>0</v>
      </c>
      <c r="O73" t="n">
        <v>0</v>
      </c>
      <c r="P73" t="n">
        <v>0</v>
      </c>
      <c r="Q73" t="n">
        <v>0</v>
      </c>
      <c r="R73" s="2" t="inlineStr"/>
    </row>
    <row r="74" ht="15" customHeight="1">
      <c r="A74" t="inlineStr">
        <is>
          <t>A 26190-2025</t>
        </is>
      </c>
      <c r="B74" s="1" t="n">
        <v>45805.48349537037</v>
      </c>
      <c r="C74" s="1" t="n">
        <v>46052</v>
      </c>
      <c r="D74" t="inlineStr">
        <is>
          <t>KALMAR LÄN</t>
        </is>
      </c>
      <c r="E74" t="inlineStr">
        <is>
          <t>BORGHOLM</t>
        </is>
      </c>
      <c r="G74" t="n">
        <v>3.2</v>
      </c>
      <c r="H74" t="n">
        <v>0</v>
      </c>
      <c r="I74" t="n">
        <v>0</v>
      </c>
      <c r="J74" t="n">
        <v>0</v>
      </c>
      <c r="K74" t="n">
        <v>0</v>
      </c>
      <c r="L74" t="n">
        <v>0</v>
      </c>
      <c r="M74" t="n">
        <v>0</v>
      </c>
      <c r="N74" t="n">
        <v>0</v>
      </c>
      <c r="O74" t="n">
        <v>0</v>
      </c>
      <c r="P74" t="n">
        <v>0</v>
      </c>
      <c r="Q74" t="n">
        <v>0</v>
      </c>
      <c r="R74" s="2" t="inlineStr"/>
    </row>
    <row r="75" ht="15" customHeight="1">
      <c r="A75" t="inlineStr">
        <is>
          <t>A 26160-2025</t>
        </is>
      </c>
      <c r="B75" s="1" t="n">
        <v>45805.4490162037</v>
      </c>
      <c r="C75" s="1" t="n">
        <v>46052</v>
      </c>
      <c r="D75" t="inlineStr">
        <is>
          <t>KALMAR LÄN</t>
        </is>
      </c>
      <c r="E75" t="inlineStr">
        <is>
          <t>BORGHOLM</t>
        </is>
      </c>
      <c r="G75" t="n">
        <v>3.7</v>
      </c>
      <c r="H75" t="n">
        <v>0</v>
      </c>
      <c r="I75" t="n">
        <v>0</v>
      </c>
      <c r="J75" t="n">
        <v>0</v>
      </c>
      <c r="K75" t="n">
        <v>0</v>
      </c>
      <c r="L75" t="n">
        <v>0</v>
      </c>
      <c r="M75" t="n">
        <v>0</v>
      </c>
      <c r="N75" t="n">
        <v>0</v>
      </c>
      <c r="O75" t="n">
        <v>0</v>
      </c>
      <c r="P75" t="n">
        <v>0</v>
      </c>
      <c r="Q75" t="n">
        <v>0</v>
      </c>
      <c r="R75" s="2" t="inlineStr"/>
    </row>
    <row r="76" ht="15" customHeight="1">
      <c r="A76" t="inlineStr">
        <is>
          <t>A 44547-2021</t>
        </is>
      </c>
      <c r="B76" s="1" t="n">
        <v>44435</v>
      </c>
      <c r="C76" s="1" t="n">
        <v>46052</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5175-2024</t>
        </is>
      </c>
      <c r="B77" s="1" t="n">
        <v>45330</v>
      </c>
      <c r="C77" s="1" t="n">
        <v>46052</v>
      </c>
      <c r="D77" t="inlineStr">
        <is>
          <t>KALMAR LÄN</t>
        </is>
      </c>
      <c r="E77" t="inlineStr">
        <is>
          <t>BORGHOLM</t>
        </is>
      </c>
      <c r="G77" t="n">
        <v>1.5</v>
      </c>
      <c r="H77" t="n">
        <v>0</v>
      </c>
      <c r="I77" t="n">
        <v>0</v>
      </c>
      <c r="J77" t="n">
        <v>0</v>
      </c>
      <c r="K77" t="n">
        <v>0</v>
      </c>
      <c r="L77" t="n">
        <v>0</v>
      </c>
      <c r="M77" t="n">
        <v>0</v>
      </c>
      <c r="N77" t="n">
        <v>0</v>
      </c>
      <c r="O77" t="n">
        <v>0</v>
      </c>
      <c r="P77" t="n">
        <v>0</v>
      </c>
      <c r="Q77" t="n">
        <v>0</v>
      </c>
      <c r="R77" s="2" t="inlineStr"/>
    </row>
    <row r="78" ht="15" customHeight="1">
      <c r="A78" t="inlineStr">
        <is>
          <t>A 55367-2024</t>
        </is>
      </c>
      <c r="B78" s="1" t="n">
        <v>45621.87075231481</v>
      </c>
      <c r="C78" s="1" t="n">
        <v>46052</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34951-2022</t>
        </is>
      </c>
      <c r="B79" s="1" t="n">
        <v>44796</v>
      </c>
      <c r="C79" s="1" t="n">
        <v>46052</v>
      </c>
      <c r="D79" t="inlineStr">
        <is>
          <t>KALMAR LÄN</t>
        </is>
      </c>
      <c r="E79" t="inlineStr">
        <is>
          <t>BORGHOLM</t>
        </is>
      </c>
      <c r="F79" t="inlineStr">
        <is>
          <t>Sveaskog</t>
        </is>
      </c>
      <c r="G79" t="n">
        <v>4.6</v>
      </c>
      <c r="H79" t="n">
        <v>0</v>
      </c>
      <c r="I79" t="n">
        <v>0</v>
      </c>
      <c r="J79" t="n">
        <v>0</v>
      </c>
      <c r="K79" t="n">
        <v>0</v>
      </c>
      <c r="L79" t="n">
        <v>0</v>
      </c>
      <c r="M79" t="n">
        <v>0</v>
      </c>
      <c r="N79" t="n">
        <v>0</v>
      </c>
      <c r="O79" t="n">
        <v>0</v>
      </c>
      <c r="P79" t="n">
        <v>0</v>
      </c>
      <c r="Q79" t="n">
        <v>0</v>
      </c>
      <c r="R79" s="2" t="inlineStr"/>
    </row>
    <row r="80" ht="15" customHeight="1">
      <c r="A80" t="inlineStr">
        <is>
          <t>A 19867-2024</t>
        </is>
      </c>
      <c r="B80" s="1" t="n">
        <v>45433</v>
      </c>
      <c r="C80" s="1" t="n">
        <v>46052</v>
      </c>
      <c r="D80" t="inlineStr">
        <is>
          <t>KALMAR LÄN</t>
        </is>
      </c>
      <c r="E80" t="inlineStr">
        <is>
          <t>BORGHOLM</t>
        </is>
      </c>
      <c r="G80" t="n">
        <v>3.9</v>
      </c>
      <c r="H80" t="n">
        <v>0</v>
      </c>
      <c r="I80" t="n">
        <v>0</v>
      </c>
      <c r="J80" t="n">
        <v>0</v>
      </c>
      <c r="K80" t="n">
        <v>0</v>
      </c>
      <c r="L80" t="n">
        <v>0</v>
      </c>
      <c r="M80" t="n">
        <v>0</v>
      </c>
      <c r="N80" t="n">
        <v>0</v>
      </c>
      <c r="O80" t="n">
        <v>0</v>
      </c>
      <c r="P80" t="n">
        <v>0</v>
      </c>
      <c r="Q80" t="n">
        <v>0</v>
      </c>
      <c r="R80" s="2" t="inlineStr"/>
    </row>
    <row r="81" ht="15" customHeight="1">
      <c r="A81" t="inlineStr">
        <is>
          <t>A 27357-2025</t>
        </is>
      </c>
      <c r="B81" s="1" t="n">
        <v>45812.63650462963</v>
      </c>
      <c r="C81" s="1" t="n">
        <v>46052</v>
      </c>
      <c r="D81" t="inlineStr">
        <is>
          <t>KALMAR LÄN</t>
        </is>
      </c>
      <c r="E81" t="inlineStr">
        <is>
          <t>BORGHOLM</t>
        </is>
      </c>
      <c r="F81" t="inlineStr">
        <is>
          <t>Sveaskog</t>
        </is>
      </c>
      <c r="G81" t="n">
        <v>4.5</v>
      </c>
      <c r="H81" t="n">
        <v>0</v>
      </c>
      <c r="I81" t="n">
        <v>0</v>
      </c>
      <c r="J81" t="n">
        <v>0</v>
      </c>
      <c r="K81" t="n">
        <v>0</v>
      </c>
      <c r="L81" t="n">
        <v>0</v>
      </c>
      <c r="M81" t="n">
        <v>0</v>
      </c>
      <c r="N81" t="n">
        <v>0</v>
      </c>
      <c r="O81" t="n">
        <v>0</v>
      </c>
      <c r="P81" t="n">
        <v>0</v>
      </c>
      <c r="Q81" t="n">
        <v>0</v>
      </c>
      <c r="R81" s="2" t="inlineStr"/>
    </row>
    <row r="82" ht="15" customHeight="1">
      <c r="A82" t="inlineStr">
        <is>
          <t>A 27366-2025</t>
        </is>
      </c>
      <c r="B82" s="1" t="n">
        <v>45812.64475694444</v>
      </c>
      <c r="C82" s="1" t="n">
        <v>46052</v>
      </c>
      <c r="D82" t="inlineStr">
        <is>
          <t>KALMAR LÄN</t>
        </is>
      </c>
      <c r="E82" t="inlineStr">
        <is>
          <t>BORGHOLM</t>
        </is>
      </c>
      <c r="F82" t="inlineStr">
        <is>
          <t>Sveaskog</t>
        </is>
      </c>
      <c r="G82" t="n">
        <v>2.5</v>
      </c>
      <c r="H82" t="n">
        <v>0</v>
      </c>
      <c r="I82" t="n">
        <v>0</v>
      </c>
      <c r="J82" t="n">
        <v>0</v>
      </c>
      <c r="K82" t="n">
        <v>0</v>
      </c>
      <c r="L82" t="n">
        <v>0</v>
      </c>
      <c r="M82" t="n">
        <v>0</v>
      </c>
      <c r="N82" t="n">
        <v>0</v>
      </c>
      <c r="O82" t="n">
        <v>0</v>
      </c>
      <c r="P82" t="n">
        <v>0</v>
      </c>
      <c r="Q82" t="n">
        <v>0</v>
      </c>
      <c r="R82" s="2" t="inlineStr"/>
    </row>
    <row r="83" ht="15" customHeight="1">
      <c r="A83" t="inlineStr">
        <is>
          <t>A 28782-2025</t>
        </is>
      </c>
      <c r="B83" s="1" t="n">
        <v>45820.45572916666</v>
      </c>
      <c r="C83" s="1" t="n">
        <v>46052</v>
      </c>
      <c r="D83" t="inlineStr">
        <is>
          <t>KALMAR LÄN</t>
        </is>
      </c>
      <c r="E83" t="inlineStr">
        <is>
          <t>BORGHOLM</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13383-2023</t>
        </is>
      </c>
      <c r="B84" s="1" t="n">
        <v>45005</v>
      </c>
      <c r="C84" s="1" t="n">
        <v>46052</v>
      </c>
      <c r="D84" t="inlineStr">
        <is>
          <t>KALMAR LÄN</t>
        </is>
      </c>
      <c r="E84" t="inlineStr">
        <is>
          <t>BORGHOLM</t>
        </is>
      </c>
      <c r="G84" t="n">
        <v>0.8</v>
      </c>
      <c r="H84" t="n">
        <v>0</v>
      </c>
      <c r="I84" t="n">
        <v>0</v>
      </c>
      <c r="J84" t="n">
        <v>0</v>
      </c>
      <c r="K84" t="n">
        <v>0</v>
      </c>
      <c r="L84" t="n">
        <v>0</v>
      </c>
      <c r="M84" t="n">
        <v>0</v>
      </c>
      <c r="N84" t="n">
        <v>0</v>
      </c>
      <c r="O84" t="n">
        <v>0</v>
      </c>
      <c r="P84" t="n">
        <v>0</v>
      </c>
      <c r="Q84" t="n">
        <v>0</v>
      </c>
      <c r="R84" s="2" t="inlineStr"/>
    </row>
    <row r="85" ht="15" customHeight="1">
      <c r="A85" t="inlineStr">
        <is>
          <t>A 61438-2023</t>
        </is>
      </c>
      <c r="B85" s="1" t="n">
        <v>45264</v>
      </c>
      <c r="C85" s="1" t="n">
        <v>46052</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4159-2024</t>
        </is>
      </c>
      <c r="B86" s="1" t="n">
        <v>45323</v>
      </c>
      <c r="C86" s="1" t="n">
        <v>46052</v>
      </c>
      <c r="D86" t="inlineStr">
        <is>
          <t>KALMAR LÄN</t>
        </is>
      </c>
      <c r="E86" t="inlineStr">
        <is>
          <t>BORGHOLM</t>
        </is>
      </c>
      <c r="G86" t="n">
        <v>0.5</v>
      </c>
      <c r="H86" t="n">
        <v>0</v>
      </c>
      <c r="I86" t="n">
        <v>0</v>
      </c>
      <c r="J86" t="n">
        <v>0</v>
      </c>
      <c r="K86" t="n">
        <v>0</v>
      </c>
      <c r="L86" t="n">
        <v>0</v>
      </c>
      <c r="M86" t="n">
        <v>0</v>
      </c>
      <c r="N86" t="n">
        <v>0</v>
      </c>
      <c r="O86" t="n">
        <v>0</v>
      </c>
      <c r="P86" t="n">
        <v>0</v>
      </c>
      <c r="Q86" t="n">
        <v>0</v>
      </c>
      <c r="R86" s="2" t="inlineStr"/>
    </row>
    <row r="87" ht="15" customHeight="1">
      <c r="A87" t="inlineStr">
        <is>
          <t>A 13041-2024</t>
        </is>
      </c>
      <c r="B87" s="1" t="n">
        <v>45385.60065972222</v>
      </c>
      <c r="C87" s="1" t="n">
        <v>46052</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53050-2021</t>
        </is>
      </c>
      <c r="B88" s="1" t="n">
        <v>44467</v>
      </c>
      <c r="C88" s="1" t="n">
        <v>46052</v>
      </c>
      <c r="D88" t="inlineStr">
        <is>
          <t>KALMAR LÄN</t>
        </is>
      </c>
      <c r="E88" t="inlineStr">
        <is>
          <t>BORGHOLM</t>
        </is>
      </c>
      <c r="G88" t="n">
        <v>3.6</v>
      </c>
      <c r="H88" t="n">
        <v>0</v>
      </c>
      <c r="I88" t="n">
        <v>0</v>
      </c>
      <c r="J88" t="n">
        <v>0</v>
      </c>
      <c r="K88" t="n">
        <v>0</v>
      </c>
      <c r="L88" t="n">
        <v>0</v>
      </c>
      <c r="M88" t="n">
        <v>0</v>
      </c>
      <c r="N88" t="n">
        <v>0</v>
      </c>
      <c r="O88" t="n">
        <v>0</v>
      </c>
      <c r="P88" t="n">
        <v>0</v>
      </c>
      <c r="Q88" t="n">
        <v>0</v>
      </c>
      <c r="R88" s="2" t="inlineStr"/>
    </row>
    <row r="89" ht="15" customHeight="1">
      <c r="A89" t="inlineStr">
        <is>
          <t>A 4165-2023</t>
        </is>
      </c>
      <c r="B89" s="1" t="n">
        <v>44953</v>
      </c>
      <c r="C89" s="1" t="n">
        <v>46052</v>
      </c>
      <c r="D89" t="inlineStr">
        <is>
          <t>KALMAR LÄN</t>
        </is>
      </c>
      <c r="E89" t="inlineStr">
        <is>
          <t>BORGHOLM</t>
        </is>
      </c>
      <c r="G89" t="n">
        <v>0.6</v>
      </c>
      <c r="H89" t="n">
        <v>0</v>
      </c>
      <c r="I89" t="n">
        <v>0</v>
      </c>
      <c r="J89" t="n">
        <v>0</v>
      </c>
      <c r="K89" t="n">
        <v>0</v>
      </c>
      <c r="L89" t="n">
        <v>0</v>
      </c>
      <c r="M89" t="n">
        <v>0</v>
      </c>
      <c r="N89" t="n">
        <v>0</v>
      </c>
      <c r="O89" t="n">
        <v>0</v>
      </c>
      <c r="P89" t="n">
        <v>0</v>
      </c>
      <c r="Q89" t="n">
        <v>0</v>
      </c>
      <c r="R89" s="2" t="inlineStr"/>
    </row>
    <row r="90" ht="15" customHeight="1">
      <c r="A90" t="inlineStr">
        <is>
          <t>A 50129-2021</t>
        </is>
      </c>
      <c r="B90" s="1" t="n">
        <v>44456</v>
      </c>
      <c r="C90" s="1" t="n">
        <v>46052</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32921-2023</t>
        </is>
      </c>
      <c r="B91" s="1" t="n">
        <v>45125</v>
      </c>
      <c r="C91" s="1" t="n">
        <v>46052</v>
      </c>
      <c r="D91" t="inlineStr">
        <is>
          <t>KALMAR LÄN</t>
        </is>
      </c>
      <c r="E91" t="inlineStr">
        <is>
          <t>BORGHOLM</t>
        </is>
      </c>
      <c r="G91" t="n">
        <v>2.9</v>
      </c>
      <c r="H91" t="n">
        <v>0</v>
      </c>
      <c r="I91" t="n">
        <v>0</v>
      </c>
      <c r="J91" t="n">
        <v>0</v>
      </c>
      <c r="K91" t="n">
        <v>0</v>
      </c>
      <c r="L91" t="n">
        <v>0</v>
      </c>
      <c r="M91" t="n">
        <v>0</v>
      </c>
      <c r="N91" t="n">
        <v>0</v>
      </c>
      <c r="O91" t="n">
        <v>0</v>
      </c>
      <c r="P91" t="n">
        <v>0</v>
      </c>
      <c r="Q91" t="n">
        <v>0</v>
      </c>
      <c r="R91" s="2" t="inlineStr"/>
    </row>
    <row r="92" ht="15" customHeight="1">
      <c r="A92" t="inlineStr">
        <is>
          <t>A 31699-2022</t>
        </is>
      </c>
      <c r="B92" s="1" t="n">
        <v>44776</v>
      </c>
      <c r="C92" s="1" t="n">
        <v>46052</v>
      </c>
      <c r="D92" t="inlineStr">
        <is>
          <t>KALMAR LÄN</t>
        </is>
      </c>
      <c r="E92" t="inlineStr">
        <is>
          <t>BORGHOLM</t>
        </is>
      </c>
      <c r="F92" t="inlineStr">
        <is>
          <t>Sveaskog</t>
        </is>
      </c>
      <c r="G92" t="n">
        <v>1.6</v>
      </c>
      <c r="H92" t="n">
        <v>0</v>
      </c>
      <c r="I92" t="n">
        <v>0</v>
      </c>
      <c r="J92" t="n">
        <v>0</v>
      </c>
      <c r="K92" t="n">
        <v>0</v>
      </c>
      <c r="L92" t="n">
        <v>0</v>
      </c>
      <c r="M92" t="n">
        <v>0</v>
      </c>
      <c r="N92" t="n">
        <v>0</v>
      </c>
      <c r="O92" t="n">
        <v>0</v>
      </c>
      <c r="P92" t="n">
        <v>0</v>
      </c>
      <c r="Q92" t="n">
        <v>0</v>
      </c>
      <c r="R92" s="2" t="inlineStr"/>
    </row>
    <row r="93" ht="15" customHeight="1">
      <c r="A93" t="inlineStr">
        <is>
          <t>A 63276-2023</t>
        </is>
      </c>
      <c r="B93" s="1" t="n">
        <v>45273.82195601852</v>
      </c>
      <c r="C93" s="1" t="n">
        <v>46052</v>
      </c>
      <c r="D93" t="inlineStr">
        <is>
          <t>KALMAR LÄN</t>
        </is>
      </c>
      <c r="E93" t="inlineStr">
        <is>
          <t>BORGHOLM</t>
        </is>
      </c>
      <c r="G93" t="n">
        <v>5</v>
      </c>
      <c r="H93" t="n">
        <v>0</v>
      </c>
      <c r="I93" t="n">
        <v>0</v>
      </c>
      <c r="J93" t="n">
        <v>0</v>
      </c>
      <c r="K93" t="n">
        <v>0</v>
      </c>
      <c r="L93" t="n">
        <v>0</v>
      </c>
      <c r="M93" t="n">
        <v>0</v>
      </c>
      <c r="N93" t="n">
        <v>0</v>
      </c>
      <c r="O93" t="n">
        <v>0</v>
      </c>
      <c r="P93" t="n">
        <v>0</v>
      </c>
      <c r="Q93" t="n">
        <v>0</v>
      </c>
      <c r="R93" s="2" t="inlineStr"/>
    </row>
    <row r="94" ht="15" customHeight="1">
      <c r="A94" t="inlineStr">
        <is>
          <t>A 1614-2025</t>
        </is>
      </c>
      <c r="B94" s="1" t="n">
        <v>45670.60094907408</v>
      </c>
      <c r="C94" s="1" t="n">
        <v>46052</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36269-2025</t>
        </is>
      </c>
      <c r="B95" s="1" t="n">
        <v>45867.61736111111</v>
      </c>
      <c r="C95" s="1" t="n">
        <v>46052</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13043-2024</t>
        </is>
      </c>
      <c r="B96" s="1" t="n">
        <v>45385.60111111111</v>
      </c>
      <c r="C96" s="1" t="n">
        <v>46052</v>
      </c>
      <c r="D96" t="inlineStr">
        <is>
          <t>KALMAR LÄN</t>
        </is>
      </c>
      <c r="E96" t="inlineStr">
        <is>
          <t>BORGHOLM</t>
        </is>
      </c>
      <c r="G96" t="n">
        <v>0.4</v>
      </c>
      <c r="H96" t="n">
        <v>0</v>
      </c>
      <c r="I96" t="n">
        <v>0</v>
      </c>
      <c r="J96" t="n">
        <v>0</v>
      </c>
      <c r="K96" t="n">
        <v>0</v>
      </c>
      <c r="L96" t="n">
        <v>0</v>
      </c>
      <c r="M96" t="n">
        <v>0</v>
      </c>
      <c r="N96" t="n">
        <v>0</v>
      </c>
      <c r="O96" t="n">
        <v>0</v>
      </c>
      <c r="P96" t="n">
        <v>0</v>
      </c>
      <c r="Q96" t="n">
        <v>0</v>
      </c>
      <c r="R96" s="2" t="inlineStr"/>
    </row>
    <row r="97" ht="15" customHeight="1">
      <c r="A97" t="inlineStr">
        <is>
          <t>A 34780-2022</t>
        </is>
      </c>
      <c r="B97" s="1" t="n">
        <v>44795</v>
      </c>
      <c r="C97" s="1" t="n">
        <v>46052</v>
      </c>
      <c r="D97" t="inlineStr">
        <is>
          <t>KALMAR LÄN</t>
        </is>
      </c>
      <c r="E97" t="inlineStr">
        <is>
          <t>BORGHOLM</t>
        </is>
      </c>
      <c r="F97" t="inlineStr">
        <is>
          <t>Sveaskog</t>
        </is>
      </c>
      <c r="G97" t="n">
        <v>6.7</v>
      </c>
      <c r="H97" t="n">
        <v>0</v>
      </c>
      <c r="I97" t="n">
        <v>0</v>
      </c>
      <c r="J97" t="n">
        <v>0</v>
      </c>
      <c r="K97" t="n">
        <v>0</v>
      </c>
      <c r="L97" t="n">
        <v>0</v>
      </c>
      <c r="M97" t="n">
        <v>0</v>
      </c>
      <c r="N97" t="n">
        <v>0</v>
      </c>
      <c r="O97" t="n">
        <v>0</v>
      </c>
      <c r="P97" t="n">
        <v>0</v>
      </c>
      <c r="Q97" t="n">
        <v>0</v>
      </c>
      <c r="R97" s="2" t="inlineStr"/>
    </row>
    <row r="98" ht="15" customHeight="1">
      <c r="A98" t="inlineStr">
        <is>
          <t>A 41831-2025</t>
        </is>
      </c>
      <c r="B98" s="1" t="n">
        <v>45902.67887731481</v>
      </c>
      <c r="C98" s="1" t="n">
        <v>46052</v>
      </c>
      <c r="D98" t="inlineStr">
        <is>
          <t>KALMAR LÄN</t>
        </is>
      </c>
      <c r="E98" t="inlineStr">
        <is>
          <t>BORGHOLM</t>
        </is>
      </c>
      <c r="G98" t="n">
        <v>1.5</v>
      </c>
      <c r="H98" t="n">
        <v>0</v>
      </c>
      <c r="I98" t="n">
        <v>0</v>
      </c>
      <c r="J98" t="n">
        <v>0</v>
      </c>
      <c r="K98" t="n">
        <v>0</v>
      </c>
      <c r="L98" t="n">
        <v>0</v>
      </c>
      <c r="M98" t="n">
        <v>0</v>
      </c>
      <c r="N98" t="n">
        <v>0</v>
      </c>
      <c r="O98" t="n">
        <v>0</v>
      </c>
      <c r="P98" t="n">
        <v>0</v>
      </c>
      <c r="Q98" t="n">
        <v>0</v>
      </c>
      <c r="R98" s="2" t="inlineStr"/>
    </row>
    <row r="99" ht="15" customHeight="1">
      <c r="A99" t="inlineStr">
        <is>
          <t>A 9076-2025</t>
        </is>
      </c>
      <c r="B99" s="1" t="n">
        <v>45713.6596875</v>
      </c>
      <c r="C99" s="1" t="n">
        <v>46052</v>
      </c>
      <c r="D99" t="inlineStr">
        <is>
          <t>KALMAR LÄN</t>
        </is>
      </c>
      <c r="E99" t="inlineStr">
        <is>
          <t>BORGHOLM</t>
        </is>
      </c>
      <c r="F99" t="inlineStr">
        <is>
          <t>Sveaskog</t>
        </is>
      </c>
      <c r="G99" t="n">
        <v>4.2</v>
      </c>
      <c r="H99" t="n">
        <v>0</v>
      </c>
      <c r="I99" t="n">
        <v>0</v>
      </c>
      <c r="J99" t="n">
        <v>0</v>
      </c>
      <c r="K99" t="n">
        <v>0</v>
      </c>
      <c r="L99" t="n">
        <v>0</v>
      </c>
      <c r="M99" t="n">
        <v>0</v>
      </c>
      <c r="N99" t="n">
        <v>0</v>
      </c>
      <c r="O99" t="n">
        <v>0</v>
      </c>
      <c r="P99" t="n">
        <v>0</v>
      </c>
      <c r="Q99" t="n">
        <v>0</v>
      </c>
      <c r="R99" s="2" t="inlineStr"/>
    </row>
    <row r="100" ht="15" customHeight="1">
      <c r="A100" t="inlineStr">
        <is>
          <t>A 41950-2025</t>
        </is>
      </c>
      <c r="B100" s="1" t="n">
        <v>45903.45767361111</v>
      </c>
      <c r="C100" s="1" t="n">
        <v>46052</v>
      </c>
      <c r="D100" t="inlineStr">
        <is>
          <t>KALMAR LÄN</t>
        </is>
      </c>
      <c r="E100" t="inlineStr">
        <is>
          <t>BORGHOLM</t>
        </is>
      </c>
      <c r="G100" t="n">
        <v>1.8</v>
      </c>
      <c r="H100" t="n">
        <v>0</v>
      </c>
      <c r="I100" t="n">
        <v>0</v>
      </c>
      <c r="J100" t="n">
        <v>0</v>
      </c>
      <c r="K100" t="n">
        <v>0</v>
      </c>
      <c r="L100" t="n">
        <v>0</v>
      </c>
      <c r="M100" t="n">
        <v>0</v>
      </c>
      <c r="N100" t="n">
        <v>0</v>
      </c>
      <c r="O100" t="n">
        <v>0</v>
      </c>
      <c r="P100" t="n">
        <v>0</v>
      </c>
      <c r="Q100" t="n">
        <v>0</v>
      </c>
      <c r="R100" s="2" t="inlineStr"/>
    </row>
    <row r="101" ht="15" customHeight="1">
      <c r="A101" t="inlineStr">
        <is>
          <t>A 42232-2025</t>
        </is>
      </c>
      <c r="B101" s="1" t="n">
        <v>45904.55591435185</v>
      </c>
      <c r="C101" s="1" t="n">
        <v>46052</v>
      </c>
      <c r="D101" t="inlineStr">
        <is>
          <t>KALMAR LÄN</t>
        </is>
      </c>
      <c r="E101" t="inlineStr">
        <is>
          <t>BORGHOLM</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1757-2025</t>
        </is>
      </c>
      <c r="B102" s="1" t="n">
        <v>45671.42195601852</v>
      </c>
      <c r="C102" s="1" t="n">
        <v>46052</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7960-2023</t>
        </is>
      </c>
      <c r="B103" s="1" t="n">
        <v>44973</v>
      </c>
      <c r="C103" s="1" t="n">
        <v>46052</v>
      </c>
      <c r="D103" t="inlineStr">
        <is>
          <t>KALMAR LÄN</t>
        </is>
      </c>
      <c r="E103" t="inlineStr">
        <is>
          <t>BORGHOLM</t>
        </is>
      </c>
      <c r="G103" t="n">
        <v>2.1</v>
      </c>
      <c r="H103" t="n">
        <v>0</v>
      </c>
      <c r="I103" t="n">
        <v>0</v>
      </c>
      <c r="J103" t="n">
        <v>0</v>
      </c>
      <c r="K103" t="n">
        <v>0</v>
      </c>
      <c r="L103" t="n">
        <v>0</v>
      </c>
      <c r="M103" t="n">
        <v>0</v>
      </c>
      <c r="N103" t="n">
        <v>0</v>
      </c>
      <c r="O103" t="n">
        <v>0</v>
      </c>
      <c r="P103" t="n">
        <v>0</v>
      </c>
      <c r="Q103" t="n">
        <v>0</v>
      </c>
      <c r="R103" s="2" t="inlineStr"/>
    </row>
    <row r="104" ht="15" customHeight="1">
      <c r="A104" t="inlineStr">
        <is>
          <t>A 43542-2025</t>
        </is>
      </c>
      <c r="B104" s="1" t="n">
        <v>45911.61123842592</v>
      </c>
      <c r="C104" s="1" t="n">
        <v>46052</v>
      </c>
      <c r="D104" t="inlineStr">
        <is>
          <t>KALMAR LÄN</t>
        </is>
      </c>
      <c r="E104" t="inlineStr">
        <is>
          <t>BORGHOLM</t>
        </is>
      </c>
      <c r="G104" t="n">
        <v>2.4</v>
      </c>
      <c r="H104" t="n">
        <v>0</v>
      </c>
      <c r="I104" t="n">
        <v>0</v>
      </c>
      <c r="J104" t="n">
        <v>0</v>
      </c>
      <c r="K104" t="n">
        <v>0</v>
      </c>
      <c r="L104" t="n">
        <v>0</v>
      </c>
      <c r="M104" t="n">
        <v>0</v>
      </c>
      <c r="N104" t="n">
        <v>0</v>
      </c>
      <c r="O104" t="n">
        <v>0</v>
      </c>
      <c r="P104" t="n">
        <v>0</v>
      </c>
      <c r="Q104" t="n">
        <v>0</v>
      </c>
      <c r="R104" s="2" t="inlineStr"/>
    </row>
    <row r="105" ht="15" customHeight="1">
      <c r="A105" t="inlineStr">
        <is>
          <t>A 9044-2025</t>
        </is>
      </c>
      <c r="B105" s="1" t="n">
        <v>45713.6275</v>
      </c>
      <c r="C105" s="1" t="n">
        <v>46052</v>
      </c>
      <c r="D105" t="inlineStr">
        <is>
          <t>KALMAR LÄN</t>
        </is>
      </c>
      <c r="E105" t="inlineStr">
        <is>
          <t>BORGHOLM</t>
        </is>
      </c>
      <c r="F105" t="inlineStr">
        <is>
          <t>Sveaskog</t>
        </is>
      </c>
      <c r="G105" t="n">
        <v>4</v>
      </c>
      <c r="H105" t="n">
        <v>0</v>
      </c>
      <c r="I105" t="n">
        <v>0</v>
      </c>
      <c r="J105" t="n">
        <v>0</v>
      </c>
      <c r="K105" t="n">
        <v>0</v>
      </c>
      <c r="L105" t="n">
        <v>0</v>
      </c>
      <c r="M105" t="n">
        <v>0</v>
      </c>
      <c r="N105" t="n">
        <v>0</v>
      </c>
      <c r="O105" t="n">
        <v>0</v>
      </c>
      <c r="P105" t="n">
        <v>0</v>
      </c>
      <c r="Q105" t="n">
        <v>0</v>
      </c>
      <c r="R105" s="2" t="inlineStr"/>
    </row>
    <row r="106" ht="15" customHeight="1">
      <c r="A106" t="inlineStr">
        <is>
          <t>A 29656-2023</t>
        </is>
      </c>
      <c r="B106" s="1" t="n">
        <v>45107</v>
      </c>
      <c r="C106" s="1" t="n">
        <v>46052</v>
      </c>
      <c r="D106" t="inlineStr">
        <is>
          <t>KALMAR LÄN</t>
        </is>
      </c>
      <c r="E106" t="inlineStr">
        <is>
          <t>BORGHOLM</t>
        </is>
      </c>
      <c r="G106" t="n">
        <v>4.1</v>
      </c>
      <c r="H106" t="n">
        <v>0</v>
      </c>
      <c r="I106" t="n">
        <v>0</v>
      </c>
      <c r="J106" t="n">
        <v>0</v>
      </c>
      <c r="K106" t="n">
        <v>0</v>
      </c>
      <c r="L106" t="n">
        <v>0</v>
      </c>
      <c r="M106" t="n">
        <v>0</v>
      </c>
      <c r="N106" t="n">
        <v>0</v>
      </c>
      <c r="O106" t="n">
        <v>0</v>
      </c>
      <c r="P106" t="n">
        <v>0</v>
      </c>
      <c r="Q106" t="n">
        <v>0</v>
      </c>
      <c r="R106" s="2" t="inlineStr"/>
    </row>
    <row r="107" ht="15" customHeight="1">
      <c r="A107" t="inlineStr">
        <is>
          <t>A 20878-2024</t>
        </is>
      </c>
      <c r="B107" s="1" t="n">
        <v>45439.44748842593</v>
      </c>
      <c r="C107" s="1" t="n">
        <v>46052</v>
      </c>
      <c r="D107" t="inlineStr">
        <is>
          <t>KALMAR LÄN</t>
        </is>
      </c>
      <c r="E107" t="inlineStr">
        <is>
          <t>BORGHOLM</t>
        </is>
      </c>
      <c r="G107" t="n">
        <v>1.9</v>
      </c>
      <c r="H107" t="n">
        <v>0</v>
      </c>
      <c r="I107" t="n">
        <v>0</v>
      </c>
      <c r="J107" t="n">
        <v>0</v>
      </c>
      <c r="K107" t="n">
        <v>0</v>
      </c>
      <c r="L107" t="n">
        <v>0</v>
      </c>
      <c r="M107" t="n">
        <v>0</v>
      </c>
      <c r="N107" t="n">
        <v>0</v>
      </c>
      <c r="O107" t="n">
        <v>0</v>
      </c>
      <c r="P107" t="n">
        <v>0</v>
      </c>
      <c r="Q107" t="n">
        <v>0</v>
      </c>
      <c r="R107" s="2" t="inlineStr"/>
    </row>
    <row r="108" ht="15" customHeight="1">
      <c r="A108" t="inlineStr">
        <is>
          <t>A 17699-2025</t>
        </is>
      </c>
      <c r="B108" s="1" t="n">
        <v>45758.41846064815</v>
      </c>
      <c r="C108" s="1" t="n">
        <v>46052</v>
      </c>
      <c r="D108" t="inlineStr">
        <is>
          <t>KALMAR LÄN</t>
        </is>
      </c>
      <c r="E108" t="inlineStr">
        <is>
          <t>BORGHOLM</t>
        </is>
      </c>
      <c r="G108" t="n">
        <v>0.7</v>
      </c>
      <c r="H108" t="n">
        <v>0</v>
      </c>
      <c r="I108" t="n">
        <v>0</v>
      </c>
      <c r="J108" t="n">
        <v>0</v>
      </c>
      <c r="K108" t="n">
        <v>0</v>
      </c>
      <c r="L108" t="n">
        <v>0</v>
      </c>
      <c r="M108" t="n">
        <v>0</v>
      </c>
      <c r="N108" t="n">
        <v>0</v>
      </c>
      <c r="O108" t="n">
        <v>0</v>
      </c>
      <c r="P108" t="n">
        <v>0</v>
      </c>
      <c r="Q108" t="n">
        <v>0</v>
      </c>
      <c r="R108" s="2" t="inlineStr"/>
    </row>
    <row r="109" ht="15" customHeight="1">
      <c r="A109" t="inlineStr">
        <is>
          <t>A 20287-2025</t>
        </is>
      </c>
      <c r="B109" s="1" t="n">
        <v>45774.60741898148</v>
      </c>
      <c r="C109" s="1" t="n">
        <v>46052</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45734-2025</t>
        </is>
      </c>
      <c r="B110" s="1" t="n">
        <v>45923.46512731481</v>
      </c>
      <c r="C110" s="1" t="n">
        <v>46052</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26160-2024</t>
        </is>
      </c>
      <c r="B111" s="1" t="n">
        <v>45468</v>
      </c>
      <c r="C111" s="1" t="n">
        <v>46052</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c r="T111">
        <f>HYPERLINK("https://klasma.github.io/Logging_0885/kartor/A 26160-2024 karta.png", "A 26160-2024")</f>
        <v/>
      </c>
      <c r="V111">
        <f>HYPERLINK("https://klasma.github.io/Logging_0885/klagomål/A 26160-2024 FSC-klagomål.docx", "A 26160-2024")</f>
        <v/>
      </c>
      <c r="W111">
        <f>HYPERLINK("https://klasma.github.io/Logging_0885/klagomålsmail/A 26160-2024 FSC-klagomål mail.docx", "A 26160-2024")</f>
        <v/>
      </c>
      <c r="X111">
        <f>HYPERLINK("https://klasma.github.io/Logging_0885/tillsyn/A 26160-2024 tillsynsbegäran.docx", "A 26160-2024")</f>
        <v/>
      </c>
      <c r="Y111">
        <f>HYPERLINK("https://klasma.github.io/Logging_0885/tillsynsmail/A 26160-2024 tillsynsbegäran mail.docx", "A 26160-2024")</f>
        <v/>
      </c>
    </row>
    <row r="112" ht="15" customHeight="1">
      <c r="A112" t="inlineStr">
        <is>
          <t>A 45869-2025</t>
        </is>
      </c>
      <c r="B112" s="1" t="n">
        <v>45923.65313657407</v>
      </c>
      <c r="C112" s="1" t="n">
        <v>46052</v>
      </c>
      <c r="D112" t="inlineStr">
        <is>
          <t>KALMAR LÄN</t>
        </is>
      </c>
      <c r="E112" t="inlineStr">
        <is>
          <t>BORGHOLM</t>
        </is>
      </c>
      <c r="G112" t="n">
        <v>4.5</v>
      </c>
      <c r="H112" t="n">
        <v>0</v>
      </c>
      <c r="I112" t="n">
        <v>0</v>
      </c>
      <c r="J112" t="n">
        <v>0</v>
      </c>
      <c r="K112" t="n">
        <v>0</v>
      </c>
      <c r="L112" t="n">
        <v>0</v>
      </c>
      <c r="M112" t="n">
        <v>0</v>
      </c>
      <c r="N112" t="n">
        <v>0</v>
      </c>
      <c r="O112" t="n">
        <v>0</v>
      </c>
      <c r="P112" t="n">
        <v>0</v>
      </c>
      <c r="Q112" t="n">
        <v>0</v>
      </c>
      <c r="R112" s="2" t="inlineStr"/>
    </row>
    <row r="113" ht="15" customHeight="1">
      <c r="A113" t="inlineStr">
        <is>
          <t>A 9050-2025</t>
        </is>
      </c>
      <c r="B113" s="1" t="n">
        <v>45713.63512731482</v>
      </c>
      <c r="C113" s="1" t="n">
        <v>46052</v>
      </c>
      <c r="D113" t="inlineStr">
        <is>
          <t>KALMAR LÄN</t>
        </is>
      </c>
      <c r="E113" t="inlineStr">
        <is>
          <t>BORGHOLM</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46845-2025</t>
        </is>
      </c>
      <c r="B114" s="1" t="n">
        <v>45928</v>
      </c>
      <c r="C114" s="1" t="n">
        <v>46052</v>
      </c>
      <c r="D114" t="inlineStr">
        <is>
          <t>KALMAR LÄN</t>
        </is>
      </c>
      <c r="E114" t="inlineStr">
        <is>
          <t>BORGHOLM</t>
        </is>
      </c>
      <c r="G114" t="n">
        <v>2.7</v>
      </c>
      <c r="H114" t="n">
        <v>0</v>
      </c>
      <c r="I114" t="n">
        <v>0</v>
      </c>
      <c r="J114" t="n">
        <v>0</v>
      </c>
      <c r="K114" t="n">
        <v>0</v>
      </c>
      <c r="L114" t="n">
        <v>0</v>
      </c>
      <c r="M114" t="n">
        <v>0</v>
      </c>
      <c r="N114" t="n">
        <v>0</v>
      </c>
      <c r="O114" t="n">
        <v>0</v>
      </c>
      <c r="P114" t="n">
        <v>0</v>
      </c>
      <c r="Q114" t="n">
        <v>0</v>
      </c>
      <c r="R114" s="2" t="inlineStr"/>
    </row>
    <row r="115" ht="15" customHeight="1">
      <c r="A115" t="inlineStr">
        <is>
          <t>A 7669-2024</t>
        </is>
      </c>
      <c r="B115" s="1" t="n">
        <v>45348.82498842593</v>
      </c>
      <c r="C115" s="1" t="n">
        <v>46052</v>
      </c>
      <c r="D115" t="inlineStr">
        <is>
          <t>KALMAR LÄN</t>
        </is>
      </c>
      <c r="E115" t="inlineStr">
        <is>
          <t>BORGHOLM</t>
        </is>
      </c>
      <c r="G115" t="n">
        <v>2.3</v>
      </c>
      <c r="H115" t="n">
        <v>0</v>
      </c>
      <c r="I115" t="n">
        <v>0</v>
      </c>
      <c r="J115" t="n">
        <v>0</v>
      </c>
      <c r="K115" t="n">
        <v>0</v>
      </c>
      <c r="L115" t="n">
        <v>0</v>
      </c>
      <c r="M115" t="n">
        <v>0</v>
      </c>
      <c r="N115" t="n">
        <v>0</v>
      </c>
      <c r="O115" t="n">
        <v>0</v>
      </c>
      <c r="P115" t="n">
        <v>0</v>
      </c>
      <c r="Q115" t="n">
        <v>0</v>
      </c>
      <c r="R115" s="2" t="inlineStr"/>
    </row>
    <row r="116" ht="15" customHeight="1">
      <c r="A116" t="inlineStr">
        <is>
          <t>A 63075-2023</t>
        </is>
      </c>
      <c r="B116" s="1" t="n">
        <v>45273</v>
      </c>
      <c r="C116" s="1" t="n">
        <v>46052</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60141-2025</t>
        </is>
      </c>
      <c r="B117" s="1" t="n">
        <v>45994.36873842592</v>
      </c>
      <c r="C117" s="1" t="n">
        <v>46052</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c r="A118" t="inlineStr">
        <is>
          <t>A 61723-2025</t>
        </is>
      </c>
      <c r="B118" s="1" t="n">
        <v>46002.58388888889</v>
      </c>
      <c r="C118" s="1" t="n">
        <v>46052</v>
      </c>
      <c r="D118" t="inlineStr">
        <is>
          <t>KALMAR LÄN</t>
        </is>
      </c>
      <c r="E118" t="inlineStr">
        <is>
          <t>BORGHOLM</t>
        </is>
      </c>
      <c r="G118" t="n">
        <v>1.1</v>
      </c>
      <c r="H118" t="n">
        <v>0</v>
      </c>
      <c r="I118" t="n">
        <v>0</v>
      </c>
      <c r="J118" t="n">
        <v>0</v>
      </c>
      <c r="K118" t="n">
        <v>0</v>
      </c>
      <c r="L118" t="n">
        <v>0</v>
      </c>
      <c r="M118" t="n">
        <v>0</v>
      </c>
      <c r="N118" t="n">
        <v>0</v>
      </c>
      <c r="O118" t="n">
        <v>0</v>
      </c>
      <c r="P118" t="n">
        <v>0</v>
      </c>
      <c r="Q118" t="n">
        <v>0</v>
      </c>
      <c r="R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2026-01-30T11:01:07Z</dcterms:created>
  <dcterms:modified xmlns:dcterms="http://purl.org/dc/terms/" xmlns:xsi="http://www.w3.org/2001/XMLSchema-instance" xsi:type="dcterms:W3CDTF">2026-01-30T11:01:07Z</dcterms:modified>
</cp:coreProperties>
</file>