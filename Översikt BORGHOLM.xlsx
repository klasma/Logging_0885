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45879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45879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45879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45879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45879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45879</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45879</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45879</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45879</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45879</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45879</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45879</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45879</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45879</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45879</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45879</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45879</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28779-2025</t>
        </is>
      </c>
      <c r="B19" s="1" t="n">
        <v>45820.44920138889</v>
      </c>
      <c r="C19" s="1" t="n">
        <v>45879</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34944-2022</t>
        </is>
      </c>
      <c r="B20" s="1" t="n">
        <v>44796</v>
      </c>
      <c r="C20" s="1" t="n">
        <v>45879</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32174-2022</t>
        </is>
      </c>
      <c r="B21" s="1" t="n">
        <v>44781</v>
      </c>
      <c r="C21" s="1" t="n">
        <v>45879</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45879</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45879</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45879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3871-2021</t>
        </is>
      </c>
      <c r="B25" s="1" t="n">
        <v>44222</v>
      </c>
      <c r="C25" s="1" t="n">
        <v>45879</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45879</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45879</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24701-2023</t>
        </is>
      </c>
      <c r="B28" s="1" t="n">
        <v>45084</v>
      </c>
      <c r="C28" s="1" t="n">
        <v>45879</v>
      </c>
      <c r="D28" t="inlineStr">
        <is>
          <t>KALMAR LÄN</t>
        </is>
      </c>
      <c r="E28" t="inlineStr">
        <is>
          <t>BORGHOLM</t>
        </is>
      </c>
      <c r="G28" t="n">
        <v>3</v>
      </c>
      <c r="H28" t="n">
        <v>0</v>
      </c>
      <c r="I28" t="n">
        <v>0</v>
      </c>
      <c r="J28" t="n">
        <v>0</v>
      </c>
      <c r="K28" t="n">
        <v>0</v>
      </c>
      <c r="L28" t="n">
        <v>1</v>
      </c>
      <c r="M28" t="n">
        <v>0</v>
      </c>
      <c r="N28" t="n">
        <v>0</v>
      </c>
      <c r="O28" t="n">
        <v>1</v>
      </c>
      <c r="P28" t="n">
        <v>1</v>
      </c>
      <c r="Q28" t="n">
        <v>1</v>
      </c>
      <c r="R28" s="2" t="inlineStr">
        <is>
          <t>Ask</t>
        </is>
      </c>
      <c r="S28">
        <f>HYPERLINK("https://klasma.github.io/Logging_0885/artfynd/A 24701-2023 artfynd.xlsx", "A 24701-2023")</f>
        <v/>
      </c>
      <c r="T28">
        <f>HYPERLINK("https://klasma.github.io/Logging_0885/kartor/A 24701-2023 karta.png", "A 24701-2023")</f>
        <v/>
      </c>
      <c r="V28">
        <f>HYPERLINK("https://klasma.github.io/Logging_0885/klagomål/A 24701-2023 FSC-klagomål.docx", "A 24701-2023")</f>
        <v/>
      </c>
      <c r="W28">
        <f>HYPERLINK("https://klasma.github.io/Logging_0885/klagomålsmail/A 24701-2023 FSC-klagomål mail.docx", "A 24701-2023")</f>
        <v/>
      </c>
      <c r="X28">
        <f>HYPERLINK("https://klasma.github.io/Logging_0885/tillsyn/A 24701-2023 tillsynsbegäran.docx", "A 24701-2023")</f>
        <v/>
      </c>
      <c r="Y28">
        <f>HYPERLINK("https://klasma.github.io/Logging_0885/tillsynsmail/A 24701-2023 tillsynsbegäran mail.docx", "A 24701-2023")</f>
        <v/>
      </c>
    </row>
    <row r="29" ht="15" customHeight="1">
      <c r="A29" t="inlineStr">
        <is>
          <t>A 14789-2021</t>
        </is>
      </c>
      <c r="B29" s="1" t="n">
        <v>44280</v>
      </c>
      <c r="C29" s="1" t="n">
        <v>45879</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43603-2024</t>
        </is>
      </c>
      <c r="B30" s="1" t="n">
        <v>45569.44700231482</v>
      </c>
      <c r="C30" s="1" t="n">
        <v>45879</v>
      </c>
      <c r="D30" t="inlineStr">
        <is>
          <t>KALMAR LÄN</t>
        </is>
      </c>
      <c r="E30" t="inlineStr">
        <is>
          <t>BORGHOLM</t>
        </is>
      </c>
      <c r="G30" t="n">
        <v>3.8</v>
      </c>
      <c r="H30" t="n">
        <v>1</v>
      </c>
      <c r="I30" t="n">
        <v>0</v>
      </c>
      <c r="J30" t="n">
        <v>0</v>
      </c>
      <c r="K30" t="n">
        <v>1</v>
      </c>
      <c r="L30" t="n">
        <v>0</v>
      </c>
      <c r="M30" t="n">
        <v>0</v>
      </c>
      <c r="N30" t="n">
        <v>0</v>
      </c>
      <c r="O30" t="n">
        <v>1</v>
      </c>
      <c r="P30" t="n">
        <v>1</v>
      </c>
      <c r="Q30" t="n">
        <v>1</v>
      </c>
      <c r="R30" s="2" t="inlineStr">
        <is>
          <t>Väddnätfjäril</t>
        </is>
      </c>
      <c r="S30">
        <f>HYPERLINK("https://klasma.github.io/Logging_0885/artfynd/A 43603-2024 artfynd.xlsx", "A 43603-2024")</f>
        <v/>
      </c>
      <c r="T30">
        <f>HYPERLINK("https://klasma.github.io/Logging_0885/kartor/A 43603-2024 karta.png", "A 43603-2024")</f>
        <v/>
      </c>
      <c r="V30">
        <f>HYPERLINK("https://klasma.github.io/Logging_0885/klagomål/A 43603-2024 FSC-klagomål.docx", "A 43603-2024")</f>
        <v/>
      </c>
      <c r="W30">
        <f>HYPERLINK("https://klasma.github.io/Logging_0885/klagomålsmail/A 43603-2024 FSC-klagomål mail.docx", "A 43603-2024")</f>
        <v/>
      </c>
      <c r="X30">
        <f>HYPERLINK("https://klasma.github.io/Logging_0885/tillsyn/A 43603-2024 tillsynsbegäran.docx", "A 43603-2024")</f>
        <v/>
      </c>
      <c r="Y30">
        <f>HYPERLINK("https://klasma.github.io/Logging_0885/tillsynsmail/A 43603-2024 tillsynsbegäran mail.docx", "A 43603-2024")</f>
        <v/>
      </c>
    </row>
    <row r="31" ht="15" customHeight="1">
      <c r="A31" t="inlineStr">
        <is>
          <t>A 9745-2023</t>
        </is>
      </c>
      <c r="B31" s="1" t="n">
        <v>44984</v>
      </c>
      <c r="C31" s="1" t="n">
        <v>45879</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24704-2023</t>
        </is>
      </c>
      <c r="B32" s="1" t="n">
        <v>45084</v>
      </c>
      <c r="C32" s="1" t="n">
        <v>45879</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24048-2025</t>
        </is>
      </c>
      <c r="B33" s="1" t="n">
        <v>45796.4959375</v>
      </c>
      <c r="C33" s="1" t="n">
        <v>45879</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45879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12785-2021</t>
        </is>
      </c>
      <c r="B35" s="1" t="n">
        <v>44270</v>
      </c>
      <c r="C35" s="1" t="n">
        <v>45879</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45879</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45879</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28785-2025</t>
        </is>
      </c>
      <c r="B38" s="1" t="n">
        <v>45820.46159722222</v>
      </c>
      <c r="C38" s="1" t="n">
        <v>45879</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45879</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56499-2020</t>
        </is>
      </c>
      <c r="B40" s="1" t="n">
        <v>44137</v>
      </c>
      <c r="C40" s="1" t="n">
        <v>45879</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56434-2020</t>
        </is>
      </c>
      <c r="B41" s="1" t="n">
        <v>44137</v>
      </c>
      <c r="C41" s="1" t="n">
        <v>45879</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45879</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45879</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45879</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45879</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45879</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45879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45879</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45879</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45879</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45879</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45879</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45879</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45879</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45879</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45879</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45879</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45879</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45879</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45879</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45879</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45879</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45879</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45879</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45879</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45879</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45879</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44678-2022</t>
        </is>
      </c>
      <c r="B68" s="1" t="n">
        <v>44840.65100694444</v>
      </c>
      <c r="C68" s="1" t="n">
        <v>45879</v>
      </c>
      <c r="D68" t="inlineStr">
        <is>
          <t>KALMAR LÄN</t>
        </is>
      </c>
      <c r="E68" t="inlineStr">
        <is>
          <t>BORGHOLM</t>
        </is>
      </c>
      <c r="G68" t="n">
        <v>2.4</v>
      </c>
      <c r="H68" t="n">
        <v>0</v>
      </c>
      <c r="I68" t="n">
        <v>0</v>
      </c>
      <c r="J68" t="n">
        <v>0</v>
      </c>
      <c r="K68" t="n">
        <v>0</v>
      </c>
      <c r="L68" t="n">
        <v>0</v>
      </c>
      <c r="M68" t="n">
        <v>0</v>
      </c>
      <c r="N68" t="n">
        <v>0</v>
      </c>
      <c r="O68" t="n">
        <v>0</v>
      </c>
      <c r="P68" t="n">
        <v>0</v>
      </c>
      <c r="Q68" t="n">
        <v>0</v>
      </c>
      <c r="R68" s="2" t="inlineStr"/>
    </row>
    <row r="69" ht="15" customHeight="1">
      <c r="A69" t="inlineStr">
        <is>
          <t>A 61438-2023</t>
        </is>
      </c>
      <c r="B69" s="1" t="n">
        <v>45264</v>
      </c>
      <c r="C69" s="1" t="n">
        <v>45879</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45879</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13041-2024</t>
        </is>
      </c>
      <c r="B71" s="1" t="n">
        <v>45385.60065972222</v>
      </c>
      <c r="C71" s="1" t="n">
        <v>45879</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45879</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9044-2025</t>
        </is>
      </c>
      <c r="B73" s="1" t="n">
        <v>45713.6275</v>
      </c>
      <c r="C73" s="1" t="n">
        <v>45879</v>
      </c>
      <c r="D73" t="inlineStr">
        <is>
          <t>KALMAR LÄN</t>
        </is>
      </c>
      <c r="E73" t="inlineStr">
        <is>
          <t>BORGHOLM</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45879</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45879</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45879</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45879</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9028-2025</t>
        </is>
      </c>
      <c r="B78" s="1" t="n">
        <v>45713</v>
      </c>
      <c r="C78" s="1" t="n">
        <v>45879</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45879</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9050-2025</t>
        </is>
      </c>
      <c r="B80" s="1" t="n">
        <v>45713.63512731482</v>
      </c>
      <c r="C80" s="1" t="n">
        <v>45879</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63075-2023</t>
        </is>
      </c>
      <c r="B81" s="1" t="n">
        <v>45273</v>
      </c>
      <c r="C81" s="1" t="n">
        <v>45879</v>
      </c>
      <c r="D81" t="inlineStr">
        <is>
          <t>KALMAR LÄN</t>
        </is>
      </c>
      <c r="E81" t="inlineStr">
        <is>
          <t>BORGHOLM</t>
        </is>
      </c>
      <c r="G81" t="n">
        <v>1.1</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45879</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12481-2025</t>
        </is>
      </c>
      <c r="B83" s="1" t="n">
        <v>45730.57878472222</v>
      </c>
      <c r="C83" s="1" t="n">
        <v>45879</v>
      </c>
      <c r="D83" t="inlineStr">
        <is>
          <t>KALMAR LÄN</t>
        </is>
      </c>
      <c r="E83" t="inlineStr">
        <is>
          <t>BORGHOLM</t>
        </is>
      </c>
      <c r="G83" t="n">
        <v>7.2</v>
      </c>
      <c r="H83" t="n">
        <v>0</v>
      </c>
      <c r="I83" t="n">
        <v>0</v>
      </c>
      <c r="J83" t="n">
        <v>0</v>
      </c>
      <c r="K83" t="n">
        <v>0</v>
      </c>
      <c r="L83" t="n">
        <v>0</v>
      </c>
      <c r="M83" t="n">
        <v>0</v>
      </c>
      <c r="N83" t="n">
        <v>0</v>
      </c>
      <c r="O83" t="n">
        <v>0</v>
      </c>
      <c r="P83" t="n">
        <v>0</v>
      </c>
      <c r="Q83" t="n">
        <v>0</v>
      </c>
      <c r="R83" s="2" t="inlineStr"/>
    </row>
    <row r="84" ht="15" customHeight="1">
      <c r="A84" t="inlineStr">
        <is>
          <t>A 13043-2024</t>
        </is>
      </c>
      <c r="B84" s="1" t="n">
        <v>45385.60111111111</v>
      </c>
      <c r="C84" s="1" t="n">
        <v>45879</v>
      </c>
      <c r="D84" t="inlineStr">
        <is>
          <t>KALMAR LÄN</t>
        </is>
      </c>
      <c r="E84" t="inlineStr">
        <is>
          <t>BORGHOLM</t>
        </is>
      </c>
      <c r="G84" t="n">
        <v>0.4</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45879</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45879</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45879</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1757-2025</t>
        </is>
      </c>
      <c r="B88" s="1" t="n">
        <v>45671.42195601852</v>
      </c>
      <c r="C88" s="1" t="n">
        <v>45879</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22785-2025</t>
        </is>
      </c>
      <c r="B89" s="1" t="n">
        <v>45789.64186342592</v>
      </c>
      <c r="C89" s="1" t="n">
        <v>45879</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17699-2025</t>
        </is>
      </c>
      <c r="B90" s="1" t="n">
        <v>45758.41846064815</v>
      </c>
      <c r="C90" s="1" t="n">
        <v>45879</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45879</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45879</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45879</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45879</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45879</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45879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45879</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9076-2025</t>
        </is>
      </c>
      <c r="B98" s="1" t="n">
        <v>45713.6596875</v>
      </c>
      <c r="C98" s="1" t="n">
        <v>45879</v>
      </c>
      <c r="D98" t="inlineStr">
        <is>
          <t>KALMAR LÄN</t>
        </is>
      </c>
      <c r="E98" t="inlineStr">
        <is>
          <t>BORGHOLM</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45879</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29656-2023</t>
        </is>
      </c>
      <c r="B100" s="1" t="n">
        <v>45107</v>
      </c>
      <c r="C100" s="1" t="n">
        <v>45879</v>
      </c>
      <c r="D100" t="inlineStr">
        <is>
          <t>KALMAR LÄN</t>
        </is>
      </c>
      <c r="E100" t="inlineStr">
        <is>
          <t>BORGHOLM</t>
        </is>
      </c>
      <c r="G100" t="n">
        <v>4.1</v>
      </c>
      <c r="H100" t="n">
        <v>0</v>
      </c>
      <c r="I100" t="n">
        <v>0</v>
      </c>
      <c r="J100" t="n">
        <v>0</v>
      </c>
      <c r="K100" t="n">
        <v>0</v>
      </c>
      <c r="L100" t="n">
        <v>0</v>
      </c>
      <c r="M100" t="n">
        <v>0</v>
      </c>
      <c r="N100" t="n">
        <v>0</v>
      </c>
      <c r="O100" t="n">
        <v>0</v>
      </c>
      <c r="P100" t="n">
        <v>0</v>
      </c>
      <c r="Q100" t="n">
        <v>0</v>
      </c>
      <c r="R100" s="2" t="inlineStr"/>
    </row>
    <row r="101" ht="15" customHeight="1">
      <c r="A101" t="inlineStr">
        <is>
          <t>A 40339-2023</t>
        </is>
      </c>
      <c r="B101" s="1" t="n">
        <v>45169.62733796296</v>
      </c>
      <c r="C101" s="1" t="n">
        <v>45879</v>
      </c>
      <c r="D101" t="inlineStr">
        <is>
          <t>KALMAR LÄN</t>
        </is>
      </c>
      <c r="E101" t="inlineStr">
        <is>
          <t>BORGHOLM</t>
        </is>
      </c>
      <c r="G101" t="n">
        <v>3.8</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45879</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45879</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26160-2025</t>
        </is>
      </c>
      <c r="B104" s="1" t="n">
        <v>45805.4490162037</v>
      </c>
      <c r="C104" s="1" t="n">
        <v>45879</v>
      </c>
      <c r="D104" t="inlineStr">
        <is>
          <t>KALMAR LÄN</t>
        </is>
      </c>
      <c r="E104" t="inlineStr">
        <is>
          <t>BORGHOLM</t>
        </is>
      </c>
      <c r="G104" t="n">
        <v>3.7</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45879</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45805.48349537037</v>
      </c>
      <c r="C106" s="1" t="n">
        <v>45879</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45879</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27357-2025</t>
        </is>
      </c>
      <c r="B108" s="1" t="n">
        <v>45812.63650462963</v>
      </c>
      <c r="C108" s="1" t="n">
        <v>45879</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4878-2021</t>
        </is>
      </c>
      <c r="B109" s="1" t="n">
        <v>44225</v>
      </c>
      <c r="C109" s="1" t="n">
        <v>45879</v>
      </c>
      <c r="D109" t="inlineStr">
        <is>
          <t>KALMAR LÄN</t>
        </is>
      </c>
      <c r="E109" t="inlineStr">
        <is>
          <t>BORGHOLM</t>
        </is>
      </c>
      <c r="G109" t="n">
        <v>3</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45879</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13548-2025</t>
        </is>
      </c>
      <c r="B111" s="1" t="n">
        <v>45736.53827546296</v>
      </c>
      <c r="C111" s="1" t="n">
        <v>45879</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45879</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45879</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45879</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32921-2023</t>
        </is>
      </c>
      <c r="B115" s="1" t="n">
        <v>45125</v>
      </c>
      <c r="C115" s="1" t="n">
        <v>45879</v>
      </c>
      <c r="D115" t="inlineStr">
        <is>
          <t>KALMAR LÄN</t>
        </is>
      </c>
      <c r="E115" t="inlineStr">
        <is>
          <t>BORGHOLM</t>
        </is>
      </c>
      <c r="G115" t="n">
        <v>2.9</v>
      </c>
      <c r="H115" t="n">
        <v>0</v>
      </c>
      <c r="I115" t="n">
        <v>0</v>
      </c>
      <c r="J115" t="n">
        <v>0</v>
      </c>
      <c r="K115" t="n">
        <v>0</v>
      </c>
      <c r="L115" t="n">
        <v>0</v>
      </c>
      <c r="M115" t="n">
        <v>0</v>
      </c>
      <c r="N115" t="n">
        <v>0</v>
      </c>
      <c r="O115" t="n">
        <v>0</v>
      </c>
      <c r="P115" t="n">
        <v>0</v>
      </c>
      <c r="Q115" t="n">
        <v>0</v>
      </c>
      <c r="R115" s="2" t="inlineStr"/>
    </row>
    <row r="116" ht="15" customHeight="1">
      <c r="A116" t="inlineStr">
        <is>
          <t>A 28782-2025</t>
        </is>
      </c>
      <c r="B116" s="1" t="n">
        <v>45820.45572916666</v>
      </c>
      <c r="C116" s="1" t="n">
        <v>45879</v>
      </c>
      <c r="D116" t="inlineStr">
        <is>
          <t>KALMAR LÄN</t>
        </is>
      </c>
      <c r="E116" t="inlineStr">
        <is>
          <t>BORGHOLM</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31840-2021</t>
        </is>
      </c>
      <c r="B117" s="1" t="n">
        <v>44370</v>
      </c>
      <c r="C117" s="1" t="n">
        <v>45879</v>
      </c>
      <c r="D117" t="inlineStr">
        <is>
          <t>KALMAR LÄN</t>
        </is>
      </c>
      <c r="E117" t="inlineStr">
        <is>
          <t>BORGHOLM</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36269-2025</t>
        </is>
      </c>
      <c r="B118" s="1" t="n">
        <v>45867.61736111111</v>
      </c>
      <c r="C118" s="1" t="n">
        <v>45879</v>
      </c>
      <c r="D118" t="inlineStr">
        <is>
          <t>KALMAR LÄN</t>
        </is>
      </c>
      <c r="E118" t="inlineStr">
        <is>
          <t>BORGHOLM</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27326-2025</t>
        </is>
      </c>
      <c r="B119" s="1" t="n">
        <v>45812</v>
      </c>
      <c r="C119" s="1" t="n">
        <v>45879</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12480-2025</t>
        </is>
      </c>
      <c r="B120" s="1" t="n">
        <v>45730.57706018518</v>
      </c>
      <c r="C120" s="1" t="n">
        <v>45879</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3878-2023</t>
        </is>
      </c>
      <c r="B121" s="1" t="n">
        <v>44951</v>
      </c>
      <c r="C121" s="1" t="n">
        <v>45879</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19867-2024</t>
        </is>
      </c>
      <c r="B122" s="1" t="n">
        <v>45433</v>
      </c>
      <c r="C122" s="1" t="n">
        <v>45879</v>
      </c>
      <c r="D122" t="inlineStr">
        <is>
          <t>KALMAR LÄN</t>
        </is>
      </c>
      <c r="E122" t="inlineStr">
        <is>
          <t>BORGHOLM</t>
        </is>
      </c>
      <c r="G122" t="n">
        <v>3.9</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45879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12937-2022</t>
        </is>
      </c>
      <c r="B124" s="1" t="n">
        <v>44642</v>
      </c>
      <c r="C124" s="1" t="n">
        <v>45879</v>
      </c>
      <c r="D124" t="inlineStr">
        <is>
          <t>KALMAR LÄN</t>
        </is>
      </c>
      <c r="E124" t="inlineStr">
        <is>
          <t>BORGHOLM</t>
        </is>
      </c>
      <c r="F124" t="inlineStr">
        <is>
          <t>Sveaskog</t>
        </is>
      </c>
      <c r="G124" t="n">
        <v>1.8</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45879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2025-08-10T08:27:01Z</dcterms:created>
  <dcterms:modified xmlns:dcterms="http://purl.org/dc/terms/" xmlns:xsi="http://www.w3.org/2001/XMLSchema-instance" xsi:type="dcterms:W3CDTF">2025-08-10T08:27:01Z</dcterms:modified>
</cp:coreProperties>
</file>